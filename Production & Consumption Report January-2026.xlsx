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production /"/>
    </mc:Choice>
  </mc:AlternateContent>
  <xr:revisionPtr revIDLastSave="0" documentId="8_{7A0739C6-D402-0A45-84E9-6CB5F2354FAB}" xr6:coauthVersionLast="47" xr6:coauthVersionMax="47" xr10:uidLastSave="{00000000-0000-0000-0000-000000000000}"/>
  <bookViews>
    <workbookView xWindow="0" yWindow="540" windowWidth="20480" windowHeight="11620" firstSheet="24" activeTab="31" xr2:uid="{00000000-000D-0000-FFFF-FFFF00000000}"/>
  </bookViews>
  <sheets>
    <sheet name="01-01-2026" sheetId="275" r:id="rId1"/>
    <sheet name="02-01-2026" sheetId="276" r:id="rId2"/>
    <sheet name="03-01-2026" sheetId="277" r:id="rId3"/>
    <sheet name="04-01-2026" sheetId="278" r:id="rId4"/>
    <sheet name="05-01-2026" sheetId="279" r:id="rId5"/>
    <sheet name="06-01-2026" sheetId="280" r:id="rId6"/>
    <sheet name="07-01-2026" sheetId="281" r:id="rId7"/>
    <sheet name="08-01-2026" sheetId="282" r:id="rId8"/>
    <sheet name="09-01-2026" sheetId="283" r:id="rId9"/>
    <sheet name="10-01-2026" sheetId="284" r:id="rId10"/>
    <sheet name="11-01-2026" sheetId="285" r:id="rId11"/>
    <sheet name="12-01-2026" sheetId="286" r:id="rId12"/>
    <sheet name="13-01-2026" sheetId="287" r:id="rId13"/>
    <sheet name="14-01-2026" sheetId="288" r:id="rId14"/>
    <sheet name="15-01-2026" sheetId="289" r:id="rId15"/>
    <sheet name="16-01-2026" sheetId="290" r:id="rId16"/>
    <sheet name="17-01-2026" sheetId="291" r:id="rId17"/>
    <sheet name="18-01-2026" sheetId="292" r:id="rId18"/>
    <sheet name="19-01-2026" sheetId="293" r:id="rId19"/>
    <sheet name="20-01-2026" sheetId="294" r:id="rId20"/>
    <sheet name="21-01-2026" sheetId="295" r:id="rId21"/>
    <sheet name="22-01-2026" sheetId="296" r:id="rId22"/>
    <sheet name="23-01-2026" sheetId="297" r:id="rId23"/>
    <sheet name="24-01-2026" sheetId="298" r:id="rId24"/>
    <sheet name="25-01-2026" sheetId="299" r:id="rId25"/>
    <sheet name="26-01-2026" sheetId="300" r:id="rId26"/>
    <sheet name="27-01-2026" sheetId="301" r:id="rId27"/>
    <sheet name="28-01-2026" sheetId="302" r:id="rId28"/>
    <sheet name="29-01-2026" sheetId="303" r:id="rId29"/>
    <sheet name="30-01-2026" sheetId="304" r:id="rId30"/>
    <sheet name="31-01-2026" sheetId="305" r:id="rId31"/>
    <sheet name="Pulp &amp; Chemical consumption" sheetId="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305" l="1"/>
  <c r="H13" i="305"/>
  <c r="H14" i="305"/>
  <c r="H15" i="305"/>
  <c r="H16" i="305"/>
  <c r="G13" i="305"/>
  <c r="G14" i="305"/>
  <c r="G15" i="305"/>
  <c r="G16" i="305"/>
  <c r="F22" i="305"/>
  <c r="J25" i="305" s="1"/>
  <c r="H12" i="305"/>
  <c r="G12" i="305"/>
  <c r="H11" i="305"/>
  <c r="G11" i="305"/>
  <c r="H10" i="305"/>
  <c r="G10" i="305"/>
  <c r="H9" i="305"/>
  <c r="G9" i="305"/>
  <c r="H22" i="305" l="1"/>
  <c r="G22" i="305"/>
  <c r="J26" i="304"/>
  <c r="H12" i="304"/>
  <c r="G12" i="304"/>
  <c r="F22" i="304"/>
  <c r="J25" i="304" s="1"/>
  <c r="H11" i="304"/>
  <c r="G11" i="304"/>
  <c r="H10" i="304"/>
  <c r="G10" i="304"/>
  <c r="H9" i="304"/>
  <c r="G9" i="304"/>
  <c r="J26" i="303"/>
  <c r="F22" i="303"/>
  <c r="J25" i="303" s="1"/>
  <c r="H11" i="303"/>
  <c r="G11" i="303"/>
  <c r="H10" i="303"/>
  <c r="G10" i="303"/>
  <c r="H9" i="303"/>
  <c r="G9" i="303"/>
  <c r="J26" i="302"/>
  <c r="H12" i="302"/>
  <c r="G12" i="302"/>
  <c r="F22" i="302"/>
  <c r="H11" i="302"/>
  <c r="G11" i="302"/>
  <c r="H10" i="302"/>
  <c r="G10" i="302"/>
  <c r="H9" i="302"/>
  <c r="G9" i="302"/>
  <c r="J26" i="301"/>
  <c r="F22" i="301"/>
  <c r="H11" i="301"/>
  <c r="G11" i="301"/>
  <c r="H10" i="301"/>
  <c r="G10" i="301"/>
  <c r="H9" i="301"/>
  <c r="G9" i="301"/>
  <c r="H22" i="304" l="1"/>
  <c r="G22" i="304"/>
  <c r="G22" i="303"/>
  <c r="H22" i="303"/>
  <c r="H22" i="302"/>
  <c r="G22" i="302"/>
  <c r="J25" i="302"/>
  <c r="G22" i="301"/>
  <c r="H22" i="301"/>
  <c r="J25" i="301"/>
  <c r="AD20" i="2" l="1"/>
  <c r="AE20" i="2"/>
  <c r="AF20" i="2"/>
  <c r="AG20" i="2"/>
  <c r="AH20" i="2"/>
  <c r="AI20" i="2"/>
  <c r="J26" i="300"/>
  <c r="F22" i="300"/>
  <c r="H11" i="300"/>
  <c r="G11" i="300"/>
  <c r="H10" i="300"/>
  <c r="G10" i="300"/>
  <c r="H9" i="300"/>
  <c r="G9" i="300"/>
  <c r="J26" i="299"/>
  <c r="H14" i="299"/>
  <c r="H15" i="299"/>
  <c r="G14" i="299"/>
  <c r="G15" i="299"/>
  <c r="J25" i="299"/>
  <c r="F22" i="299"/>
  <c r="H13" i="299"/>
  <c r="G13" i="299"/>
  <c r="H12" i="299"/>
  <c r="G12" i="299"/>
  <c r="H11" i="299"/>
  <c r="G11" i="299"/>
  <c r="H10" i="299"/>
  <c r="G10" i="299"/>
  <c r="H9" i="299"/>
  <c r="G9" i="299"/>
  <c r="AC20" i="2"/>
  <c r="J26" i="298"/>
  <c r="H13" i="298"/>
  <c r="G13" i="298"/>
  <c r="F22" i="298"/>
  <c r="J25" i="298" s="1"/>
  <c r="H12" i="298"/>
  <c r="G12" i="298"/>
  <c r="H11" i="298"/>
  <c r="G11" i="298"/>
  <c r="H10" i="298"/>
  <c r="G10" i="298"/>
  <c r="H9" i="298"/>
  <c r="G9" i="298"/>
  <c r="AB20" i="2"/>
  <c r="J26" i="297"/>
  <c r="H12" i="297"/>
  <c r="G12" i="297"/>
  <c r="F22" i="297"/>
  <c r="J25" i="297" s="1"/>
  <c r="H11" i="297"/>
  <c r="G11" i="297"/>
  <c r="H10" i="297"/>
  <c r="G10" i="297"/>
  <c r="H9" i="297"/>
  <c r="G9" i="297"/>
  <c r="AA20" i="2"/>
  <c r="Z20" i="2"/>
  <c r="AJ19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J26" i="296"/>
  <c r="F22" i="296"/>
  <c r="H11" i="296"/>
  <c r="G11" i="296"/>
  <c r="H10" i="296"/>
  <c r="G10" i="296"/>
  <c r="H9" i="296"/>
  <c r="H22" i="296" s="1"/>
  <c r="G9" i="296"/>
  <c r="J26" i="295"/>
  <c r="H12" i="295"/>
  <c r="H13" i="295"/>
  <c r="H14" i="295"/>
  <c r="G12" i="295"/>
  <c r="G13" i="295"/>
  <c r="G14" i="295"/>
  <c r="F22" i="295"/>
  <c r="H11" i="295"/>
  <c r="G11" i="295"/>
  <c r="H10" i="295"/>
  <c r="G10" i="295"/>
  <c r="H9" i="295"/>
  <c r="G9" i="295"/>
  <c r="H22" i="300" l="1"/>
  <c r="J25" i="300"/>
  <c r="G22" i="300"/>
  <c r="H22" i="299"/>
  <c r="G22" i="299"/>
  <c r="G22" i="298"/>
  <c r="H22" i="298"/>
  <c r="G22" i="297"/>
  <c r="H22" i="297"/>
  <c r="G22" i="296"/>
  <c r="J25" i="296"/>
  <c r="H22" i="295"/>
  <c r="G22" i="295"/>
  <c r="J25" i="295"/>
  <c r="J26" i="294" l="1"/>
  <c r="F22" i="294"/>
  <c r="J25" i="294" s="1"/>
  <c r="H11" i="294"/>
  <c r="G11" i="294"/>
  <c r="H10" i="294"/>
  <c r="G10" i="294"/>
  <c r="H9" i="294"/>
  <c r="G9" i="294"/>
  <c r="AJ18" i="2"/>
  <c r="J26" i="293"/>
  <c r="H11" i="293"/>
  <c r="H12" i="293"/>
  <c r="G11" i="293"/>
  <c r="G12" i="293"/>
  <c r="F22" i="293"/>
  <c r="H10" i="293"/>
  <c r="G10" i="293"/>
  <c r="H9" i="293"/>
  <c r="G9" i="293"/>
  <c r="G22" i="294" l="1"/>
  <c r="H22" i="294"/>
  <c r="H22" i="293"/>
  <c r="G22" i="293"/>
  <c r="J25" i="293"/>
  <c r="J26" i="292"/>
  <c r="F22" i="292"/>
  <c r="J25" i="292" s="1"/>
  <c r="H10" i="292"/>
  <c r="G10" i="292"/>
  <c r="H9" i="292"/>
  <c r="G9" i="292"/>
  <c r="J26" i="291"/>
  <c r="H10" i="291"/>
  <c r="G10" i="291"/>
  <c r="F22" i="291"/>
  <c r="H9" i="291"/>
  <c r="G9" i="291"/>
  <c r="G22" i="292" l="1"/>
  <c r="H22" i="292"/>
  <c r="G22" i="291"/>
  <c r="H22" i="291"/>
  <c r="J25" i="291"/>
  <c r="J26" i="290"/>
  <c r="F22" i="290"/>
  <c r="J25" i="290" s="1"/>
  <c r="H9" i="290"/>
  <c r="G9" i="290"/>
  <c r="G22" i="290" l="1"/>
  <c r="H22" i="290"/>
  <c r="J26" i="289" l="1"/>
  <c r="F22" i="289"/>
  <c r="H13" i="289"/>
  <c r="G13" i="289"/>
  <c r="H12" i="289"/>
  <c r="G12" i="289"/>
  <c r="H11" i="289"/>
  <c r="G11" i="289"/>
  <c r="H10" i="289"/>
  <c r="G10" i="289"/>
  <c r="H9" i="289"/>
  <c r="G9" i="289"/>
  <c r="G22" i="289" l="1"/>
  <c r="H22" i="289"/>
  <c r="J25" i="289"/>
  <c r="J26" i="288"/>
  <c r="F22" i="288"/>
  <c r="J25" i="288" s="1"/>
  <c r="H13" i="288"/>
  <c r="G13" i="288"/>
  <c r="H12" i="288"/>
  <c r="H22" i="288" s="1"/>
  <c r="G12" i="288"/>
  <c r="H11" i="288"/>
  <c r="G11" i="288"/>
  <c r="H10" i="288"/>
  <c r="G10" i="288"/>
  <c r="H9" i="288"/>
  <c r="G9" i="288"/>
  <c r="G22" i="288" l="1"/>
  <c r="J26" i="287"/>
  <c r="H13" i="287"/>
  <c r="G13" i="287"/>
  <c r="F22" i="287"/>
  <c r="J25" i="287" s="1"/>
  <c r="H12" i="287"/>
  <c r="G12" i="287"/>
  <c r="H11" i="287"/>
  <c r="G11" i="287"/>
  <c r="H10" i="287"/>
  <c r="G10" i="287"/>
  <c r="H9" i="287"/>
  <c r="G9" i="287"/>
  <c r="H22" i="287" l="1"/>
  <c r="G22" i="287"/>
  <c r="J26" i="286"/>
  <c r="H12" i="286"/>
  <c r="G12" i="286"/>
  <c r="F22" i="286"/>
  <c r="J25" i="286" s="1"/>
  <c r="H11" i="286"/>
  <c r="G11" i="286"/>
  <c r="H10" i="286"/>
  <c r="G10" i="286"/>
  <c r="H9" i="286"/>
  <c r="G9" i="286"/>
  <c r="G22" i="286" l="1"/>
  <c r="H22" i="286"/>
  <c r="J26" i="285"/>
  <c r="H11" i="285"/>
  <c r="G11" i="285"/>
  <c r="F22" i="285"/>
  <c r="H10" i="285"/>
  <c r="G10" i="285"/>
  <c r="H9" i="285"/>
  <c r="G9" i="285"/>
  <c r="J26" i="284"/>
  <c r="F22" i="284"/>
  <c r="J25" i="284" s="1"/>
  <c r="H10" i="284"/>
  <c r="G10" i="284"/>
  <c r="H9" i="284"/>
  <c r="G9" i="284"/>
  <c r="H22" i="285" l="1"/>
  <c r="G22" i="285"/>
  <c r="J25" i="285"/>
  <c r="G22" i="284"/>
  <c r="H22" i="284"/>
  <c r="J26" i="283"/>
  <c r="F22" i="283"/>
  <c r="J25" i="283" s="1"/>
  <c r="H11" i="283"/>
  <c r="G11" i="283"/>
  <c r="H10" i="283"/>
  <c r="G10" i="283"/>
  <c r="H9" i="283"/>
  <c r="G9" i="283"/>
  <c r="J26" i="282"/>
  <c r="J25" i="282"/>
  <c r="F22" i="282"/>
  <c r="H12" i="282"/>
  <c r="G12" i="282"/>
  <c r="H11" i="282"/>
  <c r="G11" i="282"/>
  <c r="H10" i="282"/>
  <c r="G10" i="282"/>
  <c r="H9" i="282"/>
  <c r="G9" i="282"/>
  <c r="J26" i="281"/>
  <c r="H12" i="281"/>
  <c r="H13" i="281"/>
  <c r="G12" i="281"/>
  <c r="G13" i="281"/>
  <c r="F22" i="281"/>
  <c r="J25" i="281" s="1"/>
  <c r="H11" i="281"/>
  <c r="G11" i="281"/>
  <c r="H10" i="281"/>
  <c r="G10" i="281"/>
  <c r="H9" i="281"/>
  <c r="G9" i="281"/>
  <c r="J26" i="280"/>
  <c r="F22" i="280"/>
  <c r="J25" i="280" s="1"/>
  <c r="H11" i="280"/>
  <c r="G11" i="280"/>
  <c r="H10" i="280"/>
  <c r="G10" i="280"/>
  <c r="H9" i="280"/>
  <c r="G9" i="280"/>
  <c r="G22" i="283" l="1"/>
  <c r="H22" i="283"/>
  <c r="H22" i="282"/>
  <c r="G22" i="282"/>
  <c r="G22" i="281"/>
  <c r="H22" i="281"/>
  <c r="H22" i="280"/>
  <c r="G22" i="280"/>
  <c r="J26" i="279"/>
  <c r="H12" i="279"/>
  <c r="H13" i="279"/>
  <c r="G12" i="279"/>
  <c r="G13" i="279"/>
  <c r="J25" i="279"/>
  <c r="F22" i="279"/>
  <c r="H11" i="279"/>
  <c r="G11" i="279"/>
  <c r="H10" i="279"/>
  <c r="G10" i="279"/>
  <c r="H9" i="279"/>
  <c r="G9" i="279"/>
  <c r="H22" i="279" l="1"/>
  <c r="G22" i="279"/>
  <c r="J26" i="278"/>
  <c r="J25" i="278" l="1"/>
  <c r="F22" i="278"/>
  <c r="H11" i="278"/>
  <c r="G11" i="278"/>
  <c r="H10" i="278"/>
  <c r="G10" i="278"/>
  <c r="H9" i="278"/>
  <c r="G9" i="278"/>
  <c r="J26" i="277"/>
  <c r="F22" i="277"/>
  <c r="H22" i="277" s="1"/>
  <c r="H11" i="277"/>
  <c r="G11" i="277"/>
  <c r="H10" i="277"/>
  <c r="G10" i="277"/>
  <c r="H9" i="277"/>
  <c r="G9" i="277"/>
  <c r="J26" i="276"/>
  <c r="H12" i="276"/>
  <c r="G12" i="276"/>
  <c r="F22" i="276"/>
  <c r="J25" i="276" s="1"/>
  <c r="H11" i="276"/>
  <c r="G11" i="276"/>
  <c r="H10" i="276"/>
  <c r="G10" i="276"/>
  <c r="H9" i="276"/>
  <c r="G9" i="276"/>
  <c r="G22" i="276" s="1"/>
  <c r="F22" i="275"/>
  <c r="J25" i="275" s="1"/>
  <c r="H11" i="275"/>
  <c r="G11" i="275"/>
  <c r="H10" i="275"/>
  <c r="G10" i="275"/>
  <c r="H9" i="275"/>
  <c r="G9" i="275"/>
  <c r="AH111" i="2"/>
  <c r="AH103" i="2"/>
  <c r="AH109" i="2" s="1"/>
  <c r="AH110" i="2" s="1"/>
  <c r="AH97" i="2"/>
  <c r="AH95" i="2"/>
  <c r="AH88" i="2"/>
  <c r="AH96" i="2" s="1"/>
  <c r="AH104" i="2" s="1"/>
  <c r="AH79" i="2"/>
  <c r="AH78" i="2"/>
  <c r="AH74" i="2"/>
  <c r="AH71" i="2"/>
  <c r="AH77" i="2" s="1"/>
  <c r="AH70" i="2"/>
  <c r="AH76" i="2" s="1"/>
  <c r="AH69" i="2"/>
  <c r="AH75" i="2" s="1"/>
  <c r="AH66" i="2"/>
  <c r="AH106" i="2" s="1"/>
  <c r="AH112" i="2" s="1"/>
  <c r="AH67" i="2"/>
  <c r="AH113" i="2" l="1"/>
  <c r="H22" i="278"/>
  <c r="G22" i="278"/>
  <c r="G22" i="277"/>
  <c r="J25" i="277"/>
  <c r="H22" i="276"/>
  <c r="G22" i="275"/>
  <c r="H22" i="275"/>
  <c r="AH114" i="2"/>
  <c r="AH115" i="2" s="1"/>
  <c r="AJ52" i="2" l="1"/>
  <c r="AI111" i="2" l="1"/>
  <c r="AI103" i="2"/>
  <c r="AI109" i="2" s="1"/>
  <c r="AI110" i="2" s="1"/>
  <c r="AI97" i="2"/>
  <c r="AI95" i="2"/>
  <c r="AI88" i="2"/>
  <c r="AI79" i="2"/>
  <c r="AI78" i="2"/>
  <c r="AI74" i="2"/>
  <c r="AI71" i="2"/>
  <c r="AI77" i="2" s="1"/>
  <c r="AI70" i="2"/>
  <c r="AI76" i="2" s="1"/>
  <c r="AI69" i="2"/>
  <c r="AI75" i="2" s="1"/>
  <c r="AI66" i="2"/>
  <c r="AI106" i="2" s="1"/>
  <c r="AI112" i="2" s="1"/>
  <c r="AI67" i="2"/>
  <c r="AJ12" i="2"/>
  <c r="AJ13" i="2"/>
  <c r="AJ14" i="2"/>
  <c r="AJ15" i="2"/>
  <c r="AJ16" i="2"/>
  <c r="AJ17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I113" i="2" l="1"/>
  <c r="AI96" i="2"/>
  <c r="AI104" i="2" s="1"/>
  <c r="AI114" i="2" s="1"/>
  <c r="AI115" i="2" l="1"/>
  <c r="AJ57" i="2"/>
  <c r="AJ55" i="2" l="1"/>
  <c r="AG111" i="2"/>
  <c r="AG103" i="2"/>
  <c r="AG109" i="2" s="1"/>
  <c r="AG110" i="2" s="1"/>
  <c r="AG97" i="2"/>
  <c r="AG95" i="2"/>
  <c r="AG88" i="2"/>
  <c r="AG79" i="2"/>
  <c r="AG78" i="2"/>
  <c r="AG74" i="2"/>
  <c r="AG71" i="2"/>
  <c r="AG77" i="2" s="1"/>
  <c r="AG70" i="2"/>
  <c r="AG76" i="2" s="1"/>
  <c r="AG69" i="2"/>
  <c r="AG75" i="2" s="1"/>
  <c r="AG66" i="2"/>
  <c r="AG106" i="2" s="1"/>
  <c r="AG112" i="2" s="1"/>
  <c r="AG67" i="2"/>
  <c r="AF111" i="2"/>
  <c r="AF103" i="2"/>
  <c r="AF109" i="2" s="1"/>
  <c r="AF110" i="2" s="1"/>
  <c r="AF97" i="2"/>
  <c r="AF95" i="2"/>
  <c r="AF88" i="2"/>
  <c r="AF79" i="2"/>
  <c r="AF78" i="2"/>
  <c r="AF74" i="2"/>
  <c r="AF71" i="2"/>
  <c r="AF77" i="2" s="1"/>
  <c r="AF70" i="2"/>
  <c r="AF76" i="2" s="1"/>
  <c r="AF69" i="2"/>
  <c r="AF75" i="2" s="1"/>
  <c r="AF66" i="2"/>
  <c r="AF106" i="2" s="1"/>
  <c r="AF112" i="2" s="1"/>
  <c r="AF67" i="2"/>
  <c r="AE111" i="2"/>
  <c r="AE103" i="2"/>
  <c r="AE109" i="2" s="1"/>
  <c r="AE110" i="2" s="1"/>
  <c r="AE97" i="2"/>
  <c r="AE95" i="2"/>
  <c r="AE88" i="2"/>
  <c r="AE79" i="2"/>
  <c r="AE78" i="2"/>
  <c r="AE74" i="2"/>
  <c r="AE71" i="2"/>
  <c r="AE77" i="2" s="1"/>
  <c r="AE70" i="2"/>
  <c r="AE76" i="2" s="1"/>
  <c r="AE69" i="2"/>
  <c r="AE75" i="2" s="1"/>
  <c r="AE66" i="2"/>
  <c r="AE106" i="2" s="1"/>
  <c r="AE112" i="2" s="1"/>
  <c r="AE67" i="2"/>
  <c r="AD111" i="2"/>
  <c r="AD103" i="2"/>
  <c r="AD109" i="2" s="1"/>
  <c r="AD110" i="2" s="1"/>
  <c r="AD97" i="2"/>
  <c r="AD95" i="2"/>
  <c r="AD88" i="2"/>
  <c r="AD79" i="2"/>
  <c r="AD78" i="2"/>
  <c r="AD74" i="2"/>
  <c r="AD71" i="2"/>
  <c r="AD77" i="2" s="1"/>
  <c r="AD70" i="2"/>
  <c r="AD76" i="2" s="1"/>
  <c r="AD69" i="2"/>
  <c r="AD75" i="2" s="1"/>
  <c r="AD66" i="2"/>
  <c r="AD106" i="2" s="1"/>
  <c r="AD112" i="2" s="1"/>
  <c r="AD67" i="2"/>
  <c r="AC111" i="2"/>
  <c r="AC103" i="2"/>
  <c r="AC109" i="2" s="1"/>
  <c r="AC110" i="2" s="1"/>
  <c r="AC97" i="2"/>
  <c r="AC95" i="2"/>
  <c r="AC88" i="2"/>
  <c r="AC79" i="2"/>
  <c r="AC78" i="2"/>
  <c r="AC74" i="2"/>
  <c r="AC71" i="2"/>
  <c r="AC77" i="2" s="1"/>
  <c r="AC70" i="2"/>
  <c r="AC76" i="2" s="1"/>
  <c r="AC69" i="2"/>
  <c r="AC75" i="2" s="1"/>
  <c r="AC66" i="2"/>
  <c r="AC106" i="2" s="1"/>
  <c r="AC112" i="2" s="1"/>
  <c r="AC67" i="2"/>
  <c r="AB111" i="2"/>
  <c r="AB103" i="2"/>
  <c r="AB109" i="2" s="1"/>
  <c r="AB110" i="2" s="1"/>
  <c r="AB97" i="2"/>
  <c r="AB95" i="2"/>
  <c r="AB88" i="2"/>
  <c r="AB79" i="2"/>
  <c r="AB78" i="2"/>
  <c r="AB74" i="2"/>
  <c r="AB71" i="2"/>
  <c r="AB77" i="2" s="1"/>
  <c r="AB70" i="2"/>
  <c r="AB76" i="2" s="1"/>
  <c r="AB69" i="2"/>
  <c r="AB75" i="2" s="1"/>
  <c r="AB66" i="2"/>
  <c r="AB106" i="2" s="1"/>
  <c r="AB112" i="2" s="1"/>
  <c r="AB67" i="2"/>
  <c r="AA111" i="2"/>
  <c r="AA103" i="2"/>
  <c r="AA109" i="2" s="1"/>
  <c r="AA110" i="2" s="1"/>
  <c r="AA97" i="2"/>
  <c r="AA95" i="2"/>
  <c r="AA88" i="2"/>
  <c r="AA79" i="2"/>
  <c r="AA78" i="2"/>
  <c r="AA74" i="2"/>
  <c r="AA71" i="2"/>
  <c r="AA77" i="2" s="1"/>
  <c r="AA70" i="2"/>
  <c r="AA76" i="2" s="1"/>
  <c r="AA69" i="2"/>
  <c r="AA75" i="2" s="1"/>
  <c r="AA66" i="2"/>
  <c r="AA106" i="2" s="1"/>
  <c r="AA112" i="2" s="1"/>
  <c r="AA67" i="2"/>
  <c r="Z111" i="2"/>
  <c r="Z103" i="2"/>
  <c r="Z109" i="2" s="1"/>
  <c r="Z110" i="2" s="1"/>
  <c r="Z97" i="2"/>
  <c r="Z95" i="2"/>
  <c r="Z88" i="2"/>
  <c r="Z79" i="2"/>
  <c r="Z78" i="2"/>
  <c r="Z74" i="2"/>
  <c r="Z71" i="2"/>
  <c r="Z77" i="2" s="1"/>
  <c r="Z70" i="2"/>
  <c r="Z76" i="2" s="1"/>
  <c r="Z69" i="2"/>
  <c r="Z75" i="2" s="1"/>
  <c r="Z66" i="2"/>
  <c r="Z106" i="2" s="1"/>
  <c r="Z112" i="2" s="1"/>
  <c r="Z67" i="2"/>
  <c r="Y111" i="2"/>
  <c r="Y103" i="2"/>
  <c r="Y109" i="2" s="1"/>
  <c r="Y110" i="2" s="1"/>
  <c r="Y97" i="2"/>
  <c r="Y95" i="2"/>
  <c r="Y88" i="2"/>
  <c r="Y79" i="2"/>
  <c r="Y78" i="2"/>
  <c r="Y74" i="2"/>
  <c r="Y71" i="2"/>
  <c r="Y77" i="2" s="1"/>
  <c r="Y70" i="2"/>
  <c r="Y76" i="2" s="1"/>
  <c r="Y69" i="2"/>
  <c r="Y75" i="2" s="1"/>
  <c r="Y66" i="2"/>
  <c r="Y106" i="2" s="1"/>
  <c r="Y112" i="2" s="1"/>
  <c r="Y67" i="2"/>
  <c r="AF96" i="2" l="1"/>
  <c r="AF104" i="2" s="1"/>
  <c r="AG96" i="2"/>
  <c r="AG104" i="2" s="1"/>
  <c r="AG114" i="2" s="1"/>
  <c r="AG113" i="2"/>
  <c r="AA96" i="2"/>
  <c r="AA104" i="2" s="1"/>
  <c r="AA114" i="2" s="1"/>
  <c r="AF113" i="2"/>
  <c r="AD96" i="2"/>
  <c r="AD104" i="2" s="1"/>
  <c r="AD114" i="2" s="1"/>
  <c r="AE96" i="2"/>
  <c r="AE104" i="2" s="1"/>
  <c r="AE114" i="2" s="1"/>
  <c r="AE113" i="2"/>
  <c r="AF114" i="2"/>
  <c r="AC113" i="2"/>
  <c r="AB96" i="2"/>
  <c r="AB104" i="2" s="1"/>
  <c r="AB114" i="2" s="1"/>
  <c r="AD113" i="2"/>
  <c r="AC96" i="2"/>
  <c r="AC104" i="2" s="1"/>
  <c r="AC114" i="2" s="1"/>
  <c r="AB113" i="2"/>
  <c r="Z113" i="2"/>
  <c r="AA113" i="2"/>
  <c r="Z96" i="2"/>
  <c r="Z104" i="2" s="1"/>
  <c r="Z114" i="2" s="1"/>
  <c r="Y96" i="2"/>
  <c r="Y104" i="2" s="1"/>
  <c r="Y114" i="2" s="1"/>
  <c r="Y113" i="2"/>
  <c r="AE115" i="2" l="1"/>
  <c r="Y115" i="2"/>
  <c r="AG115" i="2"/>
  <c r="AF115" i="2"/>
  <c r="AC115" i="2"/>
  <c r="AA115" i="2"/>
  <c r="AD115" i="2"/>
  <c r="AB115" i="2"/>
  <c r="Z115" i="2"/>
  <c r="X111" i="2"/>
  <c r="X103" i="2"/>
  <c r="X109" i="2" s="1"/>
  <c r="X110" i="2" s="1"/>
  <c r="X97" i="2"/>
  <c r="X95" i="2"/>
  <c r="X88" i="2"/>
  <c r="X79" i="2"/>
  <c r="X78" i="2"/>
  <c r="X74" i="2"/>
  <c r="X71" i="2"/>
  <c r="X77" i="2" s="1"/>
  <c r="X70" i="2"/>
  <c r="X76" i="2" s="1"/>
  <c r="X69" i="2"/>
  <c r="X75" i="2" s="1"/>
  <c r="X66" i="2"/>
  <c r="X106" i="2" s="1"/>
  <c r="X112" i="2" s="1"/>
  <c r="X67" i="2"/>
  <c r="X113" i="2" l="1"/>
  <c r="X96" i="2"/>
  <c r="X104" i="2" s="1"/>
  <c r="X114" i="2" s="1"/>
  <c r="W67" i="2"/>
  <c r="V67" i="2"/>
  <c r="U67" i="2"/>
  <c r="T67" i="2"/>
  <c r="S67" i="2"/>
  <c r="R67" i="2"/>
  <c r="Q67" i="2"/>
  <c r="P67" i="2"/>
  <c r="O67" i="2"/>
  <c r="N67" i="2"/>
  <c r="M67" i="2"/>
  <c r="W111" i="2"/>
  <c r="W103" i="2"/>
  <c r="W109" i="2" s="1"/>
  <c r="W110" i="2" s="1"/>
  <c r="W97" i="2"/>
  <c r="W95" i="2"/>
  <c r="W88" i="2"/>
  <c r="W79" i="2"/>
  <c r="W78" i="2"/>
  <c r="W74" i="2"/>
  <c r="W71" i="2"/>
  <c r="W77" i="2" s="1"/>
  <c r="W70" i="2"/>
  <c r="W76" i="2" s="1"/>
  <c r="W69" i="2"/>
  <c r="W75" i="2" s="1"/>
  <c r="W66" i="2"/>
  <c r="W106" i="2" s="1"/>
  <c r="W112" i="2" s="1"/>
  <c r="V111" i="2"/>
  <c r="V103" i="2"/>
  <c r="V109" i="2" s="1"/>
  <c r="V110" i="2" s="1"/>
  <c r="V97" i="2"/>
  <c r="V95" i="2"/>
  <c r="V88" i="2"/>
  <c r="V79" i="2"/>
  <c r="V78" i="2"/>
  <c r="V74" i="2"/>
  <c r="V71" i="2"/>
  <c r="V77" i="2" s="1"/>
  <c r="V70" i="2"/>
  <c r="V76" i="2" s="1"/>
  <c r="V69" i="2"/>
  <c r="V75" i="2" s="1"/>
  <c r="V66" i="2"/>
  <c r="V106" i="2" s="1"/>
  <c r="V112" i="2" s="1"/>
  <c r="U111" i="2"/>
  <c r="U103" i="2"/>
  <c r="U109" i="2" s="1"/>
  <c r="U110" i="2" s="1"/>
  <c r="U97" i="2"/>
  <c r="U95" i="2"/>
  <c r="U88" i="2"/>
  <c r="U96" i="2" s="1"/>
  <c r="U104" i="2" s="1"/>
  <c r="U79" i="2"/>
  <c r="U78" i="2"/>
  <c r="U74" i="2"/>
  <c r="U71" i="2"/>
  <c r="U77" i="2" s="1"/>
  <c r="U70" i="2"/>
  <c r="U76" i="2" s="1"/>
  <c r="U69" i="2"/>
  <c r="U75" i="2" s="1"/>
  <c r="U66" i="2"/>
  <c r="U106" i="2" s="1"/>
  <c r="U112" i="2" s="1"/>
  <c r="T111" i="2"/>
  <c r="T103" i="2"/>
  <c r="T109" i="2" s="1"/>
  <c r="T110" i="2" s="1"/>
  <c r="T97" i="2"/>
  <c r="T95" i="2"/>
  <c r="T88" i="2"/>
  <c r="T96" i="2" s="1"/>
  <c r="T104" i="2" s="1"/>
  <c r="T79" i="2"/>
  <c r="T78" i="2"/>
  <c r="T74" i="2"/>
  <c r="T71" i="2"/>
  <c r="T77" i="2" s="1"/>
  <c r="T70" i="2"/>
  <c r="T76" i="2" s="1"/>
  <c r="T69" i="2"/>
  <c r="T75" i="2" s="1"/>
  <c r="T66" i="2"/>
  <c r="T106" i="2" s="1"/>
  <c r="T112" i="2" s="1"/>
  <c r="S111" i="2"/>
  <c r="S103" i="2"/>
  <c r="S109" i="2" s="1"/>
  <c r="S110" i="2" s="1"/>
  <c r="S97" i="2"/>
  <c r="S95" i="2"/>
  <c r="S88" i="2"/>
  <c r="S79" i="2"/>
  <c r="S78" i="2"/>
  <c r="S74" i="2"/>
  <c r="S71" i="2"/>
  <c r="S77" i="2" s="1"/>
  <c r="S70" i="2"/>
  <c r="S76" i="2" s="1"/>
  <c r="S69" i="2"/>
  <c r="S75" i="2" s="1"/>
  <c r="S66" i="2"/>
  <c r="S106" i="2" s="1"/>
  <c r="S112" i="2" s="1"/>
  <c r="R111" i="2"/>
  <c r="R103" i="2"/>
  <c r="R109" i="2" s="1"/>
  <c r="R110" i="2" s="1"/>
  <c r="R97" i="2"/>
  <c r="R95" i="2"/>
  <c r="R88" i="2"/>
  <c r="R79" i="2"/>
  <c r="R78" i="2"/>
  <c r="R74" i="2"/>
  <c r="R71" i="2"/>
  <c r="R77" i="2" s="1"/>
  <c r="R70" i="2"/>
  <c r="R76" i="2" s="1"/>
  <c r="R69" i="2"/>
  <c r="R75" i="2" s="1"/>
  <c r="R66" i="2"/>
  <c r="R106" i="2" s="1"/>
  <c r="R112" i="2" s="1"/>
  <c r="Q111" i="2"/>
  <c r="Q103" i="2"/>
  <c r="Q109" i="2" s="1"/>
  <c r="Q110" i="2" s="1"/>
  <c r="Q97" i="2"/>
  <c r="Q95" i="2"/>
  <c r="Q88" i="2"/>
  <c r="Q79" i="2"/>
  <c r="Q78" i="2"/>
  <c r="Q74" i="2"/>
  <c r="Q71" i="2"/>
  <c r="Q77" i="2" s="1"/>
  <c r="Q70" i="2"/>
  <c r="Q76" i="2" s="1"/>
  <c r="Q69" i="2"/>
  <c r="Q75" i="2" s="1"/>
  <c r="Q66" i="2"/>
  <c r="Q106" i="2" s="1"/>
  <c r="Q112" i="2" s="1"/>
  <c r="P111" i="2"/>
  <c r="P103" i="2"/>
  <c r="P109" i="2" s="1"/>
  <c r="P110" i="2" s="1"/>
  <c r="P97" i="2"/>
  <c r="P95" i="2"/>
  <c r="P88" i="2"/>
  <c r="P79" i="2"/>
  <c r="P78" i="2"/>
  <c r="P74" i="2"/>
  <c r="P71" i="2"/>
  <c r="P77" i="2" s="1"/>
  <c r="P70" i="2"/>
  <c r="P76" i="2" s="1"/>
  <c r="P69" i="2"/>
  <c r="P75" i="2" s="1"/>
  <c r="P66" i="2"/>
  <c r="P106" i="2" s="1"/>
  <c r="P112" i="2" s="1"/>
  <c r="O111" i="2"/>
  <c r="O103" i="2"/>
  <c r="O109" i="2" s="1"/>
  <c r="O110" i="2" s="1"/>
  <c r="O97" i="2"/>
  <c r="O95" i="2"/>
  <c r="O88" i="2"/>
  <c r="O79" i="2"/>
  <c r="O78" i="2"/>
  <c r="O74" i="2"/>
  <c r="O71" i="2"/>
  <c r="O77" i="2" s="1"/>
  <c r="O70" i="2"/>
  <c r="O76" i="2" s="1"/>
  <c r="O69" i="2"/>
  <c r="O75" i="2" s="1"/>
  <c r="O66" i="2"/>
  <c r="O106" i="2" s="1"/>
  <c r="O112" i="2" s="1"/>
  <c r="N111" i="2"/>
  <c r="N103" i="2"/>
  <c r="N109" i="2" s="1"/>
  <c r="N110" i="2" s="1"/>
  <c r="N97" i="2"/>
  <c r="N95" i="2"/>
  <c r="N88" i="2"/>
  <c r="N79" i="2"/>
  <c r="N78" i="2"/>
  <c r="N74" i="2"/>
  <c r="N71" i="2"/>
  <c r="N77" i="2" s="1"/>
  <c r="N70" i="2"/>
  <c r="N76" i="2" s="1"/>
  <c r="N69" i="2"/>
  <c r="N75" i="2" s="1"/>
  <c r="N66" i="2"/>
  <c r="N106" i="2" s="1"/>
  <c r="N112" i="2" s="1"/>
  <c r="M111" i="2"/>
  <c r="M103" i="2"/>
  <c r="M109" i="2" s="1"/>
  <c r="M110" i="2" s="1"/>
  <c r="M97" i="2"/>
  <c r="M95" i="2"/>
  <c r="M88" i="2"/>
  <c r="M79" i="2"/>
  <c r="M78" i="2"/>
  <c r="M74" i="2"/>
  <c r="M71" i="2"/>
  <c r="M77" i="2" s="1"/>
  <c r="M70" i="2"/>
  <c r="M76" i="2" s="1"/>
  <c r="M69" i="2"/>
  <c r="M75" i="2" s="1"/>
  <c r="M66" i="2"/>
  <c r="M106" i="2" s="1"/>
  <c r="M112" i="2" s="1"/>
  <c r="S96" i="2" l="1"/>
  <c r="S104" i="2" s="1"/>
  <c r="S114" i="2" s="1"/>
  <c r="Q113" i="2"/>
  <c r="X115" i="2"/>
  <c r="V96" i="2"/>
  <c r="V104" i="2" s="1"/>
  <c r="V114" i="2" s="1"/>
  <c r="V113" i="2"/>
  <c r="O96" i="2"/>
  <c r="O104" i="2" s="1"/>
  <c r="O114" i="2" s="1"/>
  <c r="Q96" i="2"/>
  <c r="Q104" i="2" s="1"/>
  <c r="Q114" i="2" s="1"/>
  <c r="T113" i="2"/>
  <c r="W113" i="2"/>
  <c r="W96" i="2"/>
  <c r="W104" i="2" s="1"/>
  <c r="W114" i="2" s="1"/>
  <c r="M113" i="2"/>
  <c r="U113" i="2"/>
  <c r="U114" i="2"/>
  <c r="R96" i="2"/>
  <c r="R104" i="2" s="1"/>
  <c r="R114" i="2" s="1"/>
  <c r="S113" i="2"/>
  <c r="T114" i="2"/>
  <c r="R113" i="2"/>
  <c r="P96" i="2"/>
  <c r="P104" i="2" s="1"/>
  <c r="P114" i="2" s="1"/>
  <c r="O113" i="2"/>
  <c r="P113" i="2"/>
  <c r="N113" i="2"/>
  <c r="N96" i="2"/>
  <c r="N104" i="2" s="1"/>
  <c r="N114" i="2" s="1"/>
  <c r="N115" i="2" s="1"/>
  <c r="M96" i="2"/>
  <c r="M104" i="2" s="1"/>
  <c r="M114" i="2" s="1"/>
  <c r="M115" i="2" s="1"/>
  <c r="L111" i="2"/>
  <c r="L103" i="2"/>
  <c r="L109" i="2" s="1"/>
  <c r="L110" i="2" s="1"/>
  <c r="L97" i="2"/>
  <c r="L95" i="2"/>
  <c r="L88" i="2"/>
  <c r="L79" i="2"/>
  <c r="L78" i="2"/>
  <c r="L74" i="2"/>
  <c r="L71" i="2"/>
  <c r="L77" i="2" s="1"/>
  <c r="L70" i="2"/>
  <c r="L76" i="2" s="1"/>
  <c r="L69" i="2"/>
  <c r="L75" i="2" s="1"/>
  <c r="L66" i="2"/>
  <c r="L106" i="2" s="1"/>
  <c r="L112" i="2" s="1"/>
  <c r="L67" i="2"/>
  <c r="K111" i="2"/>
  <c r="K103" i="2"/>
  <c r="K109" i="2" s="1"/>
  <c r="K110" i="2" s="1"/>
  <c r="K97" i="2"/>
  <c r="K95" i="2"/>
  <c r="K88" i="2"/>
  <c r="K79" i="2"/>
  <c r="K78" i="2"/>
  <c r="K74" i="2"/>
  <c r="K71" i="2"/>
  <c r="K77" i="2" s="1"/>
  <c r="K70" i="2"/>
  <c r="K76" i="2" s="1"/>
  <c r="K69" i="2"/>
  <c r="K75" i="2" s="1"/>
  <c r="K66" i="2"/>
  <c r="K106" i="2" s="1"/>
  <c r="K112" i="2" s="1"/>
  <c r="K67" i="2"/>
  <c r="J111" i="2"/>
  <c r="J103" i="2"/>
  <c r="J109" i="2" s="1"/>
  <c r="J110" i="2" s="1"/>
  <c r="J97" i="2"/>
  <c r="J95" i="2"/>
  <c r="J88" i="2"/>
  <c r="J79" i="2"/>
  <c r="J78" i="2"/>
  <c r="J74" i="2"/>
  <c r="J71" i="2"/>
  <c r="J77" i="2" s="1"/>
  <c r="J70" i="2"/>
  <c r="J76" i="2" s="1"/>
  <c r="J69" i="2"/>
  <c r="J75" i="2" s="1"/>
  <c r="J66" i="2"/>
  <c r="J106" i="2" s="1"/>
  <c r="J112" i="2" s="1"/>
  <c r="J67" i="2"/>
  <c r="AJ56" i="2"/>
  <c r="AJ54" i="2"/>
  <c r="W115" i="2" l="1"/>
  <c r="T115" i="2"/>
  <c r="Q115" i="2"/>
  <c r="V115" i="2"/>
  <c r="P115" i="2"/>
  <c r="U115" i="2"/>
  <c r="R115" i="2"/>
  <c r="S115" i="2"/>
  <c r="O115" i="2"/>
  <c r="K113" i="2"/>
  <c r="L113" i="2"/>
  <c r="J113" i="2"/>
  <c r="L96" i="2"/>
  <c r="L104" i="2" s="1"/>
  <c r="L114" i="2" s="1"/>
  <c r="K96" i="2"/>
  <c r="K104" i="2" s="1"/>
  <c r="K114" i="2" s="1"/>
  <c r="J96" i="2"/>
  <c r="J104" i="2" s="1"/>
  <c r="J114" i="2" s="1"/>
  <c r="L115" i="2" l="1"/>
  <c r="K115" i="2"/>
  <c r="J115" i="2"/>
  <c r="F115" i="2" l="1"/>
  <c r="I111" i="2"/>
  <c r="H111" i="2"/>
  <c r="G111" i="2"/>
  <c r="E111" i="2"/>
  <c r="E109" i="2"/>
  <c r="E110" i="2" s="1"/>
  <c r="AJ107" i="2"/>
  <c r="E106" i="2"/>
  <c r="E112" i="2" s="1"/>
  <c r="AJ105" i="2"/>
  <c r="I103" i="2"/>
  <c r="I109" i="2" s="1"/>
  <c r="I110" i="2" s="1"/>
  <c r="H103" i="2"/>
  <c r="H109" i="2" s="1"/>
  <c r="H110" i="2" s="1"/>
  <c r="G103" i="2"/>
  <c r="G109" i="2" s="1"/>
  <c r="G110" i="2" s="1"/>
  <c r="AJ102" i="2"/>
  <c r="AJ101" i="2"/>
  <c r="AJ97" i="2" s="1"/>
  <c r="I97" i="2"/>
  <c r="H97" i="2"/>
  <c r="G97" i="2"/>
  <c r="F97" i="2"/>
  <c r="I95" i="2"/>
  <c r="H95" i="2"/>
  <c r="G95" i="2"/>
  <c r="F95" i="2"/>
  <c r="E95" i="2"/>
  <c r="AJ94" i="2"/>
  <c r="AJ93" i="2"/>
  <c r="AJ92" i="2"/>
  <c r="AJ91" i="2"/>
  <c r="AJ90" i="2"/>
  <c r="I88" i="2"/>
  <c r="H88" i="2"/>
  <c r="G88" i="2"/>
  <c r="F88" i="2"/>
  <c r="E88" i="2"/>
  <c r="AJ87" i="2"/>
  <c r="AJ86" i="2"/>
  <c r="AJ85" i="2"/>
  <c r="AJ84" i="2"/>
  <c r="AJ80" i="2"/>
  <c r="I79" i="2"/>
  <c r="H79" i="2"/>
  <c r="G79" i="2"/>
  <c r="F79" i="2"/>
  <c r="E79" i="2"/>
  <c r="I78" i="2"/>
  <c r="H78" i="2"/>
  <c r="G78" i="2"/>
  <c r="F78" i="2"/>
  <c r="E78" i="2"/>
  <c r="F77" i="2"/>
  <c r="F76" i="2"/>
  <c r="F75" i="2"/>
  <c r="I74" i="2"/>
  <c r="H74" i="2"/>
  <c r="G74" i="2"/>
  <c r="F74" i="2"/>
  <c r="E74" i="2"/>
  <c r="AJ72" i="2"/>
  <c r="AJ78" i="2" s="1"/>
  <c r="I71" i="2"/>
  <c r="I77" i="2" s="1"/>
  <c r="H71" i="2"/>
  <c r="H77" i="2" s="1"/>
  <c r="G71" i="2"/>
  <c r="G77" i="2" s="1"/>
  <c r="E71" i="2"/>
  <c r="E77" i="2" s="1"/>
  <c r="I70" i="2"/>
  <c r="I76" i="2" s="1"/>
  <c r="H70" i="2"/>
  <c r="H76" i="2" s="1"/>
  <c r="G70" i="2"/>
  <c r="G76" i="2" s="1"/>
  <c r="E70" i="2"/>
  <c r="E76" i="2" s="1"/>
  <c r="I69" i="2"/>
  <c r="I75" i="2" s="1"/>
  <c r="H69" i="2"/>
  <c r="H75" i="2" s="1"/>
  <c r="G69" i="2"/>
  <c r="G75" i="2" s="1"/>
  <c r="E69" i="2"/>
  <c r="E75" i="2" s="1"/>
  <c r="I66" i="2"/>
  <c r="I106" i="2" s="1"/>
  <c r="I112" i="2" s="1"/>
  <c r="H66" i="2"/>
  <c r="H106" i="2" s="1"/>
  <c r="H112" i="2" s="1"/>
  <c r="G66" i="2"/>
  <c r="AJ66" i="2" s="1"/>
  <c r="AJ65" i="2"/>
  <c r="AJ64" i="2"/>
  <c r="AJ63" i="2"/>
  <c r="AJ60" i="2"/>
  <c r="AJ79" i="2" s="1"/>
  <c r="AJ59" i="2"/>
  <c r="I67" i="2"/>
  <c r="H67" i="2"/>
  <c r="G67" i="2"/>
  <c r="AJ11" i="2"/>
  <c r="AJ10" i="2"/>
  <c r="AJ9" i="2"/>
  <c r="AJ8" i="2"/>
  <c r="AJ7" i="2"/>
  <c r="AJ6" i="2"/>
  <c r="AJ5" i="2"/>
  <c r="AJ4" i="2"/>
  <c r="AJ67" i="2" l="1"/>
  <c r="AJ20" i="2"/>
  <c r="E113" i="2"/>
  <c r="F96" i="2"/>
  <c r="AJ95" i="2"/>
  <c r="I96" i="2"/>
  <c r="I104" i="2" s="1"/>
  <c r="I114" i="2" s="1"/>
  <c r="AJ111" i="2"/>
  <c r="E96" i="2"/>
  <c r="AJ103" i="2"/>
  <c r="AJ109" i="2" s="1"/>
  <c r="AJ110" i="2" s="1"/>
  <c r="AJ88" i="2"/>
  <c r="H113" i="2"/>
  <c r="H96" i="2"/>
  <c r="H104" i="2" s="1"/>
  <c r="H114" i="2" s="1"/>
  <c r="I113" i="2"/>
  <c r="G96" i="2"/>
  <c r="G104" i="2" s="1"/>
  <c r="AJ69" i="2"/>
  <c r="AJ75" i="2" s="1"/>
  <c r="AJ70" i="2"/>
  <c r="AJ76" i="2" s="1"/>
  <c r="AJ71" i="2"/>
  <c r="AJ77" i="2" s="1"/>
  <c r="E114" i="2"/>
  <c r="G106" i="2"/>
  <c r="G112" i="2" s="1"/>
  <c r="G113" i="2" s="1"/>
  <c r="H115" i="2" l="1"/>
  <c r="E115" i="2"/>
  <c r="AJ96" i="2"/>
  <c r="AJ104" i="2"/>
  <c r="I115" i="2"/>
  <c r="G114" i="2"/>
  <c r="G115" i="2" s="1"/>
  <c r="AJ106" i="2"/>
  <c r="AJ112" i="2" s="1"/>
  <c r="AJ113" i="2" s="1"/>
  <c r="AJ114" i="2" l="1"/>
  <c r="AJ115" i="2" s="1"/>
</calcChain>
</file>

<file path=xl/sharedStrings.xml><?xml version="1.0" encoding="utf-8"?>
<sst xmlns="http://schemas.openxmlformats.org/spreadsheetml/2006/main" count="3655" uniqueCount="279">
  <si>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</si>
  <si>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</si>
  <si>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</si>
  <si>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</si>
  <si>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</si>
  <si>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</si>
  <si>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</si>
  <si>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</si>
  <si>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</si>
  <si>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</si>
  <si>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</si>
  <si>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</si>
  <si>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</si>
  <si>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</si>
  <si>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</si>
  <si>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</si>
  <si>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</si>
  <si>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</si>
  <si>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</si>
  <si>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</si>
  <si>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</si>
  <si>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</si>
  <si>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</si>
  <si>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</si>
  <si>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</si>
  <si>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</si>
  <si>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</si>
  <si>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</si>
  <si>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</si>
  <si>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</si>
  <si>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</si>
  <si>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</si>
  <si>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</si>
  <si>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</si>
  <si>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</si>
  <si>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</si>
  <si>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</si>
  <si>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</si>
  <si>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</si>
  <si>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</si>
  <si>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</si>
  <si>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</si>
  <si>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</si>
  <si>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</si>
  <si>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</si>
  <si>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</si>
  <si>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</si>
  <si>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</si>
  <si>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</si>
  <si>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</si>
  <si>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</si>
  <si>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</si>
  <si>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</si>
  <si>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</si>
  <si>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</si>
  <si>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</si>
  <si>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</si>
  <si>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</si>
  <si>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</si>
  <si>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</si>
  <si>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</si>
  <si>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</si>
  <si>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</si>
  <si>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</si>
  <si>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</si>
  <si>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</si>
  <si>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</si>
  <si>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</si>
  <si>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</si>
  <si>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</si>
  <si>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</si>
  <si>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</si>
  <si>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</si>
  <si>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</si>
  <si>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</si>
  <si>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</si>
  <si>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</si>
  <si>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</si>
  <si>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</si>
  <si>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</si>
  <si>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</si>
  <si>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</si>
  <si>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</si>
  <si>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</si>
  <si>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</si>
  <si>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</si>
  <si>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</si>
  <si>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</si>
  <si>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</si>
  <si>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</si>
  <si>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</si>
  <si>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</si>
  <si>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</si>
  <si>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</si>
  <si>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</si>
  <si>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</si>
  <si>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</si>
  <si>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</si>
  <si>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</si>
  <si>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</si>
  <si>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</si>
  <si>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</si>
  <si>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</si>
  <si>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</si>
  <si>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</si>
  <si>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</si>
  <si>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</si>
  <si>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</si>
  <si>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</si>
  <si>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</si>
  <si>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</si>
  <si>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</si>
  <si>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</si>
  <si>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</si>
  <si>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</si>
  <si>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</si>
  <si>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</si>
  <si>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</si>
  <si>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</si>
  <si>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</si>
  <si>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Kyemene 777LX (WSR)</t>
  </si>
  <si>
    <t>SOFTING AGENT - PROSOFT TQ 218</t>
  </si>
  <si>
    <t>Creptrol A9915 (Yankee coating)</t>
  </si>
  <si>
    <t>Creptrol 3718 (Yankee coating)</t>
  </si>
  <si>
    <t>Rezosol 1400 ( Yankee Release)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</si>
  <si>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</si>
  <si>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</si>
  <si>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</si>
  <si>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</si>
  <si>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</si>
  <si>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</si>
  <si>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</si>
  <si>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</si>
  <si>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</si>
  <si>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</si>
  <si>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</si>
  <si>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</si>
  <si>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</si>
  <si>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</si>
  <si>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</si>
  <si>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</si>
  <si>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</si>
  <si>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</si>
  <si>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</si>
  <si>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</si>
  <si>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</si>
  <si>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</si>
  <si>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</si>
  <si>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</si>
  <si>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</si>
  <si>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</si>
  <si>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</si>
  <si>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</si>
  <si>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</si>
  <si>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</si>
  <si>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</si>
  <si>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</si>
  <si>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</si>
  <si>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</si>
  <si>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</si>
  <si>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</si>
  <si>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</si>
  <si>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</si>
  <si>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</si>
  <si>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</si>
  <si>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</si>
  <si>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</si>
  <si>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</si>
  <si>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</si>
  <si>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</si>
  <si>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</si>
  <si>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</si>
  <si>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</si>
  <si>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</si>
  <si>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</si>
  <si>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</si>
  <si>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</si>
  <si>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</si>
  <si>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</si>
  <si>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</si>
  <si>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</si>
  <si>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</si>
  <si>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</si>
  <si>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</si>
  <si>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</si>
  <si>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</si>
  <si>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</si>
  <si>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</si>
  <si>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</si>
  <si>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</si>
  <si>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</si>
  <si>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</si>
  <si>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</si>
  <si>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</si>
  <si>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</si>
  <si>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</si>
  <si>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</si>
  <si>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</si>
  <si>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</si>
  <si>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</si>
  <si>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</si>
  <si>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</si>
  <si>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</si>
  <si>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</si>
  <si>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</si>
  <si>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</si>
  <si>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</si>
  <si>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</si>
  <si>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</si>
  <si>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</si>
  <si>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</si>
  <si>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</si>
  <si>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</si>
  <si>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</si>
  <si>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</si>
  <si>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</si>
  <si>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</si>
  <si>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</si>
  <si>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</si>
  <si>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</si>
  <si>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</si>
  <si>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</si>
  <si>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</si>
  <si>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</si>
  <si>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</si>
  <si>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</si>
  <si>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</si>
  <si>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</si>
  <si>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</si>
  <si>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Imported Softwood Pulp METSA (AD)</t>
  </si>
  <si>
    <t>Imported Hardwood April XP (AD)</t>
  </si>
  <si>
    <t>BCHEM Rzym E - TR</t>
  </si>
  <si>
    <t>Creptrol 9258 AP (Yankee coating)</t>
  </si>
  <si>
    <t>Anmosuper PAE (WSR)</t>
  </si>
  <si>
    <t>Packing lables</t>
  </si>
  <si>
    <t>Hercobond 1309 AP (DSR)</t>
  </si>
  <si>
    <t>NT</t>
  </si>
  <si>
    <t>Yankee doctor blade change and Machine roll cleaning</t>
  </si>
  <si>
    <t>DAILY REPORT  Month (January-2026)</t>
  </si>
  <si>
    <t>Others</t>
  </si>
  <si>
    <t>Spool stuck in pope reel area</t>
  </si>
  <si>
    <t>FT</t>
  </si>
  <si>
    <t>ULTRALUX FT</t>
  </si>
  <si>
    <t>TT</t>
  </si>
  <si>
    <t>ULTRALUX TT</t>
  </si>
  <si>
    <t>Sheet break</t>
  </si>
  <si>
    <t>Power</t>
  </si>
  <si>
    <t>Power failure</t>
  </si>
  <si>
    <t>TOWEL</t>
  </si>
  <si>
    <t>KT</t>
  </si>
  <si>
    <t>Yankee doctor blade change</t>
  </si>
  <si>
    <t>Instruments</t>
  </si>
  <si>
    <t>Machine start delay due to both hood burner emergency alarm</t>
  </si>
  <si>
    <t>Power failure (4 TIMES)</t>
  </si>
  <si>
    <t>Next press unload due to hydraulic oil pressure dropped</t>
  </si>
  <si>
    <t xml:space="preserve">Power failure </t>
  </si>
  <si>
    <t>ULTRALUX (FT)</t>
  </si>
  <si>
    <t>Imported Hardwood SANTA (AD)</t>
  </si>
  <si>
    <t>Eco TT</t>
  </si>
  <si>
    <t>AQUA TT</t>
  </si>
  <si>
    <t>Instt</t>
  </si>
  <si>
    <t>Primary arm not reached in lower position</t>
  </si>
  <si>
    <t>Imported Softwood Pulp ALABAMA (AD)</t>
  </si>
  <si>
    <t>CMAX</t>
  </si>
  <si>
    <t>Elect</t>
  </si>
  <si>
    <t>Dry end burner process air fan tripped</t>
  </si>
  <si>
    <t>Maintainance</t>
  </si>
  <si>
    <t>Machine speed slow due to Dry end hood, V2 blower maintainace work</t>
  </si>
  <si>
    <t>ULTRA LUX (FT)</t>
  </si>
  <si>
    <t>Clothing change</t>
  </si>
  <si>
    <t>ULTRLUX FT</t>
  </si>
  <si>
    <t>UTILITY Consumption</t>
  </si>
  <si>
    <t>Natural Gas consumption (Tissue Machine)</t>
  </si>
  <si>
    <t>SCM</t>
  </si>
  <si>
    <t>Natural Gas consumption (Boiler)</t>
  </si>
  <si>
    <t>Fresh Water consumption</t>
  </si>
  <si>
    <t>RO water consumption</t>
  </si>
  <si>
    <t>Power (MACHINE)</t>
  </si>
  <si>
    <t>Power (BOILER+ETP)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</si>
</sst>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$-409]d\-mmm\-yy;@"/>
    <numFmt numFmtId="167" formatCode="0.000"/>
  </numFmts>
  <fonts count="1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u/>
      <sz val="12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6" xfId="1" applyFont="1" applyBorder="1" applyAlignment="1">
      <alignment vertical="center"/>
    </xf>
    <xf numFmtId="165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21" xfId="1" applyFont="1" applyBorder="1"/>
    <xf numFmtId="0" fontId="4" fillId="2" borderId="26" xfId="0" applyFont="1" applyFill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4" fillId="0" borderId="0" xfId="0" applyFont="1"/>
    <xf numFmtId="0" fontId="4" fillId="3" borderId="20" xfId="0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4" borderId="1" xfId="0" applyFont="1" applyFill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6" fillId="6" borderId="21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1" xfId="0" applyFont="1" applyFill="1" applyBorder="1"/>
    <xf numFmtId="0" fontId="4" fillId="4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4" fillId="2" borderId="20" xfId="0" applyFont="1" applyFill="1" applyBorder="1" applyAlignment="1">
      <alignment horizontal="center"/>
    </xf>
    <xf numFmtId="0" fontId="10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2" fontId="6" fillId="2" borderId="21" xfId="0" applyNumberFormat="1" applyFont="1" applyFill="1" applyBorder="1" applyAlignment="1">
      <alignment horizontal="center" vertical="center"/>
    </xf>
    <xf numFmtId="167" fontId="9" fillId="0" borderId="0" xfId="0" applyNumberFormat="1" applyFont="1" applyAlignment="1">
      <alignment horizontal="center"/>
    </xf>
    <xf numFmtId="167" fontId="4" fillId="0" borderId="0" xfId="0" applyNumberFormat="1" applyFont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167" fontId="6" fillId="2" borderId="2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" fontId="4" fillId="2" borderId="21" xfId="0" applyNumberFormat="1" applyFont="1" applyFill="1" applyBorder="1" applyAlignment="1">
      <alignment horizontal="center"/>
    </xf>
    <xf numFmtId="164" fontId="6" fillId="2" borderId="21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5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4" fillId="2" borderId="2" xfId="0" applyFont="1" applyFill="1" applyBorder="1"/>
    <xf numFmtId="0" fontId="8" fillId="2" borderId="3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right"/>
    </xf>
    <xf numFmtId="164" fontId="4" fillId="2" borderId="8" xfId="0" applyNumberFormat="1" applyFont="1" applyFill="1" applyBorder="1" applyAlignment="1">
      <alignment horizontal="center"/>
    </xf>
    <xf numFmtId="0" fontId="4" fillId="2" borderId="20" xfId="0" applyFont="1" applyFill="1" applyBorder="1"/>
    <xf numFmtId="164" fontId="6" fillId="2" borderId="1" xfId="0" applyNumberFormat="1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0" fontId="4" fillId="2" borderId="33" xfId="0" applyFont="1" applyFill="1" applyBorder="1"/>
    <xf numFmtId="0" fontId="6" fillId="2" borderId="34" xfId="0" applyFont="1" applyFill="1" applyBorder="1"/>
    <xf numFmtId="0" fontId="6" fillId="2" borderId="34" xfId="0" applyFont="1" applyFill="1" applyBorder="1" applyAlignment="1">
      <alignment horizontal="left"/>
    </xf>
    <xf numFmtId="0" fontId="6" fillId="2" borderId="34" xfId="0" applyFont="1" applyFill="1" applyBorder="1" applyAlignment="1">
      <alignment horizontal="center"/>
    </xf>
    <xf numFmtId="2" fontId="4" fillId="2" borderId="34" xfId="0" applyNumberFormat="1" applyFont="1" applyFill="1" applyBorder="1" applyAlignment="1">
      <alignment horizontal="center"/>
    </xf>
    <xf numFmtId="2" fontId="6" fillId="2" borderId="35" xfId="0" applyNumberFormat="1" applyFont="1" applyFill="1" applyBorder="1" applyAlignment="1">
      <alignment horizontal="center" vertical="center"/>
    </xf>
    <xf numFmtId="0" fontId="4" fillId="2" borderId="36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2" borderId="37" xfId="0" applyFont="1" applyFill="1" applyBorder="1" applyAlignment="1">
      <alignment vertical="center"/>
    </xf>
    <xf numFmtId="0" fontId="4" fillId="2" borderId="26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left"/>
    </xf>
    <xf numFmtId="0" fontId="4" fillId="2" borderId="38" xfId="0" applyFont="1" applyFill="1" applyBorder="1"/>
    <xf numFmtId="0" fontId="4" fillId="2" borderId="1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2" fontId="4" fillId="2" borderId="21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/>
    </xf>
    <xf numFmtId="164" fontId="6" fillId="2" borderId="34" xfId="0" applyNumberFormat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4" fontId="1" fillId="0" borderId="1" xfId="2" applyNumberFormat="1" applyFont="1" applyBorder="1" applyAlignment="1">
      <alignment horizontal="center" vertical="center" wrapText="1"/>
    </xf>
    <xf numFmtId="164" fontId="3" fillId="0" borderId="14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/>
    </xf>
    <xf numFmtId="0" fontId="4" fillId="2" borderId="40" xfId="0" applyFont="1" applyFill="1" applyBorder="1" applyAlignment="1">
      <alignment horizontal="center" vertical="center" wrapText="1"/>
    </xf>
    <xf numFmtId="0" fontId="6" fillId="2" borderId="8" xfId="0" applyFont="1" applyFill="1" applyBorder="1"/>
    <xf numFmtId="0" fontId="4" fillId="3" borderId="33" xfId="0" applyFont="1" applyFill="1" applyBorder="1" applyAlignment="1">
      <alignment horizontal="center"/>
    </xf>
    <xf numFmtId="0" fontId="6" fillId="7" borderId="34" xfId="0" applyFont="1" applyFill="1" applyBorder="1"/>
    <xf numFmtId="0" fontId="6" fillId="7" borderId="34" xfId="0" applyFont="1" applyFill="1" applyBorder="1" applyAlignment="1">
      <alignment horizontal="left"/>
    </xf>
    <xf numFmtId="0" fontId="6" fillId="7" borderId="34" xfId="0" applyFont="1" applyFill="1" applyBorder="1" applyAlignment="1">
      <alignment horizontal="center"/>
    </xf>
    <xf numFmtId="167" fontId="6" fillId="7" borderId="34" xfId="0" applyNumberFormat="1" applyFont="1" applyFill="1" applyBorder="1" applyAlignment="1">
      <alignment horizontal="center"/>
    </xf>
    <xf numFmtId="167" fontId="6" fillId="6" borderId="35" xfId="0" applyNumberFormat="1" applyFont="1" applyFill="1" applyBorder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 wrapText="1"/>
    </xf>
    <xf numFmtId="164" fontId="1" fillId="0" borderId="7" xfId="2" applyNumberFormat="1" applyFont="1" applyBorder="1" applyAlignment="1">
      <alignment horizontal="center" vertical="center" wrapText="1"/>
    </xf>
    <xf numFmtId="0" fontId="1" fillId="0" borderId="8" xfId="2" applyFont="1" applyBorder="1" applyAlignment="1">
      <alignment horizontal="center" vertical="center" wrapText="1"/>
    </xf>
    <xf numFmtId="164" fontId="1" fillId="0" borderId="9" xfId="2" applyNumberFormat="1" applyFont="1" applyBorder="1" applyAlignment="1">
      <alignment horizontal="center" vertical="center" wrapText="1"/>
    </xf>
    <xf numFmtId="0" fontId="1" fillId="2" borderId="15" xfId="2" applyFont="1" applyFill="1" applyBorder="1" applyAlignment="1">
      <alignment horizontal="center" vertical="center"/>
    </xf>
    <xf numFmtId="164" fontId="1" fillId="0" borderId="13" xfId="2" applyNumberFormat="1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164" fontId="1" fillId="0" borderId="17" xfId="2" applyNumberFormat="1" applyFont="1" applyBorder="1" applyAlignment="1">
      <alignment horizontal="center" vertical="center" wrapText="1"/>
    </xf>
    <xf numFmtId="167" fontId="4" fillId="0" borderId="0" xfId="0" applyNumberFormat="1" applyFont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" fillId="0" borderId="6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 wrapText="1"/>
    </xf>
    <xf numFmtId="165" fontId="1" fillId="2" borderId="15" xfId="2" applyNumberFormat="1" applyFont="1" applyFill="1" applyBorder="1" applyAlignment="1">
      <alignment horizontal="center" vertical="center"/>
    </xf>
    <xf numFmtId="0" fontId="1" fillId="2" borderId="16" xfId="2" applyFont="1" applyFill="1" applyBorder="1" applyAlignment="1">
      <alignment vertical="center"/>
    </xf>
    <xf numFmtId="0" fontId="1" fillId="0" borderId="12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164" fontId="1" fillId="0" borderId="18" xfId="2" applyNumberFormat="1" applyFont="1" applyBorder="1" applyAlignment="1">
      <alignment horizontal="center" vertical="center" wrapText="1"/>
    </xf>
    <xf numFmtId="164" fontId="1" fillId="0" borderId="19" xfId="2" applyNumberFormat="1" applyFont="1" applyBorder="1" applyAlignment="1">
      <alignment horizontal="center" vertical="center" wrapText="1"/>
    </xf>
    <xf numFmtId="20" fontId="1" fillId="0" borderId="10" xfId="0" applyNumberFormat="1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1" fillId="0" borderId="20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0" fontId="1" fillId="0" borderId="22" xfId="0" applyFont="1" applyBorder="1"/>
    <xf numFmtId="0" fontId="1" fillId="0" borderId="8" xfId="0" applyFont="1" applyBorder="1"/>
    <xf numFmtId="2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5" fontId="1" fillId="0" borderId="2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2" fontId="1" fillId="0" borderId="23" xfId="0" applyNumberFormat="1" applyFont="1" applyBorder="1" applyAlignment="1">
      <alignment horizontal="center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1" fillId="0" borderId="0" xfId="0" applyFont="1"/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1" fillId="0" borderId="23" xfId="0" applyFont="1" applyBorder="1" applyAlignment="1">
      <alignment horizontal="right"/>
    </xf>
    <xf numFmtId="167" fontId="6" fillId="6" borderId="2" xfId="0" applyNumberFormat="1" applyFont="1" applyFill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20" fontId="12" fillId="0" borderId="10" xfId="0" applyNumberFormat="1" applyFont="1" applyBorder="1" applyAlignment="1">
      <alignment horizontal="center" vertical="center"/>
    </xf>
    <xf numFmtId="0" fontId="12" fillId="2" borderId="16" xfId="2" applyFont="1" applyFill="1" applyBorder="1" applyAlignment="1">
      <alignment vertical="center"/>
    </xf>
    <xf numFmtId="0" fontId="12" fillId="0" borderId="6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 wrapText="1"/>
    </xf>
    <xf numFmtId="164" fontId="12" fillId="0" borderId="1" xfId="2" applyNumberFormat="1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164" fontId="12" fillId="0" borderId="7" xfId="2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164" fontId="13" fillId="0" borderId="14" xfId="2" applyNumberFormat="1" applyFont="1" applyBorder="1" applyAlignment="1">
      <alignment horizontal="center" vertical="center" wrapText="1"/>
    </xf>
    <xf numFmtId="164" fontId="13" fillId="0" borderId="3" xfId="2" applyNumberFormat="1" applyFont="1" applyBorder="1" applyAlignment="1">
      <alignment horizontal="center" vertical="center" wrapText="1"/>
    </xf>
    <xf numFmtId="164" fontId="12" fillId="0" borderId="9" xfId="2" applyNumberFormat="1" applyFont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/>
    </xf>
    <xf numFmtId="165" fontId="12" fillId="2" borderId="15" xfId="2" applyNumberFormat="1" applyFont="1" applyFill="1" applyBorder="1" applyAlignment="1">
      <alignment horizontal="center" vertical="center"/>
    </xf>
    <xf numFmtId="0" fontId="10" fillId="9" borderId="42" xfId="0" applyFont="1" applyFill="1" applyBorder="1"/>
    <xf numFmtId="0" fontId="6" fillId="9" borderId="43" xfId="0" applyFont="1" applyFill="1" applyBorder="1"/>
    <xf numFmtId="0" fontId="4" fillId="2" borderId="44" xfId="0" applyFont="1" applyFill="1" applyBorder="1"/>
    <xf numFmtId="0" fontId="6" fillId="2" borderId="8" xfId="0" applyFont="1" applyFill="1" applyBorder="1" applyAlignment="1">
      <alignment horizontal="left"/>
    </xf>
    <xf numFmtId="0" fontId="6" fillId="10" borderId="8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6" fillId="2" borderId="4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F3F6-E768-464B-8684-8C6681208CB8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46023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15</v>
      </c>
      <c r="D9" s="5">
        <v>2.85</v>
      </c>
      <c r="E9" s="102">
        <v>1503</v>
      </c>
      <c r="F9" s="101">
        <v>76.8</v>
      </c>
      <c r="G9" s="6">
        <f t="shared" ref="G9:G11" si="0">E9*F9</f>
        <v>115430.39999999999</v>
      </c>
      <c r="H9" s="7">
        <f>F9*C9</f>
        <v>1152</v>
      </c>
      <c r="I9" s="116" t="s">
        <v>20</v>
      </c>
      <c r="J9" s="124">
        <v>2.0833333333333332E-2</v>
      </c>
      <c r="K9" s="138" t="s">
        <v>237</v>
      </c>
    </row>
    <row r="10" spans="1:11" ht="17" x14ac:dyDescent="0.2">
      <c r="A10" s="126">
        <v>2</v>
      </c>
      <c r="B10" s="123" t="s">
        <v>236</v>
      </c>
      <c r="C10" s="100">
        <v>16</v>
      </c>
      <c r="D10" s="5">
        <v>2.85</v>
      </c>
      <c r="E10" s="102">
        <v>1503</v>
      </c>
      <c r="F10" s="101">
        <v>6.2</v>
      </c>
      <c r="G10" s="6">
        <f t="shared" si="0"/>
        <v>9318.6</v>
      </c>
      <c r="H10" s="7">
        <f t="shared" ref="H10:H11" si="1">F10*C10</f>
        <v>99.2</v>
      </c>
      <c r="I10" s="131" t="s">
        <v>44</v>
      </c>
      <c r="J10" s="130">
        <v>6.9444444444444441E-3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17</v>
      </c>
      <c r="D11" s="5">
        <v>2.85</v>
      </c>
      <c r="E11" s="102">
        <v>1503</v>
      </c>
      <c r="F11" s="112">
        <v>5</v>
      </c>
      <c r="G11" s="6">
        <f t="shared" si="0"/>
        <v>7515</v>
      </c>
      <c r="H11" s="7">
        <f t="shared" si="1"/>
        <v>85</v>
      </c>
      <c r="I11" s="116"/>
      <c r="J11" s="124"/>
      <c r="K11" s="125"/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88</v>
      </c>
      <c r="G22" s="163">
        <f>SUM(G9:G21)/F22</f>
        <v>1503</v>
      </c>
      <c r="H22" s="164">
        <f>SUM(H9:H21)/F22</f>
        <v>15.18409090909091</v>
      </c>
      <c r="I22" s="144" t="s">
        <v>22</v>
      </c>
      <c r="J22" s="145">
        <v>2.7777777777777776E-2</v>
      </c>
      <c r="K22" s="142"/>
    </row>
    <row r="23" spans="1:11" x14ac:dyDescent="0.2">
      <c r="E23" s="146"/>
      <c r="F23" s="147"/>
      <c r="I23" s="165" t="s">
        <v>23</v>
      </c>
      <c r="J23" s="166">
        <v>0.67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88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v>88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0.67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2FD75B0F-14A6-43DC-B828-BE3A445202D7}">
      <formula1>$I$41:$I$50</formula1>
    </dataValidation>
    <dataValidation type="list" allowBlank="1" showInputMessage="1" showErrorMessage="1" sqref="B20:B21" xr:uid="{C32A0FFB-7A5A-4532-8E79-0898B758DD2E}">
      <formula1>$K$29:$K$40</formula1>
    </dataValidation>
    <dataValidation type="list" allowBlank="1" showInputMessage="1" showErrorMessage="1" sqref="B16:B19" xr:uid="{BCBB52DB-23E3-4E51-850A-B708F9632488}">
      <formula1>$K$29:$K$85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9BAA-1A42-4FA0-B9CA-D4C6618E211F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46024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14</v>
      </c>
      <c r="D9" s="5">
        <v>2.85</v>
      </c>
      <c r="E9" s="102">
        <v>1512</v>
      </c>
      <c r="F9" s="101">
        <v>11.7</v>
      </c>
      <c r="G9" s="6">
        <f t="shared" ref="G9:G12" si="0">E9*F9</f>
        <v>17690.399999999998</v>
      </c>
      <c r="H9" s="7">
        <f>F9*C9</f>
        <v>163.79999999999998</v>
      </c>
      <c r="I9" s="116" t="s">
        <v>20</v>
      </c>
      <c r="J9" s="124">
        <v>2.0833333333333332E-2</v>
      </c>
      <c r="K9" s="138" t="s">
        <v>237</v>
      </c>
    </row>
    <row r="10" spans="1:11" ht="17" x14ac:dyDescent="0.2">
      <c r="A10" s="126">
        <v>2</v>
      </c>
      <c r="B10" s="123" t="s">
        <v>236</v>
      </c>
      <c r="C10" s="100">
        <v>15</v>
      </c>
      <c r="D10" s="5">
        <v>2.85</v>
      </c>
      <c r="E10" s="102">
        <v>1512</v>
      </c>
      <c r="F10" s="101">
        <v>18.3</v>
      </c>
      <c r="G10" s="6">
        <f t="shared" si="0"/>
        <v>27669.600000000002</v>
      </c>
      <c r="H10" s="7">
        <f t="shared" ref="H10:H11" si="1">F10*C10</f>
        <v>274.5</v>
      </c>
      <c r="I10" s="131" t="s">
        <v>44</v>
      </c>
      <c r="J10" s="130">
        <v>1.3888888888888888E-2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17</v>
      </c>
      <c r="D11" s="5">
        <v>2.85</v>
      </c>
      <c r="E11" s="102">
        <v>1512</v>
      </c>
      <c r="F11" s="112">
        <v>34</v>
      </c>
      <c r="G11" s="6">
        <f t="shared" si="0"/>
        <v>51408</v>
      </c>
      <c r="H11" s="7">
        <f t="shared" si="1"/>
        <v>578</v>
      </c>
      <c r="I11" s="116" t="s">
        <v>239</v>
      </c>
      <c r="J11" s="124">
        <v>1.3888888888888888E-2</v>
      </c>
      <c r="K11" s="125" t="s">
        <v>240</v>
      </c>
    </row>
    <row r="12" spans="1:11" ht="19.25" customHeight="1" x14ac:dyDescent="0.2">
      <c r="A12" s="126">
        <v>4</v>
      </c>
      <c r="B12" s="123" t="s">
        <v>236</v>
      </c>
      <c r="C12" s="113">
        <v>18</v>
      </c>
      <c r="D12" s="5">
        <v>2.85</v>
      </c>
      <c r="E12" s="114">
        <v>1512</v>
      </c>
      <c r="F12" s="115">
        <v>27</v>
      </c>
      <c r="G12" s="6">
        <f t="shared" si="0"/>
        <v>40824</v>
      </c>
      <c r="H12" s="7">
        <f>F12*C12</f>
        <v>486</v>
      </c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91</v>
      </c>
      <c r="G22" s="163">
        <f>SUM(G9:G21)/F22</f>
        <v>1512</v>
      </c>
      <c r="H22" s="164">
        <f>SUM(H9:H21)/F22</f>
        <v>16.508791208791209</v>
      </c>
      <c r="I22" s="144" t="s">
        <v>22</v>
      </c>
      <c r="J22" s="145">
        <v>4.8611111111111112E-2</v>
      </c>
      <c r="K22" s="142"/>
    </row>
    <row r="23" spans="1:11" x14ac:dyDescent="0.2">
      <c r="E23" s="146"/>
      <c r="F23" s="147"/>
      <c r="I23" s="165" t="s">
        <v>23</v>
      </c>
      <c r="J23" s="166">
        <v>1.17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91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</f>
        <v>179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1.83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2C64842D-9B7E-49B0-A2D8-DC88EEB18E70}">
      <formula1>$K$29:$K$85</formula1>
    </dataValidation>
    <dataValidation type="list" allowBlank="1" showInputMessage="1" showErrorMessage="1" sqref="B20:B21" xr:uid="{BFBB9670-24DC-4250-BAD9-657E67998AAA}">
      <formula1>$K$29:$K$40</formula1>
    </dataValidation>
    <dataValidation type="list" allowBlank="1" showInputMessage="1" showErrorMessage="1" sqref="I50 K15:K21" xr:uid="{5A2985E6-F583-440C-90F3-6C87BBBFC065}">
      <formula1>$I$41:$I$50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11E5-6F28-4BF9-BAD8-57CAD105650D}">
  <dimension ref="A1:K85"/>
  <sheetViews>
    <sheetView topLeftCell="A3" workbookViewId="0">
      <selection activeCell="A3"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46025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12.5</v>
      </c>
      <c r="D9" s="5">
        <v>2.85</v>
      </c>
      <c r="E9" s="102">
        <v>1467</v>
      </c>
      <c r="F9" s="101">
        <v>60</v>
      </c>
      <c r="G9" s="6">
        <f t="shared" ref="G9:G11" si="0">E9*F9</f>
        <v>88020</v>
      </c>
      <c r="H9" s="7">
        <f>F9*C9</f>
        <v>750</v>
      </c>
      <c r="I9" s="116" t="s">
        <v>20</v>
      </c>
      <c r="J9" s="124">
        <v>2.0833333333333332E-2</v>
      </c>
      <c r="K9" s="138" t="s">
        <v>237</v>
      </c>
    </row>
    <row r="10" spans="1:11" ht="17" x14ac:dyDescent="0.2">
      <c r="A10" s="126">
        <v>2</v>
      </c>
      <c r="B10" s="123" t="s">
        <v>242</v>
      </c>
      <c r="C10" s="100">
        <v>13</v>
      </c>
      <c r="D10" s="5">
        <v>2.85</v>
      </c>
      <c r="E10" s="102">
        <v>1467</v>
      </c>
      <c r="F10" s="101">
        <v>10.5</v>
      </c>
      <c r="G10" s="6">
        <f t="shared" si="0"/>
        <v>15403.5</v>
      </c>
      <c r="H10" s="7">
        <f t="shared" ref="H10:H11" si="1">F10*C10</f>
        <v>136.5</v>
      </c>
      <c r="I10" s="131" t="s">
        <v>44</v>
      </c>
      <c r="J10" s="130">
        <v>1.3888888888888888E-2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15</v>
      </c>
      <c r="D11" s="5">
        <v>2.85</v>
      </c>
      <c r="E11" s="102">
        <v>1512</v>
      </c>
      <c r="F11" s="112">
        <v>1.5</v>
      </c>
      <c r="G11" s="6">
        <f t="shared" si="0"/>
        <v>2268</v>
      </c>
      <c r="H11" s="7">
        <f t="shared" si="1"/>
        <v>22.5</v>
      </c>
      <c r="I11" s="116"/>
      <c r="J11" s="124"/>
      <c r="K11" s="125"/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72</v>
      </c>
      <c r="G22" s="163">
        <f>SUM(G9:G21)/F22</f>
        <v>1467.9375</v>
      </c>
      <c r="H22" s="164">
        <f>SUM(H9:H21)/F22</f>
        <v>12.625</v>
      </c>
      <c r="I22" s="144" t="s">
        <v>22</v>
      </c>
      <c r="J22" s="145">
        <v>3.4722222222222224E-2</v>
      </c>
      <c r="K22" s="142"/>
    </row>
    <row r="23" spans="1:11" x14ac:dyDescent="0.2">
      <c r="E23" s="146"/>
      <c r="F23" s="147"/>
      <c r="I23" s="165" t="s">
        <v>23</v>
      </c>
      <c r="J23" s="166">
        <v>0.83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72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</f>
        <v>251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2.67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BE828EC3-B861-4D23-AF68-AE0C180C3D28}">
      <formula1>$I$41:$I$50</formula1>
    </dataValidation>
    <dataValidation type="list" allowBlank="1" showInputMessage="1" showErrorMessage="1" sqref="B20:B21" xr:uid="{04523EFE-CE36-417C-BD48-402A36202E6B}">
      <formula1>$K$29:$K$40</formula1>
    </dataValidation>
    <dataValidation type="list" allowBlank="1" showInputMessage="1" showErrorMessage="1" sqref="B16:B19" xr:uid="{9E725606-0FB4-4A34-958B-C23659B1B8B7}">
      <formula1>$K$29:$K$85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FBEB-7540-4D05-8C8A-B2FB2F6BA22E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46026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11</v>
      </c>
      <c r="D9" s="5">
        <v>2.85</v>
      </c>
      <c r="E9" s="102">
        <v>1422</v>
      </c>
      <c r="F9" s="101">
        <v>37.5</v>
      </c>
      <c r="G9" s="6">
        <f t="shared" ref="G9:G11" si="0">E9*F9</f>
        <v>53325</v>
      </c>
      <c r="H9" s="7">
        <f>F9*C9</f>
        <v>412.5</v>
      </c>
      <c r="I9" s="116" t="s">
        <v>20</v>
      </c>
      <c r="J9" s="124">
        <v>2.0833333333333332E-2</v>
      </c>
      <c r="K9" s="138" t="s">
        <v>237</v>
      </c>
    </row>
    <row r="10" spans="1:11" ht="17" x14ac:dyDescent="0.2">
      <c r="A10" s="126">
        <v>2</v>
      </c>
      <c r="B10" s="123" t="s">
        <v>241</v>
      </c>
      <c r="C10" s="100">
        <v>12.5</v>
      </c>
      <c r="D10" s="5">
        <v>2.85</v>
      </c>
      <c r="E10" s="102">
        <v>1467</v>
      </c>
      <c r="F10" s="101">
        <v>3</v>
      </c>
      <c r="G10" s="6">
        <f t="shared" si="0"/>
        <v>4401</v>
      </c>
      <c r="H10" s="7">
        <f t="shared" ref="H10:H11" si="1">F10*C10</f>
        <v>37.5</v>
      </c>
      <c r="I10" s="131" t="s">
        <v>44</v>
      </c>
      <c r="J10" s="130">
        <v>6.9444444444444441E-3</v>
      </c>
      <c r="K10" s="125" t="s">
        <v>44</v>
      </c>
    </row>
    <row r="11" spans="1:11" ht="17" x14ac:dyDescent="0.2">
      <c r="A11" s="122">
        <v>3</v>
      </c>
      <c r="B11" s="123" t="s">
        <v>242</v>
      </c>
      <c r="C11" s="100">
        <v>13</v>
      </c>
      <c r="D11" s="5">
        <v>2.85</v>
      </c>
      <c r="E11" s="102">
        <v>1467</v>
      </c>
      <c r="F11" s="112">
        <v>27.5</v>
      </c>
      <c r="G11" s="6">
        <f t="shared" si="0"/>
        <v>40342.5</v>
      </c>
      <c r="H11" s="7">
        <f t="shared" si="1"/>
        <v>357.5</v>
      </c>
      <c r="I11" s="116"/>
      <c r="J11" s="124"/>
      <c r="K11" s="125"/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68</v>
      </c>
      <c r="G22" s="163">
        <f>SUM(G9:G21)/F22</f>
        <v>1442.1838235294117</v>
      </c>
      <c r="H22" s="164">
        <f>SUM(H9:H21)/F22</f>
        <v>11.875</v>
      </c>
      <c r="I22" s="144" t="s">
        <v>22</v>
      </c>
      <c r="J22" s="145">
        <v>2.7777777777777776E-2</v>
      </c>
      <c r="K22" s="142"/>
    </row>
    <row r="23" spans="1:11" x14ac:dyDescent="0.2">
      <c r="E23" s="146"/>
      <c r="F23" s="147"/>
      <c r="I23" s="165" t="s">
        <v>23</v>
      </c>
      <c r="J23" s="166">
        <v>0.67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68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</f>
        <v>319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3.33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E1819178-3517-461B-A3A4-2FD2CC9E7E40}">
      <formula1>$K$29:$K$85</formula1>
    </dataValidation>
    <dataValidation type="list" allowBlank="1" showInputMessage="1" showErrorMessage="1" sqref="B20:B21" xr:uid="{331B4587-454C-4A69-8AF5-40717B7ECCC3}">
      <formula1>$K$29:$K$40</formula1>
    </dataValidation>
    <dataValidation type="list" allowBlank="1" showInputMessage="1" showErrorMessage="1" sqref="I50 K15:K21" xr:uid="{9F396AD1-1FB3-4519-A481-8BBC436B1583}">
      <formula1>$I$41:$I$50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9E1E-DF42-4B24-A361-75B1E4B0E90C}">
  <dimension ref="A1:K85"/>
  <sheetViews>
    <sheetView topLeftCell="A3" workbookViewId="0">
      <selection activeCell="A3"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46027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11</v>
      </c>
      <c r="D9" s="5">
        <v>2.85</v>
      </c>
      <c r="E9" s="102">
        <v>1431</v>
      </c>
      <c r="F9" s="101">
        <v>2</v>
      </c>
      <c r="G9" s="6">
        <f t="shared" ref="G9:G13" si="0">E9*F9</f>
        <v>2862</v>
      </c>
      <c r="H9" s="7">
        <f>F9*C9</f>
        <v>22</v>
      </c>
      <c r="I9" s="116" t="s">
        <v>20</v>
      </c>
      <c r="J9" s="124">
        <v>2.4305555555555556E-2</v>
      </c>
      <c r="K9" s="138" t="s">
        <v>237</v>
      </c>
    </row>
    <row r="10" spans="1:11" ht="17" x14ac:dyDescent="0.2">
      <c r="A10" s="126">
        <v>2</v>
      </c>
      <c r="B10" s="123" t="s">
        <v>241</v>
      </c>
      <c r="C10" s="100">
        <v>13.5</v>
      </c>
      <c r="D10" s="5">
        <v>2.85</v>
      </c>
      <c r="E10" s="102">
        <v>1467</v>
      </c>
      <c r="F10" s="101">
        <v>12.8</v>
      </c>
      <c r="G10" s="6">
        <f t="shared" si="0"/>
        <v>18777.600000000002</v>
      </c>
      <c r="H10" s="7">
        <f t="shared" ref="H10:H13" si="1">F10*C10</f>
        <v>172.8</v>
      </c>
      <c r="I10" s="131" t="s">
        <v>44</v>
      </c>
      <c r="J10" s="130">
        <v>1.7361111111111112E-2</v>
      </c>
      <c r="K10" s="125" t="s">
        <v>44</v>
      </c>
    </row>
    <row r="11" spans="1:11" ht="17" x14ac:dyDescent="0.2">
      <c r="A11" s="122">
        <v>3</v>
      </c>
      <c r="B11" s="123" t="s">
        <v>243</v>
      </c>
      <c r="C11" s="100">
        <v>16</v>
      </c>
      <c r="D11" s="5">
        <v>2.85</v>
      </c>
      <c r="E11" s="102">
        <v>1503</v>
      </c>
      <c r="F11" s="112">
        <v>46.3</v>
      </c>
      <c r="G11" s="6">
        <f t="shared" si="0"/>
        <v>69588.899999999994</v>
      </c>
      <c r="H11" s="7">
        <f t="shared" si="1"/>
        <v>740.8</v>
      </c>
      <c r="I11" s="116" t="s">
        <v>245</v>
      </c>
      <c r="J11" s="124">
        <v>1.3888888888888888E-2</v>
      </c>
      <c r="K11" s="125" t="s">
        <v>245</v>
      </c>
    </row>
    <row r="12" spans="1:11" ht="19.25" customHeight="1" x14ac:dyDescent="0.2">
      <c r="A12" s="126">
        <v>4</v>
      </c>
      <c r="B12" s="123" t="s">
        <v>244</v>
      </c>
      <c r="C12" s="113">
        <v>16</v>
      </c>
      <c r="D12" s="5">
        <v>2.85</v>
      </c>
      <c r="E12" s="114">
        <v>1503</v>
      </c>
      <c r="F12" s="115">
        <v>11</v>
      </c>
      <c r="G12" s="6">
        <f t="shared" si="0"/>
        <v>16533</v>
      </c>
      <c r="H12" s="7">
        <f>F12*C12</f>
        <v>176</v>
      </c>
      <c r="I12" s="131"/>
      <c r="J12" s="130"/>
      <c r="K12" s="125"/>
    </row>
    <row r="13" spans="1:11" ht="17" x14ac:dyDescent="0.2">
      <c r="A13" s="127">
        <v>5</v>
      </c>
      <c r="B13" s="123" t="s">
        <v>243</v>
      </c>
      <c r="C13" s="113">
        <v>17</v>
      </c>
      <c r="D13" s="5">
        <v>2.85</v>
      </c>
      <c r="E13" s="114">
        <v>1436</v>
      </c>
      <c r="F13" s="115">
        <v>15.9</v>
      </c>
      <c r="G13" s="6">
        <f t="shared" si="0"/>
        <v>22832.400000000001</v>
      </c>
      <c r="H13" s="7">
        <f t="shared" si="1"/>
        <v>270.3</v>
      </c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88</v>
      </c>
      <c r="G22" s="163">
        <f>SUM(G9:G21)/F22</f>
        <v>1484.0215909090909</v>
      </c>
      <c r="H22" s="164">
        <f>SUM(H9:H21)/F22</f>
        <v>15.703409090909089</v>
      </c>
      <c r="I22" s="144" t="s">
        <v>22</v>
      </c>
      <c r="J22" s="145">
        <v>5.5555555555555552E-2</v>
      </c>
      <c r="K22" s="142"/>
    </row>
    <row r="23" spans="1:11" x14ac:dyDescent="0.2">
      <c r="E23" s="146"/>
      <c r="F23" s="147"/>
      <c r="I23" s="165" t="s">
        <v>23</v>
      </c>
      <c r="J23" s="166">
        <v>1.33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88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</f>
        <v>407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4.67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21399DAE-40F5-49AE-86DD-FECFBDA1FEB7}">
      <formula1>$I$41:$I$50</formula1>
    </dataValidation>
    <dataValidation type="list" allowBlank="1" showInputMessage="1" showErrorMessage="1" sqref="B20:B21" xr:uid="{EAAC061E-02E8-4529-BDC9-AE078023E22F}">
      <formula1>$K$29:$K$40</formula1>
    </dataValidation>
    <dataValidation type="list" allowBlank="1" showInputMessage="1" showErrorMessage="1" sqref="B16:B19" xr:uid="{929629EF-F1CE-4633-8A0D-190011C82118}">
      <formula1>$K$29:$K$85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513B-C063-4146-B1A6-B3536D7C67EE}">
  <dimension ref="A1:K85"/>
  <sheetViews>
    <sheetView topLeftCell="A9" workbookViewId="0">
      <selection activeCell="A9"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46028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244</v>
      </c>
      <c r="C9" s="100">
        <v>14</v>
      </c>
      <c r="D9" s="5">
        <v>2.85</v>
      </c>
      <c r="E9" s="102">
        <v>1476</v>
      </c>
      <c r="F9" s="101">
        <v>16</v>
      </c>
      <c r="G9" s="6">
        <f t="shared" ref="G9:G11" si="0">E9*F9</f>
        <v>23616</v>
      </c>
      <c r="H9" s="7">
        <f>F9*C9</f>
        <v>224</v>
      </c>
      <c r="I9" s="116" t="s">
        <v>20</v>
      </c>
      <c r="J9" s="124">
        <v>2.4305555555555556E-2</v>
      </c>
      <c r="K9" s="138" t="s">
        <v>237</v>
      </c>
    </row>
    <row r="10" spans="1:11" ht="17" x14ac:dyDescent="0.2">
      <c r="A10" s="126">
        <v>2</v>
      </c>
      <c r="B10" s="123" t="s">
        <v>243</v>
      </c>
      <c r="C10" s="100">
        <v>15</v>
      </c>
      <c r="D10" s="5">
        <v>2.85</v>
      </c>
      <c r="E10" s="102">
        <v>1485</v>
      </c>
      <c r="F10" s="101">
        <v>59.3</v>
      </c>
      <c r="G10" s="6">
        <f t="shared" si="0"/>
        <v>88060.5</v>
      </c>
      <c r="H10" s="7">
        <f t="shared" ref="H10:H11" si="1">F10*C10</f>
        <v>889.5</v>
      </c>
      <c r="I10" s="131" t="s">
        <v>44</v>
      </c>
      <c r="J10" s="130">
        <v>1.7361111111111112E-2</v>
      </c>
      <c r="K10" s="125" t="s">
        <v>44</v>
      </c>
    </row>
    <row r="11" spans="1:11" ht="17" x14ac:dyDescent="0.2">
      <c r="A11" s="122">
        <v>3</v>
      </c>
      <c r="B11" s="123" t="s">
        <v>243</v>
      </c>
      <c r="C11" s="100">
        <v>17</v>
      </c>
      <c r="D11" s="5">
        <v>2.85</v>
      </c>
      <c r="E11" s="102">
        <v>1460</v>
      </c>
      <c r="F11" s="112">
        <v>11.7</v>
      </c>
      <c r="G11" s="6">
        <f t="shared" si="0"/>
        <v>17082</v>
      </c>
      <c r="H11" s="7">
        <f t="shared" si="1"/>
        <v>198.89999999999998</v>
      </c>
      <c r="I11" s="116"/>
      <c r="J11" s="124"/>
      <c r="K11" s="125"/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87</v>
      </c>
      <c r="G22" s="163">
        <f>SUM(G9:G21)/F22</f>
        <v>1479.9827586206898</v>
      </c>
      <c r="H22" s="164">
        <f>SUM(H9:H21)/F22</f>
        <v>15.085057471264369</v>
      </c>
      <c r="I22" s="144" t="s">
        <v>22</v>
      </c>
      <c r="J22" s="145">
        <v>4.1666666666666664E-2</v>
      </c>
      <c r="K22" s="142"/>
    </row>
    <row r="23" spans="1:11" x14ac:dyDescent="0.2">
      <c r="E23" s="146"/>
      <c r="F23" s="147"/>
      <c r="I23" s="165" t="s">
        <v>23</v>
      </c>
      <c r="J23" s="166">
        <v>1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87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</f>
        <v>494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5.67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CF1FA548-8F5C-4A7C-9D25-FDB766B78796}">
      <formula1>$K$29:$K$85</formula1>
    </dataValidation>
    <dataValidation type="list" allowBlank="1" showInputMessage="1" showErrorMessage="1" sqref="B20:B21" xr:uid="{4964545D-4446-4416-9976-515141268969}">
      <formula1>$K$29:$K$40</formula1>
    </dataValidation>
    <dataValidation type="list" allowBlank="1" showInputMessage="1" showErrorMessage="1" sqref="I50 K15:K21" xr:uid="{0246145A-C8F7-4F11-9043-48D007A652B7}">
      <formula1>$I$41:$I$50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2C8B-3B5B-404C-A9DD-EA6C122CBF7A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46029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12.5</v>
      </c>
      <c r="D9" s="5">
        <v>2.85</v>
      </c>
      <c r="E9" s="102">
        <v>1458</v>
      </c>
      <c r="F9" s="101">
        <v>10.199999999999999</v>
      </c>
      <c r="G9" s="6">
        <f t="shared" ref="G9:G13" si="0">E9*F9</f>
        <v>14871.599999999999</v>
      </c>
      <c r="H9" s="7">
        <f>F9*C9</f>
        <v>127.49999999999999</v>
      </c>
      <c r="I9" s="116" t="s">
        <v>20</v>
      </c>
      <c r="J9" s="124">
        <v>2.0833333333333332E-2</v>
      </c>
      <c r="K9" s="138" t="s">
        <v>237</v>
      </c>
    </row>
    <row r="10" spans="1:11" ht="17" x14ac:dyDescent="0.2">
      <c r="A10" s="126">
        <v>2</v>
      </c>
      <c r="B10" s="123" t="s">
        <v>241</v>
      </c>
      <c r="C10" s="100">
        <v>13.5</v>
      </c>
      <c r="D10" s="5">
        <v>2.85</v>
      </c>
      <c r="E10" s="102">
        <v>1458</v>
      </c>
      <c r="F10" s="101">
        <v>16.5</v>
      </c>
      <c r="G10" s="6">
        <f t="shared" si="0"/>
        <v>24057</v>
      </c>
      <c r="H10" s="7">
        <f t="shared" ref="H10:H13" si="1">F10*C10</f>
        <v>222.75</v>
      </c>
      <c r="I10" s="131" t="s">
        <v>44</v>
      </c>
      <c r="J10" s="130">
        <v>1.7361111111111112E-2</v>
      </c>
      <c r="K10" s="125" t="s">
        <v>44</v>
      </c>
    </row>
    <row r="11" spans="1:11" ht="17" x14ac:dyDescent="0.2">
      <c r="A11" s="122">
        <v>3</v>
      </c>
      <c r="B11" s="123" t="s">
        <v>243</v>
      </c>
      <c r="C11" s="100">
        <v>14</v>
      </c>
      <c r="D11" s="5">
        <v>2.85</v>
      </c>
      <c r="E11" s="102">
        <v>1485</v>
      </c>
      <c r="F11" s="112">
        <v>2.2999999999999998</v>
      </c>
      <c r="G11" s="6">
        <f t="shared" si="0"/>
        <v>3415.4999999999995</v>
      </c>
      <c r="H11" s="7">
        <f t="shared" si="1"/>
        <v>32.199999999999996</v>
      </c>
      <c r="I11" s="116" t="s">
        <v>246</v>
      </c>
      <c r="J11" s="124">
        <v>4.1666666666666664E-2</v>
      </c>
      <c r="K11" s="125" t="s">
        <v>247</v>
      </c>
    </row>
    <row r="12" spans="1:11" ht="19.25" customHeight="1" x14ac:dyDescent="0.2">
      <c r="A12" s="126">
        <v>4</v>
      </c>
      <c r="B12" s="123" t="s">
        <v>244</v>
      </c>
      <c r="C12" s="113">
        <v>14</v>
      </c>
      <c r="D12" s="5">
        <v>2.85</v>
      </c>
      <c r="E12" s="114">
        <v>1485</v>
      </c>
      <c r="F12" s="115">
        <v>5.2</v>
      </c>
      <c r="G12" s="6">
        <f t="shared" si="0"/>
        <v>7722</v>
      </c>
      <c r="H12" s="7">
        <f>F12*C12</f>
        <v>72.8</v>
      </c>
      <c r="I12" s="131"/>
      <c r="J12" s="130"/>
      <c r="K12" s="125"/>
    </row>
    <row r="13" spans="1:11" ht="17" x14ac:dyDescent="0.2">
      <c r="A13" s="127">
        <v>5</v>
      </c>
      <c r="B13" s="123" t="s">
        <v>236</v>
      </c>
      <c r="C13" s="113">
        <v>15</v>
      </c>
      <c r="D13" s="5">
        <v>2.85</v>
      </c>
      <c r="E13" s="114">
        <v>1512</v>
      </c>
      <c r="F13" s="115">
        <v>40.799999999999997</v>
      </c>
      <c r="G13" s="6">
        <f t="shared" si="0"/>
        <v>61689.599999999999</v>
      </c>
      <c r="H13" s="7">
        <f t="shared" si="1"/>
        <v>612</v>
      </c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75</v>
      </c>
      <c r="G22" s="163">
        <f>SUM(G9:G21)/F22</f>
        <v>1490.076</v>
      </c>
      <c r="H22" s="164">
        <f>SUM(H9:H21)/F22</f>
        <v>14.23</v>
      </c>
      <c r="I22" s="144" t="s">
        <v>22</v>
      </c>
      <c r="J22" s="145">
        <v>7.9861111111111105E-2</v>
      </c>
      <c r="K22" s="142"/>
    </row>
    <row r="23" spans="1:11" x14ac:dyDescent="0.2">
      <c r="E23" s="146"/>
      <c r="F23" s="147"/>
      <c r="I23" s="165" t="s">
        <v>23</v>
      </c>
      <c r="J23" s="166">
        <v>1.92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75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</f>
        <v>569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7.58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A04BDF3C-4878-4C0B-9F5A-5E41966DC6EB}">
      <formula1>$I$41:$I$50</formula1>
    </dataValidation>
    <dataValidation type="list" allowBlank="1" showInputMessage="1" showErrorMessage="1" sqref="B20:B21" xr:uid="{EA824F55-250B-494D-ADAD-7DA62F95698C}">
      <formula1>$K$29:$K$40</formula1>
    </dataValidation>
    <dataValidation type="list" allowBlank="1" showInputMessage="1" showErrorMessage="1" sqref="B16:B19" xr:uid="{5C42C866-257B-4341-BA2D-3C311F17E062}">
      <formula1>$K$29:$K$85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A946-3029-46AF-AE7C-99EF38FE7413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46030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15</v>
      </c>
      <c r="D9" s="5">
        <v>2.85</v>
      </c>
      <c r="E9" s="102">
        <v>1512</v>
      </c>
      <c r="F9" s="101">
        <v>51.6</v>
      </c>
      <c r="G9" s="6">
        <f t="shared" ref="G9:G12" si="0">E9*F9</f>
        <v>78019.199999999997</v>
      </c>
      <c r="H9" s="7">
        <f>F9*C9</f>
        <v>774</v>
      </c>
      <c r="I9" s="116" t="s">
        <v>20</v>
      </c>
      <c r="J9" s="124">
        <v>2.0833333333333332E-2</v>
      </c>
      <c r="K9" s="138" t="s">
        <v>237</v>
      </c>
    </row>
    <row r="10" spans="1:11" ht="17" x14ac:dyDescent="0.2">
      <c r="A10" s="126">
        <v>2</v>
      </c>
      <c r="B10" s="123" t="s">
        <v>236</v>
      </c>
      <c r="C10" s="100">
        <v>16</v>
      </c>
      <c r="D10" s="5">
        <v>2.85</v>
      </c>
      <c r="E10" s="102">
        <v>1512</v>
      </c>
      <c r="F10" s="101">
        <v>25.1</v>
      </c>
      <c r="G10" s="6">
        <f t="shared" si="0"/>
        <v>37951.200000000004</v>
      </c>
      <c r="H10" s="7">
        <f t="shared" ref="H10:H11" si="1">F10*C10</f>
        <v>401.6</v>
      </c>
      <c r="I10" s="131" t="s">
        <v>44</v>
      </c>
      <c r="J10" s="130">
        <v>2.7777777777777776E-2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17</v>
      </c>
      <c r="D11" s="5">
        <v>2.85</v>
      </c>
      <c r="E11" s="102">
        <v>1512</v>
      </c>
      <c r="F11" s="112">
        <v>2.5</v>
      </c>
      <c r="G11" s="6">
        <f t="shared" si="0"/>
        <v>3780</v>
      </c>
      <c r="H11" s="7">
        <f t="shared" si="1"/>
        <v>42.5</v>
      </c>
      <c r="I11" s="116"/>
      <c r="J11" s="124"/>
      <c r="K11" s="125"/>
    </row>
    <row r="12" spans="1:11" ht="19.25" customHeight="1" x14ac:dyDescent="0.2">
      <c r="A12" s="126">
        <v>4</v>
      </c>
      <c r="B12" s="123" t="s">
        <v>236</v>
      </c>
      <c r="C12" s="113">
        <v>18</v>
      </c>
      <c r="D12" s="5">
        <v>2.85</v>
      </c>
      <c r="E12" s="114">
        <v>1470</v>
      </c>
      <c r="F12" s="115">
        <v>10.8</v>
      </c>
      <c r="G12" s="6">
        <f t="shared" si="0"/>
        <v>15876.000000000002</v>
      </c>
      <c r="H12" s="7">
        <f>F12*C12</f>
        <v>194.4</v>
      </c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90</v>
      </c>
      <c r="G22" s="163">
        <f>SUM(G9:G21)/F22</f>
        <v>1506.96</v>
      </c>
      <c r="H22" s="164">
        <f>SUM(H9:H21)/F22</f>
        <v>15.694444444444445</v>
      </c>
      <c r="I22" s="144" t="s">
        <v>22</v>
      </c>
      <c r="J22" s="145">
        <v>4.8611111111111112E-2</v>
      </c>
      <c r="K22" s="142"/>
    </row>
    <row r="23" spans="1:11" x14ac:dyDescent="0.2">
      <c r="E23" s="146"/>
      <c r="F23" s="147"/>
      <c r="I23" s="165" t="s">
        <v>23</v>
      </c>
      <c r="J23" s="166">
        <v>1.17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90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</f>
        <v>659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8.75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91148F00-B0D4-4B18-8531-0D891A26909E}">
      <formula1>$K$29:$K$85</formula1>
    </dataValidation>
    <dataValidation type="list" allowBlank="1" showInputMessage="1" showErrorMessage="1" sqref="B20:B21" xr:uid="{3EE9E703-38A0-4AD0-800F-32C5200E760E}">
      <formula1>$K$29:$K$40</formula1>
    </dataValidation>
    <dataValidation type="list" allowBlank="1" showInputMessage="1" showErrorMessage="1" sqref="I50 K15:K21" xr:uid="{B88B5D19-FD88-4A88-8C21-7FC382ED0AAC}">
      <formula1>$I$41:$I$50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6D2F-20C9-4FDE-B614-5031203B76EC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46031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15</v>
      </c>
      <c r="D9" s="5">
        <v>2.85</v>
      </c>
      <c r="E9" s="102">
        <v>1512</v>
      </c>
      <c r="F9" s="101">
        <v>6.6</v>
      </c>
      <c r="G9" s="6">
        <f t="shared" ref="G9:G11" si="0">E9*F9</f>
        <v>9979.1999999999989</v>
      </c>
      <c r="H9" s="7">
        <f>F9*C9</f>
        <v>99</v>
      </c>
      <c r="I9" s="116" t="s">
        <v>20</v>
      </c>
      <c r="J9" s="124">
        <v>2.0833333333333332E-2</v>
      </c>
      <c r="K9" s="138" t="s">
        <v>237</v>
      </c>
    </row>
    <row r="10" spans="1:11" ht="17" x14ac:dyDescent="0.2">
      <c r="A10" s="126">
        <v>2</v>
      </c>
      <c r="B10" s="123" t="s">
        <v>236</v>
      </c>
      <c r="C10" s="100">
        <v>16</v>
      </c>
      <c r="D10" s="5">
        <v>2.85</v>
      </c>
      <c r="E10" s="102">
        <v>1512</v>
      </c>
      <c r="F10" s="101">
        <v>51.8</v>
      </c>
      <c r="G10" s="6">
        <f t="shared" si="0"/>
        <v>78321.599999999991</v>
      </c>
      <c r="H10" s="7">
        <f t="shared" ref="H10:H11" si="1">F10*C10</f>
        <v>828.8</v>
      </c>
      <c r="I10" s="131" t="s">
        <v>44</v>
      </c>
      <c r="J10" s="130">
        <v>1.3888888888888888E-2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17</v>
      </c>
      <c r="D11" s="5">
        <v>2.85</v>
      </c>
      <c r="E11" s="102">
        <v>1503</v>
      </c>
      <c r="F11" s="112">
        <v>29.6</v>
      </c>
      <c r="G11" s="6">
        <f t="shared" si="0"/>
        <v>44488.800000000003</v>
      </c>
      <c r="H11" s="7">
        <f t="shared" si="1"/>
        <v>503.20000000000005</v>
      </c>
      <c r="I11" s="116" t="s">
        <v>246</v>
      </c>
      <c r="J11" s="124">
        <v>5.5555555555555552E-2</v>
      </c>
      <c r="K11" s="125" t="s">
        <v>247</v>
      </c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88</v>
      </c>
      <c r="G22" s="163">
        <f>SUM(G9:G21)/F22</f>
        <v>1508.9727272727271</v>
      </c>
      <c r="H22" s="164">
        <f>SUM(H9:H21)/F22</f>
        <v>16.261363636363637</v>
      </c>
      <c r="I22" s="144" t="s">
        <v>22</v>
      </c>
      <c r="J22" s="145">
        <v>9.0277777777777776E-2</v>
      </c>
      <c r="K22" s="142"/>
    </row>
    <row r="23" spans="1:11" x14ac:dyDescent="0.2">
      <c r="E23" s="146"/>
      <c r="F23" s="147"/>
      <c r="I23" s="165" t="s">
        <v>23</v>
      </c>
      <c r="J23" s="166">
        <v>2.17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88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</f>
        <v>747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10.92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83488815-BAF0-42E2-89F6-1C982B78A03C}">
      <formula1>$I$41:$I$50</formula1>
    </dataValidation>
    <dataValidation type="list" allowBlank="1" showInputMessage="1" showErrorMessage="1" sqref="B20:B21" xr:uid="{2336F4CE-8130-4844-B8E8-032AE5369CC0}">
      <formula1>$K$29:$K$40</formula1>
    </dataValidation>
    <dataValidation type="list" allowBlank="1" showInputMessage="1" showErrorMessage="1" sqref="B16:B19" xr:uid="{2D7E6D9A-29E7-45CA-9221-B50CD7F1C1BF}">
      <formula1>$K$29:$K$85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085F-E953-4FCB-AC55-906D5C7B3D20}">
  <dimension ref="A1:K85"/>
  <sheetViews>
    <sheetView zoomScale="90"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46032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14</v>
      </c>
      <c r="D9" s="5">
        <v>2.85</v>
      </c>
      <c r="E9" s="102">
        <v>1461</v>
      </c>
      <c r="F9" s="101">
        <v>26.5</v>
      </c>
      <c r="G9" s="6">
        <f t="shared" ref="G9:G10" si="0">E9*F9</f>
        <v>38716.5</v>
      </c>
      <c r="H9" s="7">
        <f>F9*C9</f>
        <v>371</v>
      </c>
      <c r="I9" s="116" t="s">
        <v>20</v>
      </c>
      <c r="J9" s="124">
        <v>2.0833333333333332E-2</v>
      </c>
      <c r="K9" s="138" t="s">
        <v>237</v>
      </c>
    </row>
    <row r="10" spans="1:11" ht="17" x14ac:dyDescent="0.2">
      <c r="A10" s="126">
        <v>2</v>
      </c>
      <c r="B10" s="123" t="s">
        <v>236</v>
      </c>
      <c r="C10" s="100">
        <v>15</v>
      </c>
      <c r="D10" s="5">
        <v>2.85</v>
      </c>
      <c r="E10" s="102">
        <v>1461</v>
      </c>
      <c r="F10" s="101">
        <v>57.5</v>
      </c>
      <c r="G10" s="6">
        <f t="shared" si="0"/>
        <v>84007.5</v>
      </c>
      <c r="H10" s="7">
        <f t="shared" ref="H10" si="1">F10*C10</f>
        <v>862.5</v>
      </c>
      <c r="I10" s="131" t="s">
        <v>44</v>
      </c>
      <c r="J10" s="130">
        <v>6.9444444444444441E-3</v>
      </c>
      <c r="K10" s="125" t="s">
        <v>44</v>
      </c>
    </row>
    <row r="11" spans="1:11" x14ac:dyDescent="0.2">
      <c r="A11" s="122"/>
      <c r="B11" s="123"/>
      <c r="C11" s="100"/>
      <c r="D11" s="5"/>
      <c r="E11" s="102"/>
      <c r="F11" s="112"/>
      <c r="G11" s="6"/>
      <c r="H11" s="7"/>
      <c r="I11" s="116"/>
      <c r="J11" s="124"/>
      <c r="K11" s="125"/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84</v>
      </c>
      <c r="G22" s="163">
        <f>SUM(G9:G21)/F22</f>
        <v>1461</v>
      </c>
      <c r="H22" s="164">
        <f>SUM(H9:H21)/F22</f>
        <v>14.68452380952381</v>
      </c>
      <c r="I22" s="144" t="s">
        <v>22</v>
      </c>
      <c r="J22" s="145">
        <v>2.7777777777777776E-2</v>
      </c>
      <c r="K22" s="142"/>
    </row>
    <row r="23" spans="1:11" x14ac:dyDescent="0.2">
      <c r="E23" s="146"/>
      <c r="F23" s="147"/>
      <c r="I23" s="165" t="s">
        <v>23</v>
      </c>
      <c r="J23" s="166">
        <v>0.67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84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</f>
        <v>831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11.58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47184DAB-9143-4D29-8013-4A461C3C5A50}">
      <formula1>$K$29:$K$85</formula1>
    </dataValidation>
    <dataValidation type="list" allowBlank="1" showInputMessage="1" showErrorMessage="1" sqref="B20:B21" xr:uid="{53E5605F-6B80-454A-ACC0-EDAB3EA7E6E7}">
      <formula1>$K$29:$K$40</formula1>
    </dataValidation>
    <dataValidation type="list" allowBlank="1" showInputMessage="1" showErrorMessage="1" sqref="I50 K15:K21" xr:uid="{29C2536A-7BF8-4B22-A481-42009AFE954A}">
      <formula1>$I$41:$I$50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86AB-B9B7-4BC6-8A7A-B7D60979D8B1}">
  <dimension ref="A1:K85"/>
  <sheetViews>
    <sheetView topLeftCell="B1" zoomScale="107" zoomScaleNormal="107" workbookViewId="0">
      <selection activeCell="B1"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46033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14</v>
      </c>
      <c r="D9" s="5">
        <v>2.85</v>
      </c>
      <c r="E9" s="102">
        <v>1461</v>
      </c>
      <c r="F9" s="101">
        <v>19.5</v>
      </c>
      <c r="G9" s="6">
        <f t="shared" ref="G9:G11" si="0">E9*F9</f>
        <v>28489.5</v>
      </c>
      <c r="H9" s="7">
        <f>F9*C9</f>
        <v>273</v>
      </c>
      <c r="I9" s="116" t="s">
        <v>20</v>
      </c>
      <c r="J9" s="124">
        <v>2.0833333333333332E-2</v>
      </c>
      <c r="K9" s="138" t="s">
        <v>237</v>
      </c>
    </row>
    <row r="10" spans="1:11" ht="17" x14ac:dyDescent="0.2">
      <c r="A10" s="126">
        <v>2</v>
      </c>
      <c r="B10" s="123" t="s">
        <v>236</v>
      </c>
      <c r="C10" s="100">
        <v>15</v>
      </c>
      <c r="D10" s="5">
        <v>2.85</v>
      </c>
      <c r="E10" s="102">
        <v>1478</v>
      </c>
      <c r="F10" s="101">
        <v>16.3</v>
      </c>
      <c r="G10" s="6">
        <f t="shared" si="0"/>
        <v>24091.4</v>
      </c>
      <c r="H10" s="7">
        <f t="shared" ref="H10" si="1">F10*C10</f>
        <v>244.5</v>
      </c>
      <c r="I10" s="131" t="s">
        <v>44</v>
      </c>
      <c r="J10" s="130">
        <v>1.3888888888888888E-2</v>
      </c>
      <c r="K10" s="125" t="s">
        <v>44</v>
      </c>
    </row>
    <row r="11" spans="1:11" ht="17" x14ac:dyDescent="0.2">
      <c r="A11" s="122">
        <v>3</v>
      </c>
      <c r="B11" s="123" t="s">
        <v>248</v>
      </c>
      <c r="C11" s="100">
        <v>17</v>
      </c>
      <c r="D11" s="5">
        <v>2.85</v>
      </c>
      <c r="E11" s="102">
        <v>1377</v>
      </c>
      <c r="F11" s="112">
        <v>49.2</v>
      </c>
      <c r="G11" s="6">
        <f t="shared" si="0"/>
        <v>67748.400000000009</v>
      </c>
      <c r="H11" s="7">
        <f>F11*C11</f>
        <v>836.40000000000009</v>
      </c>
      <c r="I11" s="116" t="s">
        <v>246</v>
      </c>
      <c r="J11" s="124">
        <v>4.1666666666666664E-2</v>
      </c>
      <c r="K11" s="125" t="s">
        <v>247</v>
      </c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85</v>
      </c>
      <c r="G22" s="163">
        <f>SUM(G9:G21)/F22</f>
        <v>1415.6388235294119</v>
      </c>
      <c r="H22" s="164">
        <f>SUM(H9:H21)/F22</f>
        <v>15.928235294117648</v>
      </c>
      <c r="I22" s="144" t="s">
        <v>22</v>
      </c>
      <c r="J22" s="145">
        <v>7.6388888888888895E-2</v>
      </c>
      <c r="K22" s="142"/>
    </row>
    <row r="23" spans="1:11" x14ac:dyDescent="0.2">
      <c r="E23" s="146"/>
      <c r="F23" s="147"/>
      <c r="I23" s="165" t="s">
        <v>23</v>
      </c>
      <c r="J23" s="166">
        <v>1.83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85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</f>
        <v>916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13.42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9E71F0AE-BA99-4C1E-9C61-E38869014E1B}">
      <formula1>$I$41:$I$50</formula1>
    </dataValidation>
    <dataValidation type="list" allowBlank="1" showInputMessage="1" showErrorMessage="1" sqref="B20:B21" xr:uid="{2D9A4EF1-4D0F-411E-8823-1A48E7FB7C9E}">
      <formula1>$K$29:$K$40</formula1>
    </dataValidation>
    <dataValidation type="list" allowBlank="1" showInputMessage="1" showErrorMessage="1" sqref="B16:B19" xr:uid="{E5C5D492-B76E-4D0D-9036-32620916D8E5}">
      <formula1>$K$29:$K$85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EFE7-7713-430C-BACB-356453C883F0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46034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248</v>
      </c>
      <c r="C9" s="100">
        <v>17</v>
      </c>
      <c r="D9" s="5">
        <v>2.85</v>
      </c>
      <c r="E9" s="102">
        <v>1449</v>
      </c>
      <c r="F9" s="101">
        <v>5.3</v>
      </c>
      <c r="G9" s="6">
        <f t="shared" ref="G9:G12" si="0">E9*F9</f>
        <v>7679.7</v>
      </c>
      <c r="H9" s="7">
        <f>F9*C9</f>
        <v>90.1</v>
      </c>
      <c r="I9" s="131" t="s">
        <v>44</v>
      </c>
      <c r="J9" s="130">
        <v>2.0833333333333332E-2</v>
      </c>
      <c r="K9" s="125" t="s">
        <v>44</v>
      </c>
    </row>
    <row r="10" spans="1:11" ht="17" x14ac:dyDescent="0.2">
      <c r="A10" s="126">
        <v>2</v>
      </c>
      <c r="B10" s="123" t="s">
        <v>249</v>
      </c>
      <c r="C10" s="100">
        <v>21</v>
      </c>
      <c r="D10" s="5">
        <v>2.85</v>
      </c>
      <c r="E10" s="102">
        <v>1393</v>
      </c>
      <c r="F10" s="101">
        <v>36.700000000000003</v>
      </c>
      <c r="G10" s="6">
        <f t="shared" si="0"/>
        <v>51123.100000000006</v>
      </c>
      <c r="H10" s="7">
        <f t="shared" ref="H10" si="1">F10*C10</f>
        <v>770.7</v>
      </c>
      <c r="I10" s="116" t="s">
        <v>246</v>
      </c>
      <c r="J10" s="124">
        <v>4.1666666666666664E-2</v>
      </c>
      <c r="K10" s="125" t="s">
        <v>247</v>
      </c>
    </row>
    <row r="11" spans="1:11" ht="17" x14ac:dyDescent="0.2">
      <c r="A11" s="122">
        <v>3</v>
      </c>
      <c r="B11" s="123" t="s">
        <v>249</v>
      </c>
      <c r="C11" s="100">
        <v>22</v>
      </c>
      <c r="D11" s="5">
        <v>2.85</v>
      </c>
      <c r="E11" s="102">
        <v>1377</v>
      </c>
      <c r="F11" s="112">
        <v>51</v>
      </c>
      <c r="G11" s="6">
        <f t="shared" si="0"/>
        <v>70227</v>
      </c>
      <c r="H11" s="7">
        <f>F11*C11</f>
        <v>1122</v>
      </c>
      <c r="I11" s="116"/>
      <c r="J11" s="124"/>
      <c r="K11" s="125"/>
    </row>
    <row r="12" spans="1:11" ht="19.25" customHeight="1" x14ac:dyDescent="0.2">
      <c r="A12" s="126">
        <v>4</v>
      </c>
      <c r="B12" s="123" t="s">
        <v>249</v>
      </c>
      <c r="C12" s="113">
        <v>30</v>
      </c>
      <c r="D12" s="5">
        <v>2.85</v>
      </c>
      <c r="E12" s="114">
        <v>1000</v>
      </c>
      <c r="F12" s="115">
        <v>17</v>
      </c>
      <c r="G12" s="6">
        <f t="shared" si="0"/>
        <v>17000</v>
      </c>
      <c r="H12" s="7">
        <f>F12*C12</f>
        <v>510</v>
      </c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110</v>
      </c>
      <c r="G22" s="163">
        <f>SUM(G9:G21)/F22</f>
        <v>1327.5436363636363</v>
      </c>
      <c r="H22" s="164">
        <f>SUM(H9:H21)/F22</f>
        <v>22.661818181818184</v>
      </c>
      <c r="I22" s="144" t="s">
        <v>22</v>
      </c>
      <c r="J22" s="145">
        <v>6.25E-2</v>
      </c>
      <c r="K22" s="142"/>
    </row>
    <row r="23" spans="1:11" x14ac:dyDescent="0.2">
      <c r="E23" s="146"/>
      <c r="F23" s="147"/>
      <c r="I23" s="165" t="s">
        <v>23</v>
      </c>
      <c r="J23" s="166">
        <v>1.5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110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</f>
        <v>1026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14.92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539CF015-8D3D-41C9-BF88-B15AA546CC58}">
      <formula1>$K$29:$K$85</formula1>
    </dataValidation>
    <dataValidation type="list" allowBlank="1" showInputMessage="1" showErrorMessage="1" sqref="B20:B21" xr:uid="{CEA0396F-EEA5-489E-B379-2AC82028F204}">
      <formula1>$K$29:$K$40</formula1>
    </dataValidation>
    <dataValidation type="list" allowBlank="1" showInputMessage="1" showErrorMessage="1" sqref="I50 K15:K21" xr:uid="{834D3C3F-19BA-40D1-A6DD-42C0A837B053}">
      <formula1>$I$41:$I$50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5843-F46F-41CA-8EF3-6A1015E25616}">
  <dimension ref="A1:K85"/>
  <sheetViews>
    <sheetView topLeftCell="A5" workbookViewId="0">
      <selection activeCell="A5"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46035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249</v>
      </c>
      <c r="C9" s="100">
        <v>30</v>
      </c>
      <c r="D9" s="5">
        <v>2.85</v>
      </c>
      <c r="E9" s="102">
        <v>1000</v>
      </c>
      <c r="F9" s="101">
        <v>3.5</v>
      </c>
      <c r="G9" s="6">
        <f t="shared" ref="G9:G13" si="0">E9*F9</f>
        <v>3500</v>
      </c>
      <c r="H9" s="7">
        <f>F9*C9</f>
        <v>105</v>
      </c>
      <c r="I9" s="131" t="s">
        <v>44</v>
      </c>
      <c r="J9" s="130">
        <v>3.125E-2</v>
      </c>
      <c r="K9" s="125" t="s">
        <v>44</v>
      </c>
    </row>
    <row r="10" spans="1:11" ht="17" x14ac:dyDescent="0.2">
      <c r="A10" s="126">
        <v>2</v>
      </c>
      <c r="B10" s="123" t="s">
        <v>249</v>
      </c>
      <c r="C10" s="100">
        <v>32</v>
      </c>
      <c r="D10" s="5">
        <v>2.85</v>
      </c>
      <c r="E10" s="102">
        <v>950</v>
      </c>
      <c r="F10" s="101">
        <v>38.5</v>
      </c>
      <c r="G10" s="6">
        <f t="shared" si="0"/>
        <v>36575</v>
      </c>
      <c r="H10" s="7">
        <f t="shared" ref="H10" si="1">F10*C10</f>
        <v>1232</v>
      </c>
      <c r="I10" s="116"/>
      <c r="J10" s="124"/>
      <c r="K10" s="125"/>
    </row>
    <row r="11" spans="1:11" ht="17" x14ac:dyDescent="0.2">
      <c r="A11" s="122">
        <v>3</v>
      </c>
      <c r="B11" s="123" t="s">
        <v>249</v>
      </c>
      <c r="C11" s="100">
        <v>36</v>
      </c>
      <c r="D11" s="5">
        <v>2.85</v>
      </c>
      <c r="E11" s="102">
        <v>845</v>
      </c>
      <c r="F11" s="112">
        <v>8</v>
      </c>
      <c r="G11" s="6">
        <f t="shared" si="0"/>
        <v>6760</v>
      </c>
      <c r="H11" s="7">
        <f>F11*C11</f>
        <v>288</v>
      </c>
      <c r="I11" s="116"/>
      <c r="J11" s="124"/>
      <c r="K11" s="125"/>
    </row>
    <row r="12" spans="1:11" ht="19.25" customHeight="1" x14ac:dyDescent="0.2">
      <c r="A12" s="126">
        <v>4</v>
      </c>
      <c r="B12" s="123" t="s">
        <v>249</v>
      </c>
      <c r="C12" s="113">
        <v>38</v>
      </c>
      <c r="D12" s="5">
        <v>2.85</v>
      </c>
      <c r="E12" s="114">
        <v>803</v>
      </c>
      <c r="F12" s="115">
        <v>14</v>
      </c>
      <c r="G12" s="6">
        <f t="shared" si="0"/>
        <v>11242</v>
      </c>
      <c r="H12" s="7">
        <f>F12*C12</f>
        <v>532</v>
      </c>
      <c r="I12" s="131"/>
      <c r="J12" s="130"/>
      <c r="K12" s="125"/>
    </row>
    <row r="13" spans="1:11" ht="17" x14ac:dyDescent="0.2">
      <c r="A13" s="127">
        <v>5</v>
      </c>
      <c r="B13" s="123" t="s">
        <v>249</v>
      </c>
      <c r="C13" s="113">
        <v>40</v>
      </c>
      <c r="D13" s="5">
        <v>2.85</v>
      </c>
      <c r="E13" s="114">
        <v>743</v>
      </c>
      <c r="F13" s="115">
        <v>51</v>
      </c>
      <c r="G13" s="6">
        <f t="shared" si="0"/>
        <v>37893</v>
      </c>
      <c r="H13" s="7">
        <f>F13*C13</f>
        <v>2040</v>
      </c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115</v>
      </c>
      <c r="G22" s="163">
        <f>SUM(G9:G21)/F22</f>
        <v>834.52173913043475</v>
      </c>
      <c r="H22" s="164">
        <f>SUM(H9:H21)/F22</f>
        <v>36.495652173913044</v>
      </c>
      <c r="I22" s="144" t="s">
        <v>22</v>
      </c>
      <c r="J22" s="145">
        <v>3.125E-2</v>
      </c>
      <c r="K22" s="142"/>
    </row>
    <row r="23" spans="1:11" x14ac:dyDescent="0.2">
      <c r="E23" s="146"/>
      <c r="F23" s="147"/>
      <c r="I23" s="165" t="s">
        <v>23</v>
      </c>
      <c r="J23" s="166">
        <v>0.75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115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</f>
        <v>1141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15.67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F09FE0C0-2D15-459B-A061-926E7138CF21}">
      <formula1>$I$41:$I$50</formula1>
    </dataValidation>
    <dataValidation type="list" allowBlank="1" showInputMessage="1" showErrorMessage="1" sqref="B20:B21" xr:uid="{0221C55F-3153-4913-97B2-A201CC72EB55}">
      <formula1>$K$29:$K$40</formula1>
    </dataValidation>
    <dataValidation type="list" allowBlank="1" showInputMessage="1" showErrorMessage="1" sqref="B16:B19" xr:uid="{A4E5E57C-99F9-4C36-AE49-E5FE2ED01A23}">
      <formula1>$K$29:$K$85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20CE-CB0F-4FD3-9636-1C3E349BF719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46036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17</v>
      </c>
      <c r="D9" s="5">
        <v>2.85</v>
      </c>
      <c r="E9" s="102">
        <v>1512</v>
      </c>
      <c r="F9" s="101">
        <v>12</v>
      </c>
      <c r="G9" s="6">
        <f t="shared" ref="G9:G13" si="0">E9*F9</f>
        <v>18144</v>
      </c>
      <c r="H9" s="7">
        <f>F9*C9</f>
        <v>204</v>
      </c>
      <c r="I9" s="131" t="s">
        <v>20</v>
      </c>
      <c r="J9" s="130">
        <v>6.9444444444444441E-3</v>
      </c>
      <c r="K9" s="125" t="s">
        <v>250</v>
      </c>
    </row>
    <row r="10" spans="1:11" ht="17" x14ac:dyDescent="0.2">
      <c r="A10" s="126">
        <v>2</v>
      </c>
      <c r="B10" s="123" t="s">
        <v>236</v>
      </c>
      <c r="C10" s="100">
        <v>18</v>
      </c>
      <c r="D10" s="5">
        <v>2.85</v>
      </c>
      <c r="E10" s="102">
        <v>1419</v>
      </c>
      <c r="F10" s="101">
        <v>15</v>
      </c>
      <c r="G10" s="6">
        <f t="shared" si="0"/>
        <v>21285</v>
      </c>
      <c r="H10" s="7">
        <f t="shared" ref="H10" si="1">F10*C10</f>
        <v>270</v>
      </c>
      <c r="I10" s="116" t="s">
        <v>44</v>
      </c>
      <c r="J10" s="124">
        <v>2.7777777777777776E-2</v>
      </c>
      <c r="K10" s="125" t="s">
        <v>44</v>
      </c>
    </row>
    <row r="11" spans="1:11" ht="17" x14ac:dyDescent="0.2">
      <c r="A11" s="122">
        <v>3</v>
      </c>
      <c r="B11" s="123" t="s">
        <v>249</v>
      </c>
      <c r="C11" s="100">
        <v>32</v>
      </c>
      <c r="D11" s="5">
        <v>2.85</v>
      </c>
      <c r="E11" s="102">
        <v>929</v>
      </c>
      <c r="F11" s="112">
        <v>26</v>
      </c>
      <c r="G11" s="6">
        <f t="shared" si="0"/>
        <v>24154</v>
      </c>
      <c r="H11" s="7">
        <f>F11*C11</f>
        <v>832</v>
      </c>
      <c r="I11" s="116" t="s">
        <v>251</v>
      </c>
      <c r="J11" s="124">
        <v>3.125E-2</v>
      </c>
      <c r="K11" s="125" t="s">
        <v>252</v>
      </c>
    </row>
    <row r="12" spans="1:11" ht="19.25" customHeight="1" x14ac:dyDescent="0.2">
      <c r="A12" s="126">
        <v>4</v>
      </c>
      <c r="B12" s="123" t="s">
        <v>249</v>
      </c>
      <c r="C12" s="113">
        <v>34</v>
      </c>
      <c r="D12" s="5">
        <v>2.85</v>
      </c>
      <c r="E12" s="114">
        <v>905</v>
      </c>
      <c r="F12" s="115">
        <v>16</v>
      </c>
      <c r="G12" s="6">
        <f t="shared" si="0"/>
        <v>14480</v>
      </c>
      <c r="H12" s="7">
        <f>F12*C12</f>
        <v>544</v>
      </c>
      <c r="I12" s="131" t="s">
        <v>246</v>
      </c>
      <c r="J12" s="130">
        <v>0.16666666666666666</v>
      </c>
      <c r="K12" s="125" t="s">
        <v>253</v>
      </c>
    </row>
    <row r="13" spans="1:11" ht="17" x14ac:dyDescent="0.2">
      <c r="A13" s="127">
        <v>5</v>
      </c>
      <c r="B13" s="123" t="s">
        <v>249</v>
      </c>
      <c r="C13" s="113">
        <v>36</v>
      </c>
      <c r="D13" s="5">
        <v>2.85</v>
      </c>
      <c r="E13" s="114">
        <v>854</v>
      </c>
      <c r="F13" s="115">
        <v>16</v>
      </c>
      <c r="G13" s="6">
        <f t="shared" si="0"/>
        <v>13664</v>
      </c>
      <c r="H13" s="7">
        <f>F13*C13</f>
        <v>576</v>
      </c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85</v>
      </c>
      <c r="G22" s="163">
        <f>SUM(G9:G21)/F22</f>
        <v>1079.1411764705883</v>
      </c>
      <c r="H22" s="164">
        <f>SUM(H9:H21)/F22</f>
        <v>28.541176470588237</v>
      </c>
      <c r="I22" s="144" t="s">
        <v>22</v>
      </c>
      <c r="J22" s="145">
        <v>0.2326388888888889</v>
      </c>
      <c r="K22" s="142"/>
    </row>
    <row r="23" spans="1:11" x14ac:dyDescent="0.2">
      <c r="E23" s="146"/>
      <c r="F23" s="147"/>
      <c r="I23" s="165" t="s">
        <v>23</v>
      </c>
      <c r="J23" s="166">
        <v>5.58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85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</f>
        <v>1226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21.25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571D1D42-A20B-4A96-8BA8-FC4BE8A6441B}">
      <formula1>$K$29:$K$85</formula1>
    </dataValidation>
    <dataValidation type="list" allowBlank="1" showInputMessage="1" showErrorMessage="1" sqref="B20:B21" xr:uid="{8E5D4A74-91FB-42D5-845D-60B3CCB258EF}">
      <formula1>$K$29:$K$40</formula1>
    </dataValidation>
    <dataValidation type="list" allowBlank="1" showInputMessage="1" showErrorMessage="1" sqref="I50 K15:K21" xr:uid="{BA3CC7EE-7270-426B-B01D-FE10A2BD21C9}">
      <formula1>$I$41:$I$50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55EE-0AD1-4847-B58D-B62412CEACD6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46037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14</v>
      </c>
      <c r="D9" s="5">
        <v>2.85</v>
      </c>
      <c r="E9" s="102">
        <v>1470</v>
      </c>
      <c r="F9" s="101">
        <v>19.8</v>
      </c>
      <c r="G9" s="6">
        <f t="shared" ref="G9:G13" si="0">E9*F9</f>
        <v>29106</v>
      </c>
      <c r="H9" s="7">
        <f>F9*C9</f>
        <v>277.2</v>
      </c>
      <c r="I9" s="131" t="s">
        <v>20</v>
      </c>
      <c r="J9" s="130">
        <v>1.3888888888888888E-2</v>
      </c>
      <c r="K9" s="125" t="s">
        <v>250</v>
      </c>
    </row>
    <row r="10" spans="1:11" ht="17" x14ac:dyDescent="0.2">
      <c r="A10" s="126">
        <v>2</v>
      </c>
      <c r="B10" s="123" t="s">
        <v>236</v>
      </c>
      <c r="C10" s="100">
        <v>15</v>
      </c>
      <c r="D10" s="5">
        <v>2.85</v>
      </c>
      <c r="E10" s="102">
        <v>1512</v>
      </c>
      <c r="F10" s="101">
        <v>9.5</v>
      </c>
      <c r="G10" s="6">
        <f t="shared" si="0"/>
        <v>14364</v>
      </c>
      <c r="H10" s="7">
        <f t="shared" ref="H10" si="1">F10*C10</f>
        <v>142.5</v>
      </c>
      <c r="I10" s="116" t="s">
        <v>44</v>
      </c>
      <c r="J10" s="124">
        <v>2.0833333333333332E-2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16</v>
      </c>
      <c r="D11" s="5">
        <v>2.85</v>
      </c>
      <c r="E11" s="102">
        <v>1503</v>
      </c>
      <c r="F11" s="112">
        <v>30.5</v>
      </c>
      <c r="G11" s="6">
        <f t="shared" si="0"/>
        <v>45841.5</v>
      </c>
      <c r="H11" s="7">
        <f>F11*C11</f>
        <v>488</v>
      </c>
      <c r="I11" s="116" t="s">
        <v>251</v>
      </c>
      <c r="J11" s="124">
        <v>3.125E-2</v>
      </c>
      <c r="K11" s="125" t="s">
        <v>254</v>
      </c>
    </row>
    <row r="12" spans="1:11" ht="19.25" customHeight="1" x14ac:dyDescent="0.2">
      <c r="A12" s="126">
        <v>4</v>
      </c>
      <c r="B12" s="123" t="s">
        <v>236</v>
      </c>
      <c r="C12" s="113">
        <v>17</v>
      </c>
      <c r="D12" s="5">
        <v>2.85</v>
      </c>
      <c r="E12" s="114">
        <v>1512</v>
      </c>
      <c r="F12" s="115">
        <v>14.6</v>
      </c>
      <c r="G12" s="6">
        <f t="shared" si="0"/>
        <v>22075.200000000001</v>
      </c>
      <c r="H12" s="7">
        <f>F12*C12</f>
        <v>248.2</v>
      </c>
      <c r="I12" s="131" t="s">
        <v>246</v>
      </c>
      <c r="J12" s="130">
        <v>4.1666666666666664E-2</v>
      </c>
      <c r="K12" s="125" t="s">
        <v>255</v>
      </c>
    </row>
    <row r="13" spans="1:11" ht="17" x14ac:dyDescent="0.2">
      <c r="A13" s="127">
        <v>5</v>
      </c>
      <c r="B13" s="123" t="s">
        <v>248</v>
      </c>
      <c r="C13" s="113">
        <v>17</v>
      </c>
      <c r="D13" s="5">
        <v>2.85</v>
      </c>
      <c r="E13" s="114">
        <v>1440</v>
      </c>
      <c r="F13" s="115">
        <v>7.6</v>
      </c>
      <c r="G13" s="6">
        <f t="shared" si="0"/>
        <v>10944</v>
      </c>
      <c r="H13" s="7">
        <f>F13*C13</f>
        <v>129.19999999999999</v>
      </c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81.999999999999986</v>
      </c>
      <c r="G22" s="163">
        <f>SUM(G9:G21)/F22</f>
        <v>1491.8378048780489</v>
      </c>
      <c r="H22" s="164">
        <f>SUM(H9:H21)/F22</f>
        <v>15.6719512195122</v>
      </c>
      <c r="I22" s="144" t="s">
        <v>22</v>
      </c>
      <c r="J22" s="145">
        <v>0.1076388888888889</v>
      </c>
      <c r="K22" s="142"/>
    </row>
    <row r="23" spans="1:11" x14ac:dyDescent="0.2">
      <c r="E23" s="146"/>
      <c r="F23" s="147"/>
      <c r="I23" s="165" t="s">
        <v>23</v>
      </c>
      <c r="J23" s="166">
        <v>2.58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81.999999999999986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</f>
        <v>1308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23.83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95515B3F-C7CE-472D-B628-133784F66AC4}">
      <formula1>$I$41:$I$50</formula1>
    </dataValidation>
    <dataValidation type="list" allowBlank="1" showInputMessage="1" showErrorMessage="1" sqref="B20:B21" xr:uid="{9FF0F628-FAE9-47A2-A0A1-248DA565577A}">
      <formula1>$K$29:$K$40</formula1>
    </dataValidation>
    <dataValidation type="list" allowBlank="1" showInputMessage="1" showErrorMessage="1" sqref="B16:B19" xr:uid="{BF84A827-1BA5-41A8-AB0A-534E912D33CC}">
      <formula1>$K$29:$K$85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0F88-579C-4165-9BE9-758DA8055C56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46038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15</v>
      </c>
      <c r="D9" s="5">
        <v>2.85</v>
      </c>
      <c r="E9" s="102">
        <v>1503</v>
      </c>
      <c r="F9" s="101">
        <v>88</v>
      </c>
      <c r="G9" s="6">
        <f t="shared" ref="G9" si="0">E9*F9</f>
        <v>132264</v>
      </c>
      <c r="H9" s="7">
        <f>F9*C9</f>
        <v>1320</v>
      </c>
      <c r="I9" s="131" t="s">
        <v>20</v>
      </c>
      <c r="J9" s="130">
        <v>2.0833333333333332E-2</v>
      </c>
      <c r="K9" s="125" t="s">
        <v>250</v>
      </c>
    </row>
    <row r="10" spans="1:11" x14ac:dyDescent="0.2">
      <c r="A10" s="126"/>
      <c r="B10" s="123"/>
      <c r="C10" s="100"/>
      <c r="D10" s="5"/>
      <c r="E10" s="102"/>
      <c r="F10" s="101"/>
      <c r="G10" s="6"/>
      <c r="H10" s="7"/>
      <c r="I10" s="116"/>
      <c r="J10" s="124"/>
      <c r="K10" s="125"/>
    </row>
    <row r="11" spans="1:11" x14ac:dyDescent="0.2">
      <c r="A11" s="122"/>
      <c r="B11" s="123"/>
      <c r="C11" s="100"/>
      <c r="D11" s="5"/>
      <c r="E11" s="102"/>
      <c r="F11" s="112"/>
      <c r="G11" s="6"/>
      <c r="H11" s="7"/>
      <c r="I11" s="116"/>
      <c r="J11" s="124"/>
      <c r="K11" s="125"/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88</v>
      </c>
      <c r="G22" s="163">
        <f>SUM(G9:G21)/F22</f>
        <v>1503</v>
      </c>
      <c r="H22" s="164">
        <f>SUM(H9:H21)/F22</f>
        <v>15</v>
      </c>
      <c r="I22" s="144" t="s">
        <v>22</v>
      </c>
      <c r="J22" s="145">
        <v>2.0833333333333332E-2</v>
      </c>
      <c r="K22" s="142"/>
    </row>
    <row r="23" spans="1:11" x14ac:dyDescent="0.2">
      <c r="E23" s="146"/>
      <c r="F23" s="147"/>
      <c r="I23" s="165" t="s">
        <v>23</v>
      </c>
      <c r="J23" s="166">
        <v>0.5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88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</f>
        <v>1396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24.33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8DF1430F-606B-4682-B09B-22810DC313B5}">
      <formula1>$K$29:$K$85</formula1>
    </dataValidation>
    <dataValidation type="list" allowBlank="1" showInputMessage="1" showErrorMessage="1" sqref="B20:B21" xr:uid="{2C7C391A-BF1F-4FAB-8AD5-7E7C325A19D7}">
      <formula1>$K$29:$K$40</formula1>
    </dataValidation>
    <dataValidation type="list" allowBlank="1" showInputMessage="1" showErrorMessage="1" sqref="I50 K15:K21" xr:uid="{7CBED950-6465-4E0C-952D-9D49F9763E9D}">
      <formula1>$I$41:$I$50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F0F8-4EA9-4DB0-B9BF-3E758CA3D076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46039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12.5</v>
      </c>
      <c r="D9" s="5">
        <v>2.85</v>
      </c>
      <c r="E9" s="102">
        <v>1476</v>
      </c>
      <c r="F9" s="101">
        <v>61.8</v>
      </c>
      <c r="G9" s="6">
        <f t="shared" ref="G9:G10" si="0">E9*F9</f>
        <v>91216.8</v>
      </c>
      <c r="H9" s="7">
        <f>F9*C9</f>
        <v>772.5</v>
      </c>
      <c r="I9" s="131" t="s">
        <v>20</v>
      </c>
      <c r="J9" s="130">
        <v>2.4305555555555556E-2</v>
      </c>
      <c r="K9" s="125" t="s">
        <v>250</v>
      </c>
    </row>
    <row r="10" spans="1:11" ht="17" x14ac:dyDescent="0.2">
      <c r="A10" s="126">
        <v>2</v>
      </c>
      <c r="B10" s="123" t="s">
        <v>236</v>
      </c>
      <c r="C10" s="100">
        <v>15</v>
      </c>
      <c r="D10" s="5">
        <v>2.85</v>
      </c>
      <c r="E10" s="102">
        <v>1503</v>
      </c>
      <c r="F10" s="101">
        <v>10.199999999999999</v>
      </c>
      <c r="G10" s="6">
        <f t="shared" si="0"/>
        <v>15330.599999999999</v>
      </c>
      <c r="H10" s="7">
        <f>F10*C10</f>
        <v>153</v>
      </c>
      <c r="I10" s="116" t="s">
        <v>44</v>
      </c>
      <c r="J10" s="124">
        <v>1.0416666666666666E-2</v>
      </c>
      <c r="K10" s="125" t="s">
        <v>44</v>
      </c>
    </row>
    <row r="11" spans="1:11" x14ac:dyDescent="0.2">
      <c r="A11" s="122"/>
      <c r="B11" s="123"/>
      <c r="C11" s="100"/>
      <c r="D11" s="5"/>
      <c r="E11" s="102"/>
      <c r="F11" s="112"/>
      <c r="G11" s="6"/>
      <c r="H11" s="7"/>
      <c r="I11" s="116" t="s">
        <v>245</v>
      </c>
      <c r="J11" s="124">
        <v>2.0833333333333332E-2</v>
      </c>
      <c r="K11" s="125" t="s">
        <v>245</v>
      </c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72</v>
      </c>
      <c r="G22" s="163">
        <f>SUM(G9:G21)/F22</f>
        <v>1479.8249999999998</v>
      </c>
      <c r="H22" s="164">
        <f>SUM(H9:H21)/F22</f>
        <v>12.854166666666666</v>
      </c>
      <c r="I22" s="144" t="s">
        <v>22</v>
      </c>
      <c r="J22" s="145">
        <v>5.5555555555555552E-2</v>
      </c>
      <c r="K22" s="142"/>
    </row>
    <row r="23" spans="1:11" x14ac:dyDescent="0.2">
      <c r="E23" s="146"/>
      <c r="F23" s="147"/>
      <c r="I23" s="165" t="s">
        <v>23</v>
      </c>
      <c r="J23" s="166">
        <v>1.33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72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</f>
        <v>1468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25.67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34937B8B-DE77-4202-A57D-708ED9A4C913}">
      <formula1>$I$41:$I$50</formula1>
    </dataValidation>
    <dataValidation type="list" allowBlank="1" showInputMessage="1" showErrorMessage="1" sqref="B20:B21" xr:uid="{01981D27-02CE-41AC-A49E-C4BBAD036ABB}">
      <formula1>$K$29:$K$40</formula1>
    </dataValidation>
    <dataValidation type="list" allowBlank="1" showInputMessage="1" showErrorMessage="1" sqref="B16:B19" xr:uid="{164155A5-2A9A-491B-B85D-7C928E3201D8}">
      <formula1>$K$29:$K$85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DF6E-1BC2-44F4-9DCB-F51E0B7508D1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46040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12.5</v>
      </c>
      <c r="D9" s="5">
        <v>2.85</v>
      </c>
      <c r="E9" s="102">
        <v>1476</v>
      </c>
      <c r="F9" s="101">
        <v>15.2</v>
      </c>
      <c r="G9" s="6">
        <f t="shared" ref="G9:G10" si="0">E9*F9</f>
        <v>22435.200000000001</v>
      </c>
      <c r="H9" s="7">
        <f>F9*C9</f>
        <v>190</v>
      </c>
      <c r="I9" s="131" t="s">
        <v>20</v>
      </c>
      <c r="J9" s="130">
        <v>2.0833333333333332E-2</v>
      </c>
      <c r="K9" s="125" t="s">
        <v>250</v>
      </c>
    </row>
    <row r="10" spans="1:11" ht="17" x14ac:dyDescent="0.2">
      <c r="A10" s="126">
        <v>2</v>
      </c>
      <c r="B10" s="123" t="s">
        <v>256</v>
      </c>
      <c r="C10" s="100">
        <v>13</v>
      </c>
      <c r="D10" s="5">
        <v>2.85</v>
      </c>
      <c r="E10" s="102">
        <v>1462</v>
      </c>
      <c r="F10" s="101">
        <v>58.8</v>
      </c>
      <c r="G10" s="6">
        <f t="shared" si="0"/>
        <v>85965.599999999991</v>
      </c>
      <c r="H10" s="7">
        <f>F10*C10</f>
        <v>764.4</v>
      </c>
      <c r="I10" s="116" t="s">
        <v>44</v>
      </c>
      <c r="J10" s="124">
        <v>6.9444444444444441E-3</v>
      </c>
      <c r="K10" s="125" t="s">
        <v>44</v>
      </c>
    </row>
    <row r="11" spans="1:11" x14ac:dyDescent="0.2">
      <c r="A11" s="122"/>
      <c r="B11" s="123"/>
      <c r="C11" s="100"/>
      <c r="D11" s="5"/>
      <c r="E11" s="102"/>
      <c r="F11" s="112"/>
      <c r="G11" s="6"/>
      <c r="H11" s="7"/>
      <c r="I11" s="116"/>
      <c r="J11" s="124"/>
      <c r="K11" s="125"/>
    </row>
    <row r="12" spans="1:11" ht="19.25" customHeight="1" x14ac:dyDescent="0.2">
      <c r="A12" s="126"/>
      <c r="B12" s="123"/>
      <c r="C12" s="113"/>
      <c r="D12" s="5"/>
      <c r="E12" s="114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74</v>
      </c>
      <c r="G22" s="163">
        <f>SUM(G9:G21)/F22</f>
        <v>1464.8756756756754</v>
      </c>
      <c r="H22" s="164">
        <f>SUM(H9:H21)/F22</f>
        <v>12.897297297297296</v>
      </c>
      <c r="I22" s="144" t="s">
        <v>22</v>
      </c>
      <c r="J22" s="145">
        <v>2.7777777777777776E-2</v>
      </c>
      <c r="K22" s="142"/>
    </row>
    <row r="23" spans="1:11" x14ac:dyDescent="0.2">
      <c r="E23" s="146"/>
      <c r="F23" s="147"/>
      <c r="I23" s="165" t="s">
        <v>23</v>
      </c>
      <c r="J23" s="166">
        <v>0.67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74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</f>
        <v>1542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26.33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29754FE4-4B89-43D8-A18E-47E20C02C64E}">
      <formula1>$K$29:$K$85</formula1>
    </dataValidation>
    <dataValidation type="list" allowBlank="1" showInputMessage="1" showErrorMessage="1" sqref="B20:B21" xr:uid="{98E32614-1711-4C32-8708-3193A6A10AD5}">
      <formula1>$K$29:$K$40</formula1>
    </dataValidation>
    <dataValidation type="list" allowBlank="1" showInputMessage="1" showErrorMessage="1" sqref="I50 K15:K21" xr:uid="{5213FDBD-0627-4211-A37C-91D8CD7A4260}">
      <formula1>$I$41:$I$50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7899-A978-44A1-9C20-34458FED8A6F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46041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12.5</v>
      </c>
      <c r="D9" s="5">
        <v>2.85</v>
      </c>
      <c r="E9" s="102">
        <v>1452</v>
      </c>
      <c r="F9" s="101">
        <v>3.2</v>
      </c>
      <c r="G9" s="6">
        <f t="shared" ref="G9:G12" si="0">E9*F9</f>
        <v>4646.4000000000005</v>
      </c>
      <c r="H9" s="7">
        <f>F9*C9</f>
        <v>40</v>
      </c>
      <c r="I9" s="131" t="s">
        <v>20</v>
      </c>
      <c r="J9" s="130">
        <v>2.0833333333333332E-2</v>
      </c>
      <c r="K9" s="125" t="s">
        <v>250</v>
      </c>
    </row>
    <row r="10" spans="1:11" ht="17" x14ac:dyDescent="0.2">
      <c r="A10" s="126">
        <v>2</v>
      </c>
      <c r="B10" s="123" t="s">
        <v>241</v>
      </c>
      <c r="C10" s="100">
        <v>14</v>
      </c>
      <c r="D10" s="5">
        <v>2.85</v>
      </c>
      <c r="E10" s="102">
        <v>1450</v>
      </c>
      <c r="F10" s="101">
        <v>17.899999999999999</v>
      </c>
      <c r="G10" s="6">
        <f t="shared" si="0"/>
        <v>25954.999999999996</v>
      </c>
      <c r="H10" s="7">
        <f>F10*C10</f>
        <v>250.59999999999997</v>
      </c>
      <c r="I10" s="116" t="s">
        <v>44</v>
      </c>
      <c r="J10" s="124">
        <v>1.3888888888888888E-2</v>
      </c>
      <c r="K10" s="125" t="s">
        <v>44</v>
      </c>
    </row>
    <row r="11" spans="1:11" ht="17" x14ac:dyDescent="0.2">
      <c r="A11" s="122">
        <v>3</v>
      </c>
      <c r="B11" s="123" t="s">
        <v>242</v>
      </c>
      <c r="C11" s="100">
        <v>13</v>
      </c>
      <c r="D11" s="5">
        <v>2.85</v>
      </c>
      <c r="E11" s="102">
        <v>1462</v>
      </c>
      <c r="F11" s="112">
        <v>1.4</v>
      </c>
      <c r="G11" s="6">
        <f t="shared" si="0"/>
        <v>2046.8</v>
      </c>
      <c r="H11" s="7">
        <f>F11*C11</f>
        <v>18.2</v>
      </c>
      <c r="I11" s="116" t="s">
        <v>245</v>
      </c>
      <c r="J11" s="124">
        <v>1.7361111111111112E-2</v>
      </c>
      <c r="K11" s="125" t="s">
        <v>245</v>
      </c>
    </row>
    <row r="12" spans="1:11" ht="19.25" customHeight="1" x14ac:dyDescent="0.2">
      <c r="A12" s="126">
        <v>4</v>
      </c>
      <c r="B12" s="123" t="s">
        <v>243</v>
      </c>
      <c r="C12" s="113">
        <v>17</v>
      </c>
      <c r="D12" s="5">
        <v>2.85</v>
      </c>
      <c r="E12" s="102">
        <v>1476</v>
      </c>
      <c r="F12" s="115">
        <v>64.5</v>
      </c>
      <c r="G12" s="6">
        <f t="shared" si="0"/>
        <v>95202</v>
      </c>
      <c r="H12" s="7">
        <f>F12*C12</f>
        <v>1096.5</v>
      </c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87</v>
      </c>
      <c r="G22" s="163">
        <f>SUM(G9:G21)/F22</f>
        <v>1469.5425287356322</v>
      </c>
      <c r="H22" s="164">
        <f>SUM(H9:H21)/F22</f>
        <v>16.152873563218389</v>
      </c>
      <c r="I22" s="144" t="s">
        <v>22</v>
      </c>
      <c r="J22" s="145">
        <v>5.2083333333333336E-2</v>
      </c>
      <c r="K22" s="142"/>
    </row>
    <row r="23" spans="1:11" x14ac:dyDescent="0.2">
      <c r="E23" s="146"/>
      <c r="F23" s="147"/>
      <c r="I23" s="165" t="s">
        <v>23</v>
      </c>
      <c r="J23" s="166">
        <v>1.25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87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</f>
        <v>1629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27.58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272C0110-86EC-46F0-BC28-1DDF356E4160}">
      <formula1>$I$41:$I$50</formula1>
    </dataValidation>
    <dataValidation type="list" allowBlank="1" showInputMessage="1" showErrorMessage="1" sqref="B20:B21" xr:uid="{E20C1A74-BFB3-4A0A-822D-B9B26F934247}">
      <formula1>$K$29:$K$40</formula1>
    </dataValidation>
    <dataValidation type="list" allowBlank="1" showInputMessage="1" showErrorMessage="1" sqref="B16:B19" xr:uid="{FBAE3141-E31D-4152-8798-E1D74BBB6C5F}">
      <formula1>$K$29:$K$85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F468-0560-48FB-A66C-AE957289375A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46042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243</v>
      </c>
      <c r="C9" s="100">
        <v>15</v>
      </c>
      <c r="D9" s="5">
        <v>2.85</v>
      </c>
      <c r="E9" s="102">
        <v>1485</v>
      </c>
      <c r="F9" s="101">
        <v>39</v>
      </c>
      <c r="G9" s="6">
        <f t="shared" ref="G9:G11" si="0">E9*F9</f>
        <v>57915</v>
      </c>
      <c r="H9" s="7">
        <f>F9*C9</f>
        <v>585</v>
      </c>
      <c r="I9" s="131" t="s">
        <v>20</v>
      </c>
      <c r="J9" s="130">
        <v>2.4305555555555556E-2</v>
      </c>
      <c r="K9" s="125" t="s">
        <v>250</v>
      </c>
    </row>
    <row r="10" spans="1:11" ht="17" x14ac:dyDescent="0.2">
      <c r="A10" s="126">
        <v>2</v>
      </c>
      <c r="B10" s="123" t="s">
        <v>243</v>
      </c>
      <c r="C10" s="100">
        <v>16</v>
      </c>
      <c r="D10" s="5">
        <v>2.85</v>
      </c>
      <c r="E10" s="102">
        <v>1483</v>
      </c>
      <c r="F10" s="101">
        <v>14.3</v>
      </c>
      <c r="G10" s="6">
        <f t="shared" si="0"/>
        <v>21206.9</v>
      </c>
      <c r="H10" s="7">
        <f>F10*C10</f>
        <v>228.8</v>
      </c>
      <c r="I10" s="116" t="s">
        <v>44</v>
      </c>
      <c r="J10" s="124">
        <v>1.3888888888888888E-2</v>
      </c>
      <c r="K10" s="125" t="s">
        <v>44</v>
      </c>
    </row>
    <row r="11" spans="1:11" ht="17" x14ac:dyDescent="0.2">
      <c r="A11" s="122">
        <v>3</v>
      </c>
      <c r="B11" s="123" t="s">
        <v>243</v>
      </c>
      <c r="C11" s="100">
        <v>17</v>
      </c>
      <c r="D11" s="5">
        <v>2.85</v>
      </c>
      <c r="E11" s="102">
        <v>1480</v>
      </c>
      <c r="F11" s="112">
        <v>33.700000000000003</v>
      </c>
      <c r="G11" s="6">
        <f t="shared" si="0"/>
        <v>49876.000000000007</v>
      </c>
      <c r="H11" s="7">
        <f>F11*C11</f>
        <v>572.90000000000009</v>
      </c>
      <c r="I11" s="116"/>
      <c r="J11" s="124"/>
      <c r="K11" s="125"/>
    </row>
    <row r="12" spans="1:11" ht="19.25" customHeight="1" x14ac:dyDescent="0.2">
      <c r="A12" s="126"/>
      <c r="B12" s="123"/>
      <c r="C12" s="113"/>
      <c r="D12" s="5"/>
      <c r="E12" s="102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87</v>
      </c>
      <c r="G22" s="163">
        <f>SUM(G9:G21)/F22</f>
        <v>1482.7344827586205</v>
      </c>
      <c r="H22" s="164">
        <f>SUM(H9:H21)/F22</f>
        <v>15.939080459770116</v>
      </c>
      <c r="I22" s="144" t="s">
        <v>22</v>
      </c>
      <c r="J22" s="145">
        <v>3.8194444444444448E-2</v>
      </c>
      <c r="K22" s="142"/>
    </row>
    <row r="23" spans="1:11" x14ac:dyDescent="0.2">
      <c r="E23" s="146"/>
      <c r="F23" s="147"/>
      <c r="I23" s="165" t="s">
        <v>23</v>
      </c>
      <c r="J23" s="166">
        <v>0.92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87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</f>
        <v>1716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28.5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97131412-B259-44C7-B9EF-50CB88970F7F}">
      <formula1>$K$29:$K$85</formula1>
    </dataValidation>
    <dataValidation type="list" allowBlank="1" showInputMessage="1" showErrorMessage="1" sqref="B20:B21" xr:uid="{DD7DBC18-D3C1-44FD-A2FE-20F2C455AFFF}">
      <formula1>$K$29:$K$40</formula1>
    </dataValidation>
    <dataValidation type="list" allowBlank="1" showInputMessage="1" showErrorMessage="1" sqref="I50 K15:K21" xr:uid="{294FFA02-BEF1-45E1-A744-9FEF1022221C}">
      <formula1>$I$41:$I$50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BE7F-3B87-43B3-8923-FC25CB75BA6C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46043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243</v>
      </c>
      <c r="C9" s="100">
        <v>15</v>
      </c>
      <c r="D9" s="5">
        <v>2.85</v>
      </c>
      <c r="E9" s="102">
        <v>1485</v>
      </c>
      <c r="F9" s="101">
        <v>33.200000000000003</v>
      </c>
      <c r="G9" s="6">
        <f t="shared" ref="G9:G14" si="0">E9*F9</f>
        <v>49302.000000000007</v>
      </c>
      <c r="H9" s="7">
        <f t="shared" ref="H9:H14" si="1">F9*C9</f>
        <v>498.00000000000006</v>
      </c>
      <c r="I9" s="131" t="s">
        <v>20</v>
      </c>
      <c r="J9" s="130">
        <v>2.0833333333333332E-2</v>
      </c>
      <c r="K9" s="125" t="s">
        <v>250</v>
      </c>
    </row>
    <row r="10" spans="1:11" ht="17" x14ac:dyDescent="0.2">
      <c r="A10" s="126">
        <v>2</v>
      </c>
      <c r="B10" s="123" t="s">
        <v>243</v>
      </c>
      <c r="C10" s="100">
        <v>17</v>
      </c>
      <c r="D10" s="5">
        <v>2.85</v>
      </c>
      <c r="E10" s="102">
        <v>1467</v>
      </c>
      <c r="F10" s="101">
        <v>16.5</v>
      </c>
      <c r="G10" s="6">
        <f t="shared" si="0"/>
        <v>24205.5</v>
      </c>
      <c r="H10" s="7">
        <f t="shared" si="1"/>
        <v>280.5</v>
      </c>
      <c r="I10" s="116" t="s">
        <v>44</v>
      </c>
      <c r="J10" s="124">
        <v>3.4722222222222224E-2</v>
      </c>
      <c r="K10" s="125" t="s">
        <v>44</v>
      </c>
    </row>
    <row r="11" spans="1:11" ht="17" x14ac:dyDescent="0.2">
      <c r="A11" s="122">
        <v>3</v>
      </c>
      <c r="B11" s="123" t="s">
        <v>243</v>
      </c>
      <c r="C11" s="100">
        <v>18</v>
      </c>
      <c r="D11" s="5">
        <v>2.85</v>
      </c>
      <c r="E11" s="102">
        <v>1467</v>
      </c>
      <c r="F11" s="112">
        <v>13.4</v>
      </c>
      <c r="G11" s="6">
        <f t="shared" si="0"/>
        <v>19657.8</v>
      </c>
      <c r="H11" s="7">
        <f t="shared" si="1"/>
        <v>241.20000000000002</v>
      </c>
      <c r="I11" s="116" t="s">
        <v>260</v>
      </c>
      <c r="J11" s="124">
        <v>2.0833333333333332E-2</v>
      </c>
      <c r="K11" s="125" t="s">
        <v>261</v>
      </c>
    </row>
    <row r="12" spans="1:11" ht="19.25" customHeight="1" x14ac:dyDescent="0.2">
      <c r="A12" s="126">
        <v>4</v>
      </c>
      <c r="B12" s="123" t="s">
        <v>258</v>
      </c>
      <c r="C12" s="113">
        <v>14</v>
      </c>
      <c r="D12" s="5">
        <v>2.85</v>
      </c>
      <c r="E12" s="102">
        <v>1476</v>
      </c>
      <c r="F12" s="115">
        <v>6</v>
      </c>
      <c r="G12" s="6">
        <f t="shared" si="0"/>
        <v>8856</v>
      </c>
      <c r="H12" s="7">
        <f t="shared" si="1"/>
        <v>84</v>
      </c>
      <c r="I12" s="131"/>
      <c r="J12" s="130"/>
      <c r="K12" s="125"/>
    </row>
    <row r="13" spans="1:11" ht="17" x14ac:dyDescent="0.2">
      <c r="A13" s="127">
        <v>5</v>
      </c>
      <c r="B13" s="123" t="s">
        <v>259</v>
      </c>
      <c r="C13" s="113">
        <v>19</v>
      </c>
      <c r="D13" s="5">
        <v>2.85</v>
      </c>
      <c r="E13" s="114">
        <v>1363</v>
      </c>
      <c r="F13" s="115">
        <v>4.9000000000000004</v>
      </c>
      <c r="G13" s="6">
        <f t="shared" si="0"/>
        <v>6678.7000000000007</v>
      </c>
      <c r="H13" s="7">
        <f t="shared" si="1"/>
        <v>93.100000000000009</v>
      </c>
      <c r="I13" s="116"/>
      <c r="J13" s="124"/>
      <c r="K13" s="125"/>
    </row>
    <row r="14" spans="1:11" ht="17" x14ac:dyDescent="0.2">
      <c r="A14" s="122">
        <v>6</v>
      </c>
      <c r="B14" s="123" t="s">
        <v>236</v>
      </c>
      <c r="C14" s="117">
        <v>17</v>
      </c>
      <c r="D14" s="5">
        <v>2.85</v>
      </c>
      <c r="E14" s="118">
        <v>1461</v>
      </c>
      <c r="F14" s="119">
        <v>10</v>
      </c>
      <c r="G14" s="6">
        <f t="shared" si="0"/>
        <v>14610</v>
      </c>
      <c r="H14" s="7">
        <f t="shared" si="1"/>
        <v>170</v>
      </c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84</v>
      </c>
      <c r="G22" s="163">
        <f>SUM(G9:G21)/F22</f>
        <v>1467.9761904761904</v>
      </c>
      <c r="H22" s="164">
        <f>SUM(H9:H21)/F22</f>
        <v>16.271428571428572</v>
      </c>
      <c r="I22" s="144" t="s">
        <v>22</v>
      </c>
      <c r="J22" s="145">
        <v>7.6388888888888895E-2</v>
      </c>
      <c r="K22" s="142"/>
    </row>
    <row r="23" spans="1:11" x14ac:dyDescent="0.2">
      <c r="E23" s="146"/>
      <c r="F23" s="147"/>
      <c r="I23" s="165" t="s">
        <v>23</v>
      </c>
      <c r="J23" s="166">
        <v>1.83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84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</f>
        <v>1800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30.33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B9C95E3A-E01E-43FD-967B-59552CCE7624}">
      <formula1>$I$41:$I$50</formula1>
    </dataValidation>
    <dataValidation type="list" allowBlank="1" showInputMessage="1" showErrorMessage="1" sqref="B20:B21" xr:uid="{31FC1C29-743B-4A07-9C71-F51D41707512}">
      <formula1>$K$29:$K$40</formula1>
    </dataValidation>
    <dataValidation type="list" allowBlank="1" showInputMessage="1" showErrorMessage="1" sqref="B16:B19" xr:uid="{EB07A32A-8B4C-4709-8E35-40BBEF432BCD}">
      <formula1>$K$29:$K$85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7202-D2A9-44E2-902B-FF708A38BADF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46044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15</v>
      </c>
      <c r="D9" s="5">
        <v>2.85</v>
      </c>
      <c r="E9" s="102">
        <v>1508</v>
      </c>
      <c r="F9" s="101">
        <v>20.9</v>
      </c>
      <c r="G9" s="6">
        <f t="shared" ref="G9:G11" si="0">E9*F9</f>
        <v>31517.199999999997</v>
      </c>
      <c r="H9" s="7">
        <f t="shared" ref="H9:H11" si="1">F9*C9</f>
        <v>313.5</v>
      </c>
      <c r="I9" s="131" t="s">
        <v>20</v>
      </c>
      <c r="J9" s="130">
        <v>2.0833333333333332E-2</v>
      </c>
      <c r="K9" s="125" t="s">
        <v>250</v>
      </c>
    </row>
    <row r="10" spans="1:11" ht="17" x14ac:dyDescent="0.2">
      <c r="A10" s="126">
        <v>2</v>
      </c>
      <c r="B10" s="123" t="s">
        <v>236</v>
      </c>
      <c r="C10" s="100">
        <v>16</v>
      </c>
      <c r="D10" s="5">
        <v>2.85</v>
      </c>
      <c r="E10" s="102">
        <v>1508</v>
      </c>
      <c r="F10" s="101">
        <v>7.6</v>
      </c>
      <c r="G10" s="6">
        <f t="shared" si="0"/>
        <v>11460.8</v>
      </c>
      <c r="H10" s="7">
        <f t="shared" si="1"/>
        <v>121.6</v>
      </c>
      <c r="I10" s="116" t="s">
        <v>44</v>
      </c>
      <c r="J10" s="124">
        <v>6.9444444444444441E-3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17</v>
      </c>
      <c r="D11" s="5">
        <v>2.85</v>
      </c>
      <c r="E11" s="102">
        <v>1452</v>
      </c>
      <c r="F11" s="112">
        <v>55.5</v>
      </c>
      <c r="G11" s="6">
        <f t="shared" si="0"/>
        <v>80586</v>
      </c>
      <c r="H11" s="7">
        <f t="shared" si="1"/>
        <v>943.5</v>
      </c>
      <c r="I11" s="116" t="s">
        <v>246</v>
      </c>
      <c r="J11" s="124">
        <v>5.5555555555555552E-2</v>
      </c>
      <c r="K11" s="125" t="s">
        <v>247</v>
      </c>
    </row>
    <row r="12" spans="1:11" ht="19.25" customHeight="1" x14ac:dyDescent="0.2">
      <c r="A12" s="126"/>
      <c r="B12" s="123"/>
      <c r="C12" s="113"/>
      <c r="D12" s="5"/>
      <c r="E12" s="102"/>
      <c r="F12" s="115"/>
      <c r="G12" s="6"/>
      <c r="H12" s="7"/>
      <c r="I12" s="169"/>
      <c r="J12" s="170"/>
      <c r="K12" s="171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84</v>
      </c>
      <c r="G22" s="163">
        <f>SUM(G9:G21)/F22</f>
        <v>1471</v>
      </c>
      <c r="H22" s="164">
        <f>SUM(H9:H21)/F22</f>
        <v>16.411904761904761</v>
      </c>
      <c r="I22" s="144" t="s">
        <v>22</v>
      </c>
      <c r="J22" s="145">
        <v>8.3333333333333329E-2</v>
      </c>
      <c r="K22" s="142"/>
    </row>
    <row r="23" spans="1:11" x14ac:dyDescent="0.2">
      <c r="E23" s="146"/>
      <c r="F23" s="147"/>
      <c r="I23" s="165" t="s">
        <v>23</v>
      </c>
      <c r="J23" s="166">
        <v>2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84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</f>
        <v>1884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32.33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3F0BE71C-779A-4416-BB3A-7E01B3017296}">
      <formula1>$K$29:$K$85</formula1>
    </dataValidation>
    <dataValidation type="list" allowBlank="1" showInputMessage="1" showErrorMessage="1" sqref="B20:B21" xr:uid="{BEDA457A-56E9-457D-A49E-3043B7630D8F}">
      <formula1>$K$29:$K$40</formula1>
    </dataValidation>
    <dataValidation type="list" allowBlank="1" showInputMessage="1" showErrorMessage="1" sqref="I50 K15:K21" xr:uid="{B774F937-7EC3-4641-BA8A-5892655E6377}">
      <formula1>$I$41:$I$50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60EE-0A4F-4019-8001-20C1EB5D572C}">
  <dimension ref="A1:K85"/>
  <sheetViews>
    <sheetView topLeftCell="A5" workbookViewId="0">
      <selection activeCell="A5"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46045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9" x14ac:dyDescent="0.2">
      <c r="A9" s="172">
        <v>1</v>
      </c>
      <c r="B9" s="173" t="s">
        <v>236</v>
      </c>
      <c r="C9" s="174">
        <v>14</v>
      </c>
      <c r="D9" s="5">
        <v>2.85</v>
      </c>
      <c r="E9" s="177">
        <v>1494</v>
      </c>
      <c r="F9" s="178">
        <v>3.1</v>
      </c>
      <c r="G9" s="6">
        <f t="shared" ref="G9:G12" si="0">E9*F9</f>
        <v>4631.4000000000005</v>
      </c>
      <c r="H9" s="7">
        <f t="shared" ref="H9:H12" si="1">F9*C9</f>
        <v>43.4</v>
      </c>
      <c r="I9" s="169" t="s">
        <v>20</v>
      </c>
      <c r="J9" s="170">
        <v>2.0833333333333332E-2</v>
      </c>
      <c r="K9" s="171" t="s">
        <v>250</v>
      </c>
    </row>
    <row r="10" spans="1:11" ht="19" x14ac:dyDescent="0.2">
      <c r="A10" s="175">
        <v>2</v>
      </c>
      <c r="B10" s="173" t="s">
        <v>236</v>
      </c>
      <c r="C10" s="174">
        <v>15</v>
      </c>
      <c r="D10" s="5">
        <v>2.85</v>
      </c>
      <c r="E10" s="177">
        <v>1508</v>
      </c>
      <c r="F10" s="178">
        <v>26.9</v>
      </c>
      <c r="G10" s="6">
        <f t="shared" si="0"/>
        <v>40565.199999999997</v>
      </c>
      <c r="H10" s="7">
        <f t="shared" si="1"/>
        <v>403.5</v>
      </c>
      <c r="I10" s="181" t="s">
        <v>44</v>
      </c>
      <c r="J10" s="182">
        <v>2.4305555555555556E-2</v>
      </c>
      <c r="K10" s="171" t="s">
        <v>44</v>
      </c>
    </row>
    <row r="11" spans="1:11" ht="19" x14ac:dyDescent="0.2">
      <c r="A11" s="172">
        <v>3</v>
      </c>
      <c r="B11" s="173" t="s">
        <v>236</v>
      </c>
      <c r="C11" s="174">
        <v>16</v>
      </c>
      <c r="D11" s="5">
        <v>2.85</v>
      </c>
      <c r="E11" s="177">
        <v>1490</v>
      </c>
      <c r="F11" s="179">
        <v>21.4</v>
      </c>
      <c r="G11" s="6">
        <f t="shared" si="0"/>
        <v>31885.999999999996</v>
      </c>
      <c r="H11" s="7">
        <f t="shared" si="1"/>
        <v>342.4</v>
      </c>
      <c r="I11" s="116"/>
      <c r="J11" s="124"/>
      <c r="K11" s="125"/>
    </row>
    <row r="12" spans="1:11" ht="19.25" customHeight="1" x14ac:dyDescent="0.2">
      <c r="A12" s="175">
        <v>4</v>
      </c>
      <c r="B12" s="173" t="s">
        <v>263</v>
      </c>
      <c r="C12" s="176">
        <v>17</v>
      </c>
      <c r="D12" s="5">
        <v>2.85</v>
      </c>
      <c r="E12" s="177">
        <v>1436</v>
      </c>
      <c r="F12" s="180">
        <v>35.6</v>
      </c>
      <c r="G12" s="6">
        <f t="shared" si="0"/>
        <v>51121.599999999999</v>
      </c>
      <c r="H12" s="7">
        <f t="shared" si="1"/>
        <v>605.20000000000005</v>
      </c>
      <c r="I12" s="169"/>
      <c r="J12" s="170"/>
      <c r="K12" s="171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87</v>
      </c>
      <c r="G22" s="163">
        <f>SUM(G9:G21)/F22</f>
        <v>1473.6114942528734</v>
      </c>
      <c r="H22" s="164">
        <f>SUM(H9:H21)/F22</f>
        <v>16.028735632183906</v>
      </c>
      <c r="I22" s="144" t="s">
        <v>22</v>
      </c>
      <c r="J22" s="145">
        <v>4.5138888888888888E-2</v>
      </c>
      <c r="K22" s="142"/>
    </row>
    <row r="23" spans="1:11" x14ac:dyDescent="0.2">
      <c r="E23" s="146"/>
      <c r="F23" s="147"/>
      <c r="I23" s="165" t="s">
        <v>23</v>
      </c>
      <c r="J23" s="166">
        <v>1.08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87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</f>
        <v>1884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32.33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CF7AA50D-C9B9-4D69-9D76-1B5FD82E44FC}">
      <formula1>$I$41:$I$50</formula1>
    </dataValidation>
    <dataValidation type="list" allowBlank="1" showInputMessage="1" showErrorMessage="1" sqref="B20:B21" xr:uid="{705F3679-D1E3-4549-948E-1462B7D434BE}">
      <formula1>$K$29:$K$40</formula1>
    </dataValidation>
    <dataValidation type="list" allowBlank="1" showInputMessage="1" showErrorMessage="1" sqref="B16:B19" xr:uid="{91736ED3-BE2C-4D66-86B8-F906CF010F60}">
      <formula1>$K$29:$K$85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2082-A8AB-4B7F-9EDF-CE3FB06D2F04}">
  <dimension ref="A1:K85"/>
  <sheetViews>
    <sheetView topLeftCell="A7" workbookViewId="0">
      <selection activeCell="A7"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46046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14</v>
      </c>
      <c r="D9" s="5">
        <v>2.85</v>
      </c>
      <c r="E9" s="102">
        <v>1494</v>
      </c>
      <c r="F9" s="101">
        <v>7</v>
      </c>
      <c r="G9" s="6">
        <f t="shared" ref="G9:G13" si="0">E9*F9</f>
        <v>10458</v>
      </c>
      <c r="H9" s="7">
        <f t="shared" ref="H9:H13" si="1">F9*C9</f>
        <v>98</v>
      </c>
      <c r="I9" s="131" t="s">
        <v>20</v>
      </c>
      <c r="J9" s="130">
        <v>2.0833333333333332E-2</v>
      </c>
      <c r="K9" s="125" t="s">
        <v>250</v>
      </c>
    </row>
    <row r="10" spans="1:11" ht="17" x14ac:dyDescent="0.2">
      <c r="A10" s="126">
        <v>2</v>
      </c>
      <c r="B10" s="123" t="s">
        <v>236</v>
      </c>
      <c r="C10" s="100">
        <v>15</v>
      </c>
      <c r="D10" s="5">
        <v>2.85</v>
      </c>
      <c r="E10" s="102">
        <v>1485</v>
      </c>
      <c r="F10" s="101">
        <v>25</v>
      </c>
      <c r="G10" s="6">
        <f t="shared" si="0"/>
        <v>37125</v>
      </c>
      <c r="H10" s="7">
        <f t="shared" si="1"/>
        <v>375</v>
      </c>
      <c r="I10" s="116" t="s">
        <v>44</v>
      </c>
      <c r="J10" s="124">
        <v>3.4722222222222224E-2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16</v>
      </c>
      <c r="D11" s="5">
        <v>2.85</v>
      </c>
      <c r="E11" s="102">
        <v>1490</v>
      </c>
      <c r="F11" s="112">
        <v>7.6</v>
      </c>
      <c r="G11" s="6">
        <f t="shared" si="0"/>
        <v>11324</v>
      </c>
      <c r="H11" s="7">
        <f t="shared" si="1"/>
        <v>121.6</v>
      </c>
      <c r="I11" s="116"/>
      <c r="J11" s="124"/>
      <c r="K11" s="125"/>
    </row>
    <row r="12" spans="1:11" ht="19.25" customHeight="1" x14ac:dyDescent="0.2">
      <c r="A12" s="126">
        <v>4</v>
      </c>
      <c r="B12" s="123" t="s">
        <v>236</v>
      </c>
      <c r="C12" s="113">
        <v>19</v>
      </c>
      <c r="D12" s="5">
        <v>2.85</v>
      </c>
      <c r="E12" s="102">
        <v>1444</v>
      </c>
      <c r="F12" s="115">
        <v>35.9</v>
      </c>
      <c r="G12" s="6">
        <f t="shared" si="0"/>
        <v>51839.6</v>
      </c>
      <c r="H12" s="7">
        <f t="shared" si="1"/>
        <v>682.1</v>
      </c>
      <c r="I12" s="131"/>
      <c r="J12" s="130"/>
      <c r="K12" s="125"/>
    </row>
    <row r="13" spans="1:11" ht="17" x14ac:dyDescent="0.2">
      <c r="A13" s="127">
        <v>5</v>
      </c>
      <c r="B13" s="123" t="s">
        <v>248</v>
      </c>
      <c r="C13" s="113">
        <v>18</v>
      </c>
      <c r="D13" s="5">
        <v>2.85</v>
      </c>
      <c r="E13" s="114">
        <v>1436</v>
      </c>
      <c r="F13" s="115">
        <v>13.5</v>
      </c>
      <c r="G13" s="6">
        <f t="shared" si="0"/>
        <v>19386</v>
      </c>
      <c r="H13" s="7">
        <f t="shared" si="1"/>
        <v>243</v>
      </c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89</v>
      </c>
      <c r="G22" s="163">
        <f>SUM(G9:G21)/F22</f>
        <v>1462.1640449438203</v>
      </c>
      <c r="H22" s="164">
        <f>SUM(H9:H21)/F22</f>
        <v>17.075280898876404</v>
      </c>
      <c r="I22" s="144" t="s">
        <v>22</v>
      </c>
      <c r="J22" s="145">
        <v>5.5555555555555552E-2</v>
      </c>
      <c r="K22" s="142"/>
    </row>
    <row r="23" spans="1:11" x14ac:dyDescent="0.2">
      <c r="E23" s="146"/>
      <c r="F23" s="147"/>
      <c r="I23" s="165" t="s">
        <v>23</v>
      </c>
      <c r="J23" s="166">
        <v>1.33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89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88+91+72+68+88+87+75+90+88+84+85+110+115+85+82+88+72+74+87+87+84+84+87+89</f>
        <v>2060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34.75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4E58001C-DFE0-4FC6-A90F-04A8CA181D5D}">
      <formula1>$K$29:$K$85</formula1>
    </dataValidation>
    <dataValidation type="list" allowBlank="1" showInputMessage="1" showErrorMessage="1" sqref="B20:B21" xr:uid="{2294A093-E706-4C1E-836E-413834138939}">
      <formula1>$K$29:$K$40</formula1>
    </dataValidation>
    <dataValidation type="list" allowBlank="1" showInputMessage="1" showErrorMessage="1" sqref="I50 K15:K21" xr:uid="{B473A831-920B-4339-ACA1-301B21458847}">
      <formula1>$I$41:$I$50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ECCB-4E70-42B3-B712-96A3E141BACA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46047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14</v>
      </c>
      <c r="D9" s="5">
        <v>2.85</v>
      </c>
      <c r="E9" s="102">
        <v>1489</v>
      </c>
      <c r="F9" s="101">
        <v>11.5</v>
      </c>
      <c r="G9" s="6">
        <f t="shared" ref="G9:G15" si="0">E9*F9</f>
        <v>17123.5</v>
      </c>
      <c r="H9" s="7">
        <f t="shared" ref="H9:H15" si="1">F9*C9</f>
        <v>161</v>
      </c>
      <c r="I9" s="131" t="s">
        <v>20</v>
      </c>
      <c r="J9" s="130">
        <v>2.0833333333333332E-2</v>
      </c>
      <c r="K9" s="125" t="s">
        <v>250</v>
      </c>
    </row>
    <row r="10" spans="1:11" ht="17" x14ac:dyDescent="0.2">
      <c r="A10" s="126">
        <v>2</v>
      </c>
      <c r="B10" s="123" t="s">
        <v>236</v>
      </c>
      <c r="C10" s="100">
        <v>15</v>
      </c>
      <c r="D10" s="5">
        <v>2.85</v>
      </c>
      <c r="E10" s="102">
        <v>1503</v>
      </c>
      <c r="F10" s="101">
        <v>10</v>
      </c>
      <c r="G10" s="6">
        <f t="shared" si="0"/>
        <v>15030</v>
      </c>
      <c r="H10" s="7">
        <f t="shared" si="1"/>
        <v>150</v>
      </c>
      <c r="I10" s="116" t="s">
        <v>44</v>
      </c>
      <c r="J10" s="124">
        <v>3.125E-2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17</v>
      </c>
      <c r="D11" s="5">
        <v>2.85</v>
      </c>
      <c r="E11" s="102">
        <v>1470</v>
      </c>
      <c r="F11" s="112">
        <v>3.5</v>
      </c>
      <c r="G11" s="6">
        <f t="shared" si="0"/>
        <v>5145</v>
      </c>
      <c r="H11" s="7">
        <f t="shared" si="1"/>
        <v>59.5</v>
      </c>
      <c r="I11" s="116" t="s">
        <v>246</v>
      </c>
      <c r="J11" s="124">
        <v>4.8611111111111112E-2</v>
      </c>
      <c r="K11" s="125" t="s">
        <v>247</v>
      </c>
    </row>
    <row r="12" spans="1:11" ht="19.25" customHeight="1" x14ac:dyDescent="0.2">
      <c r="A12" s="126">
        <v>4</v>
      </c>
      <c r="B12" s="123" t="s">
        <v>249</v>
      </c>
      <c r="C12" s="113">
        <v>24</v>
      </c>
      <c r="D12" s="5">
        <v>2.85</v>
      </c>
      <c r="E12" s="102">
        <v>1105</v>
      </c>
      <c r="F12" s="115">
        <v>13.8</v>
      </c>
      <c r="G12" s="6">
        <f t="shared" si="0"/>
        <v>15249</v>
      </c>
      <c r="H12" s="7">
        <f t="shared" si="1"/>
        <v>331.20000000000005</v>
      </c>
      <c r="I12" s="131"/>
      <c r="J12" s="130"/>
      <c r="K12" s="125"/>
    </row>
    <row r="13" spans="1:11" ht="17" x14ac:dyDescent="0.2">
      <c r="A13" s="127">
        <v>5</v>
      </c>
      <c r="B13" s="123" t="s">
        <v>249</v>
      </c>
      <c r="C13" s="113">
        <v>28</v>
      </c>
      <c r="D13" s="5">
        <v>2.85</v>
      </c>
      <c r="E13" s="114">
        <v>989</v>
      </c>
      <c r="F13" s="115">
        <v>4</v>
      </c>
      <c r="G13" s="6">
        <f t="shared" si="0"/>
        <v>3956</v>
      </c>
      <c r="H13" s="7">
        <f t="shared" si="1"/>
        <v>112</v>
      </c>
      <c r="I13" s="116"/>
      <c r="J13" s="124"/>
      <c r="K13" s="125"/>
    </row>
    <row r="14" spans="1:11" ht="17" x14ac:dyDescent="0.2">
      <c r="A14" s="122">
        <v>6</v>
      </c>
      <c r="B14" s="123" t="s">
        <v>249</v>
      </c>
      <c r="C14" s="117">
        <v>30</v>
      </c>
      <c r="D14" s="5">
        <v>2.85</v>
      </c>
      <c r="E14" s="118">
        <v>939</v>
      </c>
      <c r="F14" s="119">
        <v>31.2</v>
      </c>
      <c r="G14" s="6">
        <f t="shared" si="0"/>
        <v>29296.799999999999</v>
      </c>
      <c r="H14" s="7">
        <f t="shared" si="1"/>
        <v>936</v>
      </c>
      <c r="I14" s="131"/>
      <c r="J14" s="124"/>
      <c r="K14" s="125"/>
    </row>
    <row r="15" spans="1:11" ht="17" x14ac:dyDescent="0.2">
      <c r="A15" s="126">
        <v>7</v>
      </c>
      <c r="B15" s="123" t="s">
        <v>249</v>
      </c>
      <c r="C15" s="128">
        <v>32</v>
      </c>
      <c r="D15" s="5">
        <v>2.85</v>
      </c>
      <c r="E15" s="118">
        <v>968</v>
      </c>
      <c r="F15" s="129">
        <v>20</v>
      </c>
      <c r="G15" s="6">
        <f t="shared" si="0"/>
        <v>19360</v>
      </c>
      <c r="H15" s="7">
        <f t="shared" si="1"/>
        <v>640</v>
      </c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94</v>
      </c>
      <c r="G22" s="163">
        <f>SUM(G9:G21)/F22</f>
        <v>1118.7265957446809</v>
      </c>
      <c r="H22" s="164">
        <f>SUM(H9:H21)/F22</f>
        <v>25.422340425531914</v>
      </c>
      <c r="I22" s="144" t="s">
        <v>22</v>
      </c>
      <c r="J22" s="145">
        <v>0.10069444444444445</v>
      </c>
      <c r="K22" s="142"/>
    </row>
    <row r="23" spans="1:11" x14ac:dyDescent="0.2">
      <c r="E23" s="146"/>
      <c r="F23" s="147"/>
      <c r="I23" s="165" t="s">
        <v>23</v>
      </c>
      <c r="J23" s="166">
        <v>2.42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94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88+91+72+68+88+87+75+90+88+84+85+110+115+85+82+88+72+74+87+87+84+84+87+89+94</f>
        <v>2154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37.17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495E7C25-3D9B-4623-8253-6B4430568F2A}">
      <formula1>$I$41:$I$50</formula1>
    </dataValidation>
    <dataValidation type="list" allowBlank="1" showInputMessage="1" showErrorMessage="1" sqref="B20:B21" xr:uid="{E33AA3F9-C4BE-4273-80D1-FB2E1ADFCCB6}">
      <formula1>$K$29:$K$40</formula1>
    </dataValidation>
    <dataValidation type="list" allowBlank="1" showInputMessage="1" showErrorMessage="1" sqref="B16:B19" xr:uid="{183CF069-10E0-4470-81C8-CB43E1E1989A}">
      <formula1>$K$29:$K$85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7630-9DEF-4446-8838-293948788B44}">
  <dimension ref="A1:K85"/>
  <sheetViews>
    <sheetView topLeftCell="A7" workbookViewId="0">
      <selection activeCell="A7"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46048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249</v>
      </c>
      <c r="C9" s="100">
        <v>32</v>
      </c>
      <c r="D9" s="5">
        <v>2.85</v>
      </c>
      <c r="E9" s="102">
        <v>956</v>
      </c>
      <c r="F9" s="101">
        <v>26</v>
      </c>
      <c r="G9" s="6">
        <f t="shared" ref="G9:G11" si="0">E9*F9</f>
        <v>24856</v>
      </c>
      <c r="H9" s="7">
        <f t="shared" ref="H9:H11" si="1">F9*C9</f>
        <v>832</v>
      </c>
      <c r="I9" s="131" t="s">
        <v>20</v>
      </c>
      <c r="J9" s="130">
        <v>2.0833333333333332E-2</v>
      </c>
      <c r="K9" s="125" t="s">
        <v>250</v>
      </c>
    </row>
    <row r="10" spans="1:11" ht="17" x14ac:dyDescent="0.2">
      <c r="A10" s="126">
        <v>2</v>
      </c>
      <c r="B10" s="123" t="s">
        <v>249</v>
      </c>
      <c r="C10" s="100">
        <v>34</v>
      </c>
      <c r="D10" s="5">
        <v>2.85</v>
      </c>
      <c r="E10" s="102">
        <v>881</v>
      </c>
      <c r="F10" s="101">
        <v>54</v>
      </c>
      <c r="G10" s="6">
        <f t="shared" si="0"/>
        <v>47574</v>
      </c>
      <c r="H10" s="7">
        <f t="shared" si="1"/>
        <v>1836</v>
      </c>
      <c r="I10" s="116" t="s">
        <v>44</v>
      </c>
      <c r="J10" s="124">
        <v>2.4305555555555556E-2</v>
      </c>
      <c r="K10" s="125" t="s">
        <v>44</v>
      </c>
    </row>
    <row r="11" spans="1:11" ht="17" x14ac:dyDescent="0.2">
      <c r="A11" s="122">
        <v>3</v>
      </c>
      <c r="B11" s="123" t="s">
        <v>249</v>
      </c>
      <c r="C11" s="100">
        <v>36</v>
      </c>
      <c r="D11" s="5">
        <v>2.85</v>
      </c>
      <c r="E11" s="102">
        <v>854</v>
      </c>
      <c r="F11" s="112">
        <v>28</v>
      </c>
      <c r="G11" s="6">
        <f t="shared" si="0"/>
        <v>23912</v>
      </c>
      <c r="H11" s="7">
        <f t="shared" si="1"/>
        <v>1008</v>
      </c>
      <c r="I11" s="116" t="s">
        <v>246</v>
      </c>
      <c r="J11" s="124">
        <v>5.5555555555555552E-2</v>
      </c>
      <c r="K11" s="125" t="s">
        <v>247</v>
      </c>
    </row>
    <row r="12" spans="1:11" ht="19.25" customHeight="1" x14ac:dyDescent="0.2">
      <c r="A12" s="126"/>
      <c r="B12" s="123"/>
      <c r="C12" s="113"/>
      <c r="D12" s="5"/>
      <c r="E12" s="102"/>
      <c r="F12" s="115"/>
      <c r="G12" s="6"/>
      <c r="H12" s="7"/>
      <c r="I12" s="131" t="s">
        <v>264</v>
      </c>
      <c r="J12" s="130">
        <v>1.3888888888888888E-2</v>
      </c>
      <c r="K12" s="125" t="s">
        <v>265</v>
      </c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108</v>
      </c>
      <c r="G22" s="163">
        <f>SUM(G9:G21)/F22</f>
        <v>892.05555555555554</v>
      </c>
      <c r="H22" s="164">
        <f>SUM(H9:H21)/F22</f>
        <v>34.037037037037038</v>
      </c>
      <c r="I22" s="144" t="s">
        <v>22</v>
      </c>
      <c r="J22" s="145">
        <v>0.11458333333333333</v>
      </c>
      <c r="K22" s="142"/>
    </row>
    <row r="23" spans="1:11" x14ac:dyDescent="0.2">
      <c r="E23" s="146"/>
      <c r="F23" s="147"/>
      <c r="I23" s="165" t="s">
        <v>23</v>
      </c>
      <c r="J23" s="166">
        <v>2.75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108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88+91+72+68+88+87+75+90+88+84+85+110+115+85+82+88+72+74+87+87+84+84+87+89+94+108</f>
        <v>2262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39.92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93445357-045B-4905-8B6D-CD21ADE87110}">
      <formula1>$K$29:$K$85</formula1>
    </dataValidation>
    <dataValidation type="list" allowBlank="1" showInputMessage="1" showErrorMessage="1" sqref="B20:B21" xr:uid="{A946DF24-5574-4B2F-84D6-F5CF07E88BD3}">
      <formula1>$K$29:$K$40</formula1>
    </dataValidation>
    <dataValidation type="list" allowBlank="1" showInputMessage="1" showErrorMessage="1" sqref="I50 K15:K21" xr:uid="{54351BDB-4471-4331-BE57-CA01D365180A}">
      <formula1>$I$41:$I$50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8929-2F94-4CCE-B78A-84939DFCFBE3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46049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17</v>
      </c>
      <c r="D9" s="5">
        <v>2.85</v>
      </c>
      <c r="E9" s="102">
        <v>1444</v>
      </c>
      <c r="F9" s="101">
        <v>67</v>
      </c>
      <c r="G9" s="6">
        <f t="shared" ref="G9:G11" si="0">E9*F9</f>
        <v>96748</v>
      </c>
      <c r="H9" s="7">
        <f t="shared" ref="H9:H11" si="1">F9*C9</f>
        <v>1139</v>
      </c>
      <c r="I9" s="131" t="s">
        <v>20</v>
      </c>
      <c r="J9" s="130">
        <v>2.4305555555555556E-2</v>
      </c>
      <c r="K9" s="125" t="s">
        <v>250</v>
      </c>
    </row>
    <row r="10" spans="1:11" ht="17" x14ac:dyDescent="0.2">
      <c r="A10" s="126">
        <v>2</v>
      </c>
      <c r="B10" s="123" t="s">
        <v>236</v>
      </c>
      <c r="C10" s="100">
        <v>18</v>
      </c>
      <c r="D10" s="5">
        <v>2.85</v>
      </c>
      <c r="E10" s="102">
        <v>1444</v>
      </c>
      <c r="F10" s="101">
        <v>14</v>
      </c>
      <c r="G10" s="6">
        <f t="shared" si="0"/>
        <v>20216</v>
      </c>
      <c r="H10" s="7">
        <f t="shared" si="1"/>
        <v>252</v>
      </c>
      <c r="I10" s="116" t="s">
        <v>44</v>
      </c>
      <c r="J10" s="124">
        <v>6.9444444444444441E-3</v>
      </c>
      <c r="K10" s="125" t="s">
        <v>44</v>
      </c>
    </row>
    <row r="11" spans="1:11" ht="17" x14ac:dyDescent="0.2">
      <c r="A11" s="122">
        <v>3</v>
      </c>
      <c r="B11" s="123" t="s">
        <v>249</v>
      </c>
      <c r="C11" s="100">
        <v>32</v>
      </c>
      <c r="D11" s="5">
        <v>2.85</v>
      </c>
      <c r="E11" s="102">
        <v>956</v>
      </c>
      <c r="F11" s="112">
        <v>10</v>
      </c>
      <c r="G11" s="6">
        <f t="shared" si="0"/>
        <v>9560</v>
      </c>
      <c r="H11" s="7">
        <f t="shared" si="1"/>
        <v>320</v>
      </c>
      <c r="I11" s="116" t="s">
        <v>266</v>
      </c>
      <c r="J11" s="124">
        <v>8.3333333333333329E-2</v>
      </c>
      <c r="K11" s="125" t="s">
        <v>267</v>
      </c>
    </row>
    <row r="12" spans="1:11" ht="19.25" customHeight="1" x14ac:dyDescent="0.2">
      <c r="A12" s="126"/>
      <c r="B12" s="123"/>
      <c r="C12" s="113"/>
      <c r="D12" s="5"/>
      <c r="E12" s="102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91</v>
      </c>
      <c r="G22" s="163">
        <f>SUM(G9:G21)/F22</f>
        <v>1390.3736263736264</v>
      </c>
      <c r="H22" s="164">
        <f>SUM(H9:H21)/F22</f>
        <v>18.802197802197803</v>
      </c>
      <c r="I22" s="144" t="s">
        <v>22</v>
      </c>
      <c r="J22" s="145">
        <v>0.11458333333333333</v>
      </c>
      <c r="K22" s="142"/>
    </row>
    <row r="23" spans="1:11" x14ac:dyDescent="0.2">
      <c r="E23" s="146"/>
      <c r="F23" s="147"/>
      <c r="I23" s="165" t="s">
        <v>23</v>
      </c>
      <c r="J23" s="166">
        <v>2.75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91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88+91+72+68+88+87+75+90+88+84+85+110+115+85+82+88+72+74+87+87+84+84+87+89+94+108+91</f>
        <v>2353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42.67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44A46F37-0113-47ED-B54E-31F2CC48A452}">
      <formula1>$I$41:$I$50</formula1>
    </dataValidation>
    <dataValidation type="list" allowBlank="1" showInputMessage="1" showErrorMessage="1" sqref="B20:B21" xr:uid="{39B59A66-C6E5-40F5-97AF-35E0C75A3A71}">
      <formula1>$K$29:$K$40</formula1>
    </dataValidation>
    <dataValidation type="list" allowBlank="1" showInputMessage="1" showErrorMessage="1" sqref="B16:B19" xr:uid="{B44DEC4E-F261-4D99-80E5-4E2FE86BC1AC}">
      <formula1>$K$29:$K$85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E0BA-65A9-4781-ABA5-54DF96A481AC}">
  <dimension ref="A1:K85"/>
  <sheetViews>
    <sheetView topLeftCell="A10" workbookViewId="0">
      <selection activeCell="A10"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46050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236</v>
      </c>
      <c r="C9" s="100">
        <v>14</v>
      </c>
      <c r="D9" s="5">
        <v>2.85</v>
      </c>
      <c r="E9" s="102">
        <v>1498</v>
      </c>
      <c r="F9" s="101">
        <v>6.9</v>
      </c>
      <c r="G9" s="6">
        <f t="shared" ref="G9:G12" si="0">E9*F9</f>
        <v>10336.200000000001</v>
      </c>
      <c r="H9" s="7">
        <f t="shared" ref="H9:H12" si="1">F9*C9</f>
        <v>96.600000000000009</v>
      </c>
      <c r="I9" s="131" t="s">
        <v>20</v>
      </c>
      <c r="J9" s="130">
        <v>2.0833333333333332E-2</v>
      </c>
      <c r="K9" s="125" t="s">
        <v>250</v>
      </c>
    </row>
    <row r="10" spans="1:11" ht="17" x14ac:dyDescent="0.2">
      <c r="A10" s="126">
        <v>2</v>
      </c>
      <c r="B10" s="123" t="s">
        <v>236</v>
      </c>
      <c r="C10" s="100">
        <v>15</v>
      </c>
      <c r="D10" s="5">
        <v>2.85</v>
      </c>
      <c r="E10" s="102">
        <v>1508</v>
      </c>
      <c r="F10" s="101">
        <v>52.1</v>
      </c>
      <c r="G10" s="6">
        <f t="shared" si="0"/>
        <v>78566.8</v>
      </c>
      <c r="H10" s="7">
        <f t="shared" si="1"/>
        <v>781.5</v>
      </c>
      <c r="I10" s="116" t="s">
        <v>44</v>
      </c>
      <c r="J10" s="124">
        <v>1.7361111111111112E-2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16</v>
      </c>
      <c r="D11" s="5">
        <v>2.85</v>
      </c>
      <c r="E11" s="102">
        <v>1490</v>
      </c>
      <c r="F11" s="112">
        <v>16</v>
      </c>
      <c r="G11" s="6">
        <f t="shared" si="0"/>
        <v>23840</v>
      </c>
      <c r="H11" s="7">
        <f t="shared" si="1"/>
        <v>256</v>
      </c>
      <c r="I11" s="116"/>
      <c r="J11" s="124"/>
      <c r="K11" s="125"/>
    </row>
    <row r="12" spans="1:11" ht="19.25" customHeight="1" x14ac:dyDescent="0.2">
      <c r="A12" s="126">
        <v>4</v>
      </c>
      <c r="B12" s="123" t="s">
        <v>236</v>
      </c>
      <c r="C12" s="113">
        <v>17</v>
      </c>
      <c r="D12" s="5">
        <v>2.85</v>
      </c>
      <c r="E12" s="102">
        <v>1503</v>
      </c>
      <c r="F12" s="115">
        <v>15</v>
      </c>
      <c r="G12" s="6">
        <f t="shared" si="0"/>
        <v>22545</v>
      </c>
      <c r="H12" s="7">
        <f t="shared" si="1"/>
        <v>255</v>
      </c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90</v>
      </c>
      <c r="G22" s="163">
        <f>SUM(G9:G21)/F22</f>
        <v>1503.2</v>
      </c>
      <c r="H22" s="164">
        <f>SUM(H9:H21)/F22</f>
        <v>15.434444444444443</v>
      </c>
      <c r="I22" s="144" t="s">
        <v>22</v>
      </c>
      <c r="J22" s="145">
        <v>3.8194444444444448E-2</v>
      </c>
      <c r="K22" s="142"/>
    </row>
    <row r="23" spans="1:11" x14ac:dyDescent="0.2">
      <c r="E23" s="146"/>
      <c r="F23" s="147"/>
      <c r="I23" s="165" t="s">
        <v>23</v>
      </c>
      <c r="J23" s="166">
        <v>0.92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90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88+91+72+68+88+87+75+90+88+84+85+110+115+85+82+88+72+74+87+87+84+84+87+89+94+108+91+90</f>
        <v>2443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43.58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0903A6F1-B021-44FA-9339-3B09301F3AA9}">
      <formula1>$K$29:$K$85</formula1>
    </dataValidation>
    <dataValidation type="list" allowBlank="1" showInputMessage="1" showErrorMessage="1" sqref="B20:B21" xr:uid="{6A7C24AB-4BF3-468B-92EF-BF7881034CC4}">
      <formula1>$K$29:$K$40</formula1>
    </dataValidation>
    <dataValidation type="list" allowBlank="1" showInputMessage="1" showErrorMessage="1" sqref="I50 K15:K21" xr:uid="{04393031-B3CD-45FA-8524-75F7AC7D927A}">
      <formula1>$I$41:$I$50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09E2-C8F7-4C2D-92B2-0354E91AD9DC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46051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13.5</v>
      </c>
      <c r="D9" s="5">
        <v>2.85</v>
      </c>
      <c r="E9" s="102">
        <v>1458</v>
      </c>
      <c r="F9" s="101">
        <v>38.700000000000003</v>
      </c>
      <c r="G9" s="6">
        <f t="shared" ref="G9:G11" si="0">E9*F9</f>
        <v>56424.600000000006</v>
      </c>
      <c r="H9" s="7">
        <f t="shared" ref="H9:H11" si="1">F9*C9</f>
        <v>522.45000000000005</v>
      </c>
      <c r="I9" s="131" t="s">
        <v>20</v>
      </c>
      <c r="J9" s="130">
        <v>2.7777777777777776E-2</v>
      </c>
      <c r="K9" s="125" t="s">
        <v>250</v>
      </c>
    </row>
    <row r="10" spans="1:11" ht="17" x14ac:dyDescent="0.2">
      <c r="A10" s="126">
        <v>2</v>
      </c>
      <c r="B10" s="123" t="s">
        <v>268</v>
      </c>
      <c r="C10" s="100">
        <v>13</v>
      </c>
      <c r="D10" s="5">
        <v>2.85</v>
      </c>
      <c r="E10" s="102">
        <v>1485</v>
      </c>
      <c r="F10" s="101">
        <v>7.8</v>
      </c>
      <c r="G10" s="6">
        <f t="shared" si="0"/>
        <v>11583</v>
      </c>
      <c r="H10" s="7">
        <f t="shared" si="1"/>
        <v>101.39999999999999</v>
      </c>
      <c r="I10" s="116" t="s">
        <v>44</v>
      </c>
      <c r="J10" s="124">
        <v>6.9444444444444441E-3</v>
      </c>
      <c r="K10" s="125" t="s">
        <v>44</v>
      </c>
    </row>
    <row r="11" spans="1:11" ht="17" x14ac:dyDescent="0.2">
      <c r="A11" s="122">
        <v>3</v>
      </c>
      <c r="B11" s="123" t="s">
        <v>236</v>
      </c>
      <c r="C11" s="100">
        <v>14</v>
      </c>
      <c r="D11" s="5">
        <v>2.85</v>
      </c>
      <c r="E11" s="102">
        <v>1498</v>
      </c>
      <c r="F11" s="112">
        <v>28.5</v>
      </c>
      <c r="G11" s="6">
        <f t="shared" si="0"/>
        <v>42693</v>
      </c>
      <c r="H11" s="7">
        <f t="shared" si="1"/>
        <v>399</v>
      </c>
      <c r="I11" s="116" t="s">
        <v>269</v>
      </c>
      <c r="J11" s="124">
        <v>8.3333333333333329E-2</v>
      </c>
      <c r="K11" s="125" t="s">
        <v>58</v>
      </c>
    </row>
    <row r="12" spans="1:11" ht="19.25" customHeight="1" x14ac:dyDescent="0.2">
      <c r="A12" s="126"/>
      <c r="B12" s="123"/>
      <c r="C12" s="113"/>
      <c r="D12" s="5"/>
      <c r="E12" s="102"/>
      <c r="F12" s="115"/>
      <c r="G12" s="6"/>
      <c r="H12" s="7"/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75</v>
      </c>
      <c r="G22" s="163">
        <f>SUM(G9:G21)/F22</f>
        <v>1476.008</v>
      </c>
      <c r="H22" s="164">
        <f>SUM(H9:H21)/F22</f>
        <v>13.638</v>
      </c>
      <c r="I22" s="144" t="s">
        <v>22</v>
      </c>
      <c r="J22" s="145">
        <v>0.11805555555555555</v>
      </c>
      <c r="K22" s="142"/>
    </row>
    <row r="23" spans="1:11" x14ac:dyDescent="0.2">
      <c r="E23" s="146"/>
      <c r="F23" s="147"/>
      <c r="I23" s="165" t="s">
        <v>23</v>
      </c>
      <c r="J23" s="166">
        <v>2.83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75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88+91+72+68+88+87+75+90+88+84+85+110+115+85+82+88+72+74+87+87+84+84+87+89+94+108+91+90+75</f>
        <v>2518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46.42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FF6B5049-9A78-4DDB-A9DE-D0E840978973}">
      <formula1>$I$41:$I$50</formula1>
    </dataValidation>
    <dataValidation type="list" allowBlank="1" showInputMessage="1" showErrorMessage="1" sqref="B20:B21" xr:uid="{3772011B-42C5-46BD-9116-51163A035BFC}">
      <formula1>$K$29:$K$40</formula1>
    </dataValidation>
    <dataValidation type="list" allowBlank="1" showInputMessage="1" showErrorMessage="1" sqref="B16:B19" xr:uid="{C7ED88BA-13A3-49D2-B20F-8C8F96A16637}">
      <formula1>$K$29:$K$85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F391-13BB-47FD-AF0B-4C3EF22D3521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46052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11</v>
      </c>
      <c r="D9" s="5">
        <v>2.85</v>
      </c>
      <c r="E9" s="102">
        <v>1458</v>
      </c>
      <c r="F9" s="101">
        <v>4</v>
      </c>
      <c r="G9" s="6">
        <f t="shared" ref="G9:G12" si="0">E9*F9</f>
        <v>5832</v>
      </c>
      <c r="H9" s="7">
        <f t="shared" ref="H9:H12" si="1">F9*C9</f>
        <v>44</v>
      </c>
      <c r="I9" s="131" t="s">
        <v>20</v>
      </c>
      <c r="J9" s="130">
        <v>2.4305555555555556E-2</v>
      </c>
      <c r="K9" s="125" t="s">
        <v>250</v>
      </c>
    </row>
    <row r="10" spans="1:11" ht="17" x14ac:dyDescent="0.2">
      <c r="A10" s="126">
        <v>2</v>
      </c>
      <c r="B10" s="123" t="s">
        <v>241</v>
      </c>
      <c r="C10" s="100">
        <v>12.5</v>
      </c>
      <c r="D10" s="5">
        <v>2.85</v>
      </c>
      <c r="E10" s="102">
        <v>1472</v>
      </c>
      <c r="F10" s="101">
        <v>5.0999999999999996</v>
      </c>
      <c r="G10" s="6">
        <f t="shared" si="0"/>
        <v>7507.2</v>
      </c>
      <c r="H10" s="7">
        <f t="shared" si="1"/>
        <v>63.749999999999993</v>
      </c>
      <c r="I10" s="116" t="s">
        <v>44</v>
      </c>
      <c r="J10" s="124">
        <v>1.3888888888888888E-2</v>
      </c>
      <c r="K10" s="125" t="s">
        <v>44</v>
      </c>
    </row>
    <row r="11" spans="1:11" ht="17" x14ac:dyDescent="0.2">
      <c r="A11" s="122">
        <v>3</v>
      </c>
      <c r="B11" s="123" t="s">
        <v>270</v>
      </c>
      <c r="C11" s="100">
        <v>11</v>
      </c>
      <c r="D11" s="5">
        <v>2.85</v>
      </c>
      <c r="E11" s="102">
        <v>1430</v>
      </c>
      <c r="F11" s="112">
        <v>38</v>
      </c>
      <c r="G11" s="6">
        <f t="shared" si="0"/>
        <v>54340</v>
      </c>
      <c r="H11" s="7">
        <f t="shared" si="1"/>
        <v>418</v>
      </c>
      <c r="I11" s="116" t="s">
        <v>245</v>
      </c>
      <c r="J11" s="124">
        <v>1.3888888888888888E-2</v>
      </c>
      <c r="K11" s="125" t="s">
        <v>245</v>
      </c>
    </row>
    <row r="12" spans="1:11" ht="19.25" customHeight="1" x14ac:dyDescent="0.2">
      <c r="A12" s="126">
        <v>4</v>
      </c>
      <c r="B12" s="123" t="s">
        <v>270</v>
      </c>
      <c r="C12" s="113">
        <v>13</v>
      </c>
      <c r="D12" s="5">
        <v>2.85</v>
      </c>
      <c r="E12" s="102">
        <v>1480</v>
      </c>
      <c r="F12" s="115">
        <v>18.899999999999999</v>
      </c>
      <c r="G12" s="6">
        <f t="shared" si="0"/>
        <v>27971.999999999996</v>
      </c>
      <c r="H12" s="7">
        <f t="shared" si="1"/>
        <v>245.7</v>
      </c>
      <c r="I12" s="131"/>
      <c r="J12" s="130"/>
      <c r="K12" s="125"/>
    </row>
    <row r="13" spans="1:11" x14ac:dyDescent="0.2">
      <c r="A13" s="127"/>
      <c r="B13" s="123"/>
      <c r="C13" s="113"/>
      <c r="D13" s="5"/>
      <c r="E13" s="114"/>
      <c r="F13" s="115"/>
      <c r="G13" s="6"/>
      <c r="H13" s="7"/>
      <c r="I13" s="116"/>
      <c r="J13" s="124"/>
      <c r="K13" s="125"/>
    </row>
    <row r="14" spans="1:11" x14ac:dyDescent="0.2">
      <c r="A14" s="122"/>
      <c r="B14" s="123"/>
      <c r="C14" s="117"/>
      <c r="D14" s="5"/>
      <c r="E14" s="118"/>
      <c r="F14" s="119"/>
      <c r="G14" s="6"/>
      <c r="H14" s="7"/>
      <c r="I14" s="131"/>
      <c r="J14" s="124"/>
      <c r="K14" s="125"/>
    </row>
    <row r="15" spans="1:11" x14ac:dyDescent="0.2">
      <c r="A15" s="126"/>
      <c r="B15" s="123"/>
      <c r="C15" s="128"/>
      <c r="D15" s="5"/>
      <c r="E15" s="118"/>
      <c r="F15" s="129"/>
      <c r="G15" s="6"/>
      <c r="H15" s="7"/>
      <c r="I15" s="10"/>
      <c r="J15" s="9"/>
      <c r="K15" s="8"/>
    </row>
    <row r="16" spans="1:11" x14ac:dyDescent="0.2">
      <c r="A16" s="133"/>
      <c r="B16" s="134"/>
      <c r="C16" s="100"/>
      <c r="D16" s="5"/>
      <c r="E16" s="114"/>
      <c r="F16" s="100"/>
      <c r="G16" s="6"/>
      <c r="H16" s="7"/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66</v>
      </c>
      <c r="G22" s="163">
        <f>SUM(G9:G21)/F22</f>
        <v>1449.2606060606061</v>
      </c>
      <c r="H22" s="164">
        <f>SUM(H9:H21)/F22</f>
        <v>11.688636363636364</v>
      </c>
      <c r="I22" s="144" t="s">
        <v>22</v>
      </c>
      <c r="J22" s="145">
        <v>5.2083333333333336E-2</v>
      </c>
      <c r="K22" s="142"/>
    </row>
    <row r="23" spans="1:11" x14ac:dyDescent="0.2">
      <c r="E23" s="146"/>
      <c r="F23" s="147"/>
      <c r="I23" s="165" t="s">
        <v>23</v>
      </c>
      <c r="J23" s="166">
        <v>1.25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66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88+91+72+68+88+87+75+90+88+84+85+110+115+85+82+88+72+74+87+87+84+84+87+89+94+108+91+90+75+66</f>
        <v>2584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47.67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B16:B19" xr:uid="{25109E44-052D-400E-8DDE-96280F58BE6D}">
      <formula1>$K$29:$K$85</formula1>
    </dataValidation>
    <dataValidation type="list" allowBlank="1" showInputMessage="1" showErrorMessage="1" sqref="B20:B21" xr:uid="{93068308-7C76-47E2-B285-9DF635519825}">
      <formula1>$K$29:$K$40</formula1>
    </dataValidation>
    <dataValidation type="list" allowBlank="1" showInputMessage="1" showErrorMessage="1" sqref="I50 K15:K21" xr:uid="{E7B60D66-D2D9-4D6A-ABE1-73E3FDFD2B9A}">
      <formula1>$I$41:$I$50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A569-4D28-493E-A84D-D539B4E1DFEB}">
  <dimension ref="A1:K85"/>
  <sheetViews>
    <sheetView topLeftCell="B12" workbookViewId="0">
      <selection activeCell="M18" sqref="M18"/>
    </sheetView>
  </sheetViews>
  <sheetFormatPr baseColWidth="10" defaultColWidth="9.1640625" defaultRowHeight="16" x14ac:dyDescent="0.2"/>
  <cols>
    <col min="1" max="1" width="5.1640625" style="139" customWidth="1"/>
    <col min="2" max="2" width="22.5" style="139" customWidth="1"/>
    <col min="3" max="3" width="6.1640625" style="139" customWidth="1"/>
    <col min="4" max="4" width="12.5" style="139" bestFit="1" customWidth="1"/>
    <col min="5" max="5" width="9.83203125" style="139" customWidth="1"/>
    <col min="6" max="6" width="9.33203125" style="139" bestFit="1" customWidth="1"/>
    <col min="7" max="7" width="8.6640625" style="139" customWidth="1"/>
    <col min="8" max="8" width="9.5" style="139" bestFit="1" customWidth="1"/>
    <col min="9" max="9" width="17.83203125" style="139" bestFit="1" customWidth="1"/>
    <col min="10" max="10" width="10.83203125" style="139" bestFit="1" customWidth="1"/>
    <col min="11" max="11" width="75" style="139" bestFit="1" customWidth="1"/>
    <col min="12" max="16384" width="9.1640625" style="139"/>
  </cols>
  <sheetData>
    <row r="1" spans="1:11" x14ac:dyDescent="0.2">
      <c r="A1" s="139" t="s">
        <v>0</v>
      </c>
      <c r="I1" s="154"/>
    </row>
    <row r="2" spans="1:11" x14ac:dyDescent="0.2">
      <c r="J2" s="155"/>
    </row>
    <row r="3" spans="1:11" x14ac:dyDescent="0.2">
      <c r="A3" s="154" t="s">
        <v>1</v>
      </c>
    </row>
    <row r="4" spans="1:11" x14ac:dyDescent="0.2">
      <c r="A4" s="154"/>
      <c r="I4" s="155" t="s">
        <v>2</v>
      </c>
      <c r="J4" s="156">
        <v>46053</v>
      </c>
    </row>
    <row r="5" spans="1:11" x14ac:dyDescent="0.2">
      <c r="J5" s="139" t="s">
        <v>3</v>
      </c>
    </row>
    <row r="6" spans="1:11" ht="34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157" t="s">
        <v>10</v>
      </c>
      <c r="H6" s="157" t="s">
        <v>11</v>
      </c>
      <c r="I6" s="157" t="s">
        <v>12</v>
      </c>
      <c r="J6" s="158"/>
      <c r="K6" s="2" t="s">
        <v>13</v>
      </c>
    </row>
    <row r="7" spans="1:11" ht="34" x14ac:dyDescent="0.2">
      <c r="A7" s="157"/>
      <c r="B7" s="159"/>
      <c r="C7" s="2"/>
      <c r="D7" s="2" t="s">
        <v>14</v>
      </c>
      <c r="E7" s="2" t="s">
        <v>15</v>
      </c>
      <c r="F7" s="160" t="s">
        <v>16</v>
      </c>
      <c r="G7" s="160" t="s">
        <v>15</v>
      </c>
      <c r="H7" s="160" t="s">
        <v>17</v>
      </c>
      <c r="I7" s="2" t="s">
        <v>18</v>
      </c>
      <c r="J7" s="160" t="s">
        <v>19</v>
      </c>
      <c r="K7" s="160"/>
    </row>
    <row r="8" spans="1:11" x14ac:dyDescent="0.2">
      <c r="A8" s="1"/>
      <c r="B8" s="2"/>
      <c r="C8" s="3"/>
      <c r="D8" s="2"/>
      <c r="E8" s="2"/>
      <c r="F8" s="1"/>
      <c r="G8" s="1"/>
      <c r="H8" s="1"/>
      <c r="I8" s="1"/>
      <c r="J8" s="4"/>
      <c r="K8" s="1"/>
    </row>
    <row r="9" spans="1:11" ht="17" x14ac:dyDescent="0.2">
      <c r="A9" s="122">
        <v>1</v>
      </c>
      <c r="B9" s="123" t="s">
        <v>241</v>
      </c>
      <c r="C9" s="100">
        <v>11</v>
      </c>
      <c r="D9" s="5">
        <v>2.85</v>
      </c>
      <c r="E9" s="102">
        <v>1422</v>
      </c>
      <c r="F9" s="101">
        <v>8.6999999999999993</v>
      </c>
      <c r="G9" s="6">
        <f t="shared" ref="G9:G16" si="0">E9*F9</f>
        <v>12371.4</v>
      </c>
      <c r="H9" s="7">
        <f t="shared" ref="H9:H16" si="1">F9*C9</f>
        <v>95.699999999999989</v>
      </c>
      <c r="I9" s="131" t="s">
        <v>20</v>
      </c>
      <c r="J9" s="130">
        <v>2.0833333333333332E-2</v>
      </c>
      <c r="K9" s="125" t="s">
        <v>250</v>
      </c>
    </row>
    <row r="10" spans="1:11" ht="17" x14ac:dyDescent="0.2">
      <c r="A10" s="126">
        <v>2</v>
      </c>
      <c r="B10" s="123" t="s">
        <v>241</v>
      </c>
      <c r="C10" s="100">
        <v>12.5</v>
      </c>
      <c r="D10" s="5">
        <v>2.85</v>
      </c>
      <c r="E10" s="102">
        <v>1467</v>
      </c>
      <c r="F10" s="101">
        <v>6.3</v>
      </c>
      <c r="G10" s="6">
        <f t="shared" si="0"/>
        <v>9242.1</v>
      </c>
      <c r="H10" s="7">
        <f t="shared" si="1"/>
        <v>78.75</v>
      </c>
      <c r="I10" s="116" t="s">
        <v>44</v>
      </c>
      <c r="J10" s="124">
        <v>3.125E-2</v>
      </c>
      <c r="K10" s="125" t="s">
        <v>44</v>
      </c>
    </row>
    <row r="11" spans="1:11" ht="17" x14ac:dyDescent="0.2">
      <c r="A11" s="122">
        <v>3</v>
      </c>
      <c r="B11" s="123" t="s">
        <v>270</v>
      </c>
      <c r="C11" s="100">
        <v>11</v>
      </c>
      <c r="D11" s="5">
        <v>2.85</v>
      </c>
      <c r="E11" s="102">
        <v>1422</v>
      </c>
      <c r="F11" s="112">
        <v>7.5</v>
      </c>
      <c r="G11" s="6">
        <f t="shared" si="0"/>
        <v>10665</v>
      </c>
      <c r="H11" s="7">
        <f t="shared" si="1"/>
        <v>82.5</v>
      </c>
      <c r="I11" s="116"/>
      <c r="J11" s="124"/>
      <c r="K11" s="125"/>
    </row>
    <row r="12" spans="1:11" ht="19.25" customHeight="1" x14ac:dyDescent="0.2">
      <c r="A12" s="126">
        <v>4</v>
      </c>
      <c r="B12" s="123" t="s">
        <v>243</v>
      </c>
      <c r="C12" s="113">
        <v>15</v>
      </c>
      <c r="D12" s="5">
        <v>2.85</v>
      </c>
      <c r="E12" s="102">
        <v>1494</v>
      </c>
      <c r="F12" s="115">
        <v>13.3</v>
      </c>
      <c r="G12" s="6">
        <f t="shared" si="0"/>
        <v>19870.2</v>
      </c>
      <c r="H12" s="7">
        <f t="shared" si="1"/>
        <v>199.5</v>
      </c>
      <c r="I12" s="131"/>
      <c r="J12" s="130"/>
      <c r="K12" s="125"/>
    </row>
    <row r="13" spans="1:11" ht="17" x14ac:dyDescent="0.2">
      <c r="A13" s="127">
        <v>5</v>
      </c>
      <c r="B13" s="123" t="s">
        <v>243</v>
      </c>
      <c r="C13" s="113">
        <v>16</v>
      </c>
      <c r="D13" s="5">
        <v>2.85</v>
      </c>
      <c r="E13" s="114">
        <v>1494</v>
      </c>
      <c r="F13" s="115">
        <v>6.4</v>
      </c>
      <c r="G13" s="6">
        <f t="shared" si="0"/>
        <v>9561.6</v>
      </c>
      <c r="H13" s="7">
        <f t="shared" si="1"/>
        <v>102.4</v>
      </c>
      <c r="I13" s="116"/>
      <c r="J13" s="124"/>
      <c r="K13" s="125"/>
    </row>
    <row r="14" spans="1:11" ht="17" x14ac:dyDescent="0.2">
      <c r="A14" s="122">
        <v>6</v>
      </c>
      <c r="B14" s="123" t="s">
        <v>243</v>
      </c>
      <c r="C14" s="117">
        <v>17</v>
      </c>
      <c r="D14" s="5">
        <v>2.85</v>
      </c>
      <c r="E14" s="118">
        <v>1494</v>
      </c>
      <c r="F14" s="119">
        <v>13.8</v>
      </c>
      <c r="G14" s="6">
        <f t="shared" si="0"/>
        <v>20617.2</v>
      </c>
      <c r="H14" s="7">
        <f t="shared" si="1"/>
        <v>234.60000000000002</v>
      </c>
      <c r="I14" s="131"/>
      <c r="J14" s="124"/>
      <c r="K14" s="125"/>
    </row>
    <row r="15" spans="1:11" ht="17" x14ac:dyDescent="0.2">
      <c r="A15" s="126">
        <v>7</v>
      </c>
      <c r="B15" s="123" t="s">
        <v>236</v>
      </c>
      <c r="C15" s="128">
        <v>17</v>
      </c>
      <c r="D15" s="5">
        <v>2.85</v>
      </c>
      <c r="E15" s="118">
        <v>1512</v>
      </c>
      <c r="F15" s="129">
        <v>13.1</v>
      </c>
      <c r="G15" s="6">
        <f t="shared" si="0"/>
        <v>19807.2</v>
      </c>
      <c r="H15" s="7">
        <f t="shared" si="1"/>
        <v>222.7</v>
      </c>
      <c r="I15" s="10"/>
      <c r="J15" s="9"/>
      <c r="K15" s="8"/>
    </row>
    <row r="16" spans="1:11" x14ac:dyDescent="0.2">
      <c r="A16" s="133">
        <v>8</v>
      </c>
      <c r="B16" s="134" t="s">
        <v>236</v>
      </c>
      <c r="C16" s="100">
        <v>18</v>
      </c>
      <c r="D16" s="5">
        <v>2.85</v>
      </c>
      <c r="E16" s="114">
        <v>1512</v>
      </c>
      <c r="F16" s="100">
        <v>19.899999999999999</v>
      </c>
      <c r="G16" s="6">
        <f t="shared" si="0"/>
        <v>30088.799999999999</v>
      </c>
      <c r="H16" s="7">
        <f t="shared" si="1"/>
        <v>358.2</v>
      </c>
      <c r="I16" s="10"/>
      <c r="J16" s="9"/>
      <c r="K16" s="11"/>
    </row>
    <row r="17" spans="1:11" x14ac:dyDescent="0.2">
      <c r="A17" s="133"/>
      <c r="B17" s="134"/>
      <c r="C17" s="100"/>
      <c r="D17" s="5"/>
      <c r="E17" s="118"/>
      <c r="F17" s="100"/>
      <c r="G17" s="6"/>
      <c r="H17" s="7"/>
      <c r="I17" s="10"/>
      <c r="J17" s="9"/>
      <c r="K17" s="11"/>
    </row>
    <row r="18" spans="1:11" x14ac:dyDescent="0.2">
      <c r="A18" s="133"/>
      <c r="B18" s="134"/>
      <c r="C18" s="100"/>
      <c r="D18" s="5"/>
      <c r="E18" s="118"/>
      <c r="F18" s="100"/>
      <c r="G18" s="6"/>
      <c r="H18" s="7"/>
      <c r="I18" s="1"/>
      <c r="J18" s="4"/>
      <c r="K18" s="1"/>
    </row>
    <row r="19" spans="1:11" x14ac:dyDescent="0.2">
      <c r="A19" s="2"/>
      <c r="B19" s="1"/>
      <c r="C19" s="3"/>
      <c r="D19" s="136"/>
      <c r="E19" s="2"/>
      <c r="F19" s="3"/>
      <c r="G19" s="137"/>
      <c r="H19" s="3"/>
      <c r="I19" s="1"/>
      <c r="J19" s="4"/>
      <c r="K19" s="1"/>
    </row>
    <row r="20" spans="1:11" x14ac:dyDescent="0.2">
      <c r="A20" s="2"/>
      <c r="B20" s="1"/>
      <c r="C20" s="3"/>
      <c r="D20" s="136"/>
      <c r="E20" s="2"/>
      <c r="F20" s="3"/>
      <c r="G20" s="137"/>
      <c r="H20" s="3"/>
      <c r="I20" s="1"/>
      <c r="J20" s="4"/>
      <c r="K20" s="1"/>
    </row>
    <row r="21" spans="1:11" x14ac:dyDescent="0.2">
      <c r="A21" s="2"/>
      <c r="B21" s="1"/>
      <c r="C21" s="140"/>
      <c r="D21" s="2"/>
      <c r="E21" s="4"/>
      <c r="F21" s="140"/>
      <c r="G21" s="137"/>
      <c r="H21" s="3"/>
      <c r="I21" s="1"/>
      <c r="J21" s="4"/>
      <c r="K21" s="1"/>
    </row>
    <row r="22" spans="1:11" x14ac:dyDescent="0.2">
      <c r="A22" s="141"/>
      <c r="B22" s="142"/>
      <c r="C22" s="143"/>
      <c r="D22" s="143"/>
      <c r="E22" s="161" t="s">
        <v>21</v>
      </c>
      <c r="F22" s="162">
        <f>SUM(F9:F21)</f>
        <v>89</v>
      </c>
      <c r="G22" s="163">
        <f>SUM(G9:G21)/F22</f>
        <v>1485.6573033707866</v>
      </c>
      <c r="H22" s="164">
        <f>SUM(H9:H21)/F22</f>
        <v>15.442134831460676</v>
      </c>
      <c r="I22" s="144" t="s">
        <v>22</v>
      </c>
      <c r="J22" s="145">
        <v>5.2083333333333336E-2</v>
      </c>
      <c r="K22" s="142"/>
    </row>
    <row r="23" spans="1:11" x14ac:dyDescent="0.2">
      <c r="E23" s="146"/>
      <c r="F23" s="147"/>
      <c r="I23" s="165" t="s">
        <v>23</v>
      </c>
      <c r="J23" s="166">
        <v>1.25</v>
      </c>
    </row>
    <row r="24" spans="1:11" x14ac:dyDescent="0.2">
      <c r="I24" s="147"/>
      <c r="J24" s="148"/>
    </row>
    <row r="25" spans="1:11" x14ac:dyDescent="0.2">
      <c r="A25" s="1" t="s">
        <v>24</v>
      </c>
      <c r="B25" s="1"/>
      <c r="C25" s="1"/>
      <c r="D25" s="140"/>
      <c r="H25" s="155" t="s">
        <v>25</v>
      </c>
      <c r="I25" s="155"/>
      <c r="J25" s="146">
        <f>F22</f>
        <v>89</v>
      </c>
      <c r="K25" s="139" t="s">
        <v>16</v>
      </c>
    </row>
    <row r="26" spans="1:11" x14ac:dyDescent="0.2">
      <c r="A26" s="1" t="s">
        <v>26</v>
      </c>
      <c r="B26" s="1"/>
      <c r="C26" s="1"/>
      <c r="D26" s="140"/>
      <c r="H26" s="155" t="s">
        <v>27</v>
      </c>
      <c r="I26" s="155"/>
      <c r="J26" s="146">
        <f>88+91+72+68+88+87+75+90+88+84+85+110+115+85+82+88+72+74+87+87+84+84+87+89+94+108+91+90+75+66+89</f>
        <v>2673</v>
      </c>
      <c r="K26" s="139" t="s">
        <v>16</v>
      </c>
    </row>
    <row r="27" spans="1:11" ht="17" thickBot="1" x14ac:dyDescent="0.25">
      <c r="A27" s="149"/>
      <c r="B27" s="149"/>
      <c r="C27" s="149"/>
      <c r="D27" s="149"/>
      <c r="E27" s="150"/>
      <c r="F27" s="150"/>
      <c r="G27" s="149"/>
      <c r="H27" s="167" t="s">
        <v>28</v>
      </c>
      <c r="I27" s="167"/>
      <c r="J27" s="151">
        <v>48.92</v>
      </c>
      <c r="K27" s="149" t="s">
        <v>29</v>
      </c>
    </row>
    <row r="28" spans="1:11" x14ac:dyDescent="0.2">
      <c r="J28" s="139" t="s">
        <v>3</v>
      </c>
    </row>
    <row r="29" spans="1:11" hidden="1" x14ac:dyDescent="0.2">
      <c r="K29" s="139" t="s">
        <v>30</v>
      </c>
    </row>
    <row r="30" spans="1:11" hidden="1" x14ac:dyDescent="0.2">
      <c r="K30" s="139" t="s">
        <v>31</v>
      </c>
    </row>
    <row r="31" spans="1:11" hidden="1" x14ac:dyDescent="0.2">
      <c r="K31" s="139" t="s">
        <v>32</v>
      </c>
    </row>
    <row r="32" spans="1:11" hidden="1" x14ac:dyDescent="0.2">
      <c r="K32" s="139" t="s">
        <v>33</v>
      </c>
    </row>
    <row r="33" spans="9:11" hidden="1" x14ac:dyDescent="0.2">
      <c r="K33" s="139" t="s">
        <v>34</v>
      </c>
    </row>
    <row r="34" spans="9:11" hidden="1" x14ac:dyDescent="0.2">
      <c r="K34" s="139" t="s">
        <v>35</v>
      </c>
    </row>
    <row r="35" spans="9:11" hidden="1" x14ac:dyDescent="0.2">
      <c r="K35" s="139" t="s">
        <v>36</v>
      </c>
    </row>
    <row r="36" spans="9:11" hidden="1" x14ac:dyDescent="0.2">
      <c r="K36" s="139" t="s">
        <v>37</v>
      </c>
    </row>
    <row r="37" spans="9:11" hidden="1" x14ac:dyDescent="0.2">
      <c r="K37" s="139" t="s">
        <v>38</v>
      </c>
    </row>
    <row r="38" spans="9:11" hidden="1" x14ac:dyDescent="0.2">
      <c r="K38" s="139" t="s">
        <v>39</v>
      </c>
    </row>
    <row r="39" spans="9:11" hidden="1" x14ac:dyDescent="0.2">
      <c r="K39" s="139" t="s">
        <v>40</v>
      </c>
    </row>
    <row r="40" spans="9:11" hidden="1" x14ac:dyDescent="0.2">
      <c r="K40" s="139" t="s">
        <v>41</v>
      </c>
    </row>
    <row r="41" spans="9:11" ht="34" hidden="1" x14ac:dyDescent="0.2">
      <c r="I41" s="152" t="s">
        <v>42</v>
      </c>
      <c r="K41" s="139" t="s">
        <v>43</v>
      </c>
    </row>
    <row r="42" spans="9:11" ht="17" hidden="1" x14ac:dyDescent="0.2">
      <c r="I42" s="152" t="s">
        <v>44</v>
      </c>
      <c r="K42" s="139" t="s">
        <v>45</v>
      </c>
    </row>
    <row r="43" spans="9:11" hidden="1" x14ac:dyDescent="0.2">
      <c r="I43" s="153" t="s">
        <v>46</v>
      </c>
      <c r="K43" s="139" t="s">
        <v>47</v>
      </c>
    </row>
    <row r="44" spans="9:11" hidden="1" x14ac:dyDescent="0.2">
      <c r="I44" s="139" t="s">
        <v>48</v>
      </c>
      <c r="K44" s="139" t="s">
        <v>49</v>
      </c>
    </row>
    <row r="45" spans="9:11" hidden="1" x14ac:dyDescent="0.2">
      <c r="I45" s="139" t="s">
        <v>50</v>
      </c>
      <c r="K45" s="139" t="s">
        <v>51</v>
      </c>
    </row>
    <row r="46" spans="9:11" hidden="1" x14ac:dyDescent="0.2">
      <c r="I46" s="139" t="s">
        <v>52</v>
      </c>
      <c r="K46" s="139" t="s">
        <v>53</v>
      </c>
    </row>
    <row r="47" spans="9:11" hidden="1" x14ac:dyDescent="0.2">
      <c r="I47" s="139" t="s">
        <v>54</v>
      </c>
      <c r="K47" s="139" t="s">
        <v>55</v>
      </c>
    </row>
    <row r="48" spans="9:11" hidden="1" x14ac:dyDescent="0.2">
      <c r="I48" s="139" t="s">
        <v>56</v>
      </c>
      <c r="K48" s="139" t="s">
        <v>57</v>
      </c>
    </row>
    <row r="49" spans="9:11" hidden="1" x14ac:dyDescent="0.2">
      <c r="I49" s="139" t="s">
        <v>58</v>
      </c>
      <c r="K49" s="139" t="s">
        <v>59</v>
      </c>
    </row>
    <row r="50" spans="9:11" hidden="1" x14ac:dyDescent="0.2">
      <c r="I50" s="139" t="s">
        <v>60</v>
      </c>
      <c r="K50" s="139" t="s">
        <v>61</v>
      </c>
    </row>
    <row r="51" spans="9:11" hidden="1" x14ac:dyDescent="0.2">
      <c r="K51" s="139" t="s">
        <v>62</v>
      </c>
    </row>
    <row r="52" spans="9:11" hidden="1" x14ac:dyDescent="0.2">
      <c r="K52" s="139" t="s">
        <v>63</v>
      </c>
    </row>
    <row r="53" spans="9:11" hidden="1" x14ac:dyDescent="0.2">
      <c r="K53" s="139" t="s">
        <v>64</v>
      </c>
    </row>
    <row r="54" spans="9:11" hidden="1" x14ac:dyDescent="0.2">
      <c r="K54" s="139" t="s">
        <v>65</v>
      </c>
    </row>
    <row r="55" spans="9:11" hidden="1" x14ac:dyDescent="0.2">
      <c r="K55" s="139" t="s">
        <v>66</v>
      </c>
    </row>
    <row r="56" spans="9:11" hidden="1" x14ac:dyDescent="0.2">
      <c r="K56" s="139" t="s">
        <v>67</v>
      </c>
    </row>
    <row r="57" spans="9:11" hidden="1" x14ac:dyDescent="0.2">
      <c r="K57" s="139" t="s">
        <v>68</v>
      </c>
    </row>
    <row r="58" spans="9:11" hidden="1" x14ac:dyDescent="0.2">
      <c r="K58" s="139" t="s">
        <v>69</v>
      </c>
    </row>
    <row r="59" spans="9:11" hidden="1" x14ac:dyDescent="0.2">
      <c r="K59" s="139" t="s">
        <v>70</v>
      </c>
    </row>
    <row r="60" spans="9:11" hidden="1" x14ac:dyDescent="0.2">
      <c r="K60" s="139" t="s">
        <v>71</v>
      </c>
    </row>
    <row r="61" spans="9:11" hidden="1" x14ac:dyDescent="0.2">
      <c r="K61" s="139" t="s">
        <v>72</v>
      </c>
    </row>
    <row r="62" spans="9:11" hidden="1" x14ac:dyDescent="0.2">
      <c r="K62" s="139" t="s">
        <v>73</v>
      </c>
    </row>
    <row r="63" spans="9:11" hidden="1" x14ac:dyDescent="0.2">
      <c r="K63" s="139" t="s">
        <v>67</v>
      </c>
    </row>
    <row r="64" spans="9:11" hidden="1" x14ac:dyDescent="0.2">
      <c r="K64" s="139" t="s">
        <v>74</v>
      </c>
    </row>
    <row r="65" spans="11:11" hidden="1" x14ac:dyDescent="0.2">
      <c r="K65" s="139" t="s">
        <v>75</v>
      </c>
    </row>
    <row r="66" spans="11:11" hidden="1" x14ac:dyDescent="0.2">
      <c r="K66" s="139" t="s">
        <v>76</v>
      </c>
    </row>
    <row r="67" spans="11:11" hidden="1" x14ac:dyDescent="0.2">
      <c r="K67" s="139" t="s">
        <v>77</v>
      </c>
    </row>
    <row r="68" spans="11:11" hidden="1" x14ac:dyDescent="0.2">
      <c r="K68" s="139" t="s">
        <v>78</v>
      </c>
    </row>
    <row r="69" spans="11:11" hidden="1" x14ac:dyDescent="0.2">
      <c r="K69" s="139" t="s">
        <v>79</v>
      </c>
    </row>
    <row r="70" spans="11:11" hidden="1" x14ac:dyDescent="0.2">
      <c r="K70" s="139" t="s">
        <v>80</v>
      </c>
    </row>
    <row r="71" spans="11:11" hidden="1" x14ac:dyDescent="0.2">
      <c r="K71" s="139" t="s">
        <v>81</v>
      </c>
    </row>
    <row r="72" spans="11:11" hidden="1" x14ac:dyDescent="0.2">
      <c r="K72" s="139" t="s">
        <v>82</v>
      </c>
    </row>
    <row r="73" spans="11:11" hidden="1" x14ac:dyDescent="0.2">
      <c r="K73" s="139" t="s">
        <v>83</v>
      </c>
    </row>
    <row r="74" spans="11:11" hidden="1" x14ac:dyDescent="0.2">
      <c r="K74" s="139" t="s">
        <v>84</v>
      </c>
    </row>
    <row r="75" spans="11:11" hidden="1" x14ac:dyDescent="0.2">
      <c r="K75" s="139" t="s">
        <v>85</v>
      </c>
    </row>
    <row r="76" spans="11:11" hidden="1" x14ac:dyDescent="0.2">
      <c r="K76" s="139" t="s">
        <v>86</v>
      </c>
    </row>
    <row r="77" spans="11:11" hidden="1" x14ac:dyDescent="0.2">
      <c r="K77" s="139" t="s">
        <v>87</v>
      </c>
    </row>
    <row r="78" spans="11:11" hidden="1" x14ac:dyDescent="0.2">
      <c r="K78" s="139" t="s">
        <v>88</v>
      </c>
    </row>
    <row r="79" spans="11:11" hidden="1" x14ac:dyDescent="0.2">
      <c r="K79" s="139" t="s">
        <v>89</v>
      </c>
    </row>
    <row r="80" spans="11:11" hidden="1" x14ac:dyDescent="0.2">
      <c r="K80" s="139" t="s">
        <v>90</v>
      </c>
    </row>
    <row r="81" spans="11:11" hidden="1" x14ac:dyDescent="0.2">
      <c r="K81" s="139" t="s">
        <v>91</v>
      </c>
    </row>
    <row r="82" spans="11:11" hidden="1" x14ac:dyDescent="0.2">
      <c r="K82" s="139" t="s">
        <v>92</v>
      </c>
    </row>
    <row r="83" spans="11:11" hidden="1" x14ac:dyDescent="0.2">
      <c r="K83" s="139" t="s">
        <v>93</v>
      </c>
    </row>
    <row r="84" spans="11:11" hidden="1" x14ac:dyDescent="0.2">
      <c r="K84" s="139" t="s">
        <v>94</v>
      </c>
    </row>
    <row r="85" spans="11:11" hidden="1" x14ac:dyDescent="0.2">
      <c r="K85" s="139" t="s">
        <v>47</v>
      </c>
    </row>
  </sheetData>
  <dataValidations count="3">
    <dataValidation type="list" allowBlank="1" showInputMessage="1" showErrorMessage="1" sqref="I50 K15:K21" xr:uid="{1001FDC7-9147-4B78-B51E-45673C16EFF1}">
      <formula1>$I$41:$I$50</formula1>
    </dataValidation>
    <dataValidation type="list" allowBlank="1" showInputMessage="1" showErrorMessage="1" sqref="B20:B21" xr:uid="{437410E2-F588-4962-9D48-EA410F16A9C4}">
      <formula1>$K$29:$K$40</formula1>
    </dataValidation>
    <dataValidation type="list" allowBlank="1" showInputMessage="1" showErrorMessage="1" sqref="B16:B19" xr:uid="{C1882591-8439-4B4B-AD4A-AE3BCAFD39C4}">
      <formula1>$K$29:$K$85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28"/>
  <sheetViews>
    <sheetView tabSelected="1" topLeftCell="A41" zoomScale="71" zoomScaleNormal="71" workbookViewId="0">
      <selection activeCell="A118" sqref="A118:XFD118"/>
    </sheetView>
  </sheetViews>
  <sheetFormatPr baseColWidth="10" defaultColWidth="9.1640625" defaultRowHeight="20" x14ac:dyDescent="0.2"/>
  <cols>
    <col min="1" max="1" width="5.5" style="97" bestFit="1" customWidth="1"/>
    <col min="2" max="2" width="65.5" style="16" bestFit="1" customWidth="1"/>
    <col min="3" max="3" width="14.83203125" style="98" hidden="1" customWidth="1"/>
    <col min="4" max="4" width="12.1640625" style="16" customWidth="1"/>
    <col min="5" max="5" width="16.1640625" style="16" bestFit="1" customWidth="1"/>
    <col min="6" max="6" width="14.1640625" style="16" bestFit="1" customWidth="1"/>
    <col min="7" max="7" width="14.5" style="16" bestFit="1" customWidth="1"/>
    <col min="8" max="9" width="13.1640625" style="16" bestFit="1" customWidth="1"/>
    <col min="10" max="10" width="14.5" style="16" bestFit="1" customWidth="1"/>
    <col min="11" max="15" width="12.5" style="16" bestFit="1" customWidth="1"/>
    <col min="16" max="16" width="14.6640625" style="16" bestFit="1" customWidth="1"/>
    <col min="17" max="18" width="14.5" style="16" bestFit="1" customWidth="1"/>
    <col min="19" max="19" width="13.5" style="16" bestFit="1" customWidth="1"/>
    <col min="20" max="20" width="14" style="16" bestFit="1" customWidth="1"/>
    <col min="21" max="21" width="12.83203125" style="16" bestFit="1" customWidth="1"/>
    <col min="22" max="23" width="12.5" style="16" bestFit="1" customWidth="1"/>
    <col min="24" max="24" width="14" style="16" bestFit="1" customWidth="1"/>
    <col min="25" max="29" width="12.5" style="16" bestFit="1" customWidth="1"/>
    <col min="30" max="31" width="14.5" style="16" bestFit="1" customWidth="1"/>
    <col min="32" max="33" width="12.5" style="16" bestFit="1" customWidth="1"/>
    <col min="34" max="35" width="13.83203125" style="16" bestFit="1" customWidth="1"/>
    <col min="36" max="36" width="34.33203125" style="99" customWidth="1"/>
    <col min="37" max="37" width="14.83203125" style="16" customWidth="1"/>
    <col min="38" max="38" width="13.5" style="16" customWidth="1"/>
    <col min="39" max="39" width="17" style="16" customWidth="1"/>
    <col min="40" max="40" width="10" style="16" customWidth="1"/>
    <col min="41" max="16384" width="9.1640625" style="16"/>
  </cols>
  <sheetData>
    <row r="1" spans="1:38" ht="23" x14ac:dyDescent="0.25">
      <c r="A1" s="12" t="s">
        <v>3</v>
      </c>
      <c r="B1" s="13" t="s">
        <v>238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5"/>
    </row>
    <row r="2" spans="1:38" ht="44.25" customHeight="1" x14ac:dyDescent="0.2">
      <c r="A2" s="17"/>
      <c r="B2" s="18" t="s">
        <v>95</v>
      </c>
      <c r="C2" s="18" t="s">
        <v>96</v>
      </c>
      <c r="D2" s="19" t="s">
        <v>97</v>
      </c>
      <c r="E2" s="19">
        <v>1</v>
      </c>
      <c r="F2" s="19">
        <v>2</v>
      </c>
      <c r="G2" s="19">
        <v>3</v>
      </c>
      <c r="H2" s="19">
        <v>4</v>
      </c>
      <c r="I2" s="19">
        <v>5</v>
      </c>
      <c r="J2" s="19">
        <v>6</v>
      </c>
      <c r="K2" s="19">
        <v>7</v>
      </c>
      <c r="L2" s="19">
        <v>8</v>
      </c>
      <c r="M2" s="19">
        <v>9</v>
      </c>
      <c r="N2" s="19">
        <v>10</v>
      </c>
      <c r="O2" s="19">
        <v>11</v>
      </c>
      <c r="P2" s="19">
        <v>12</v>
      </c>
      <c r="Q2" s="19">
        <v>13</v>
      </c>
      <c r="R2" s="19">
        <v>14</v>
      </c>
      <c r="S2" s="19">
        <v>15</v>
      </c>
      <c r="T2" s="19">
        <v>16</v>
      </c>
      <c r="U2" s="19">
        <v>17</v>
      </c>
      <c r="V2" s="19">
        <v>18</v>
      </c>
      <c r="W2" s="19">
        <v>19</v>
      </c>
      <c r="X2" s="19">
        <v>20</v>
      </c>
      <c r="Y2" s="19">
        <v>21</v>
      </c>
      <c r="Z2" s="19">
        <v>22</v>
      </c>
      <c r="AA2" s="19">
        <v>23</v>
      </c>
      <c r="AB2" s="19">
        <v>24</v>
      </c>
      <c r="AC2" s="19">
        <v>25</v>
      </c>
      <c r="AD2" s="19">
        <v>26</v>
      </c>
      <c r="AE2" s="19">
        <v>27</v>
      </c>
      <c r="AF2" s="19">
        <v>28</v>
      </c>
      <c r="AG2" s="19">
        <v>29</v>
      </c>
      <c r="AH2" s="19">
        <v>30</v>
      </c>
      <c r="AI2" s="19">
        <v>31</v>
      </c>
      <c r="AJ2" s="20" t="s">
        <v>98</v>
      </c>
    </row>
    <row r="3" spans="1:38" s="27" customFormat="1" x14ac:dyDescent="0.2">
      <c r="A3" s="21" t="s">
        <v>99</v>
      </c>
      <c r="B3" s="22" t="s">
        <v>100</v>
      </c>
      <c r="C3" s="23"/>
      <c r="D3" s="24" t="s">
        <v>101</v>
      </c>
      <c r="E3" s="26"/>
      <c r="F3" s="26"/>
      <c r="G3" s="195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7"/>
    </row>
    <row r="4" spans="1:38" x14ac:dyDescent="0.2">
      <c r="A4" s="28">
        <v>1</v>
      </c>
      <c r="B4" s="29" t="s">
        <v>102</v>
      </c>
      <c r="C4" s="30"/>
      <c r="D4" s="31" t="s">
        <v>16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  <c r="U4" s="32">
        <v>10</v>
      </c>
      <c r="V4" s="32">
        <v>13.75</v>
      </c>
      <c r="W4" s="32">
        <v>3.75</v>
      </c>
      <c r="X4" s="32">
        <v>0</v>
      </c>
      <c r="Y4" s="32">
        <v>1</v>
      </c>
      <c r="Z4" s="32">
        <v>0</v>
      </c>
      <c r="AA4" s="32">
        <v>0</v>
      </c>
      <c r="AB4" s="32">
        <v>0</v>
      </c>
      <c r="AC4" s="32">
        <v>0</v>
      </c>
      <c r="AD4" s="32">
        <v>0</v>
      </c>
      <c r="AE4" s="32">
        <v>0</v>
      </c>
      <c r="AF4" s="32">
        <v>0</v>
      </c>
      <c r="AG4" s="32">
        <v>7.5</v>
      </c>
      <c r="AH4" s="32">
        <v>11.25</v>
      </c>
      <c r="AI4" s="32">
        <v>8.75</v>
      </c>
      <c r="AJ4" s="33">
        <f t="shared" ref="AJ4:AJ35" si="0">SUM(E4:AI4)</f>
        <v>56</v>
      </c>
      <c r="AK4" s="34"/>
    </row>
    <row r="5" spans="1:38" x14ac:dyDescent="0.2">
      <c r="A5" s="28">
        <v>2</v>
      </c>
      <c r="B5" s="29" t="s">
        <v>103</v>
      </c>
      <c r="C5" s="30"/>
      <c r="D5" s="31" t="s">
        <v>16</v>
      </c>
      <c r="E5" s="32">
        <v>0</v>
      </c>
      <c r="F5" s="32">
        <v>2</v>
      </c>
      <c r="G5" s="32">
        <v>44</v>
      </c>
      <c r="H5" s="32">
        <v>36</v>
      </c>
      <c r="I5" s="32">
        <v>22.5</v>
      </c>
      <c r="J5" s="32">
        <v>16.5</v>
      </c>
      <c r="K5" s="32">
        <v>18.5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23</v>
      </c>
      <c r="V5" s="32">
        <v>37</v>
      </c>
      <c r="W5" s="32">
        <v>24.5</v>
      </c>
      <c r="X5" s="32">
        <v>14.302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38.152000000000001</v>
      </c>
      <c r="AH5" s="32">
        <v>46.183999999999997</v>
      </c>
      <c r="AI5" s="32">
        <v>40.152000000000001</v>
      </c>
      <c r="AJ5" s="33">
        <f t="shared" si="0"/>
        <v>362.79</v>
      </c>
      <c r="AK5" s="34"/>
      <c r="AL5" s="55"/>
    </row>
    <row r="6" spans="1:38" x14ac:dyDescent="0.2">
      <c r="A6" s="28">
        <v>3</v>
      </c>
      <c r="B6" s="29" t="s">
        <v>104</v>
      </c>
      <c r="C6" s="30"/>
      <c r="D6" s="31" t="s">
        <v>16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3">
        <f t="shared" si="0"/>
        <v>0</v>
      </c>
      <c r="AK6" s="34"/>
      <c r="AL6" s="55"/>
    </row>
    <row r="7" spans="1:38" x14ac:dyDescent="0.2">
      <c r="A7" s="28">
        <v>4</v>
      </c>
      <c r="B7" s="29" t="s">
        <v>105</v>
      </c>
      <c r="C7" s="30"/>
      <c r="D7" s="31" t="s">
        <v>16</v>
      </c>
      <c r="E7" s="32">
        <v>0</v>
      </c>
      <c r="F7" s="32">
        <v>0</v>
      </c>
      <c r="G7" s="32">
        <v>7.984</v>
      </c>
      <c r="H7" s="32">
        <v>11.976000000000001</v>
      </c>
      <c r="I7" s="32">
        <v>19.463000000000001</v>
      </c>
      <c r="J7" s="32">
        <v>16.466999999999999</v>
      </c>
      <c r="K7" s="32">
        <v>5.4870000000000001</v>
      </c>
      <c r="L7" s="32">
        <v>0</v>
      </c>
      <c r="M7" s="32">
        <v>25.948</v>
      </c>
      <c r="N7" s="32">
        <v>33.932000000000002</v>
      </c>
      <c r="O7" s="32">
        <v>31.936</v>
      </c>
      <c r="P7" s="32">
        <v>40.917999999999999</v>
      </c>
      <c r="Q7" s="32">
        <v>38.921999999999997</v>
      </c>
      <c r="R7" s="32">
        <v>32.933999999999997</v>
      </c>
      <c r="S7" s="32">
        <v>32.933999999999997</v>
      </c>
      <c r="T7" s="32">
        <v>36.926000000000002</v>
      </c>
      <c r="U7" s="32">
        <v>25.952000000000002</v>
      </c>
      <c r="V7" s="32">
        <v>16.966000000000001</v>
      </c>
      <c r="W7" s="32">
        <v>41.417000000000002</v>
      </c>
      <c r="X7" s="32">
        <v>11.68</v>
      </c>
      <c r="Y7" s="32">
        <v>40.938000000000002</v>
      </c>
      <c r="Z7" s="32">
        <v>3.992</v>
      </c>
      <c r="AA7" s="32">
        <v>0</v>
      </c>
      <c r="AB7" s="32">
        <v>0</v>
      </c>
      <c r="AC7" s="32">
        <v>0</v>
      </c>
      <c r="AD7" s="32">
        <v>0</v>
      </c>
      <c r="AE7" s="32">
        <v>27.888000000000002</v>
      </c>
      <c r="AF7" s="32">
        <v>36.851999999999997</v>
      </c>
      <c r="AG7" s="32">
        <v>8.9640000000000004</v>
      </c>
      <c r="AH7" s="32">
        <v>0</v>
      </c>
      <c r="AI7" s="32">
        <v>0</v>
      </c>
      <c r="AJ7" s="33">
        <f t="shared" si="0"/>
        <v>550.476</v>
      </c>
      <c r="AK7" s="34"/>
    </row>
    <row r="8" spans="1:38" x14ac:dyDescent="0.2">
      <c r="A8" s="28">
        <v>5</v>
      </c>
      <c r="B8" s="29" t="s">
        <v>106</v>
      </c>
      <c r="C8" s="30"/>
      <c r="D8" s="31" t="s">
        <v>16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32">
        <v>0</v>
      </c>
      <c r="AJ8" s="33">
        <f t="shared" si="0"/>
        <v>0</v>
      </c>
      <c r="AK8" s="34"/>
    </row>
    <row r="9" spans="1:38" x14ac:dyDescent="0.2">
      <c r="A9" s="28">
        <v>6</v>
      </c>
      <c r="B9" s="29" t="s">
        <v>107</v>
      </c>
      <c r="C9" s="30"/>
      <c r="D9" s="31" t="s">
        <v>16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3">
        <f t="shared" si="0"/>
        <v>0</v>
      </c>
      <c r="AK9" s="34"/>
    </row>
    <row r="10" spans="1:38" x14ac:dyDescent="0.2">
      <c r="A10" s="28">
        <v>7</v>
      </c>
      <c r="B10" s="29" t="s">
        <v>108</v>
      </c>
      <c r="C10" s="30"/>
      <c r="D10" s="31" t="s">
        <v>16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3">
        <f t="shared" si="0"/>
        <v>0</v>
      </c>
      <c r="AK10" s="34"/>
    </row>
    <row r="11" spans="1:38" x14ac:dyDescent="0.2">
      <c r="A11" s="28">
        <v>8</v>
      </c>
      <c r="B11" s="29" t="s">
        <v>109</v>
      </c>
      <c r="C11" s="30"/>
      <c r="D11" s="31" t="s">
        <v>16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3">
        <f t="shared" si="0"/>
        <v>0</v>
      </c>
      <c r="AK11" s="34"/>
    </row>
    <row r="12" spans="1:38" x14ac:dyDescent="0.2">
      <c r="A12" s="28">
        <v>9</v>
      </c>
      <c r="B12" s="29" t="s">
        <v>110</v>
      </c>
      <c r="C12" s="30"/>
      <c r="D12" s="31" t="s">
        <v>16</v>
      </c>
      <c r="E12" s="32">
        <v>14.025</v>
      </c>
      <c r="F12" s="32">
        <v>14.025</v>
      </c>
      <c r="G12" s="32">
        <v>12.75</v>
      </c>
      <c r="H12" s="32">
        <v>14.025</v>
      </c>
      <c r="I12" s="32">
        <v>14.025</v>
      </c>
      <c r="J12" s="32">
        <v>12.75</v>
      </c>
      <c r="K12" s="32">
        <v>14.025</v>
      </c>
      <c r="L12" s="32">
        <v>12.75</v>
      </c>
      <c r="M12" s="32">
        <v>12.75</v>
      </c>
      <c r="N12" s="32">
        <v>11.475</v>
      </c>
      <c r="O12" s="32">
        <v>14.025</v>
      </c>
      <c r="P12" s="32">
        <v>16.574999999999999</v>
      </c>
      <c r="Q12" s="32">
        <v>20.399999999999999</v>
      </c>
      <c r="R12" s="32">
        <v>15.3</v>
      </c>
      <c r="S12" s="32">
        <v>12.75</v>
      </c>
      <c r="T12" s="32">
        <v>11.475</v>
      </c>
      <c r="U12" s="32">
        <v>2.5499999999999998</v>
      </c>
      <c r="V12" s="32">
        <v>0</v>
      </c>
      <c r="W12" s="32">
        <v>10.199999999999999</v>
      </c>
      <c r="X12" s="32">
        <v>10.199999999999999</v>
      </c>
      <c r="Y12" s="32">
        <v>7.65</v>
      </c>
      <c r="Z12" s="32">
        <v>2.5499999999999998</v>
      </c>
      <c r="AA12" s="32">
        <v>0</v>
      </c>
      <c r="AB12" s="32">
        <v>0</v>
      </c>
      <c r="AC12" s="32">
        <v>0</v>
      </c>
      <c r="AD12" s="32">
        <v>9.4350000000000005</v>
      </c>
      <c r="AE12" s="32">
        <v>12.75</v>
      </c>
      <c r="AF12" s="32">
        <v>8.9250000000000007</v>
      </c>
      <c r="AG12" s="32">
        <v>2.5499999999999998</v>
      </c>
      <c r="AH12" s="32">
        <v>0</v>
      </c>
      <c r="AI12" s="32">
        <v>3.8250000000000002</v>
      </c>
      <c r="AJ12" s="33">
        <f t="shared" si="0"/>
        <v>293.76</v>
      </c>
      <c r="AK12" s="34"/>
    </row>
    <row r="13" spans="1:38" x14ac:dyDescent="0.2">
      <c r="A13" s="28">
        <v>10</v>
      </c>
      <c r="B13" s="29" t="s">
        <v>111</v>
      </c>
      <c r="C13" s="30"/>
      <c r="D13" s="31" t="s">
        <v>16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  <c r="AI13" s="32">
        <v>0</v>
      </c>
      <c r="AJ13" s="33">
        <f t="shared" si="0"/>
        <v>0</v>
      </c>
      <c r="AK13" s="120"/>
    </row>
    <row r="14" spans="1:38" x14ac:dyDescent="0.2">
      <c r="A14" s="28">
        <v>11</v>
      </c>
      <c r="B14" s="29" t="s">
        <v>112</v>
      </c>
      <c r="C14" s="30"/>
      <c r="D14" s="31" t="s">
        <v>16</v>
      </c>
      <c r="E14" s="32">
        <v>76.724999999999994</v>
      </c>
      <c r="F14" s="32">
        <v>78.704999999999998</v>
      </c>
      <c r="G14" s="32">
        <v>4.95</v>
      </c>
      <c r="H14" s="32">
        <v>5.4450000000000003</v>
      </c>
      <c r="I14" s="32">
        <v>30.215</v>
      </c>
      <c r="J14" s="32">
        <v>37.619999999999997</v>
      </c>
      <c r="K14" s="32">
        <v>40.094999999999999</v>
      </c>
      <c r="L14" s="32">
        <v>76.23</v>
      </c>
      <c r="M14" s="32">
        <v>52.47</v>
      </c>
      <c r="N14" s="32">
        <v>38.115000000000002</v>
      </c>
      <c r="O14" s="32">
        <v>37.125</v>
      </c>
      <c r="P14" s="32">
        <v>49.024999999999999</v>
      </c>
      <c r="Q14" s="32">
        <v>46.53</v>
      </c>
      <c r="R14" s="32">
        <v>36.61</v>
      </c>
      <c r="S14" s="32">
        <v>37.619999999999997</v>
      </c>
      <c r="T14" s="32">
        <v>41.085000000000001</v>
      </c>
      <c r="U14" s="32">
        <v>7.92</v>
      </c>
      <c r="V14" s="32">
        <v>5.4450000000000003</v>
      </c>
      <c r="W14" s="32">
        <v>7.4249999999999998</v>
      </c>
      <c r="X14" s="32">
        <v>4.2279999999999998</v>
      </c>
      <c r="Y14" s="32">
        <v>2.97</v>
      </c>
      <c r="Z14" s="32">
        <v>66.825000000000003</v>
      </c>
      <c r="AA14" s="32">
        <v>74.003</v>
      </c>
      <c r="AB14" s="32">
        <v>81.923000000000002</v>
      </c>
      <c r="AC14" s="32">
        <v>79.942999999999998</v>
      </c>
      <c r="AD14" s="32">
        <v>87.614999999999995</v>
      </c>
      <c r="AE14" s="32">
        <v>54.924999999999997</v>
      </c>
      <c r="AF14" s="32">
        <v>41.828000000000003</v>
      </c>
      <c r="AG14" s="32">
        <v>14.85</v>
      </c>
      <c r="AH14" s="32">
        <v>6.6829999999999998</v>
      </c>
      <c r="AI14" s="32">
        <v>20.305</v>
      </c>
      <c r="AJ14" s="33">
        <f t="shared" si="0"/>
        <v>1245.453</v>
      </c>
      <c r="AK14" s="34"/>
    </row>
    <row r="15" spans="1:38" x14ac:dyDescent="0.2">
      <c r="A15" s="28">
        <v>12</v>
      </c>
      <c r="B15" s="29" t="s">
        <v>113</v>
      </c>
      <c r="C15" s="30"/>
      <c r="D15" s="31" t="s">
        <v>16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3">
        <f t="shared" si="0"/>
        <v>0</v>
      </c>
      <c r="AK15" s="34"/>
    </row>
    <row r="16" spans="1:38" x14ac:dyDescent="0.2">
      <c r="A16" s="28">
        <v>13</v>
      </c>
      <c r="B16" s="29" t="s">
        <v>229</v>
      </c>
      <c r="C16" s="30"/>
      <c r="D16" s="31" t="s">
        <v>16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3">
        <f t="shared" si="0"/>
        <v>0</v>
      </c>
      <c r="AK16" s="34"/>
    </row>
    <row r="17" spans="1:37" x14ac:dyDescent="0.2">
      <c r="A17" s="28">
        <v>14</v>
      </c>
      <c r="B17" s="29" t="s">
        <v>230</v>
      </c>
      <c r="C17" s="30"/>
      <c r="D17" s="31" t="s">
        <v>16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3">
        <f t="shared" si="0"/>
        <v>0</v>
      </c>
      <c r="AK17" s="34"/>
    </row>
    <row r="18" spans="1:37" x14ac:dyDescent="0.2">
      <c r="A18" s="28">
        <v>15</v>
      </c>
      <c r="B18" s="29" t="s">
        <v>257</v>
      </c>
      <c r="C18" s="30"/>
      <c r="D18" s="31" t="s">
        <v>16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46.024999999999999</v>
      </c>
      <c r="Y18" s="32">
        <v>30.683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12.048</v>
      </c>
      <c r="AJ18" s="33">
        <f t="shared" si="0"/>
        <v>88.756</v>
      </c>
      <c r="AK18" s="34"/>
    </row>
    <row r="19" spans="1:37" x14ac:dyDescent="0.2">
      <c r="A19" s="28">
        <v>16</v>
      </c>
      <c r="B19" s="29" t="s">
        <v>262</v>
      </c>
      <c r="C19" s="30"/>
      <c r="D19" s="31" t="s">
        <v>16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10</v>
      </c>
      <c r="AA19" s="32">
        <v>11.25</v>
      </c>
      <c r="AB19" s="32">
        <v>11.295</v>
      </c>
      <c r="AC19" s="32">
        <v>11.295</v>
      </c>
      <c r="AD19" s="32">
        <v>8.18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3">
        <f t="shared" si="0"/>
        <v>52.02</v>
      </c>
      <c r="AK19" s="34"/>
    </row>
    <row r="20" spans="1:37" x14ac:dyDescent="0.2">
      <c r="A20" s="28"/>
      <c r="B20" s="35" t="s">
        <v>114</v>
      </c>
      <c r="C20" s="36"/>
      <c r="D20" s="37" t="s">
        <v>16</v>
      </c>
      <c r="E20" s="38">
        <f t="shared" ref="E20:Z20" si="1">SUM(E4:E19)</f>
        <v>90.75</v>
      </c>
      <c r="F20" s="38">
        <f t="shared" si="1"/>
        <v>94.72999999999999</v>
      </c>
      <c r="G20" s="38">
        <f t="shared" si="1"/>
        <v>69.684000000000012</v>
      </c>
      <c r="H20" s="38">
        <f t="shared" si="1"/>
        <v>67.445999999999998</v>
      </c>
      <c r="I20" s="38">
        <f t="shared" si="1"/>
        <v>86.203000000000003</v>
      </c>
      <c r="J20" s="38">
        <f t="shared" si="1"/>
        <v>83.336999999999989</v>
      </c>
      <c r="K20" s="38">
        <f t="shared" si="1"/>
        <v>78.106999999999999</v>
      </c>
      <c r="L20" s="38">
        <f t="shared" si="1"/>
        <v>88.98</v>
      </c>
      <c r="M20" s="38">
        <f t="shared" si="1"/>
        <v>91.168000000000006</v>
      </c>
      <c r="N20" s="38">
        <f t="shared" si="1"/>
        <v>83.522000000000006</v>
      </c>
      <c r="O20" s="38">
        <f t="shared" si="1"/>
        <v>83.085999999999999</v>
      </c>
      <c r="P20" s="38">
        <f t="shared" si="1"/>
        <v>106.518</v>
      </c>
      <c r="Q20" s="38">
        <f t="shared" si="1"/>
        <v>105.852</v>
      </c>
      <c r="R20" s="38">
        <f t="shared" si="1"/>
        <v>84.843999999999994</v>
      </c>
      <c r="S20" s="38">
        <f t="shared" si="1"/>
        <v>83.304000000000002</v>
      </c>
      <c r="T20" s="38">
        <f t="shared" si="1"/>
        <v>89.486000000000004</v>
      </c>
      <c r="U20" s="38">
        <f t="shared" si="1"/>
        <v>69.421999999999997</v>
      </c>
      <c r="V20" s="38">
        <f t="shared" si="1"/>
        <v>73.161000000000001</v>
      </c>
      <c r="W20" s="38">
        <f t="shared" si="1"/>
        <v>87.292000000000002</v>
      </c>
      <c r="X20" s="38">
        <f t="shared" si="1"/>
        <v>86.435000000000002</v>
      </c>
      <c r="Y20" s="38">
        <f t="shared" si="1"/>
        <v>83.241</v>
      </c>
      <c r="Z20" s="38">
        <f t="shared" si="1"/>
        <v>83.367000000000004</v>
      </c>
      <c r="AA20" s="38">
        <f>SUM(AA4:AA19)</f>
        <v>85.253</v>
      </c>
      <c r="AB20" s="38">
        <f>SUM(AB4:AB19)</f>
        <v>93.218000000000004</v>
      </c>
      <c r="AC20" s="38">
        <f>SUM(AC4:AC19)</f>
        <v>91.238</v>
      </c>
      <c r="AD20" s="38">
        <f t="shared" ref="AD20:AI20" si="2">SUM(AD4:AD19)</f>
        <v>105.22999999999999</v>
      </c>
      <c r="AE20" s="38">
        <f t="shared" si="2"/>
        <v>95.563000000000002</v>
      </c>
      <c r="AF20" s="38">
        <f t="shared" si="2"/>
        <v>87.605000000000004</v>
      </c>
      <c r="AG20" s="38">
        <f t="shared" si="2"/>
        <v>72.015999999999991</v>
      </c>
      <c r="AH20" s="38">
        <f t="shared" si="2"/>
        <v>64.11699999999999</v>
      </c>
      <c r="AI20" s="38">
        <f t="shared" si="2"/>
        <v>85.080000000000013</v>
      </c>
      <c r="AJ20" s="33">
        <f t="shared" si="0"/>
        <v>2649.2550000000001</v>
      </c>
      <c r="AK20" s="34"/>
    </row>
    <row r="21" spans="1:37" ht="25" x14ac:dyDescent="0.25">
      <c r="A21" s="21" t="s">
        <v>115</v>
      </c>
      <c r="B21" s="39" t="s">
        <v>116</v>
      </c>
      <c r="C21" s="40"/>
      <c r="D21" s="40"/>
      <c r="E21" s="40"/>
      <c r="F21" s="198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33">
        <f t="shared" si="0"/>
        <v>0</v>
      </c>
      <c r="AK21" s="34"/>
    </row>
    <row r="22" spans="1:37" x14ac:dyDescent="0.2">
      <c r="A22" s="28">
        <v>1</v>
      </c>
      <c r="B22" s="41" t="s">
        <v>117</v>
      </c>
      <c r="C22" s="30"/>
      <c r="D22" s="31" t="s">
        <v>118</v>
      </c>
      <c r="E22" s="25">
        <v>0</v>
      </c>
      <c r="F22" s="25">
        <v>0</v>
      </c>
      <c r="G22" s="25">
        <v>0</v>
      </c>
      <c r="H22" s="42">
        <v>0</v>
      </c>
      <c r="I22" s="42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10</v>
      </c>
      <c r="AC22" s="25">
        <v>10</v>
      </c>
      <c r="AD22" s="25">
        <v>20</v>
      </c>
      <c r="AE22" s="25">
        <v>10</v>
      </c>
      <c r="AF22" s="25">
        <v>10</v>
      </c>
      <c r="AG22" s="25">
        <v>10</v>
      </c>
      <c r="AH22" s="25">
        <v>0</v>
      </c>
      <c r="AI22" s="25">
        <v>0</v>
      </c>
      <c r="AJ22" s="33">
        <f t="shared" si="0"/>
        <v>70</v>
      </c>
      <c r="AK22" s="34"/>
    </row>
    <row r="23" spans="1:37" x14ac:dyDescent="0.2">
      <c r="A23" s="28">
        <v>2</v>
      </c>
      <c r="B23" s="41" t="s">
        <v>119</v>
      </c>
      <c r="C23" s="30"/>
      <c r="D23" s="31" t="s">
        <v>118</v>
      </c>
      <c r="E23" s="25">
        <v>18</v>
      </c>
      <c r="F23" s="25">
        <v>20</v>
      </c>
      <c r="G23" s="25">
        <v>22</v>
      </c>
      <c r="H23" s="25">
        <v>22</v>
      </c>
      <c r="I23" s="25">
        <v>25</v>
      </c>
      <c r="J23" s="25">
        <v>27</v>
      </c>
      <c r="K23" s="25">
        <v>22</v>
      </c>
      <c r="L23" s="25">
        <v>25</v>
      </c>
      <c r="M23" s="25">
        <v>25</v>
      </c>
      <c r="N23" s="25">
        <v>18</v>
      </c>
      <c r="O23" s="25">
        <v>18</v>
      </c>
      <c r="P23" s="25">
        <v>24</v>
      </c>
      <c r="Q23" s="25">
        <v>24</v>
      </c>
      <c r="R23" s="25">
        <v>20</v>
      </c>
      <c r="S23" s="43">
        <v>21</v>
      </c>
      <c r="T23" s="25">
        <v>24</v>
      </c>
      <c r="U23" s="25">
        <v>20</v>
      </c>
      <c r="V23" s="25">
        <v>18</v>
      </c>
      <c r="W23" s="25">
        <v>20</v>
      </c>
      <c r="X23" s="25">
        <v>20</v>
      </c>
      <c r="Y23" s="25">
        <v>25</v>
      </c>
      <c r="Z23" s="25">
        <v>19</v>
      </c>
      <c r="AA23" s="25">
        <v>18</v>
      </c>
      <c r="AB23" s="25">
        <v>16</v>
      </c>
      <c r="AC23" s="25">
        <v>18</v>
      </c>
      <c r="AD23" s="25">
        <v>20</v>
      </c>
      <c r="AE23" s="25">
        <v>25</v>
      </c>
      <c r="AF23" s="25">
        <v>28</v>
      </c>
      <c r="AG23" s="25">
        <v>25</v>
      </c>
      <c r="AH23" s="25">
        <v>25</v>
      </c>
      <c r="AI23" s="25">
        <v>25</v>
      </c>
      <c r="AJ23" s="33">
        <f t="shared" si="0"/>
        <v>677</v>
      </c>
      <c r="AK23" s="34"/>
    </row>
    <row r="24" spans="1:37" x14ac:dyDescent="0.2">
      <c r="A24" s="28">
        <v>3</v>
      </c>
      <c r="B24" s="41" t="s">
        <v>120</v>
      </c>
      <c r="C24" s="30"/>
      <c r="D24" s="31" t="s">
        <v>118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33">
        <f t="shared" si="0"/>
        <v>0</v>
      </c>
      <c r="AK24" s="34"/>
    </row>
    <row r="25" spans="1:37" x14ac:dyDescent="0.2">
      <c r="A25" s="28">
        <v>4</v>
      </c>
      <c r="B25" s="41" t="s">
        <v>222</v>
      </c>
      <c r="C25" s="30"/>
      <c r="D25" s="31" t="s">
        <v>118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170</v>
      </c>
      <c r="N25" s="25">
        <v>310</v>
      </c>
      <c r="O25" s="25">
        <v>430</v>
      </c>
      <c r="P25" s="25">
        <v>630</v>
      </c>
      <c r="Q25" s="25">
        <v>870</v>
      </c>
      <c r="R25" s="25">
        <v>600</v>
      </c>
      <c r="S25" s="25">
        <v>370</v>
      </c>
      <c r="T25" s="25">
        <v>400</v>
      </c>
      <c r="U25" s="25">
        <v>320</v>
      </c>
      <c r="V25" s="25">
        <v>350</v>
      </c>
      <c r="W25" s="25">
        <v>100</v>
      </c>
      <c r="X25" s="25">
        <v>0</v>
      </c>
      <c r="Y25" s="25">
        <v>100</v>
      </c>
      <c r="Z25" s="25">
        <v>350</v>
      </c>
      <c r="AA25" s="25">
        <v>420</v>
      </c>
      <c r="AB25" s="25">
        <v>440</v>
      </c>
      <c r="AC25" s="25">
        <v>670</v>
      </c>
      <c r="AD25" s="25">
        <v>1100</v>
      </c>
      <c r="AE25" s="25">
        <v>630</v>
      </c>
      <c r="AF25" s="25">
        <v>400</v>
      </c>
      <c r="AG25" s="25">
        <v>380</v>
      </c>
      <c r="AH25" s="25">
        <v>340</v>
      </c>
      <c r="AI25" s="25">
        <v>250</v>
      </c>
      <c r="AJ25" s="33">
        <f t="shared" si="0"/>
        <v>9630</v>
      </c>
      <c r="AK25" s="34"/>
    </row>
    <row r="26" spans="1:37" x14ac:dyDescent="0.2">
      <c r="A26" s="28">
        <v>5</v>
      </c>
      <c r="B26" s="41" t="s">
        <v>121</v>
      </c>
      <c r="C26" s="30"/>
      <c r="D26" s="31" t="s">
        <v>118</v>
      </c>
      <c r="E26" s="25">
        <v>0</v>
      </c>
      <c r="F26" s="25">
        <v>0</v>
      </c>
      <c r="G26" s="25">
        <v>6</v>
      </c>
      <c r="H26" s="25">
        <v>6</v>
      </c>
      <c r="I26" s="25">
        <v>1</v>
      </c>
      <c r="J26" s="25">
        <v>0</v>
      </c>
      <c r="K26" s="25">
        <v>2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6</v>
      </c>
      <c r="V26" s="25">
        <v>9</v>
      </c>
      <c r="W26" s="25">
        <v>2</v>
      </c>
      <c r="X26" s="25">
        <v>8</v>
      </c>
      <c r="Y26" s="25">
        <v>2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7</v>
      </c>
      <c r="AH26" s="25">
        <v>7</v>
      </c>
      <c r="AI26" s="25">
        <v>7</v>
      </c>
      <c r="AJ26" s="33">
        <f t="shared" si="0"/>
        <v>63</v>
      </c>
      <c r="AK26" s="34"/>
    </row>
    <row r="27" spans="1:37" x14ac:dyDescent="0.2">
      <c r="A27" s="28">
        <v>6</v>
      </c>
      <c r="B27" s="41" t="s">
        <v>122</v>
      </c>
      <c r="C27" s="30"/>
      <c r="D27" s="31" t="s">
        <v>118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33">
        <f t="shared" si="0"/>
        <v>0</v>
      </c>
      <c r="AK27" s="34"/>
    </row>
    <row r="28" spans="1:37" x14ac:dyDescent="0.2">
      <c r="A28" s="28">
        <v>7</v>
      </c>
      <c r="B28" s="41" t="s">
        <v>123</v>
      </c>
      <c r="C28" s="30"/>
      <c r="D28" s="31" t="s">
        <v>118</v>
      </c>
      <c r="E28" s="25">
        <v>90</v>
      </c>
      <c r="F28" s="25">
        <v>100</v>
      </c>
      <c r="G28" s="25">
        <v>90</v>
      </c>
      <c r="H28" s="25">
        <v>85</v>
      </c>
      <c r="I28" s="25">
        <v>10</v>
      </c>
      <c r="J28" s="25">
        <v>0</v>
      </c>
      <c r="K28" s="25">
        <v>0</v>
      </c>
      <c r="L28" s="25">
        <v>0</v>
      </c>
      <c r="M28" s="25">
        <v>48</v>
      </c>
      <c r="N28" s="25">
        <v>80</v>
      </c>
      <c r="O28" s="25">
        <v>105</v>
      </c>
      <c r="P28" s="25">
        <v>110</v>
      </c>
      <c r="Q28" s="25">
        <v>55</v>
      </c>
      <c r="R28" s="25">
        <v>90</v>
      </c>
      <c r="S28" s="25">
        <v>110</v>
      </c>
      <c r="T28" s="25">
        <v>105</v>
      </c>
      <c r="U28" s="25">
        <v>88</v>
      </c>
      <c r="V28" s="25">
        <v>88</v>
      </c>
      <c r="W28" s="25">
        <v>110</v>
      </c>
      <c r="X28" s="25">
        <v>110</v>
      </c>
      <c r="Y28" s="25">
        <v>120</v>
      </c>
      <c r="Z28" s="25">
        <v>100</v>
      </c>
      <c r="AA28" s="25">
        <v>85</v>
      </c>
      <c r="AB28" s="25">
        <v>90</v>
      </c>
      <c r="AC28" s="25">
        <v>96</v>
      </c>
      <c r="AD28" s="25">
        <v>110</v>
      </c>
      <c r="AE28" s="25">
        <v>102</v>
      </c>
      <c r="AF28" s="25">
        <v>80</v>
      </c>
      <c r="AG28" s="25">
        <v>74</v>
      </c>
      <c r="AH28" s="25">
        <v>75</v>
      </c>
      <c r="AI28" s="25">
        <v>90</v>
      </c>
      <c r="AJ28" s="33">
        <f t="shared" si="0"/>
        <v>2496</v>
      </c>
      <c r="AK28" s="34"/>
    </row>
    <row r="29" spans="1:37" x14ac:dyDescent="0.2">
      <c r="A29" s="28">
        <v>8</v>
      </c>
      <c r="B29" s="41" t="s">
        <v>124</v>
      </c>
      <c r="C29" s="30"/>
      <c r="D29" s="31" t="s">
        <v>118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33">
        <f t="shared" si="0"/>
        <v>0</v>
      </c>
      <c r="AK29" s="34"/>
    </row>
    <row r="30" spans="1:37" x14ac:dyDescent="0.2">
      <c r="A30" s="28">
        <v>9</v>
      </c>
      <c r="B30" s="41" t="s">
        <v>125</v>
      </c>
      <c r="C30" s="30"/>
      <c r="D30" s="31" t="s">
        <v>118</v>
      </c>
      <c r="E30" s="25">
        <v>55</v>
      </c>
      <c r="F30" s="25">
        <v>55</v>
      </c>
      <c r="G30" s="25">
        <v>55</v>
      </c>
      <c r="H30" s="25">
        <v>60</v>
      </c>
      <c r="I30" s="25">
        <v>50</v>
      </c>
      <c r="J30" s="25">
        <v>55</v>
      </c>
      <c r="K30" s="25">
        <v>45</v>
      </c>
      <c r="L30" s="25">
        <v>40</v>
      </c>
      <c r="M30" s="25">
        <v>50</v>
      </c>
      <c r="N30" s="25">
        <v>55</v>
      </c>
      <c r="O30" s="25">
        <v>45</v>
      </c>
      <c r="P30" s="25">
        <v>40</v>
      </c>
      <c r="Q30" s="25">
        <v>20</v>
      </c>
      <c r="R30" s="25">
        <v>20</v>
      </c>
      <c r="S30" s="25">
        <v>45</v>
      </c>
      <c r="T30" s="25">
        <v>50</v>
      </c>
      <c r="U30" s="25">
        <v>55</v>
      </c>
      <c r="V30" s="25">
        <v>55</v>
      </c>
      <c r="W30" s="25">
        <v>45</v>
      </c>
      <c r="X30" s="25">
        <v>45</v>
      </c>
      <c r="Y30" s="25">
        <v>40</v>
      </c>
      <c r="Z30" s="25">
        <v>40</v>
      </c>
      <c r="AA30" s="25">
        <v>50</v>
      </c>
      <c r="AB30" s="25">
        <v>55</v>
      </c>
      <c r="AC30" s="25">
        <v>35</v>
      </c>
      <c r="AD30" s="25">
        <v>18</v>
      </c>
      <c r="AE30" s="25">
        <v>45</v>
      </c>
      <c r="AF30" s="25">
        <v>60</v>
      </c>
      <c r="AG30" s="25">
        <v>55</v>
      </c>
      <c r="AH30" s="25">
        <v>60</v>
      </c>
      <c r="AI30" s="25">
        <v>55</v>
      </c>
      <c r="AJ30" s="33">
        <f t="shared" si="0"/>
        <v>1453</v>
      </c>
      <c r="AK30" s="34"/>
    </row>
    <row r="31" spans="1:37" x14ac:dyDescent="0.2">
      <c r="A31" s="28">
        <v>10</v>
      </c>
      <c r="B31" s="41" t="s">
        <v>126</v>
      </c>
      <c r="C31" s="44"/>
      <c r="D31" s="31" t="s">
        <v>118</v>
      </c>
      <c r="E31" s="25">
        <v>5</v>
      </c>
      <c r="F31" s="25">
        <v>5</v>
      </c>
      <c r="G31" s="25">
        <v>5</v>
      </c>
      <c r="H31" s="25">
        <v>5</v>
      </c>
      <c r="I31" s="25">
        <v>5</v>
      </c>
      <c r="J31" s="25">
        <v>5</v>
      </c>
      <c r="K31" s="25">
        <v>5</v>
      </c>
      <c r="L31" s="25">
        <v>5</v>
      </c>
      <c r="M31" s="25">
        <v>5</v>
      </c>
      <c r="N31" s="25">
        <v>5</v>
      </c>
      <c r="O31" s="25">
        <v>5</v>
      </c>
      <c r="P31" s="25">
        <v>5</v>
      </c>
      <c r="Q31" s="25">
        <v>5</v>
      </c>
      <c r="R31" s="25">
        <v>5</v>
      </c>
      <c r="S31" s="25">
        <v>5</v>
      </c>
      <c r="T31" s="25">
        <v>5</v>
      </c>
      <c r="U31" s="25">
        <v>5</v>
      </c>
      <c r="V31" s="25">
        <v>5</v>
      </c>
      <c r="W31" s="25">
        <v>5</v>
      </c>
      <c r="X31" s="25">
        <v>5</v>
      </c>
      <c r="Y31" s="25">
        <v>5</v>
      </c>
      <c r="Z31" s="25">
        <v>0</v>
      </c>
      <c r="AA31" s="25">
        <v>0</v>
      </c>
      <c r="AB31" s="25">
        <v>5</v>
      </c>
      <c r="AC31" s="25">
        <v>5</v>
      </c>
      <c r="AD31" s="25">
        <v>5</v>
      </c>
      <c r="AE31" s="25">
        <v>5</v>
      </c>
      <c r="AF31" s="25">
        <v>5</v>
      </c>
      <c r="AG31" s="25">
        <v>5</v>
      </c>
      <c r="AH31" s="25">
        <v>5</v>
      </c>
      <c r="AI31" s="25">
        <v>5</v>
      </c>
      <c r="AJ31" s="33">
        <f t="shared" si="0"/>
        <v>145</v>
      </c>
      <c r="AK31" s="34"/>
    </row>
    <row r="32" spans="1:37" x14ac:dyDescent="0.2">
      <c r="A32" s="28">
        <v>11</v>
      </c>
      <c r="B32" s="41" t="s">
        <v>127</v>
      </c>
      <c r="C32" s="30"/>
      <c r="D32" s="31" t="s">
        <v>118</v>
      </c>
      <c r="E32" s="25">
        <v>5</v>
      </c>
      <c r="F32" s="25">
        <v>5</v>
      </c>
      <c r="G32" s="25">
        <v>5</v>
      </c>
      <c r="H32" s="25">
        <v>5</v>
      </c>
      <c r="I32" s="25">
        <v>5</v>
      </c>
      <c r="J32" s="25">
        <v>5</v>
      </c>
      <c r="K32" s="25">
        <v>5</v>
      </c>
      <c r="L32" s="25">
        <v>5</v>
      </c>
      <c r="M32" s="25">
        <v>5</v>
      </c>
      <c r="N32" s="25">
        <v>5</v>
      </c>
      <c r="O32" s="25">
        <v>5</v>
      </c>
      <c r="P32" s="25">
        <v>5</v>
      </c>
      <c r="Q32" s="25">
        <v>5</v>
      </c>
      <c r="R32" s="25">
        <v>5</v>
      </c>
      <c r="S32" s="25">
        <v>5</v>
      </c>
      <c r="T32" s="25">
        <v>5</v>
      </c>
      <c r="U32" s="25">
        <v>5</v>
      </c>
      <c r="V32" s="25">
        <v>5</v>
      </c>
      <c r="W32" s="25">
        <v>5</v>
      </c>
      <c r="X32" s="25">
        <v>5</v>
      </c>
      <c r="Y32" s="25">
        <v>5</v>
      </c>
      <c r="Z32" s="25">
        <v>5</v>
      </c>
      <c r="AA32" s="25">
        <v>5</v>
      </c>
      <c r="AB32" s="25">
        <v>5</v>
      </c>
      <c r="AC32" s="25">
        <v>5</v>
      </c>
      <c r="AD32" s="25">
        <v>5</v>
      </c>
      <c r="AE32" s="25">
        <v>5</v>
      </c>
      <c r="AF32" s="25">
        <v>5</v>
      </c>
      <c r="AG32" s="25">
        <v>5</v>
      </c>
      <c r="AH32" s="25">
        <v>5</v>
      </c>
      <c r="AI32" s="25">
        <v>5</v>
      </c>
      <c r="AJ32" s="33">
        <f t="shared" si="0"/>
        <v>155</v>
      </c>
      <c r="AK32" s="34"/>
    </row>
    <row r="33" spans="1:39" x14ac:dyDescent="0.2">
      <c r="A33" s="28">
        <v>12</v>
      </c>
      <c r="B33" s="41" t="s">
        <v>128</v>
      </c>
      <c r="C33" s="30"/>
      <c r="D33" s="31" t="s">
        <v>118</v>
      </c>
      <c r="E33" s="25">
        <v>1</v>
      </c>
      <c r="F33" s="25">
        <v>1</v>
      </c>
      <c r="G33" s="25">
        <v>1</v>
      </c>
      <c r="H33" s="25">
        <v>1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43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33">
        <f t="shared" si="0"/>
        <v>4</v>
      </c>
      <c r="AK33" s="34"/>
    </row>
    <row r="34" spans="1:39" x14ac:dyDescent="0.2">
      <c r="A34" s="28">
        <v>13</v>
      </c>
      <c r="B34" s="41" t="s">
        <v>129</v>
      </c>
      <c r="C34" s="30"/>
      <c r="D34" s="31" t="s">
        <v>118</v>
      </c>
      <c r="E34" s="25">
        <v>1</v>
      </c>
      <c r="F34" s="25">
        <v>1</v>
      </c>
      <c r="G34" s="25">
        <v>1</v>
      </c>
      <c r="H34" s="25">
        <v>1</v>
      </c>
      <c r="I34" s="25">
        <v>0</v>
      </c>
      <c r="J34" s="25">
        <v>0</v>
      </c>
      <c r="K34" s="25">
        <v>1</v>
      </c>
      <c r="L34" s="25">
        <v>1</v>
      </c>
      <c r="M34" s="25">
        <v>1</v>
      </c>
      <c r="N34" s="25">
        <v>1</v>
      </c>
      <c r="O34" s="25">
        <v>1</v>
      </c>
      <c r="P34" s="25">
        <v>1</v>
      </c>
      <c r="Q34" s="25">
        <v>1</v>
      </c>
      <c r="R34" s="25">
        <v>1</v>
      </c>
      <c r="S34" s="25">
        <v>1</v>
      </c>
      <c r="T34" s="25">
        <v>1</v>
      </c>
      <c r="U34" s="25">
        <v>1</v>
      </c>
      <c r="V34" s="25">
        <v>1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25">
        <v>1</v>
      </c>
      <c r="AI34" s="25">
        <v>0</v>
      </c>
      <c r="AJ34" s="33">
        <f t="shared" si="0"/>
        <v>28</v>
      </c>
      <c r="AK34" s="34"/>
    </row>
    <row r="35" spans="1:39" x14ac:dyDescent="0.2">
      <c r="A35" s="28">
        <v>14</v>
      </c>
      <c r="B35" s="41" t="s">
        <v>130</v>
      </c>
      <c r="C35" s="30"/>
      <c r="D35" s="31" t="s">
        <v>118</v>
      </c>
      <c r="E35" s="25">
        <v>0</v>
      </c>
      <c r="F35" s="43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33">
        <f t="shared" si="0"/>
        <v>0</v>
      </c>
      <c r="AK35" s="34"/>
    </row>
    <row r="36" spans="1:39" x14ac:dyDescent="0.2">
      <c r="A36" s="28">
        <v>15</v>
      </c>
      <c r="B36" s="41" t="s">
        <v>131</v>
      </c>
      <c r="C36" s="44"/>
      <c r="D36" s="31" t="s">
        <v>118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33">
        <f t="shared" ref="AJ36:AJ52" si="3">SUM(E36:AI36)</f>
        <v>0</v>
      </c>
      <c r="AL36" s="27"/>
      <c r="AM36" s="34"/>
    </row>
    <row r="37" spans="1:39" x14ac:dyDescent="0.2">
      <c r="A37" s="28">
        <v>16</v>
      </c>
      <c r="B37" s="41" t="s">
        <v>132</v>
      </c>
      <c r="C37" s="30"/>
      <c r="D37" s="31" t="s">
        <v>118</v>
      </c>
      <c r="E37" s="25">
        <v>1</v>
      </c>
      <c r="F37" s="25">
        <v>1</v>
      </c>
      <c r="G37" s="25">
        <v>1</v>
      </c>
      <c r="H37" s="25">
        <v>1</v>
      </c>
      <c r="I37" s="25">
        <v>1</v>
      </c>
      <c r="J37" s="25">
        <v>1</v>
      </c>
      <c r="K37" s="25">
        <v>1</v>
      </c>
      <c r="L37" s="25">
        <v>1</v>
      </c>
      <c r="M37" s="25">
        <v>1</v>
      </c>
      <c r="N37" s="25">
        <v>1</v>
      </c>
      <c r="O37" s="25">
        <v>1</v>
      </c>
      <c r="P37" s="25">
        <v>1</v>
      </c>
      <c r="Q37" s="25">
        <v>1</v>
      </c>
      <c r="R37" s="25">
        <v>1</v>
      </c>
      <c r="S37" s="25">
        <v>1</v>
      </c>
      <c r="T37" s="25">
        <v>1</v>
      </c>
      <c r="U37" s="25">
        <v>1</v>
      </c>
      <c r="V37" s="25">
        <v>1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B37" s="25">
        <v>1</v>
      </c>
      <c r="AC37" s="25">
        <v>1</v>
      </c>
      <c r="AD37" s="25">
        <v>1</v>
      </c>
      <c r="AE37" s="25">
        <v>1</v>
      </c>
      <c r="AF37" s="25">
        <v>1</v>
      </c>
      <c r="AG37" s="25">
        <v>1</v>
      </c>
      <c r="AH37" s="25">
        <v>1</v>
      </c>
      <c r="AI37" s="25">
        <v>1</v>
      </c>
      <c r="AJ37" s="33">
        <f t="shared" si="3"/>
        <v>31</v>
      </c>
      <c r="AL37" s="27"/>
      <c r="AM37" s="34"/>
    </row>
    <row r="38" spans="1:39" x14ac:dyDescent="0.2">
      <c r="A38" s="28">
        <v>17</v>
      </c>
      <c r="B38" s="41" t="s">
        <v>133</v>
      </c>
      <c r="C38" s="30"/>
      <c r="D38" s="31" t="s">
        <v>118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33">
        <f t="shared" si="3"/>
        <v>0</v>
      </c>
      <c r="AL38" s="27"/>
      <c r="AM38" s="34"/>
    </row>
    <row r="39" spans="1:39" x14ac:dyDescent="0.2">
      <c r="A39" s="28">
        <v>18</v>
      </c>
      <c r="B39" s="41" t="s">
        <v>134</v>
      </c>
      <c r="C39" s="30"/>
      <c r="D39" s="31" t="s">
        <v>118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33">
        <f t="shared" si="3"/>
        <v>0</v>
      </c>
      <c r="AL39" s="27"/>
      <c r="AM39" s="34"/>
    </row>
    <row r="40" spans="1:39" x14ac:dyDescent="0.2">
      <c r="A40" s="28">
        <v>19</v>
      </c>
      <c r="B40" s="41" t="s">
        <v>135</v>
      </c>
      <c r="C40" s="44"/>
      <c r="D40" s="31" t="s">
        <v>118</v>
      </c>
      <c r="E40" s="25">
        <v>3</v>
      </c>
      <c r="F40" s="25">
        <v>3</v>
      </c>
      <c r="G40" s="25">
        <v>3</v>
      </c>
      <c r="H40" s="25">
        <v>3</v>
      </c>
      <c r="I40" s="25">
        <v>3</v>
      </c>
      <c r="J40" s="25">
        <v>2</v>
      </c>
      <c r="K40" s="25">
        <v>2</v>
      </c>
      <c r="L40" s="25">
        <v>3</v>
      </c>
      <c r="M40" s="25">
        <v>3</v>
      </c>
      <c r="N40" s="25">
        <v>3</v>
      </c>
      <c r="O40" s="25">
        <v>3</v>
      </c>
      <c r="P40" s="25">
        <v>2</v>
      </c>
      <c r="Q40" s="25">
        <v>2</v>
      </c>
      <c r="R40" s="25">
        <v>2</v>
      </c>
      <c r="S40" s="25">
        <v>2</v>
      </c>
      <c r="T40" s="25">
        <v>2</v>
      </c>
      <c r="U40" s="25">
        <v>2</v>
      </c>
      <c r="V40" s="25">
        <v>2</v>
      </c>
      <c r="W40" s="25">
        <v>2</v>
      </c>
      <c r="X40" s="25">
        <v>2</v>
      </c>
      <c r="Y40" s="25">
        <v>2</v>
      </c>
      <c r="Z40" s="25">
        <v>2</v>
      </c>
      <c r="AA40" s="25">
        <v>2</v>
      </c>
      <c r="AB40" s="25">
        <v>2</v>
      </c>
      <c r="AC40" s="25">
        <v>2</v>
      </c>
      <c r="AD40" s="25">
        <v>2</v>
      </c>
      <c r="AE40" s="25">
        <v>2</v>
      </c>
      <c r="AF40" s="25">
        <v>3</v>
      </c>
      <c r="AG40" s="25">
        <v>3</v>
      </c>
      <c r="AH40" s="25">
        <v>3</v>
      </c>
      <c r="AI40" s="25">
        <v>3</v>
      </c>
      <c r="AJ40" s="33">
        <f t="shared" si="3"/>
        <v>75</v>
      </c>
      <c r="AL40" s="27"/>
      <c r="AM40" s="34"/>
    </row>
    <row r="41" spans="1:39" x14ac:dyDescent="0.2">
      <c r="A41" s="28">
        <v>20</v>
      </c>
      <c r="B41" s="41" t="s">
        <v>136</v>
      </c>
      <c r="C41" s="44"/>
      <c r="D41" s="31" t="s">
        <v>118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33">
        <f t="shared" si="3"/>
        <v>0</v>
      </c>
      <c r="AL41" s="27"/>
      <c r="AM41" s="34"/>
    </row>
    <row r="42" spans="1:39" x14ac:dyDescent="0.2">
      <c r="A42" s="28">
        <v>21</v>
      </c>
      <c r="B42" s="41" t="s">
        <v>137</v>
      </c>
      <c r="C42" s="30"/>
      <c r="D42" s="31" t="s">
        <v>118</v>
      </c>
      <c r="E42" s="25">
        <v>30</v>
      </c>
      <c r="F42" s="25">
        <v>30</v>
      </c>
      <c r="G42" s="25">
        <v>30</v>
      </c>
      <c r="H42" s="25">
        <v>30</v>
      </c>
      <c r="I42" s="25">
        <v>45</v>
      </c>
      <c r="J42" s="25">
        <v>45</v>
      </c>
      <c r="K42" s="25">
        <v>30</v>
      </c>
      <c r="L42" s="25">
        <v>30</v>
      </c>
      <c r="M42" s="25">
        <v>30</v>
      </c>
      <c r="N42" s="25">
        <v>30</v>
      </c>
      <c r="O42" s="25">
        <v>30</v>
      </c>
      <c r="P42" s="25">
        <v>20</v>
      </c>
      <c r="Q42" s="25">
        <v>20</v>
      </c>
      <c r="R42" s="25">
        <v>20</v>
      </c>
      <c r="S42" s="25">
        <v>20</v>
      </c>
      <c r="T42" s="25">
        <v>20</v>
      </c>
      <c r="U42" s="25">
        <v>20</v>
      </c>
      <c r="V42" s="25">
        <v>20</v>
      </c>
      <c r="W42" s="25">
        <v>20</v>
      </c>
      <c r="X42" s="25">
        <v>35</v>
      </c>
      <c r="Y42" s="25">
        <v>30</v>
      </c>
      <c r="Z42" s="25">
        <v>25</v>
      </c>
      <c r="AA42" s="25">
        <v>25</v>
      </c>
      <c r="AB42" s="25">
        <v>25</v>
      </c>
      <c r="AC42" s="25">
        <v>25</v>
      </c>
      <c r="AD42" s="25">
        <v>20</v>
      </c>
      <c r="AE42" s="25">
        <v>20</v>
      </c>
      <c r="AF42" s="25">
        <v>20</v>
      </c>
      <c r="AG42" s="25">
        <v>20</v>
      </c>
      <c r="AH42" s="25">
        <v>20</v>
      </c>
      <c r="AI42" s="25">
        <v>30</v>
      </c>
      <c r="AJ42" s="33">
        <f t="shared" si="3"/>
        <v>815</v>
      </c>
      <c r="AL42" s="45"/>
      <c r="AM42" s="34"/>
    </row>
    <row r="43" spans="1:39" x14ac:dyDescent="0.2">
      <c r="A43" s="28">
        <v>22</v>
      </c>
      <c r="B43" s="41" t="s">
        <v>138</v>
      </c>
      <c r="C43" s="30"/>
      <c r="D43" s="31" t="s">
        <v>118</v>
      </c>
      <c r="E43" s="25">
        <v>20</v>
      </c>
      <c r="F43" s="25">
        <v>20</v>
      </c>
      <c r="G43" s="25">
        <v>20</v>
      </c>
      <c r="H43" s="25">
        <v>20</v>
      </c>
      <c r="I43" s="25">
        <v>20</v>
      </c>
      <c r="J43" s="25">
        <v>20</v>
      </c>
      <c r="K43" s="25">
        <v>20</v>
      </c>
      <c r="L43" s="25">
        <v>20</v>
      </c>
      <c r="M43" s="25">
        <v>20</v>
      </c>
      <c r="N43" s="25">
        <v>20</v>
      </c>
      <c r="O43" s="25">
        <v>20</v>
      </c>
      <c r="P43" s="25">
        <v>20</v>
      </c>
      <c r="Q43" s="25">
        <v>15</v>
      </c>
      <c r="R43" s="25">
        <v>15</v>
      </c>
      <c r="S43" s="25">
        <v>15</v>
      </c>
      <c r="T43" s="25">
        <v>15</v>
      </c>
      <c r="U43" s="25">
        <v>15</v>
      </c>
      <c r="V43" s="25">
        <v>15</v>
      </c>
      <c r="W43" s="25">
        <v>15</v>
      </c>
      <c r="X43" s="25">
        <v>15</v>
      </c>
      <c r="Y43" s="25">
        <v>15</v>
      </c>
      <c r="Z43" s="25">
        <v>15</v>
      </c>
      <c r="AA43" s="25">
        <v>15</v>
      </c>
      <c r="AB43" s="25">
        <v>15</v>
      </c>
      <c r="AC43" s="25">
        <v>15</v>
      </c>
      <c r="AD43" s="25">
        <v>15</v>
      </c>
      <c r="AE43" s="25">
        <v>15</v>
      </c>
      <c r="AF43" s="25">
        <v>15</v>
      </c>
      <c r="AG43" s="25">
        <v>15</v>
      </c>
      <c r="AH43" s="25">
        <v>15</v>
      </c>
      <c r="AI43" s="25">
        <v>15</v>
      </c>
      <c r="AJ43" s="33">
        <f t="shared" si="3"/>
        <v>525</v>
      </c>
      <c r="AL43" s="45"/>
      <c r="AM43" s="34"/>
    </row>
    <row r="44" spans="1:39" x14ac:dyDescent="0.2">
      <c r="A44" s="28">
        <v>23</v>
      </c>
      <c r="B44" s="41" t="s">
        <v>139</v>
      </c>
      <c r="C44" s="30"/>
      <c r="D44" s="31" t="s">
        <v>118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33">
        <f t="shared" si="3"/>
        <v>0</v>
      </c>
      <c r="AL44" s="45"/>
      <c r="AM44" s="34"/>
    </row>
    <row r="45" spans="1:39" x14ac:dyDescent="0.2">
      <c r="A45" s="28">
        <v>24</v>
      </c>
      <c r="B45" s="41" t="s">
        <v>140</v>
      </c>
      <c r="C45" s="30"/>
      <c r="D45" s="31" t="s">
        <v>118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33">
        <f t="shared" si="3"/>
        <v>0</v>
      </c>
      <c r="AL45" s="45"/>
      <c r="AM45" s="34"/>
    </row>
    <row r="46" spans="1:39" x14ac:dyDescent="0.2">
      <c r="A46" s="28">
        <v>25</v>
      </c>
      <c r="B46" s="41" t="s">
        <v>141</v>
      </c>
      <c r="C46" s="30"/>
      <c r="D46" s="31" t="s">
        <v>118</v>
      </c>
      <c r="E46" s="25">
        <v>50</v>
      </c>
      <c r="F46" s="25">
        <v>50</v>
      </c>
      <c r="G46" s="25">
        <v>50</v>
      </c>
      <c r="H46" s="25">
        <v>50</v>
      </c>
      <c r="I46" s="25">
        <v>50</v>
      </c>
      <c r="J46" s="25">
        <v>50</v>
      </c>
      <c r="K46" s="25">
        <v>50</v>
      </c>
      <c r="L46" s="25">
        <v>50</v>
      </c>
      <c r="M46" s="25">
        <v>50</v>
      </c>
      <c r="N46" s="25">
        <v>50</v>
      </c>
      <c r="O46" s="25">
        <v>50</v>
      </c>
      <c r="P46" s="25">
        <v>100</v>
      </c>
      <c r="Q46" s="25">
        <v>100</v>
      </c>
      <c r="R46" s="25">
        <v>100</v>
      </c>
      <c r="S46" s="25">
        <v>50</v>
      </c>
      <c r="T46" s="25">
        <v>50</v>
      </c>
      <c r="U46" s="25">
        <v>50</v>
      </c>
      <c r="V46" s="25">
        <v>50</v>
      </c>
      <c r="W46" s="25">
        <v>50</v>
      </c>
      <c r="X46" s="25">
        <v>50</v>
      </c>
      <c r="Y46" s="25">
        <v>50</v>
      </c>
      <c r="Z46" s="25">
        <v>50</v>
      </c>
      <c r="AA46" s="25">
        <v>50</v>
      </c>
      <c r="AB46" s="25">
        <v>50</v>
      </c>
      <c r="AC46" s="25">
        <v>100</v>
      </c>
      <c r="AD46" s="25">
        <v>100</v>
      </c>
      <c r="AE46" s="25">
        <v>100</v>
      </c>
      <c r="AF46" s="25">
        <v>50</v>
      </c>
      <c r="AG46" s="25">
        <v>100</v>
      </c>
      <c r="AH46" s="25">
        <v>50</v>
      </c>
      <c r="AI46" s="25">
        <v>50</v>
      </c>
      <c r="AJ46" s="33">
        <f t="shared" si="3"/>
        <v>1900</v>
      </c>
      <c r="AL46" s="45"/>
      <c r="AM46" s="34"/>
    </row>
    <row r="47" spans="1:39" x14ac:dyDescent="0.2">
      <c r="A47" s="28">
        <v>26</v>
      </c>
      <c r="B47" s="41" t="s">
        <v>142</v>
      </c>
      <c r="C47" s="30"/>
      <c r="D47" s="31" t="s">
        <v>118</v>
      </c>
      <c r="E47" s="25">
        <v>15</v>
      </c>
      <c r="F47" s="25">
        <v>15</v>
      </c>
      <c r="G47" s="25">
        <v>10</v>
      </c>
      <c r="H47" s="25">
        <v>10</v>
      </c>
      <c r="I47" s="25">
        <v>10</v>
      </c>
      <c r="J47" s="25">
        <v>10</v>
      </c>
      <c r="K47" s="25">
        <v>10</v>
      </c>
      <c r="L47" s="25">
        <v>10</v>
      </c>
      <c r="M47" s="25">
        <v>10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40</v>
      </c>
      <c r="X47" s="25">
        <v>40</v>
      </c>
      <c r="Y47" s="25">
        <v>40</v>
      </c>
      <c r="Z47" s="25">
        <v>40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33">
        <f t="shared" si="3"/>
        <v>260</v>
      </c>
      <c r="AL47" s="45"/>
      <c r="AM47" s="34"/>
    </row>
    <row r="48" spans="1:39" x14ac:dyDescent="0.2">
      <c r="A48" s="28">
        <v>27</v>
      </c>
      <c r="B48" s="41" t="s">
        <v>143</v>
      </c>
      <c r="C48" s="30"/>
      <c r="D48" s="31" t="s">
        <v>118</v>
      </c>
      <c r="E48" s="25">
        <v>20</v>
      </c>
      <c r="F48" s="25">
        <v>10</v>
      </c>
      <c r="G48" s="25">
        <v>10</v>
      </c>
      <c r="H48" s="25">
        <v>10</v>
      </c>
      <c r="I48" s="25">
        <v>10</v>
      </c>
      <c r="J48" s="25">
        <v>10</v>
      </c>
      <c r="K48" s="25">
        <v>10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33">
        <f t="shared" si="3"/>
        <v>80</v>
      </c>
      <c r="AL48" s="45"/>
      <c r="AM48" s="34"/>
    </row>
    <row r="49" spans="1:39" x14ac:dyDescent="0.2">
      <c r="A49" s="28">
        <v>28</v>
      </c>
      <c r="B49" s="41" t="s">
        <v>231</v>
      </c>
      <c r="C49" s="30"/>
      <c r="D49" s="121" t="s">
        <v>118</v>
      </c>
      <c r="E49" s="25">
        <v>5.8</v>
      </c>
      <c r="F49" s="25">
        <v>6</v>
      </c>
      <c r="G49" s="25">
        <v>4.5999999999999996</v>
      </c>
      <c r="H49" s="25">
        <v>4.5999999999999996</v>
      </c>
      <c r="I49" s="25">
        <v>5.4</v>
      </c>
      <c r="J49" s="25">
        <v>5.3</v>
      </c>
      <c r="K49" s="25">
        <v>5.2</v>
      </c>
      <c r="L49" s="25">
        <v>5.6</v>
      </c>
      <c r="M49" s="25">
        <v>5.4</v>
      </c>
      <c r="N49" s="25">
        <v>5.4</v>
      </c>
      <c r="O49" s="25">
        <v>5.2</v>
      </c>
      <c r="P49" s="25">
        <v>8.75</v>
      </c>
      <c r="Q49" s="25">
        <v>9</v>
      </c>
      <c r="R49" s="132">
        <v>7.35</v>
      </c>
      <c r="S49" s="132">
        <v>12</v>
      </c>
      <c r="T49" s="132">
        <v>6</v>
      </c>
      <c r="U49" s="25">
        <v>6</v>
      </c>
      <c r="V49" s="25">
        <v>6.8</v>
      </c>
      <c r="W49" s="132">
        <v>6.6</v>
      </c>
      <c r="X49" s="132">
        <v>5.8</v>
      </c>
      <c r="Y49" s="132">
        <v>5.8</v>
      </c>
      <c r="Z49" s="25">
        <v>5.8</v>
      </c>
      <c r="AA49" s="132">
        <v>5.2</v>
      </c>
      <c r="AB49" s="132">
        <v>5.6</v>
      </c>
      <c r="AC49" s="132">
        <v>5.5</v>
      </c>
      <c r="AD49" s="25">
        <v>10</v>
      </c>
      <c r="AE49" s="25">
        <v>5.9</v>
      </c>
      <c r="AF49" s="132">
        <v>5.0999999999999996</v>
      </c>
      <c r="AG49" s="25">
        <v>6.6</v>
      </c>
      <c r="AH49" s="132">
        <v>5.25</v>
      </c>
      <c r="AI49" s="25">
        <v>6.2</v>
      </c>
      <c r="AJ49" s="33">
        <f t="shared" si="3"/>
        <v>193.74999999999997</v>
      </c>
      <c r="AL49" s="45"/>
      <c r="AM49" s="34"/>
    </row>
    <row r="50" spans="1:39" x14ac:dyDescent="0.2">
      <c r="A50" s="28">
        <v>29</v>
      </c>
      <c r="B50" s="41" t="s">
        <v>232</v>
      </c>
      <c r="C50" s="30"/>
      <c r="D50" s="121" t="s">
        <v>118</v>
      </c>
      <c r="E50" s="25">
        <v>0</v>
      </c>
      <c r="F50" s="25">
        <v>0</v>
      </c>
      <c r="G50" s="25">
        <v>0</v>
      </c>
      <c r="H50" s="25">
        <v>0</v>
      </c>
      <c r="I50" s="25">
        <v>115</v>
      </c>
      <c r="J50" s="25">
        <v>140</v>
      </c>
      <c r="K50" s="25">
        <v>140</v>
      </c>
      <c r="L50" s="25">
        <v>140</v>
      </c>
      <c r="M50" s="25">
        <v>71</v>
      </c>
      <c r="N50" s="25">
        <v>0</v>
      </c>
      <c r="O50" s="25">
        <v>0</v>
      </c>
      <c r="P50" s="25">
        <v>0</v>
      </c>
      <c r="Q50" s="25">
        <v>56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33">
        <f t="shared" si="3"/>
        <v>662</v>
      </c>
      <c r="AL50" s="45"/>
      <c r="AM50" s="34"/>
    </row>
    <row r="51" spans="1:39" x14ac:dyDescent="0.2">
      <c r="A51" s="28">
        <v>30</v>
      </c>
      <c r="B51" s="41" t="s">
        <v>233</v>
      </c>
      <c r="C51" s="30"/>
      <c r="D51" s="121" t="s">
        <v>118</v>
      </c>
      <c r="E51" s="25">
        <v>450</v>
      </c>
      <c r="F51" s="25">
        <v>450</v>
      </c>
      <c r="G51" s="25">
        <v>360</v>
      </c>
      <c r="H51" s="25">
        <v>330</v>
      </c>
      <c r="I51" s="25">
        <v>70</v>
      </c>
      <c r="J51" s="25">
        <v>0</v>
      </c>
      <c r="K51" s="25">
        <v>320</v>
      </c>
      <c r="L51" s="25">
        <v>430</v>
      </c>
      <c r="M51" s="25">
        <v>330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33">
        <f t="shared" si="3"/>
        <v>2740</v>
      </c>
      <c r="AL51" s="45"/>
      <c r="AM51" s="34"/>
    </row>
    <row r="52" spans="1:39" x14ac:dyDescent="0.2">
      <c r="A52" s="28">
        <v>31</v>
      </c>
      <c r="B52" s="41" t="s">
        <v>235</v>
      </c>
      <c r="C52" s="30"/>
      <c r="D52" s="121" t="s">
        <v>118</v>
      </c>
      <c r="E52" s="25">
        <v>170</v>
      </c>
      <c r="F52" s="25">
        <v>120</v>
      </c>
      <c r="G52" s="25">
        <v>0</v>
      </c>
      <c r="H52" s="25">
        <v>0</v>
      </c>
      <c r="I52" s="25">
        <v>0</v>
      </c>
      <c r="J52" s="25">
        <v>0</v>
      </c>
      <c r="K52" s="25">
        <v>110</v>
      </c>
      <c r="L52" s="25">
        <v>140</v>
      </c>
      <c r="M52" s="25">
        <v>150</v>
      </c>
      <c r="N52" s="25">
        <v>150</v>
      </c>
      <c r="O52" s="25">
        <v>180</v>
      </c>
      <c r="P52" s="25">
        <v>130</v>
      </c>
      <c r="Q52" s="25">
        <v>200</v>
      </c>
      <c r="R52" s="25">
        <v>170</v>
      </c>
      <c r="S52" s="25">
        <v>100</v>
      </c>
      <c r="T52" s="25">
        <v>120</v>
      </c>
      <c r="U52" s="25">
        <v>0</v>
      </c>
      <c r="V52" s="25">
        <v>0</v>
      </c>
      <c r="W52" s="25">
        <v>0</v>
      </c>
      <c r="X52" s="25">
        <v>0</v>
      </c>
      <c r="Y52" s="25">
        <v>50</v>
      </c>
      <c r="Z52" s="25">
        <v>100</v>
      </c>
      <c r="AA52" s="25">
        <v>100</v>
      </c>
      <c r="AB52" s="25">
        <v>80</v>
      </c>
      <c r="AC52" s="25">
        <v>160</v>
      </c>
      <c r="AD52" s="25">
        <v>250</v>
      </c>
      <c r="AE52" s="25">
        <v>100</v>
      </c>
      <c r="AF52" s="25">
        <v>130</v>
      </c>
      <c r="AG52" s="25">
        <v>20</v>
      </c>
      <c r="AH52" s="25">
        <v>0</v>
      </c>
      <c r="AI52" s="25">
        <v>0</v>
      </c>
      <c r="AJ52" s="168">
        <f t="shared" si="3"/>
        <v>2730</v>
      </c>
      <c r="AL52" s="45"/>
      <c r="AM52" s="34"/>
    </row>
    <row r="53" spans="1:39" x14ac:dyDescent="0.2">
      <c r="A53" s="28"/>
      <c r="B53" s="103" t="s">
        <v>223</v>
      </c>
      <c r="C53" s="30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09"/>
      <c r="AL53" s="45"/>
      <c r="AM53" s="34"/>
    </row>
    <row r="54" spans="1:39" x14ac:dyDescent="0.2">
      <c r="A54" s="28">
        <v>28</v>
      </c>
      <c r="B54" s="41" t="s">
        <v>224</v>
      </c>
      <c r="C54" s="30"/>
      <c r="D54" s="31" t="s">
        <v>227</v>
      </c>
      <c r="E54" s="25">
        <v>795.4</v>
      </c>
      <c r="F54" s="25">
        <v>1115.2</v>
      </c>
      <c r="G54" s="25">
        <v>1287.4000000000001</v>
      </c>
      <c r="H54" s="25">
        <v>1197.2</v>
      </c>
      <c r="I54" s="25">
        <v>1213.5999999999999</v>
      </c>
      <c r="J54" s="25">
        <v>1697.4</v>
      </c>
      <c r="K54" s="25">
        <v>1033.2</v>
      </c>
      <c r="L54" s="25">
        <v>951.2</v>
      </c>
      <c r="M54" s="25">
        <v>975.8</v>
      </c>
      <c r="N54" s="25">
        <v>1189</v>
      </c>
      <c r="O54" s="25">
        <v>1205.4000000000001</v>
      </c>
      <c r="P54" s="25">
        <v>1254.5999999999999</v>
      </c>
      <c r="Q54" s="25">
        <v>1090.5999999999999</v>
      </c>
      <c r="R54" s="25">
        <v>844.6</v>
      </c>
      <c r="S54" s="25">
        <v>934.8</v>
      </c>
      <c r="T54" s="25">
        <v>1148</v>
      </c>
      <c r="U54" s="25">
        <v>992.2</v>
      </c>
      <c r="V54" s="25">
        <v>795.4</v>
      </c>
      <c r="W54" s="25">
        <v>1336.6</v>
      </c>
      <c r="X54" s="25">
        <v>1287.4000000000001</v>
      </c>
      <c r="Y54" s="25">
        <v>984</v>
      </c>
      <c r="Z54" s="25">
        <v>832</v>
      </c>
      <c r="AA54" s="25">
        <v>851.5</v>
      </c>
      <c r="AB54" s="25">
        <v>1046.5</v>
      </c>
      <c r="AC54" s="25">
        <v>916.5</v>
      </c>
      <c r="AD54" s="25">
        <v>832</v>
      </c>
      <c r="AE54" s="25">
        <v>950</v>
      </c>
      <c r="AF54" s="25">
        <v>720</v>
      </c>
      <c r="AG54" s="25">
        <v>950</v>
      </c>
      <c r="AH54" s="25">
        <v>325</v>
      </c>
      <c r="AI54" s="25">
        <v>1005.5</v>
      </c>
      <c r="AJ54" s="33">
        <f>SUM(E54:AI54)</f>
        <v>31758.000000000004</v>
      </c>
      <c r="AL54" s="45"/>
      <c r="AM54" s="34"/>
    </row>
    <row r="55" spans="1:39" x14ac:dyDescent="0.2">
      <c r="A55" s="28">
        <v>29</v>
      </c>
      <c r="B55" s="41" t="s">
        <v>225</v>
      </c>
      <c r="C55" s="30"/>
      <c r="D55" s="31" t="s">
        <v>228</v>
      </c>
      <c r="E55" s="25">
        <v>0</v>
      </c>
      <c r="F55" s="25">
        <v>0</v>
      </c>
      <c r="G55" s="25">
        <v>0</v>
      </c>
      <c r="H55" s="25">
        <v>0</v>
      </c>
      <c r="I55" s="25">
        <v>104</v>
      </c>
      <c r="J55" s="25">
        <v>0</v>
      </c>
      <c r="K55" s="25">
        <v>0</v>
      </c>
      <c r="L55" s="25">
        <v>0</v>
      </c>
      <c r="M55" s="25">
        <v>44</v>
      </c>
      <c r="N55" s="25">
        <v>118</v>
      </c>
      <c r="O55" s="25">
        <v>84</v>
      </c>
      <c r="P55" s="25">
        <v>156</v>
      </c>
      <c r="Q55" s="25">
        <v>78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76</v>
      </c>
      <c r="X55" s="25">
        <v>312</v>
      </c>
      <c r="Y55" s="25">
        <v>20</v>
      </c>
      <c r="Z55" s="25">
        <v>4</v>
      </c>
      <c r="AA55" s="25">
        <v>0</v>
      </c>
      <c r="AB55" s="25">
        <v>26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33">
        <f>SUM(E55:AI55)</f>
        <v>1022</v>
      </c>
      <c r="AL55" s="45"/>
      <c r="AM55" s="34"/>
    </row>
    <row r="56" spans="1:39" x14ac:dyDescent="0.2">
      <c r="A56" s="28">
        <v>30</v>
      </c>
      <c r="B56" s="41" t="s">
        <v>226</v>
      </c>
      <c r="C56" s="30"/>
      <c r="D56" s="31" t="s">
        <v>227</v>
      </c>
      <c r="E56" s="25">
        <v>150</v>
      </c>
      <c r="F56" s="25">
        <v>200</v>
      </c>
      <c r="G56" s="25">
        <v>250</v>
      </c>
      <c r="H56" s="25">
        <v>170</v>
      </c>
      <c r="I56" s="25">
        <v>263.5</v>
      </c>
      <c r="J56" s="25">
        <v>294.5</v>
      </c>
      <c r="K56" s="25">
        <v>201.5</v>
      </c>
      <c r="L56" s="25">
        <v>263.5</v>
      </c>
      <c r="M56" s="25">
        <v>279</v>
      </c>
      <c r="N56" s="25">
        <v>325.5</v>
      </c>
      <c r="O56" s="25">
        <v>279</v>
      </c>
      <c r="P56" s="25">
        <v>356.5</v>
      </c>
      <c r="Q56" s="25">
        <v>325.5</v>
      </c>
      <c r="R56" s="25">
        <v>279</v>
      </c>
      <c r="S56" s="25">
        <v>279</v>
      </c>
      <c r="T56" s="25">
        <v>310</v>
      </c>
      <c r="U56" s="25">
        <v>248</v>
      </c>
      <c r="V56" s="25">
        <v>186</v>
      </c>
      <c r="W56" s="25">
        <v>341</v>
      </c>
      <c r="X56" s="25">
        <v>294.5</v>
      </c>
      <c r="Y56" s="25">
        <v>232.5</v>
      </c>
      <c r="Z56" s="25">
        <v>294.5</v>
      </c>
      <c r="AA56" s="25">
        <v>263.5</v>
      </c>
      <c r="AB56" s="25">
        <v>341</v>
      </c>
      <c r="AC56" s="25">
        <v>310</v>
      </c>
      <c r="AD56" s="25">
        <v>387.5</v>
      </c>
      <c r="AE56" s="25">
        <v>360</v>
      </c>
      <c r="AF56" s="25">
        <v>270.5</v>
      </c>
      <c r="AG56" s="25">
        <v>230</v>
      </c>
      <c r="AH56" s="25">
        <v>111</v>
      </c>
      <c r="AI56" s="25">
        <v>210</v>
      </c>
      <c r="AJ56" s="33">
        <f>SUM(E56:AI56)</f>
        <v>8306.5</v>
      </c>
      <c r="AL56" s="45"/>
      <c r="AM56" s="34"/>
    </row>
    <row r="57" spans="1:39" x14ac:dyDescent="0.2">
      <c r="A57" s="135">
        <v>31</v>
      </c>
      <c r="B57" s="41" t="s">
        <v>234</v>
      </c>
      <c r="C57" s="30"/>
      <c r="D57" s="31" t="s">
        <v>228</v>
      </c>
      <c r="E57" s="25">
        <v>411</v>
      </c>
      <c r="F57" s="25">
        <v>725</v>
      </c>
      <c r="G57" s="25">
        <v>654</v>
      </c>
      <c r="H57" s="25">
        <v>258</v>
      </c>
      <c r="I57" s="25">
        <v>302</v>
      </c>
      <c r="J57" s="25">
        <v>434</v>
      </c>
      <c r="K57" s="25">
        <v>409</v>
      </c>
      <c r="L57" s="25">
        <v>627</v>
      </c>
      <c r="M57" s="25">
        <v>589</v>
      </c>
      <c r="N57" s="25">
        <v>685</v>
      </c>
      <c r="O57" s="25">
        <v>538</v>
      </c>
      <c r="P57" s="25">
        <v>456</v>
      </c>
      <c r="Q57" s="25">
        <v>473</v>
      </c>
      <c r="R57" s="25">
        <v>480</v>
      </c>
      <c r="S57" s="25">
        <v>541</v>
      </c>
      <c r="T57" s="25">
        <v>710</v>
      </c>
      <c r="U57" s="25">
        <v>442</v>
      </c>
      <c r="V57" s="25">
        <v>315</v>
      </c>
      <c r="W57" s="25">
        <v>471</v>
      </c>
      <c r="X57" s="25">
        <v>362</v>
      </c>
      <c r="Y57" s="25">
        <v>213</v>
      </c>
      <c r="Z57" s="25">
        <v>559</v>
      </c>
      <c r="AA57" s="25">
        <v>591</v>
      </c>
      <c r="AB57" s="25">
        <v>590</v>
      </c>
      <c r="AC57" s="25">
        <v>525</v>
      </c>
      <c r="AD57" s="25">
        <v>606</v>
      </c>
      <c r="AE57" s="25">
        <v>804</v>
      </c>
      <c r="AF57" s="25">
        <v>633</v>
      </c>
      <c r="AG57" s="25">
        <v>672</v>
      </c>
      <c r="AH57" s="25">
        <v>324</v>
      </c>
      <c r="AI57" s="25">
        <v>584</v>
      </c>
      <c r="AJ57" s="33">
        <f>SUM(E57:AI57)</f>
        <v>15983</v>
      </c>
      <c r="AL57" s="45"/>
      <c r="AM57" s="34"/>
    </row>
    <row r="58" spans="1:39" x14ac:dyDescent="0.2">
      <c r="A58" s="210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211"/>
      <c r="AL58" s="45"/>
      <c r="AM58" s="34"/>
    </row>
    <row r="59" spans="1:39" x14ac:dyDescent="0.2">
      <c r="A59" s="28" t="s">
        <v>144</v>
      </c>
      <c r="B59" s="35" t="s">
        <v>145</v>
      </c>
      <c r="C59" s="36"/>
      <c r="D59" s="37" t="s">
        <v>16</v>
      </c>
      <c r="E59" s="46">
        <v>88</v>
      </c>
      <c r="F59" s="46">
        <v>91</v>
      </c>
      <c r="G59" s="46">
        <v>72</v>
      </c>
      <c r="H59" s="46">
        <v>68</v>
      </c>
      <c r="I59" s="46">
        <v>88</v>
      </c>
      <c r="J59" s="46">
        <v>87</v>
      </c>
      <c r="K59" s="46">
        <v>75</v>
      </c>
      <c r="L59" s="46">
        <v>90</v>
      </c>
      <c r="M59" s="46">
        <v>88</v>
      </c>
      <c r="N59" s="46">
        <v>84</v>
      </c>
      <c r="O59" s="46">
        <v>85</v>
      </c>
      <c r="P59" s="46">
        <v>110</v>
      </c>
      <c r="Q59" s="46">
        <v>115</v>
      </c>
      <c r="R59" s="46">
        <v>85</v>
      </c>
      <c r="S59" s="46">
        <v>82</v>
      </c>
      <c r="T59" s="46">
        <v>88</v>
      </c>
      <c r="U59" s="46">
        <v>72</v>
      </c>
      <c r="V59" s="46">
        <v>74</v>
      </c>
      <c r="W59" s="46">
        <v>87</v>
      </c>
      <c r="X59" s="46">
        <v>87</v>
      </c>
      <c r="Y59" s="46">
        <v>84</v>
      </c>
      <c r="Z59" s="46">
        <v>84</v>
      </c>
      <c r="AA59" s="46">
        <v>87</v>
      </c>
      <c r="AB59" s="46">
        <v>89</v>
      </c>
      <c r="AC59" s="46">
        <v>94</v>
      </c>
      <c r="AD59" s="46">
        <v>108</v>
      </c>
      <c r="AE59" s="46">
        <v>91</v>
      </c>
      <c r="AF59" s="46">
        <v>90</v>
      </c>
      <c r="AG59" s="46">
        <v>75</v>
      </c>
      <c r="AH59" s="46">
        <v>66</v>
      </c>
      <c r="AI59" s="46">
        <v>89</v>
      </c>
      <c r="AJ59" s="33">
        <f>SUM(E59:AI59)</f>
        <v>2673</v>
      </c>
      <c r="AL59" s="27"/>
      <c r="AM59" s="34"/>
    </row>
    <row r="60" spans="1:39" ht="21" thickBot="1" x14ac:dyDescent="0.25">
      <c r="A60" s="106" t="s">
        <v>146</v>
      </c>
      <c r="B60" s="107" t="s">
        <v>147</v>
      </c>
      <c r="C60" s="108"/>
      <c r="D60" s="109" t="s">
        <v>16</v>
      </c>
      <c r="E60" s="110">
        <v>57.616999999999997</v>
      </c>
      <c r="F60" s="110">
        <v>81.742000000000004</v>
      </c>
      <c r="G60" s="110">
        <v>87.221999999999994</v>
      </c>
      <c r="H60" s="110">
        <v>52.264000000000003</v>
      </c>
      <c r="I60" s="110">
        <v>73.974999999999994</v>
      </c>
      <c r="J60" s="110">
        <v>105.79600000000001</v>
      </c>
      <c r="K60" s="110">
        <v>59.459000000000003</v>
      </c>
      <c r="L60" s="110">
        <v>70.906999999999996</v>
      </c>
      <c r="M60" s="110">
        <v>68.576999999999998</v>
      </c>
      <c r="N60" s="110">
        <v>82.763999999999996</v>
      </c>
      <c r="O60" s="110">
        <v>90.448999999999998</v>
      </c>
      <c r="P60" s="110">
        <v>115.53</v>
      </c>
      <c r="Q60" s="110">
        <v>123.236</v>
      </c>
      <c r="R60" s="110">
        <v>77.614999999999995</v>
      </c>
      <c r="S60" s="110">
        <v>69.69</v>
      </c>
      <c r="T60" s="110">
        <v>81.316999999999993</v>
      </c>
      <c r="U60" s="110">
        <v>63.427</v>
      </c>
      <c r="V60" s="110">
        <v>47.944000000000003</v>
      </c>
      <c r="W60" s="110">
        <v>83.331000000000003</v>
      </c>
      <c r="X60" s="110">
        <v>112.09</v>
      </c>
      <c r="Y60" s="110">
        <v>50.991999999999997</v>
      </c>
      <c r="Z60" s="110">
        <v>80.036000000000001</v>
      </c>
      <c r="AA60" s="110">
        <v>71.013999999999996</v>
      </c>
      <c r="AB60" s="110">
        <v>86.781999999999996</v>
      </c>
      <c r="AC60" s="110">
        <v>94.721000000000004</v>
      </c>
      <c r="AD60" s="110">
        <v>108.871</v>
      </c>
      <c r="AE60" s="110">
        <v>103.462</v>
      </c>
      <c r="AF60" s="110">
        <v>74.989000000000004</v>
      </c>
      <c r="AG60" s="110">
        <v>79.281000000000006</v>
      </c>
      <c r="AH60" s="110">
        <v>46.997999999999998</v>
      </c>
      <c r="AI60" s="110">
        <v>107.621</v>
      </c>
      <c r="AJ60" s="111">
        <f>SUM(E60:AI60)</f>
        <v>2509.7189999999996</v>
      </c>
      <c r="AL60" s="27"/>
      <c r="AM60" s="34"/>
    </row>
    <row r="61" spans="1:39" hidden="1" x14ac:dyDescent="0.2">
      <c r="A61" s="104"/>
      <c r="B61" s="105"/>
      <c r="C61" s="200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2"/>
      <c r="AL61" s="27"/>
      <c r="AM61" s="34"/>
    </row>
    <row r="62" spans="1:39" ht="23.25" hidden="1" customHeight="1" x14ac:dyDescent="0.25">
      <c r="A62" s="49" t="s">
        <v>148</v>
      </c>
      <c r="B62" s="50" t="s">
        <v>149</v>
      </c>
      <c r="C62" s="203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5"/>
    </row>
    <row r="63" spans="1:39" hidden="1" x14ac:dyDescent="0.2">
      <c r="A63" s="49">
        <v>1</v>
      </c>
      <c r="B63" s="48" t="s">
        <v>150</v>
      </c>
      <c r="C63" s="51"/>
      <c r="D63" s="52" t="s">
        <v>16</v>
      </c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53">
        <f>SUM(E63:AI63)</f>
        <v>0</v>
      </c>
      <c r="AL63" s="27"/>
      <c r="AM63" s="34"/>
    </row>
    <row r="64" spans="1:39" ht="15.75" hidden="1" customHeight="1" x14ac:dyDescent="0.2">
      <c r="A64" s="49">
        <v>2</v>
      </c>
      <c r="B64" s="48" t="s">
        <v>151</v>
      </c>
      <c r="C64" s="51"/>
      <c r="D64" s="52" t="s">
        <v>16</v>
      </c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53">
        <f>SUM(E64:AI64)</f>
        <v>0</v>
      </c>
      <c r="AL64" s="54"/>
      <c r="AM64" s="34"/>
    </row>
    <row r="65" spans="1:39" ht="17.25" hidden="1" customHeight="1" x14ac:dyDescent="0.2">
      <c r="A65" s="49">
        <v>3</v>
      </c>
      <c r="B65" s="48" t="s">
        <v>152</v>
      </c>
      <c r="C65" s="51"/>
      <c r="D65" s="52" t="s">
        <v>153</v>
      </c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53">
        <f>SUM(E65:AI65)</f>
        <v>0</v>
      </c>
      <c r="AM65" s="55"/>
    </row>
    <row r="66" spans="1:39" ht="19.5" hidden="1" customHeight="1" x14ac:dyDescent="0.2">
      <c r="A66" s="47">
        <v>4</v>
      </c>
      <c r="B66" s="56" t="s">
        <v>154</v>
      </c>
      <c r="C66" s="57"/>
      <c r="D66" s="58" t="s">
        <v>29</v>
      </c>
      <c r="E66" s="59"/>
      <c r="F66" s="59"/>
      <c r="G66" s="59" t="e">
        <f>#REF!</f>
        <v>#REF!</v>
      </c>
      <c r="H66" s="59" t="e">
        <f>#REF!</f>
        <v>#REF!</v>
      </c>
      <c r="I66" s="59" t="e">
        <f>#REF!</f>
        <v>#REF!</v>
      </c>
      <c r="J66" s="59" t="e">
        <f>#REF!</f>
        <v>#REF!</v>
      </c>
      <c r="K66" s="59" t="e">
        <f>#REF!</f>
        <v>#REF!</v>
      </c>
      <c r="L66" s="59" t="e">
        <f>#REF!</f>
        <v>#REF!</v>
      </c>
      <c r="M66" s="59" t="e">
        <f>#REF!</f>
        <v>#REF!</v>
      </c>
      <c r="N66" s="59" t="e">
        <f>#REF!</f>
        <v>#REF!</v>
      </c>
      <c r="O66" s="59" t="e">
        <f>#REF!</f>
        <v>#REF!</v>
      </c>
      <c r="P66" s="59" t="e">
        <f>#REF!</f>
        <v>#REF!</v>
      </c>
      <c r="Q66" s="59" t="e">
        <f>#REF!</f>
        <v>#REF!</v>
      </c>
      <c r="R66" s="59" t="e">
        <f>#REF!</f>
        <v>#REF!</v>
      </c>
      <c r="S66" s="59" t="e">
        <f>#REF!</f>
        <v>#REF!</v>
      </c>
      <c r="T66" s="59" t="e">
        <f>#REF!</f>
        <v>#REF!</v>
      </c>
      <c r="U66" s="59" t="e">
        <f>#REF!</f>
        <v>#REF!</v>
      </c>
      <c r="V66" s="59" t="e">
        <f>#REF!</f>
        <v>#REF!</v>
      </c>
      <c r="W66" s="59" t="e">
        <f>#REF!</f>
        <v>#REF!</v>
      </c>
      <c r="X66" s="59" t="e">
        <f>#REF!</f>
        <v>#REF!</v>
      </c>
      <c r="Y66" s="59" t="e">
        <f>#REF!</f>
        <v>#REF!</v>
      </c>
      <c r="Z66" s="59" t="e">
        <f>#REF!</f>
        <v>#REF!</v>
      </c>
      <c r="AA66" s="59" t="e">
        <f>#REF!</f>
        <v>#REF!</v>
      </c>
      <c r="AB66" s="59" t="e">
        <f>#REF!</f>
        <v>#REF!</v>
      </c>
      <c r="AC66" s="59" t="e">
        <f>#REF!</f>
        <v>#REF!</v>
      </c>
      <c r="AD66" s="59" t="e">
        <f>#REF!</f>
        <v>#REF!</v>
      </c>
      <c r="AE66" s="59" t="e">
        <f>#REF!</f>
        <v>#REF!</v>
      </c>
      <c r="AF66" s="59" t="e">
        <f>#REF!</f>
        <v>#REF!</v>
      </c>
      <c r="AG66" s="59" t="e">
        <f>#REF!</f>
        <v>#REF!</v>
      </c>
      <c r="AH66" s="59" t="e">
        <f>#REF!</f>
        <v>#REF!</v>
      </c>
      <c r="AI66" s="59" t="e">
        <f>#REF!</f>
        <v>#REF!</v>
      </c>
      <c r="AJ66" s="53" t="e">
        <f>SUM(G66:AI66)</f>
        <v>#REF!</v>
      </c>
      <c r="AM66" s="55"/>
    </row>
    <row r="67" spans="1:39" ht="23.25" hidden="1" customHeight="1" x14ac:dyDescent="0.2">
      <c r="A67" s="49">
        <v>5</v>
      </c>
      <c r="B67" s="48" t="s">
        <v>155</v>
      </c>
      <c r="C67" s="51"/>
      <c r="D67" s="48" t="s">
        <v>156</v>
      </c>
      <c r="E67" s="60"/>
      <c r="F67" s="60"/>
      <c r="G67" s="60">
        <f t="shared" ref="G67:I67" si="4">G20/G60</f>
        <v>0.79892687624681868</v>
      </c>
      <c r="H67" s="60">
        <f t="shared" si="4"/>
        <v>1.2904867595285472</v>
      </c>
      <c r="I67" s="60">
        <f t="shared" si="4"/>
        <v>1.165299087529571</v>
      </c>
      <c r="J67" s="60">
        <f t="shared" ref="J67:AI67" si="5">J20/J60</f>
        <v>0.78771409126999115</v>
      </c>
      <c r="K67" s="60">
        <f t="shared" si="5"/>
        <v>1.3136278780336028</v>
      </c>
      <c r="L67" s="60">
        <f t="shared" si="5"/>
        <v>1.2548831568110344</v>
      </c>
      <c r="M67" s="60">
        <f t="shared" si="5"/>
        <v>1.3294253175262845</v>
      </c>
      <c r="N67" s="60">
        <f t="shared" si="5"/>
        <v>1.0091585713595284</v>
      </c>
      <c r="O67" s="60">
        <f t="shared" si="5"/>
        <v>0.91859500934228133</v>
      </c>
      <c r="P67" s="60">
        <f t="shared" si="5"/>
        <v>0.92199428719813037</v>
      </c>
      <c r="Q67" s="60">
        <f t="shared" si="5"/>
        <v>0.85893732350936414</v>
      </c>
      <c r="R67" s="60">
        <f t="shared" si="5"/>
        <v>1.0931392127810347</v>
      </c>
      <c r="S67" s="60">
        <f t="shared" si="5"/>
        <v>1.1953508394317693</v>
      </c>
      <c r="T67" s="60">
        <f t="shared" si="5"/>
        <v>1.1004586986730944</v>
      </c>
      <c r="U67" s="60">
        <f t="shared" si="5"/>
        <v>1.0945181074305894</v>
      </c>
      <c r="V67" s="60">
        <f t="shared" si="5"/>
        <v>1.5259677957617219</v>
      </c>
      <c r="W67" s="60">
        <f t="shared" si="5"/>
        <v>1.0475333309332662</v>
      </c>
      <c r="X67" s="60">
        <f t="shared" si="5"/>
        <v>0.77112142028726915</v>
      </c>
      <c r="Y67" s="60">
        <f t="shared" si="5"/>
        <v>1.6324325384374021</v>
      </c>
      <c r="Z67" s="60">
        <f t="shared" si="5"/>
        <v>1.0416187715528014</v>
      </c>
      <c r="AA67" s="60">
        <f t="shared" si="5"/>
        <v>1.2005097586391416</v>
      </c>
      <c r="AB67" s="60">
        <f t="shared" si="5"/>
        <v>1.074162844829573</v>
      </c>
      <c r="AC67" s="60">
        <f t="shared" si="5"/>
        <v>0.96322885104675837</v>
      </c>
      <c r="AD67" s="60">
        <f t="shared" si="5"/>
        <v>0.96655675064985158</v>
      </c>
      <c r="AE67" s="60">
        <f t="shared" si="5"/>
        <v>0.92365312868492777</v>
      </c>
      <c r="AF67" s="60">
        <f t="shared" si="5"/>
        <v>1.1682380082412087</v>
      </c>
      <c r="AG67" s="60">
        <f t="shared" si="5"/>
        <v>0.90836392073762928</v>
      </c>
      <c r="AH67" s="60">
        <f t="shared" ref="AH67" si="6">AH20/AH60</f>
        <v>1.3642495425337247</v>
      </c>
      <c r="AI67" s="60">
        <f t="shared" si="5"/>
        <v>0.79055202980830896</v>
      </c>
      <c r="AJ67" s="61">
        <f xml:space="preserve"> AVERAGE(E67:AI67)</f>
        <v>1.0865759968556974</v>
      </c>
    </row>
    <row r="68" spans="1:39" ht="23.25" hidden="1" customHeight="1" x14ac:dyDescent="0.2">
      <c r="A68" s="49"/>
      <c r="B68" s="48"/>
      <c r="C68" s="206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8"/>
    </row>
    <row r="69" spans="1:39" hidden="1" x14ac:dyDescent="0.2">
      <c r="A69" s="49" t="s">
        <v>157</v>
      </c>
      <c r="B69" s="48" t="s">
        <v>158</v>
      </c>
      <c r="C69" s="51"/>
      <c r="D69" s="52" t="s">
        <v>159</v>
      </c>
      <c r="E69" s="59">
        <f>E63/E60</f>
        <v>0</v>
      </c>
      <c r="F69" s="59"/>
      <c r="G69" s="59">
        <f t="shared" ref="G69:I69" si="7">G63/G60</f>
        <v>0</v>
      </c>
      <c r="H69" s="59">
        <f t="shared" si="7"/>
        <v>0</v>
      </c>
      <c r="I69" s="59">
        <f t="shared" si="7"/>
        <v>0</v>
      </c>
      <c r="J69" s="59">
        <f t="shared" ref="J69:AI69" si="8">J63/J60</f>
        <v>0</v>
      </c>
      <c r="K69" s="59">
        <f t="shared" si="8"/>
        <v>0</v>
      </c>
      <c r="L69" s="59">
        <f t="shared" si="8"/>
        <v>0</v>
      </c>
      <c r="M69" s="59">
        <f t="shared" si="8"/>
        <v>0</v>
      </c>
      <c r="N69" s="59">
        <f t="shared" si="8"/>
        <v>0</v>
      </c>
      <c r="O69" s="59">
        <f t="shared" si="8"/>
        <v>0</v>
      </c>
      <c r="P69" s="59">
        <f t="shared" si="8"/>
        <v>0</v>
      </c>
      <c r="Q69" s="59">
        <f t="shared" si="8"/>
        <v>0</v>
      </c>
      <c r="R69" s="59">
        <f t="shared" si="8"/>
        <v>0</v>
      </c>
      <c r="S69" s="59">
        <f t="shared" si="8"/>
        <v>0</v>
      </c>
      <c r="T69" s="59">
        <f t="shared" si="8"/>
        <v>0</v>
      </c>
      <c r="U69" s="59">
        <f t="shared" si="8"/>
        <v>0</v>
      </c>
      <c r="V69" s="59">
        <f t="shared" si="8"/>
        <v>0</v>
      </c>
      <c r="W69" s="59">
        <f t="shared" si="8"/>
        <v>0</v>
      </c>
      <c r="X69" s="59">
        <f t="shared" si="8"/>
        <v>0</v>
      </c>
      <c r="Y69" s="59">
        <f t="shared" si="8"/>
        <v>0</v>
      </c>
      <c r="Z69" s="59">
        <f t="shared" si="8"/>
        <v>0</v>
      </c>
      <c r="AA69" s="59">
        <f t="shared" si="8"/>
        <v>0</v>
      </c>
      <c r="AB69" s="59">
        <f t="shared" si="8"/>
        <v>0</v>
      </c>
      <c r="AC69" s="59">
        <f t="shared" si="8"/>
        <v>0</v>
      </c>
      <c r="AD69" s="59">
        <f t="shared" si="8"/>
        <v>0</v>
      </c>
      <c r="AE69" s="59">
        <f t="shared" si="8"/>
        <v>0</v>
      </c>
      <c r="AF69" s="59">
        <f t="shared" si="8"/>
        <v>0</v>
      </c>
      <c r="AG69" s="59">
        <f t="shared" si="8"/>
        <v>0</v>
      </c>
      <c r="AH69" s="59">
        <f t="shared" ref="AH69" si="9">AH63/AH60</f>
        <v>0</v>
      </c>
      <c r="AI69" s="59">
        <f t="shared" si="8"/>
        <v>0</v>
      </c>
      <c r="AJ69" s="53">
        <f>AJ63/AJ60</f>
        <v>0</v>
      </c>
      <c r="AM69" s="55"/>
    </row>
    <row r="70" spans="1:39" hidden="1" x14ac:dyDescent="0.2">
      <c r="A70" s="49" t="s">
        <v>160</v>
      </c>
      <c r="B70" s="48" t="s">
        <v>161</v>
      </c>
      <c r="C70" s="51"/>
      <c r="D70" s="52" t="s">
        <v>162</v>
      </c>
      <c r="E70" s="43">
        <f>E64*1000/E60</f>
        <v>0</v>
      </c>
      <c r="F70" s="43"/>
      <c r="G70" s="43">
        <f t="shared" ref="G70:I70" si="10">G64*1000/G60</f>
        <v>0</v>
      </c>
      <c r="H70" s="43">
        <f t="shared" si="10"/>
        <v>0</v>
      </c>
      <c r="I70" s="43">
        <f t="shared" si="10"/>
        <v>0</v>
      </c>
      <c r="J70" s="43">
        <f t="shared" ref="J70:AI70" si="11">J64*1000/J60</f>
        <v>0</v>
      </c>
      <c r="K70" s="43">
        <f t="shared" si="11"/>
        <v>0</v>
      </c>
      <c r="L70" s="43">
        <f t="shared" si="11"/>
        <v>0</v>
      </c>
      <c r="M70" s="43">
        <f t="shared" si="11"/>
        <v>0</v>
      </c>
      <c r="N70" s="43">
        <f t="shared" si="11"/>
        <v>0</v>
      </c>
      <c r="O70" s="43">
        <f t="shared" si="11"/>
        <v>0</v>
      </c>
      <c r="P70" s="43">
        <f t="shared" si="11"/>
        <v>0</v>
      </c>
      <c r="Q70" s="43">
        <f t="shared" si="11"/>
        <v>0</v>
      </c>
      <c r="R70" s="43">
        <f t="shared" si="11"/>
        <v>0</v>
      </c>
      <c r="S70" s="43">
        <f t="shared" si="11"/>
        <v>0</v>
      </c>
      <c r="T70" s="43">
        <f t="shared" si="11"/>
        <v>0</v>
      </c>
      <c r="U70" s="43">
        <f t="shared" si="11"/>
        <v>0</v>
      </c>
      <c r="V70" s="43">
        <f t="shared" si="11"/>
        <v>0</v>
      </c>
      <c r="W70" s="43">
        <f t="shared" si="11"/>
        <v>0</v>
      </c>
      <c r="X70" s="43">
        <f t="shared" si="11"/>
        <v>0</v>
      </c>
      <c r="Y70" s="43">
        <f t="shared" si="11"/>
        <v>0</v>
      </c>
      <c r="Z70" s="43">
        <f t="shared" si="11"/>
        <v>0</v>
      </c>
      <c r="AA70" s="43">
        <f t="shared" si="11"/>
        <v>0</v>
      </c>
      <c r="AB70" s="43">
        <f t="shared" si="11"/>
        <v>0</v>
      </c>
      <c r="AC70" s="43">
        <f t="shared" si="11"/>
        <v>0</v>
      </c>
      <c r="AD70" s="43">
        <f t="shared" si="11"/>
        <v>0</v>
      </c>
      <c r="AE70" s="43">
        <f t="shared" si="11"/>
        <v>0</v>
      </c>
      <c r="AF70" s="43">
        <f t="shared" si="11"/>
        <v>0</v>
      </c>
      <c r="AG70" s="43">
        <f t="shared" si="11"/>
        <v>0</v>
      </c>
      <c r="AH70" s="43">
        <f t="shared" ref="AH70" si="12">AH64*1000/AH60</f>
        <v>0</v>
      </c>
      <c r="AI70" s="43">
        <f t="shared" si="11"/>
        <v>0</v>
      </c>
      <c r="AJ70" s="53">
        <f>AJ64*1000/AJ60</f>
        <v>0</v>
      </c>
      <c r="AM70" s="55"/>
    </row>
    <row r="71" spans="1:39" hidden="1" x14ac:dyDescent="0.2">
      <c r="A71" s="49" t="s">
        <v>163</v>
      </c>
      <c r="B71" s="48" t="s">
        <v>164</v>
      </c>
      <c r="C71" s="51"/>
      <c r="D71" s="52" t="s">
        <v>165</v>
      </c>
      <c r="E71" s="59">
        <f>E65/E60</f>
        <v>0</v>
      </c>
      <c r="F71" s="59"/>
      <c r="G71" s="59">
        <f t="shared" ref="G71:I71" si="13">G65/G60</f>
        <v>0</v>
      </c>
      <c r="H71" s="59">
        <f t="shared" si="13"/>
        <v>0</v>
      </c>
      <c r="I71" s="59">
        <f t="shared" si="13"/>
        <v>0</v>
      </c>
      <c r="J71" s="59">
        <f t="shared" ref="J71:AI71" si="14">J65/J60</f>
        <v>0</v>
      </c>
      <c r="K71" s="59">
        <f t="shared" si="14"/>
        <v>0</v>
      </c>
      <c r="L71" s="59">
        <f t="shared" si="14"/>
        <v>0</v>
      </c>
      <c r="M71" s="59">
        <f t="shared" si="14"/>
        <v>0</v>
      </c>
      <c r="N71" s="59">
        <f t="shared" si="14"/>
        <v>0</v>
      </c>
      <c r="O71" s="59">
        <f t="shared" si="14"/>
        <v>0</v>
      </c>
      <c r="P71" s="59">
        <f t="shared" si="14"/>
        <v>0</v>
      </c>
      <c r="Q71" s="59">
        <f t="shared" si="14"/>
        <v>0</v>
      </c>
      <c r="R71" s="59">
        <f t="shared" si="14"/>
        <v>0</v>
      </c>
      <c r="S71" s="59">
        <f t="shared" si="14"/>
        <v>0</v>
      </c>
      <c r="T71" s="59">
        <f t="shared" si="14"/>
        <v>0</v>
      </c>
      <c r="U71" s="59">
        <f t="shared" si="14"/>
        <v>0</v>
      </c>
      <c r="V71" s="59">
        <f t="shared" si="14"/>
        <v>0</v>
      </c>
      <c r="W71" s="59">
        <f t="shared" si="14"/>
        <v>0</v>
      </c>
      <c r="X71" s="59">
        <f t="shared" si="14"/>
        <v>0</v>
      </c>
      <c r="Y71" s="59">
        <f t="shared" si="14"/>
        <v>0</v>
      </c>
      <c r="Z71" s="59">
        <f t="shared" si="14"/>
        <v>0</v>
      </c>
      <c r="AA71" s="59">
        <f t="shared" si="14"/>
        <v>0</v>
      </c>
      <c r="AB71" s="59">
        <f t="shared" si="14"/>
        <v>0</v>
      </c>
      <c r="AC71" s="59">
        <f t="shared" si="14"/>
        <v>0</v>
      </c>
      <c r="AD71" s="59">
        <f t="shared" si="14"/>
        <v>0</v>
      </c>
      <c r="AE71" s="59">
        <f t="shared" si="14"/>
        <v>0</v>
      </c>
      <c r="AF71" s="59">
        <f t="shared" si="14"/>
        <v>0</v>
      </c>
      <c r="AG71" s="59">
        <f t="shared" si="14"/>
        <v>0</v>
      </c>
      <c r="AH71" s="59">
        <f t="shared" ref="AH71" si="15">AH65/AH60</f>
        <v>0</v>
      </c>
      <c r="AI71" s="59">
        <f t="shared" si="14"/>
        <v>0</v>
      </c>
      <c r="AJ71" s="53">
        <f>AJ65/AJ60</f>
        <v>0</v>
      </c>
      <c r="AM71" s="55"/>
    </row>
    <row r="72" spans="1:39" hidden="1" x14ac:dyDescent="0.2">
      <c r="A72" s="49" t="s">
        <v>166</v>
      </c>
      <c r="B72" s="48" t="s">
        <v>167</v>
      </c>
      <c r="C72" s="51"/>
      <c r="D72" s="52" t="s">
        <v>168</v>
      </c>
      <c r="E72" s="62"/>
      <c r="F72" s="62"/>
      <c r="G72" s="62">
        <v>0</v>
      </c>
      <c r="H72" s="62">
        <v>0</v>
      </c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3" t="e">
        <f>+#REF!</f>
        <v>#REF!</v>
      </c>
      <c r="AK72" s="55"/>
    </row>
    <row r="73" spans="1:39" hidden="1" x14ac:dyDescent="0.2">
      <c r="A73" s="49" t="s">
        <v>169</v>
      </c>
      <c r="B73" s="48" t="s">
        <v>170</v>
      </c>
      <c r="C73" s="51"/>
      <c r="D73" s="52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64" t="s">
        <v>171</v>
      </c>
      <c r="AK73" s="55"/>
    </row>
    <row r="74" spans="1:39" hidden="1" x14ac:dyDescent="0.2">
      <c r="A74" s="49" t="s">
        <v>157</v>
      </c>
      <c r="B74" s="48" t="s">
        <v>172</v>
      </c>
      <c r="C74" s="51"/>
      <c r="D74" s="52" t="s">
        <v>173</v>
      </c>
      <c r="E74" s="43" t="e">
        <f>E60*100/#REF!</f>
        <v>#REF!</v>
      </c>
      <c r="F74" s="43" t="e">
        <f>F60*100/#REF!</f>
        <v>#REF!</v>
      </c>
      <c r="G74" s="43" t="e">
        <f>G60*100/#REF!</f>
        <v>#REF!</v>
      </c>
      <c r="H74" s="43" t="e">
        <f>H60*100/#REF!</f>
        <v>#REF!</v>
      </c>
      <c r="I74" s="43" t="e">
        <f>I60*100/#REF!</f>
        <v>#REF!</v>
      </c>
      <c r="J74" s="43" t="e">
        <f>J60*100/#REF!</f>
        <v>#REF!</v>
      </c>
      <c r="K74" s="43" t="e">
        <f>K60*100/#REF!</f>
        <v>#REF!</v>
      </c>
      <c r="L74" s="43" t="e">
        <f>L60*100/#REF!</f>
        <v>#REF!</v>
      </c>
      <c r="M74" s="43" t="e">
        <f>M60*100/#REF!</f>
        <v>#REF!</v>
      </c>
      <c r="N74" s="43" t="e">
        <f>N60*100/#REF!</f>
        <v>#REF!</v>
      </c>
      <c r="O74" s="43" t="e">
        <f>O60*100/#REF!</f>
        <v>#REF!</v>
      </c>
      <c r="P74" s="43" t="e">
        <f>P60*100/#REF!</f>
        <v>#REF!</v>
      </c>
      <c r="Q74" s="43" t="e">
        <f>Q60*100/#REF!</f>
        <v>#REF!</v>
      </c>
      <c r="R74" s="43" t="e">
        <f>R60*100/#REF!</f>
        <v>#REF!</v>
      </c>
      <c r="S74" s="43" t="e">
        <f>S60*100/#REF!</f>
        <v>#REF!</v>
      </c>
      <c r="T74" s="43" t="e">
        <f>T60*100/#REF!</f>
        <v>#REF!</v>
      </c>
      <c r="U74" s="43" t="e">
        <f>U60*100/#REF!</f>
        <v>#REF!</v>
      </c>
      <c r="V74" s="43" t="e">
        <f>V60*100/#REF!</f>
        <v>#REF!</v>
      </c>
      <c r="W74" s="43" t="e">
        <f>W60*100/#REF!</f>
        <v>#REF!</v>
      </c>
      <c r="X74" s="43" t="e">
        <f>X60*100/#REF!</f>
        <v>#REF!</v>
      </c>
      <c r="Y74" s="43" t="e">
        <f>Y60*100/#REF!</f>
        <v>#REF!</v>
      </c>
      <c r="Z74" s="43" t="e">
        <f>Z60*100/#REF!</f>
        <v>#REF!</v>
      </c>
      <c r="AA74" s="43" t="e">
        <f>AA60*100/#REF!</f>
        <v>#REF!</v>
      </c>
      <c r="AB74" s="43" t="e">
        <f>AB60*100/#REF!</f>
        <v>#REF!</v>
      </c>
      <c r="AC74" s="43" t="e">
        <f>AC60*100/#REF!</f>
        <v>#REF!</v>
      </c>
      <c r="AD74" s="43" t="e">
        <f>AD60*100/#REF!</f>
        <v>#REF!</v>
      </c>
      <c r="AE74" s="43" t="e">
        <f>AE60*100/#REF!</f>
        <v>#REF!</v>
      </c>
      <c r="AF74" s="43" t="e">
        <f>AF60*100/#REF!</f>
        <v>#REF!</v>
      </c>
      <c r="AG74" s="43" t="e">
        <f>AG60*100/#REF!</f>
        <v>#REF!</v>
      </c>
      <c r="AH74" s="43" t="e">
        <f>AH60*100/#REF!</f>
        <v>#REF!</v>
      </c>
      <c r="AI74" s="43" t="e">
        <f>AI60*100/#REF!</f>
        <v>#REF!</v>
      </c>
      <c r="AJ74" s="64" t="s">
        <v>174</v>
      </c>
      <c r="AK74" s="55"/>
    </row>
    <row r="75" spans="1:39" hidden="1" x14ac:dyDescent="0.2">
      <c r="A75" s="49" t="s">
        <v>160</v>
      </c>
      <c r="B75" s="48" t="s">
        <v>175</v>
      </c>
      <c r="C75" s="51"/>
      <c r="D75" s="52" t="s">
        <v>176</v>
      </c>
      <c r="E75" s="62" t="e">
        <f>#REF!*E69</f>
        <v>#REF!</v>
      </c>
      <c r="F75" s="62" t="e">
        <f>#REF!*F69</f>
        <v>#REF!</v>
      </c>
      <c r="G75" s="62" t="e">
        <f>#REF!*G69</f>
        <v>#REF!</v>
      </c>
      <c r="H75" s="62" t="e">
        <f>#REF!*H69</f>
        <v>#REF!</v>
      </c>
      <c r="I75" s="62" t="e">
        <f>#REF!*I69</f>
        <v>#REF!</v>
      </c>
      <c r="J75" s="62" t="e">
        <f>#REF!*J69</f>
        <v>#REF!</v>
      </c>
      <c r="K75" s="62" t="e">
        <f>#REF!*K69</f>
        <v>#REF!</v>
      </c>
      <c r="L75" s="62" t="e">
        <f>#REF!*L69</f>
        <v>#REF!</v>
      </c>
      <c r="M75" s="62" t="e">
        <f>#REF!*M69</f>
        <v>#REF!</v>
      </c>
      <c r="N75" s="62" t="e">
        <f>#REF!*N69</f>
        <v>#REF!</v>
      </c>
      <c r="O75" s="62" t="e">
        <f>#REF!*O69</f>
        <v>#REF!</v>
      </c>
      <c r="P75" s="62" t="e">
        <f>#REF!*P69</f>
        <v>#REF!</v>
      </c>
      <c r="Q75" s="62" t="e">
        <f>#REF!*Q69</f>
        <v>#REF!</v>
      </c>
      <c r="R75" s="62" t="e">
        <f>#REF!*R69</f>
        <v>#REF!</v>
      </c>
      <c r="S75" s="62" t="e">
        <f>#REF!*S69</f>
        <v>#REF!</v>
      </c>
      <c r="T75" s="62" t="e">
        <f>#REF!*T69</f>
        <v>#REF!</v>
      </c>
      <c r="U75" s="62" t="e">
        <f>#REF!*U69</f>
        <v>#REF!</v>
      </c>
      <c r="V75" s="62" t="e">
        <f>#REF!*V69</f>
        <v>#REF!</v>
      </c>
      <c r="W75" s="62" t="e">
        <f>#REF!*W69</f>
        <v>#REF!</v>
      </c>
      <c r="X75" s="62" t="e">
        <f>#REF!*X69</f>
        <v>#REF!</v>
      </c>
      <c r="Y75" s="62" t="e">
        <f>#REF!*Y69</f>
        <v>#REF!</v>
      </c>
      <c r="Z75" s="62" t="e">
        <f>#REF!*Z69</f>
        <v>#REF!</v>
      </c>
      <c r="AA75" s="62" t="e">
        <f>#REF!*AA69</f>
        <v>#REF!</v>
      </c>
      <c r="AB75" s="62" t="e">
        <f>#REF!*AB69</f>
        <v>#REF!</v>
      </c>
      <c r="AC75" s="62" t="e">
        <f>#REF!*AC69</f>
        <v>#REF!</v>
      </c>
      <c r="AD75" s="62" t="e">
        <f>#REF!*AD69</f>
        <v>#REF!</v>
      </c>
      <c r="AE75" s="62" t="e">
        <f>#REF!*AE69</f>
        <v>#REF!</v>
      </c>
      <c r="AF75" s="62" t="e">
        <f>#REF!*AF69</f>
        <v>#REF!</v>
      </c>
      <c r="AG75" s="62" t="e">
        <f>#REF!*AG69</f>
        <v>#REF!</v>
      </c>
      <c r="AH75" s="62" t="e">
        <f>#REF!*AH69</f>
        <v>#REF!</v>
      </c>
      <c r="AI75" s="62" t="e">
        <f>#REF!*AI69</f>
        <v>#REF!</v>
      </c>
      <c r="AJ75" s="65" t="e">
        <f>AJ69*#REF!</f>
        <v>#REF!</v>
      </c>
      <c r="AK75" s="55"/>
    </row>
    <row r="76" spans="1:39" hidden="1" x14ac:dyDescent="0.2">
      <c r="A76" s="49" t="s">
        <v>163</v>
      </c>
      <c r="B76" s="48" t="s">
        <v>177</v>
      </c>
      <c r="C76" s="51"/>
      <c r="D76" s="52" t="s">
        <v>176</v>
      </c>
      <c r="E76" s="62" t="e">
        <f>#REF!*E70</f>
        <v>#REF!</v>
      </c>
      <c r="F76" s="62" t="e">
        <f>#REF!*F70</f>
        <v>#REF!</v>
      </c>
      <c r="G76" s="62" t="e">
        <f>#REF!*G70</f>
        <v>#REF!</v>
      </c>
      <c r="H76" s="62" t="e">
        <f>#REF!*H70</f>
        <v>#REF!</v>
      </c>
      <c r="I76" s="62" t="e">
        <f>#REF!*I70</f>
        <v>#REF!</v>
      </c>
      <c r="J76" s="62" t="e">
        <f>#REF!*J70</f>
        <v>#REF!</v>
      </c>
      <c r="K76" s="62" t="e">
        <f>#REF!*K70</f>
        <v>#REF!</v>
      </c>
      <c r="L76" s="62" t="e">
        <f>#REF!*L70</f>
        <v>#REF!</v>
      </c>
      <c r="M76" s="62" t="e">
        <f>#REF!*M70</f>
        <v>#REF!</v>
      </c>
      <c r="N76" s="62" t="e">
        <f>#REF!*N70</f>
        <v>#REF!</v>
      </c>
      <c r="O76" s="62" t="e">
        <f>#REF!*O70</f>
        <v>#REF!</v>
      </c>
      <c r="P76" s="62" t="e">
        <f>#REF!*P70</f>
        <v>#REF!</v>
      </c>
      <c r="Q76" s="62" t="e">
        <f>#REF!*Q70</f>
        <v>#REF!</v>
      </c>
      <c r="R76" s="62" t="e">
        <f>#REF!*R70</f>
        <v>#REF!</v>
      </c>
      <c r="S76" s="62" t="e">
        <f>#REF!*S70</f>
        <v>#REF!</v>
      </c>
      <c r="T76" s="62" t="e">
        <f>#REF!*T70</f>
        <v>#REF!</v>
      </c>
      <c r="U76" s="62" t="e">
        <f>#REF!*U70</f>
        <v>#REF!</v>
      </c>
      <c r="V76" s="62" t="e">
        <f>#REF!*V70</f>
        <v>#REF!</v>
      </c>
      <c r="W76" s="62" t="e">
        <f>#REF!*W70</f>
        <v>#REF!</v>
      </c>
      <c r="X76" s="62" t="e">
        <f>#REF!*X70</f>
        <v>#REF!</v>
      </c>
      <c r="Y76" s="62" t="e">
        <f>#REF!*Y70</f>
        <v>#REF!</v>
      </c>
      <c r="Z76" s="62" t="e">
        <f>#REF!*Z70</f>
        <v>#REF!</v>
      </c>
      <c r="AA76" s="62" t="e">
        <f>#REF!*AA70</f>
        <v>#REF!</v>
      </c>
      <c r="AB76" s="62" t="e">
        <f>#REF!*AB70</f>
        <v>#REF!</v>
      </c>
      <c r="AC76" s="62" t="e">
        <f>#REF!*AC70</f>
        <v>#REF!</v>
      </c>
      <c r="AD76" s="62" t="e">
        <f>#REF!*AD70</f>
        <v>#REF!</v>
      </c>
      <c r="AE76" s="62" t="e">
        <f>#REF!*AE70</f>
        <v>#REF!</v>
      </c>
      <c r="AF76" s="62" t="e">
        <f>#REF!*AF70</f>
        <v>#REF!</v>
      </c>
      <c r="AG76" s="62" t="e">
        <f>#REF!*AG70</f>
        <v>#REF!</v>
      </c>
      <c r="AH76" s="62" t="e">
        <f>#REF!*AH70</f>
        <v>#REF!</v>
      </c>
      <c r="AI76" s="62" t="e">
        <f>#REF!*AI70</f>
        <v>#REF!</v>
      </c>
      <c r="AJ76" s="65" t="e">
        <f>AJ70*#REF!</f>
        <v>#REF!</v>
      </c>
      <c r="AK76" s="55"/>
    </row>
    <row r="77" spans="1:39" hidden="1" x14ac:dyDescent="0.2">
      <c r="A77" s="49" t="s">
        <v>166</v>
      </c>
      <c r="B77" s="48" t="s">
        <v>178</v>
      </c>
      <c r="C77" s="51"/>
      <c r="D77" s="52" t="s">
        <v>176</v>
      </c>
      <c r="E77" s="62" t="e">
        <f>#REF!*E71</f>
        <v>#REF!</v>
      </c>
      <c r="F77" s="62" t="e">
        <f>#REF!*F71</f>
        <v>#REF!</v>
      </c>
      <c r="G77" s="62" t="e">
        <f>#REF!*G71</f>
        <v>#REF!</v>
      </c>
      <c r="H77" s="62" t="e">
        <f>#REF!*H71</f>
        <v>#REF!</v>
      </c>
      <c r="I77" s="62" t="e">
        <f>#REF!*I71</f>
        <v>#REF!</v>
      </c>
      <c r="J77" s="62" t="e">
        <f>#REF!*J71</f>
        <v>#REF!</v>
      </c>
      <c r="K77" s="62" t="e">
        <f>#REF!*K71</f>
        <v>#REF!</v>
      </c>
      <c r="L77" s="62" t="e">
        <f>#REF!*L71</f>
        <v>#REF!</v>
      </c>
      <c r="M77" s="62" t="e">
        <f>#REF!*M71</f>
        <v>#REF!</v>
      </c>
      <c r="N77" s="62" t="e">
        <f>#REF!*N71</f>
        <v>#REF!</v>
      </c>
      <c r="O77" s="62" t="e">
        <f>#REF!*O71</f>
        <v>#REF!</v>
      </c>
      <c r="P77" s="62" t="e">
        <f>#REF!*P71</f>
        <v>#REF!</v>
      </c>
      <c r="Q77" s="62" t="e">
        <f>#REF!*Q71</f>
        <v>#REF!</v>
      </c>
      <c r="R77" s="62" t="e">
        <f>#REF!*R71</f>
        <v>#REF!</v>
      </c>
      <c r="S77" s="62" t="e">
        <f>#REF!*S71</f>
        <v>#REF!</v>
      </c>
      <c r="T77" s="62" t="e">
        <f>#REF!*T71</f>
        <v>#REF!</v>
      </c>
      <c r="U77" s="62" t="e">
        <f>#REF!*U71</f>
        <v>#REF!</v>
      </c>
      <c r="V77" s="62" t="e">
        <f>#REF!*V71</f>
        <v>#REF!</v>
      </c>
      <c r="W77" s="62" t="e">
        <f>#REF!*W71</f>
        <v>#REF!</v>
      </c>
      <c r="X77" s="62" t="e">
        <f>#REF!*X71</f>
        <v>#REF!</v>
      </c>
      <c r="Y77" s="62" t="e">
        <f>#REF!*Y71</f>
        <v>#REF!</v>
      </c>
      <c r="Z77" s="62" t="e">
        <f>#REF!*Z71</f>
        <v>#REF!</v>
      </c>
      <c r="AA77" s="62" t="e">
        <f>#REF!*AA71</f>
        <v>#REF!</v>
      </c>
      <c r="AB77" s="62" t="e">
        <f>#REF!*AB71</f>
        <v>#REF!</v>
      </c>
      <c r="AC77" s="62" t="e">
        <f>#REF!*AC71</f>
        <v>#REF!</v>
      </c>
      <c r="AD77" s="62" t="e">
        <f>#REF!*AD71</f>
        <v>#REF!</v>
      </c>
      <c r="AE77" s="62" t="e">
        <f>#REF!*AE71</f>
        <v>#REF!</v>
      </c>
      <c r="AF77" s="62" t="e">
        <f>#REF!*AF71</f>
        <v>#REF!</v>
      </c>
      <c r="AG77" s="62" t="e">
        <f>#REF!*AG71</f>
        <v>#REF!</v>
      </c>
      <c r="AH77" s="62" t="e">
        <f>#REF!*AH71</f>
        <v>#REF!</v>
      </c>
      <c r="AI77" s="62" t="e">
        <f>#REF!*AI71</f>
        <v>#REF!</v>
      </c>
      <c r="AJ77" s="65" t="e">
        <f>AJ71*#REF!</f>
        <v>#REF!</v>
      </c>
      <c r="AK77" s="55"/>
    </row>
    <row r="78" spans="1:39" hidden="1" x14ac:dyDescent="0.2">
      <c r="A78" s="49" t="s">
        <v>179</v>
      </c>
      <c r="B78" s="48" t="s">
        <v>180</v>
      </c>
      <c r="C78" s="51"/>
      <c r="D78" s="52" t="s">
        <v>176</v>
      </c>
      <c r="E78" s="62" t="e">
        <f>#REF!*E72</f>
        <v>#REF!</v>
      </c>
      <c r="F78" s="62" t="e">
        <f>#REF!*F72</f>
        <v>#REF!</v>
      </c>
      <c r="G78" s="62" t="e">
        <f>#REF!*G72</f>
        <v>#REF!</v>
      </c>
      <c r="H78" s="62" t="e">
        <f>#REF!*H72</f>
        <v>#REF!</v>
      </c>
      <c r="I78" s="62" t="e">
        <f>#REF!*I72</f>
        <v>#REF!</v>
      </c>
      <c r="J78" s="62" t="e">
        <f>#REF!*J72</f>
        <v>#REF!</v>
      </c>
      <c r="K78" s="62" t="e">
        <f>#REF!*K72</f>
        <v>#REF!</v>
      </c>
      <c r="L78" s="62" t="e">
        <f>#REF!*L72</f>
        <v>#REF!</v>
      </c>
      <c r="M78" s="62" t="e">
        <f>#REF!*M72</f>
        <v>#REF!</v>
      </c>
      <c r="N78" s="62" t="e">
        <f>#REF!*N72</f>
        <v>#REF!</v>
      </c>
      <c r="O78" s="62" t="e">
        <f>#REF!*O72</f>
        <v>#REF!</v>
      </c>
      <c r="P78" s="62" t="e">
        <f>#REF!*P72</f>
        <v>#REF!</v>
      </c>
      <c r="Q78" s="62" t="e">
        <f>#REF!*Q72</f>
        <v>#REF!</v>
      </c>
      <c r="R78" s="62" t="e">
        <f>#REF!*R72</f>
        <v>#REF!</v>
      </c>
      <c r="S78" s="62" t="e">
        <f>#REF!*S72</f>
        <v>#REF!</v>
      </c>
      <c r="T78" s="62" t="e">
        <f>#REF!*T72</f>
        <v>#REF!</v>
      </c>
      <c r="U78" s="62" t="e">
        <f>#REF!*U72</f>
        <v>#REF!</v>
      </c>
      <c r="V78" s="62" t="e">
        <f>#REF!*V72</f>
        <v>#REF!</v>
      </c>
      <c r="W78" s="62" t="e">
        <f>#REF!*W72</f>
        <v>#REF!</v>
      </c>
      <c r="X78" s="62" t="e">
        <f>#REF!*X72</f>
        <v>#REF!</v>
      </c>
      <c r="Y78" s="62" t="e">
        <f>#REF!*Y72</f>
        <v>#REF!</v>
      </c>
      <c r="Z78" s="62" t="e">
        <f>#REF!*Z72</f>
        <v>#REF!</v>
      </c>
      <c r="AA78" s="62" t="e">
        <f>#REF!*AA72</f>
        <v>#REF!</v>
      </c>
      <c r="AB78" s="62" t="e">
        <f>#REF!*AB72</f>
        <v>#REF!</v>
      </c>
      <c r="AC78" s="62" t="e">
        <f>#REF!*AC72</f>
        <v>#REF!</v>
      </c>
      <c r="AD78" s="62" t="e">
        <f>#REF!*AD72</f>
        <v>#REF!</v>
      </c>
      <c r="AE78" s="62" t="e">
        <f>#REF!*AE72</f>
        <v>#REF!</v>
      </c>
      <c r="AF78" s="62" t="e">
        <f>#REF!*AF72</f>
        <v>#REF!</v>
      </c>
      <c r="AG78" s="62" t="e">
        <f>#REF!*AG72</f>
        <v>#REF!</v>
      </c>
      <c r="AH78" s="62" t="e">
        <f>#REF!*AH72</f>
        <v>#REF!</v>
      </c>
      <c r="AI78" s="62" t="e">
        <f>#REF!*AI72</f>
        <v>#REF!</v>
      </c>
      <c r="AJ78" s="65" t="e">
        <f>AJ72*#REF!</f>
        <v>#REF!</v>
      </c>
      <c r="AK78" s="55"/>
    </row>
    <row r="79" spans="1:39" hidden="1" x14ac:dyDescent="0.2">
      <c r="A79" s="49" t="s">
        <v>181</v>
      </c>
      <c r="B79" s="48" t="s">
        <v>182</v>
      </c>
      <c r="C79" s="51"/>
      <c r="D79" s="52" t="s">
        <v>176</v>
      </c>
      <c r="E79" s="62" t="e">
        <f>#REF!/E60</f>
        <v>#REF!</v>
      </c>
      <c r="F79" s="62" t="e">
        <f>#REF!/F60</f>
        <v>#REF!</v>
      </c>
      <c r="G79" s="62" t="e">
        <f>#REF!/G60</f>
        <v>#REF!</v>
      </c>
      <c r="H79" s="62" t="e">
        <f>#REF!/H60</f>
        <v>#REF!</v>
      </c>
      <c r="I79" s="62" t="e">
        <f>#REF!/I60</f>
        <v>#REF!</v>
      </c>
      <c r="J79" s="62" t="e">
        <f>#REF!/J60</f>
        <v>#REF!</v>
      </c>
      <c r="K79" s="62" t="e">
        <f>#REF!/K60</f>
        <v>#REF!</v>
      </c>
      <c r="L79" s="62" t="e">
        <f>#REF!/L60</f>
        <v>#REF!</v>
      </c>
      <c r="M79" s="62" t="e">
        <f>#REF!/M60</f>
        <v>#REF!</v>
      </c>
      <c r="N79" s="62" t="e">
        <f>#REF!/N60</f>
        <v>#REF!</v>
      </c>
      <c r="O79" s="62" t="e">
        <f>#REF!/O60</f>
        <v>#REF!</v>
      </c>
      <c r="P79" s="62" t="e">
        <f>#REF!/P60</f>
        <v>#REF!</v>
      </c>
      <c r="Q79" s="62" t="e">
        <f>#REF!/Q60</f>
        <v>#REF!</v>
      </c>
      <c r="R79" s="62" t="e">
        <f>#REF!/R60</f>
        <v>#REF!</v>
      </c>
      <c r="S79" s="62" t="e">
        <f>#REF!/S60</f>
        <v>#REF!</v>
      </c>
      <c r="T79" s="62" t="e">
        <f>#REF!/T60</f>
        <v>#REF!</v>
      </c>
      <c r="U79" s="62" t="e">
        <f>#REF!/U60</f>
        <v>#REF!</v>
      </c>
      <c r="V79" s="62" t="e">
        <f>#REF!/V60</f>
        <v>#REF!</v>
      </c>
      <c r="W79" s="62" t="e">
        <f>#REF!/W60</f>
        <v>#REF!</v>
      </c>
      <c r="X79" s="62" t="e">
        <f>#REF!/X60</f>
        <v>#REF!</v>
      </c>
      <c r="Y79" s="62" t="e">
        <f>#REF!/Y60</f>
        <v>#REF!</v>
      </c>
      <c r="Z79" s="62" t="e">
        <f>#REF!/Z60</f>
        <v>#REF!</v>
      </c>
      <c r="AA79" s="62" t="e">
        <f>#REF!/AA60</f>
        <v>#REF!</v>
      </c>
      <c r="AB79" s="62" t="e">
        <f>#REF!/AB60</f>
        <v>#REF!</v>
      </c>
      <c r="AC79" s="62" t="e">
        <f>#REF!/AC60</f>
        <v>#REF!</v>
      </c>
      <c r="AD79" s="62" t="e">
        <f>#REF!/AD60</f>
        <v>#REF!</v>
      </c>
      <c r="AE79" s="62" t="e">
        <f>#REF!/AE60</f>
        <v>#REF!</v>
      </c>
      <c r="AF79" s="62" t="e">
        <f>#REF!/AF60</f>
        <v>#REF!</v>
      </c>
      <c r="AG79" s="62" t="e">
        <f>#REF!/AG60</f>
        <v>#REF!</v>
      </c>
      <c r="AH79" s="62" t="e">
        <f>#REF!/AH60</f>
        <v>#REF!</v>
      </c>
      <c r="AI79" s="62" t="e">
        <f>#REF!/AI60</f>
        <v>#REF!</v>
      </c>
      <c r="AJ79" s="65" t="e">
        <f>#REF!/AJ60</f>
        <v>#REF!</v>
      </c>
      <c r="AK79" s="55"/>
    </row>
    <row r="80" spans="1:39" hidden="1" x14ac:dyDescent="0.2">
      <c r="A80" s="49" t="s">
        <v>183</v>
      </c>
      <c r="B80" s="48" t="s">
        <v>184</v>
      </c>
      <c r="C80" s="51"/>
      <c r="D80" s="52" t="s">
        <v>176</v>
      </c>
      <c r="E80" s="62">
        <v>291</v>
      </c>
      <c r="F80" s="62">
        <v>291</v>
      </c>
      <c r="G80" s="62">
        <v>291</v>
      </c>
      <c r="H80" s="62">
        <v>291</v>
      </c>
      <c r="I80" s="62">
        <v>291</v>
      </c>
      <c r="J80" s="62">
        <v>291</v>
      </c>
      <c r="K80" s="62">
        <v>291</v>
      </c>
      <c r="L80" s="62">
        <v>291</v>
      </c>
      <c r="M80" s="62">
        <v>291</v>
      </c>
      <c r="N80" s="62">
        <v>291</v>
      </c>
      <c r="O80" s="62">
        <v>291</v>
      </c>
      <c r="P80" s="62">
        <v>291</v>
      </c>
      <c r="Q80" s="62">
        <v>291</v>
      </c>
      <c r="R80" s="62">
        <v>291</v>
      </c>
      <c r="S80" s="62">
        <v>291</v>
      </c>
      <c r="T80" s="62">
        <v>291</v>
      </c>
      <c r="U80" s="62">
        <v>291</v>
      </c>
      <c r="V80" s="62">
        <v>291</v>
      </c>
      <c r="W80" s="62">
        <v>291</v>
      </c>
      <c r="X80" s="62">
        <v>291</v>
      </c>
      <c r="Y80" s="62">
        <v>291</v>
      </c>
      <c r="Z80" s="62">
        <v>291</v>
      </c>
      <c r="AA80" s="62">
        <v>291</v>
      </c>
      <c r="AB80" s="62">
        <v>291</v>
      </c>
      <c r="AC80" s="62">
        <v>291</v>
      </c>
      <c r="AD80" s="62">
        <v>291</v>
      </c>
      <c r="AE80" s="62">
        <v>291</v>
      </c>
      <c r="AF80" s="62">
        <v>291</v>
      </c>
      <c r="AG80" s="62">
        <v>291</v>
      </c>
      <c r="AH80" s="62">
        <v>291</v>
      </c>
      <c r="AI80" s="62">
        <v>291</v>
      </c>
      <c r="AJ80" s="65">
        <f>AVERAGE(E80:AI80)</f>
        <v>291</v>
      </c>
      <c r="AK80" s="55"/>
    </row>
    <row r="81" spans="1:37" ht="20.25" hidden="1" customHeight="1" x14ac:dyDescent="0.2">
      <c r="A81" s="49"/>
      <c r="B81" s="48"/>
      <c r="C81" s="51"/>
      <c r="D81" s="206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8"/>
      <c r="AK81" s="55"/>
    </row>
    <row r="82" spans="1:37" hidden="1" x14ac:dyDescent="0.2">
      <c r="A82" s="49" t="s">
        <v>179</v>
      </c>
      <c r="B82" s="48" t="s">
        <v>185</v>
      </c>
      <c r="C82" s="51"/>
      <c r="D82" s="52"/>
      <c r="E82" s="66"/>
      <c r="F82" s="66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53" t="s">
        <v>186</v>
      </c>
      <c r="AK82" s="55"/>
    </row>
    <row r="83" spans="1:37" hidden="1" x14ac:dyDescent="0.2">
      <c r="A83" s="49"/>
      <c r="B83" s="68" t="s">
        <v>187</v>
      </c>
      <c r="C83" s="69"/>
      <c r="D83" s="52"/>
      <c r="E83" s="66"/>
      <c r="F83" s="70"/>
      <c r="G83" s="193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71" t="s">
        <v>187</v>
      </c>
      <c r="AK83" s="55"/>
    </row>
    <row r="84" spans="1:37" hidden="1" x14ac:dyDescent="0.2">
      <c r="A84" s="72" t="s">
        <v>157</v>
      </c>
      <c r="B84" s="48" t="s">
        <v>188</v>
      </c>
      <c r="C84" s="51"/>
      <c r="D84" s="52" t="s">
        <v>16</v>
      </c>
      <c r="E84" s="43"/>
      <c r="F84" s="43"/>
      <c r="G84" s="73">
        <v>1.6</v>
      </c>
      <c r="H84" s="73">
        <v>3.5</v>
      </c>
      <c r="I84" s="73">
        <v>12</v>
      </c>
      <c r="J84" s="73">
        <v>26.5</v>
      </c>
      <c r="K84" s="73">
        <v>26.5</v>
      </c>
      <c r="L84" s="73">
        <v>26.5</v>
      </c>
      <c r="M84" s="73">
        <v>26.5</v>
      </c>
      <c r="N84" s="73">
        <v>26.5</v>
      </c>
      <c r="O84" s="73">
        <v>26.5</v>
      </c>
      <c r="P84" s="73">
        <v>26.5</v>
      </c>
      <c r="Q84" s="73">
        <v>26.5</v>
      </c>
      <c r="R84" s="73">
        <v>26.5</v>
      </c>
      <c r="S84" s="73">
        <v>26.5</v>
      </c>
      <c r="T84" s="73">
        <v>26.5</v>
      </c>
      <c r="U84" s="73">
        <v>26.5</v>
      </c>
      <c r="V84" s="73">
        <v>26.5</v>
      </c>
      <c r="W84" s="73">
        <v>26.5</v>
      </c>
      <c r="X84" s="73">
        <v>26.5</v>
      </c>
      <c r="Y84" s="73">
        <v>26.5</v>
      </c>
      <c r="Z84" s="73">
        <v>26.5</v>
      </c>
      <c r="AA84" s="73">
        <v>26.5</v>
      </c>
      <c r="AB84" s="73">
        <v>26.5</v>
      </c>
      <c r="AC84" s="73">
        <v>26.5</v>
      </c>
      <c r="AD84" s="73">
        <v>26.5</v>
      </c>
      <c r="AE84" s="73">
        <v>26.5</v>
      </c>
      <c r="AF84" s="73">
        <v>26.5</v>
      </c>
      <c r="AG84" s="73">
        <v>26.5</v>
      </c>
      <c r="AH84" s="73">
        <v>26.5</v>
      </c>
      <c r="AI84" s="73">
        <v>26.5</v>
      </c>
      <c r="AJ84" s="53">
        <f>SUM(G84:AI84)</f>
        <v>706.1</v>
      </c>
      <c r="AK84" s="55"/>
    </row>
    <row r="85" spans="1:37" hidden="1" x14ac:dyDescent="0.2">
      <c r="A85" s="72" t="s">
        <v>160</v>
      </c>
      <c r="B85" s="48" t="s">
        <v>189</v>
      </c>
      <c r="C85" s="51"/>
      <c r="D85" s="52" t="s">
        <v>16</v>
      </c>
      <c r="E85" s="43"/>
      <c r="F85" s="43"/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53">
        <f>SUM(G85:AI85)</f>
        <v>0</v>
      </c>
      <c r="AK85" s="55"/>
    </row>
    <row r="86" spans="1:37" hidden="1" x14ac:dyDescent="0.2">
      <c r="A86" s="72" t="s">
        <v>163</v>
      </c>
      <c r="B86" s="48" t="s">
        <v>190</v>
      </c>
      <c r="C86" s="51"/>
      <c r="D86" s="52" t="s">
        <v>16</v>
      </c>
      <c r="E86" s="43"/>
      <c r="F86" s="43"/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43">
        <v>0</v>
      </c>
      <c r="AH86" s="43">
        <v>0</v>
      </c>
      <c r="AI86" s="43">
        <v>0</v>
      </c>
      <c r="AJ86" s="53">
        <f>SUM(G86:AI86)</f>
        <v>0</v>
      </c>
      <c r="AK86" s="55"/>
    </row>
    <row r="87" spans="1:37" hidden="1" x14ac:dyDescent="0.2">
      <c r="A87" s="72" t="s">
        <v>166</v>
      </c>
      <c r="B87" s="48" t="s">
        <v>191</v>
      </c>
      <c r="C87" s="51"/>
      <c r="D87" s="52" t="s">
        <v>16</v>
      </c>
      <c r="E87" s="43"/>
      <c r="F87" s="43"/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  <c r="V87" s="43">
        <v>0</v>
      </c>
      <c r="W87" s="43">
        <v>0</v>
      </c>
      <c r="X87" s="43">
        <v>0</v>
      </c>
      <c r="Y87" s="43">
        <v>0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0</v>
      </c>
      <c r="AG87" s="43">
        <v>0</v>
      </c>
      <c r="AH87" s="43">
        <v>0</v>
      </c>
      <c r="AI87" s="43">
        <v>0</v>
      </c>
      <c r="AJ87" s="53">
        <f>SUM(G87:AI87)</f>
        <v>0</v>
      </c>
      <c r="AK87" s="55"/>
    </row>
    <row r="88" spans="1:37" hidden="1" x14ac:dyDescent="0.2">
      <c r="A88" s="74"/>
      <c r="B88" s="48" t="s">
        <v>192</v>
      </c>
      <c r="C88" s="51"/>
      <c r="D88" s="52" t="s">
        <v>16</v>
      </c>
      <c r="E88" s="75">
        <f t="shared" ref="E88:AJ88" si="16">SUM(E84:E87)</f>
        <v>0</v>
      </c>
      <c r="F88" s="75">
        <f t="shared" si="16"/>
        <v>0</v>
      </c>
      <c r="G88" s="75">
        <f t="shared" si="16"/>
        <v>1.6</v>
      </c>
      <c r="H88" s="75">
        <f t="shared" si="16"/>
        <v>3.5</v>
      </c>
      <c r="I88" s="75">
        <f t="shared" si="16"/>
        <v>12</v>
      </c>
      <c r="J88" s="75">
        <f t="shared" ref="J88:AI88" si="17">SUM(J84:J87)</f>
        <v>26.5</v>
      </c>
      <c r="K88" s="75">
        <f t="shared" si="17"/>
        <v>26.5</v>
      </c>
      <c r="L88" s="75">
        <f t="shared" si="17"/>
        <v>26.5</v>
      </c>
      <c r="M88" s="75">
        <f t="shared" si="17"/>
        <v>26.5</v>
      </c>
      <c r="N88" s="75">
        <f t="shared" si="17"/>
        <v>26.5</v>
      </c>
      <c r="O88" s="75">
        <f t="shared" si="17"/>
        <v>26.5</v>
      </c>
      <c r="P88" s="75">
        <f t="shared" si="17"/>
        <v>26.5</v>
      </c>
      <c r="Q88" s="75">
        <f t="shared" si="17"/>
        <v>26.5</v>
      </c>
      <c r="R88" s="75">
        <f t="shared" si="17"/>
        <v>26.5</v>
      </c>
      <c r="S88" s="75">
        <f t="shared" si="17"/>
        <v>26.5</v>
      </c>
      <c r="T88" s="75">
        <f t="shared" si="17"/>
        <v>26.5</v>
      </c>
      <c r="U88" s="75">
        <f t="shared" si="17"/>
        <v>26.5</v>
      </c>
      <c r="V88" s="75">
        <f t="shared" si="17"/>
        <v>26.5</v>
      </c>
      <c r="W88" s="75">
        <f t="shared" si="17"/>
        <v>26.5</v>
      </c>
      <c r="X88" s="75">
        <f t="shared" si="17"/>
        <v>26.5</v>
      </c>
      <c r="Y88" s="75">
        <f t="shared" si="17"/>
        <v>26.5</v>
      </c>
      <c r="Z88" s="75">
        <f t="shared" si="17"/>
        <v>26.5</v>
      </c>
      <c r="AA88" s="75">
        <f t="shared" si="17"/>
        <v>26.5</v>
      </c>
      <c r="AB88" s="75">
        <f t="shared" si="17"/>
        <v>26.5</v>
      </c>
      <c r="AC88" s="75">
        <f t="shared" si="17"/>
        <v>26.5</v>
      </c>
      <c r="AD88" s="75">
        <f t="shared" si="17"/>
        <v>26.5</v>
      </c>
      <c r="AE88" s="75">
        <f t="shared" si="17"/>
        <v>26.5</v>
      </c>
      <c r="AF88" s="75">
        <f t="shared" si="17"/>
        <v>26.5</v>
      </c>
      <c r="AG88" s="75">
        <f t="shared" si="17"/>
        <v>26.5</v>
      </c>
      <c r="AH88" s="75">
        <f t="shared" ref="AH88" si="18">SUM(AH84:AH87)</f>
        <v>26.5</v>
      </c>
      <c r="AI88" s="75">
        <f t="shared" si="17"/>
        <v>26.5</v>
      </c>
      <c r="AJ88" s="64">
        <f t="shared" si="16"/>
        <v>706.1</v>
      </c>
      <c r="AK88" s="55"/>
    </row>
    <row r="89" spans="1:37" hidden="1" x14ac:dyDescent="0.2">
      <c r="A89" s="74"/>
      <c r="B89" s="68" t="s">
        <v>193</v>
      </c>
      <c r="C89" s="69"/>
      <c r="D89" s="66"/>
      <c r="E89" s="66"/>
      <c r="F89" s="66"/>
      <c r="G89" s="193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76" t="s">
        <v>193</v>
      </c>
      <c r="AK89" s="55"/>
    </row>
    <row r="90" spans="1:37" hidden="1" x14ac:dyDescent="0.2">
      <c r="A90" s="72" t="s">
        <v>157</v>
      </c>
      <c r="B90" s="48" t="s">
        <v>188</v>
      </c>
      <c r="C90" s="51"/>
      <c r="D90" s="52" t="s">
        <v>16</v>
      </c>
      <c r="E90" s="43"/>
      <c r="F90" s="43"/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0</v>
      </c>
      <c r="AB90" s="43">
        <v>0</v>
      </c>
      <c r="AC90" s="43">
        <v>0</v>
      </c>
      <c r="AD90" s="43">
        <v>0</v>
      </c>
      <c r="AE90" s="43">
        <v>0</v>
      </c>
      <c r="AF90" s="43">
        <v>0</v>
      </c>
      <c r="AG90" s="43">
        <v>0</v>
      </c>
      <c r="AH90" s="43">
        <v>0</v>
      </c>
      <c r="AI90" s="43">
        <v>0</v>
      </c>
      <c r="AJ90" s="53">
        <f>SUM(E90:AI90)</f>
        <v>0</v>
      </c>
      <c r="AK90" s="55"/>
    </row>
    <row r="91" spans="1:37" hidden="1" x14ac:dyDescent="0.2">
      <c r="A91" s="72" t="s">
        <v>160</v>
      </c>
      <c r="B91" s="48" t="s">
        <v>189</v>
      </c>
      <c r="C91" s="51"/>
      <c r="D91" s="52" t="s">
        <v>16</v>
      </c>
      <c r="E91" s="43"/>
      <c r="F91" s="43"/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0</v>
      </c>
      <c r="W91" s="43">
        <v>0</v>
      </c>
      <c r="X91" s="43">
        <v>0</v>
      </c>
      <c r="Y91" s="43">
        <v>0</v>
      </c>
      <c r="Z91" s="43">
        <v>0</v>
      </c>
      <c r="AA91" s="43">
        <v>0</v>
      </c>
      <c r="AB91" s="43">
        <v>0</v>
      </c>
      <c r="AC91" s="43">
        <v>0</v>
      </c>
      <c r="AD91" s="43">
        <v>0</v>
      </c>
      <c r="AE91" s="43">
        <v>0</v>
      </c>
      <c r="AF91" s="43">
        <v>0</v>
      </c>
      <c r="AG91" s="43">
        <v>0</v>
      </c>
      <c r="AH91" s="43">
        <v>0</v>
      </c>
      <c r="AI91" s="43">
        <v>0</v>
      </c>
      <c r="AJ91" s="53">
        <f>SUM(E91:AI91)</f>
        <v>0</v>
      </c>
      <c r="AK91" s="55"/>
    </row>
    <row r="92" spans="1:37" hidden="1" x14ac:dyDescent="0.2">
      <c r="A92" s="72" t="s">
        <v>163</v>
      </c>
      <c r="B92" s="48" t="s">
        <v>190</v>
      </c>
      <c r="C92" s="51"/>
      <c r="D92" s="52" t="s">
        <v>16</v>
      </c>
      <c r="E92" s="43"/>
      <c r="F92" s="43"/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3">
        <v>0</v>
      </c>
      <c r="AG92" s="43">
        <v>0</v>
      </c>
      <c r="AH92" s="43">
        <v>0</v>
      </c>
      <c r="AI92" s="43">
        <v>0</v>
      </c>
      <c r="AJ92" s="53">
        <f>SUM(E92:AI92)</f>
        <v>0</v>
      </c>
      <c r="AK92" s="55"/>
    </row>
    <row r="93" spans="1:37" hidden="1" x14ac:dyDescent="0.2">
      <c r="A93" s="72" t="s">
        <v>166</v>
      </c>
      <c r="B93" s="48" t="s">
        <v>191</v>
      </c>
      <c r="C93" s="51"/>
      <c r="D93" s="52" t="s">
        <v>16</v>
      </c>
      <c r="E93" s="43"/>
      <c r="F93" s="43"/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0</v>
      </c>
      <c r="Y93" s="43">
        <v>0</v>
      </c>
      <c r="Z93" s="43">
        <v>0</v>
      </c>
      <c r="AA93" s="43">
        <v>0</v>
      </c>
      <c r="AB93" s="43">
        <v>0</v>
      </c>
      <c r="AC93" s="43">
        <v>0</v>
      </c>
      <c r="AD93" s="43">
        <v>0</v>
      </c>
      <c r="AE93" s="43">
        <v>0</v>
      </c>
      <c r="AF93" s="43">
        <v>0</v>
      </c>
      <c r="AG93" s="43">
        <v>0</v>
      </c>
      <c r="AH93" s="43">
        <v>0</v>
      </c>
      <c r="AI93" s="43">
        <v>0</v>
      </c>
      <c r="AJ93" s="53">
        <f>SUM(E93:AI93)</f>
        <v>0</v>
      </c>
      <c r="AK93" s="55"/>
    </row>
    <row r="94" spans="1:37" hidden="1" x14ac:dyDescent="0.2">
      <c r="A94" s="72" t="s">
        <v>179</v>
      </c>
      <c r="B94" s="48" t="s">
        <v>194</v>
      </c>
      <c r="C94" s="51"/>
      <c r="D94" s="52" t="s">
        <v>16</v>
      </c>
      <c r="E94" s="43"/>
      <c r="F94" s="43"/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43">
        <v>0</v>
      </c>
      <c r="AH94" s="43">
        <v>0</v>
      </c>
      <c r="AI94" s="43">
        <v>0</v>
      </c>
      <c r="AJ94" s="53">
        <f>SUM(E94:AI94)</f>
        <v>0</v>
      </c>
      <c r="AK94" s="55"/>
    </row>
    <row r="95" spans="1:37" hidden="1" x14ac:dyDescent="0.2">
      <c r="A95" s="74"/>
      <c r="B95" s="48" t="s">
        <v>192</v>
      </c>
      <c r="C95" s="51"/>
      <c r="D95" s="52" t="s">
        <v>16</v>
      </c>
      <c r="E95" s="75">
        <f t="shared" ref="E95:AJ95" si="19">SUM(E90:E94)</f>
        <v>0</v>
      </c>
      <c r="F95" s="75">
        <f t="shared" si="19"/>
        <v>0</v>
      </c>
      <c r="G95" s="75">
        <f t="shared" si="19"/>
        <v>0</v>
      </c>
      <c r="H95" s="75">
        <f t="shared" si="19"/>
        <v>0</v>
      </c>
      <c r="I95" s="75">
        <f t="shared" si="19"/>
        <v>0</v>
      </c>
      <c r="J95" s="75">
        <f t="shared" ref="J95:AI95" si="20">SUM(J90:J94)</f>
        <v>0</v>
      </c>
      <c r="K95" s="75">
        <f t="shared" si="20"/>
        <v>0</v>
      </c>
      <c r="L95" s="75">
        <f t="shared" si="20"/>
        <v>0</v>
      </c>
      <c r="M95" s="75">
        <f t="shared" si="20"/>
        <v>0</v>
      </c>
      <c r="N95" s="75">
        <f t="shared" si="20"/>
        <v>0</v>
      </c>
      <c r="O95" s="75">
        <f t="shared" si="20"/>
        <v>0</v>
      </c>
      <c r="P95" s="75">
        <f t="shared" si="20"/>
        <v>0</v>
      </c>
      <c r="Q95" s="75">
        <f t="shared" si="20"/>
        <v>0</v>
      </c>
      <c r="R95" s="75">
        <f t="shared" si="20"/>
        <v>0</v>
      </c>
      <c r="S95" s="75">
        <f t="shared" si="20"/>
        <v>0</v>
      </c>
      <c r="T95" s="75">
        <f t="shared" si="20"/>
        <v>0</v>
      </c>
      <c r="U95" s="75">
        <f t="shared" si="20"/>
        <v>0</v>
      </c>
      <c r="V95" s="75">
        <f t="shared" si="20"/>
        <v>0</v>
      </c>
      <c r="W95" s="75">
        <f t="shared" si="20"/>
        <v>0</v>
      </c>
      <c r="X95" s="75">
        <f t="shared" si="20"/>
        <v>0</v>
      </c>
      <c r="Y95" s="75">
        <f t="shared" si="20"/>
        <v>0</v>
      </c>
      <c r="Z95" s="75">
        <f t="shared" si="20"/>
        <v>0</v>
      </c>
      <c r="AA95" s="75">
        <f t="shared" si="20"/>
        <v>0</v>
      </c>
      <c r="AB95" s="75">
        <f t="shared" si="20"/>
        <v>0</v>
      </c>
      <c r="AC95" s="75">
        <f t="shared" si="20"/>
        <v>0</v>
      </c>
      <c r="AD95" s="75">
        <f t="shared" si="20"/>
        <v>0</v>
      </c>
      <c r="AE95" s="75">
        <f t="shared" si="20"/>
        <v>0</v>
      </c>
      <c r="AF95" s="75">
        <f t="shared" si="20"/>
        <v>0</v>
      </c>
      <c r="AG95" s="75">
        <f t="shared" si="20"/>
        <v>0</v>
      </c>
      <c r="AH95" s="75">
        <f t="shared" ref="AH95" si="21">SUM(AH90:AH94)</f>
        <v>0</v>
      </c>
      <c r="AI95" s="75">
        <f t="shared" si="20"/>
        <v>0</v>
      </c>
      <c r="AJ95" s="53">
        <f t="shared" si="19"/>
        <v>0</v>
      </c>
    </row>
    <row r="96" spans="1:37" hidden="1" x14ac:dyDescent="0.2">
      <c r="A96" s="74"/>
      <c r="B96" s="48" t="s">
        <v>195</v>
      </c>
      <c r="C96" s="51"/>
      <c r="D96" s="52" t="s">
        <v>16</v>
      </c>
      <c r="E96" s="75">
        <f t="shared" ref="E96:AJ96" si="22">E88+E95</f>
        <v>0</v>
      </c>
      <c r="F96" s="75">
        <f t="shared" si="22"/>
        <v>0</v>
      </c>
      <c r="G96" s="75">
        <f t="shared" si="22"/>
        <v>1.6</v>
      </c>
      <c r="H96" s="75">
        <f t="shared" si="22"/>
        <v>3.5</v>
      </c>
      <c r="I96" s="75">
        <f t="shared" si="22"/>
        <v>12</v>
      </c>
      <c r="J96" s="75">
        <f t="shared" ref="J96:AI96" si="23">J88+J95</f>
        <v>26.5</v>
      </c>
      <c r="K96" s="75">
        <f t="shared" si="23"/>
        <v>26.5</v>
      </c>
      <c r="L96" s="75">
        <f t="shared" si="23"/>
        <v>26.5</v>
      </c>
      <c r="M96" s="75">
        <f t="shared" si="23"/>
        <v>26.5</v>
      </c>
      <c r="N96" s="75">
        <f t="shared" si="23"/>
        <v>26.5</v>
      </c>
      <c r="O96" s="75">
        <f t="shared" si="23"/>
        <v>26.5</v>
      </c>
      <c r="P96" s="75">
        <f t="shared" si="23"/>
        <v>26.5</v>
      </c>
      <c r="Q96" s="75">
        <f t="shared" si="23"/>
        <v>26.5</v>
      </c>
      <c r="R96" s="75">
        <f t="shared" si="23"/>
        <v>26.5</v>
      </c>
      <c r="S96" s="75">
        <f t="shared" si="23"/>
        <v>26.5</v>
      </c>
      <c r="T96" s="75">
        <f t="shared" si="23"/>
        <v>26.5</v>
      </c>
      <c r="U96" s="75">
        <f t="shared" si="23"/>
        <v>26.5</v>
      </c>
      <c r="V96" s="75">
        <f t="shared" si="23"/>
        <v>26.5</v>
      </c>
      <c r="W96" s="75">
        <f t="shared" si="23"/>
        <v>26.5</v>
      </c>
      <c r="X96" s="75">
        <f t="shared" si="23"/>
        <v>26.5</v>
      </c>
      <c r="Y96" s="75">
        <f t="shared" si="23"/>
        <v>26.5</v>
      </c>
      <c r="Z96" s="75">
        <f t="shared" si="23"/>
        <v>26.5</v>
      </c>
      <c r="AA96" s="75">
        <f t="shared" si="23"/>
        <v>26.5</v>
      </c>
      <c r="AB96" s="75">
        <f t="shared" si="23"/>
        <v>26.5</v>
      </c>
      <c r="AC96" s="75">
        <f t="shared" si="23"/>
        <v>26.5</v>
      </c>
      <c r="AD96" s="75">
        <f t="shared" si="23"/>
        <v>26.5</v>
      </c>
      <c r="AE96" s="75">
        <f t="shared" si="23"/>
        <v>26.5</v>
      </c>
      <c r="AF96" s="75">
        <f t="shared" si="23"/>
        <v>26.5</v>
      </c>
      <c r="AG96" s="75">
        <f t="shared" si="23"/>
        <v>26.5</v>
      </c>
      <c r="AH96" s="75">
        <f t="shared" ref="AH96" si="24">AH88+AH95</f>
        <v>26.5</v>
      </c>
      <c r="AI96" s="75">
        <f t="shared" si="23"/>
        <v>26.5</v>
      </c>
      <c r="AJ96" s="53">
        <f t="shared" si="22"/>
        <v>706.1</v>
      </c>
    </row>
    <row r="97" spans="1:36" ht="21" hidden="1" thickBot="1" x14ac:dyDescent="0.25">
      <c r="A97" s="77"/>
      <c r="B97" s="78" t="s">
        <v>11</v>
      </c>
      <c r="C97" s="79"/>
      <c r="D97" s="80" t="s">
        <v>196</v>
      </c>
      <c r="E97" s="81">
        <v>12.5</v>
      </c>
      <c r="F97" s="81">
        <f t="shared" ref="F97:I97" si="25">F101</f>
        <v>0</v>
      </c>
      <c r="G97" s="81">
        <f t="shared" si="25"/>
        <v>26</v>
      </c>
      <c r="H97" s="81">
        <f t="shared" si="25"/>
        <v>17</v>
      </c>
      <c r="I97" s="81">
        <f t="shared" si="25"/>
        <v>17</v>
      </c>
      <c r="J97" s="81">
        <f t="shared" ref="J97:AI97" si="26">J101</f>
        <v>17</v>
      </c>
      <c r="K97" s="81">
        <f t="shared" si="26"/>
        <v>17</v>
      </c>
      <c r="L97" s="81">
        <f t="shared" si="26"/>
        <v>17</v>
      </c>
      <c r="M97" s="81">
        <f t="shared" si="26"/>
        <v>17</v>
      </c>
      <c r="N97" s="81">
        <f t="shared" si="26"/>
        <v>17</v>
      </c>
      <c r="O97" s="81">
        <f t="shared" si="26"/>
        <v>17</v>
      </c>
      <c r="P97" s="81">
        <f t="shared" si="26"/>
        <v>17</v>
      </c>
      <c r="Q97" s="81">
        <f t="shared" si="26"/>
        <v>17</v>
      </c>
      <c r="R97" s="81">
        <f t="shared" si="26"/>
        <v>17</v>
      </c>
      <c r="S97" s="81">
        <f t="shared" si="26"/>
        <v>17</v>
      </c>
      <c r="T97" s="81">
        <f t="shared" si="26"/>
        <v>17</v>
      </c>
      <c r="U97" s="81">
        <f t="shared" si="26"/>
        <v>17</v>
      </c>
      <c r="V97" s="81">
        <f t="shared" si="26"/>
        <v>17</v>
      </c>
      <c r="W97" s="81">
        <f t="shared" si="26"/>
        <v>17</v>
      </c>
      <c r="X97" s="81">
        <f t="shared" si="26"/>
        <v>17</v>
      </c>
      <c r="Y97" s="81">
        <f t="shared" si="26"/>
        <v>17</v>
      </c>
      <c r="Z97" s="81">
        <f t="shared" si="26"/>
        <v>17</v>
      </c>
      <c r="AA97" s="81">
        <f t="shared" si="26"/>
        <v>17</v>
      </c>
      <c r="AB97" s="81">
        <f t="shared" si="26"/>
        <v>17</v>
      </c>
      <c r="AC97" s="81">
        <f t="shared" si="26"/>
        <v>17</v>
      </c>
      <c r="AD97" s="81">
        <f t="shared" si="26"/>
        <v>17</v>
      </c>
      <c r="AE97" s="81">
        <f t="shared" si="26"/>
        <v>17</v>
      </c>
      <c r="AF97" s="81">
        <f t="shared" si="26"/>
        <v>17</v>
      </c>
      <c r="AG97" s="81">
        <f t="shared" si="26"/>
        <v>17</v>
      </c>
      <c r="AH97" s="81">
        <f t="shared" ref="AH97" si="27">AH101</f>
        <v>17</v>
      </c>
      <c r="AI97" s="81">
        <f t="shared" si="26"/>
        <v>17</v>
      </c>
      <c r="AJ97" s="82">
        <f>+AJ101</f>
        <v>17.310344827586206</v>
      </c>
    </row>
    <row r="98" spans="1:36" hidden="1" x14ac:dyDescent="0.2">
      <c r="A98" s="83"/>
      <c r="B98" s="84"/>
      <c r="C98" s="85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6"/>
    </row>
    <row r="99" spans="1:36" hidden="1" x14ac:dyDescent="0.2">
      <c r="A99" s="87" t="s">
        <v>197</v>
      </c>
      <c r="B99" s="88" t="s">
        <v>198</v>
      </c>
      <c r="C99" s="88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4"/>
    </row>
    <row r="100" spans="1:36" hidden="1" x14ac:dyDescent="0.2">
      <c r="A100" s="49"/>
      <c r="B100" s="66"/>
      <c r="C100" s="90"/>
      <c r="D100" s="52" t="s">
        <v>101</v>
      </c>
      <c r="E100" s="52">
        <v>3</v>
      </c>
      <c r="F100" s="52">
        <v>4</v>
      </c>
      <c r="G100" s="52">
        <v>5</v>
      </c>
      <c r="H100" s="52">
        <v>6</v>
      </c>
      <c r="I100" s="52">
        <v>7</v>
      </c>
      <c r="J100" s="52">
        <v>8</v>
      </c>
      <c r="K100" s="52">
        <v>8</v>
      </c>
      <c r="L100" s="52">
        <v>8</v>
      </c>
      <c r="M100" s="52">
        <v>8</v>
      </c>
      <c r="N100" s="52">
        <v>8</v>
      </c>
      <c r="O100" s="52">
        <v>8</v>
      </c>
      <c r="P100" s="52">
        <v>8</v>
      </c>
      <c r="Q100" s="52">
        <v>8</v>
      </c>
      <c r="R100" s="52">
        <v>8</v>
      </c>
      <c r="S100" s="52">
        <v>8</v>
      </c>
      <c r="T100" s="52">
        <v>8</v>
      </c>
      <c r="U100" s="52">
        <v>8</v>
      </c>
      <c r="V100" s="52">
        <v>8</v>
      </c>
      <c r="W100" s="52">
        <v>8</v>
      </c>
      <c r="X100" s="52">
        <v>8</v>
      </c>
      <c r="Y100" s="52">
        <v>8</v>
      </c>
      <c r="Z100" s="52">
        <v>8</v>
      </c>
      <c r="AA100" s="52">
        <v>8</v>
      </c>
      <c r="AB100" s="52">
        <v>8</v>
      </c>
      <c r="AC100" s="52">
        <v>8</v>
      </c>
      <c r="AD100" s="52">
        <v>8</v>
      </c>
      <c r="AE100" s="52">
        <v>8</v>
      </c>
      <c r="AF100" s="52">
        <v>8</v>
      </c>
      <c r="AG100" s="52">
        <v>8</v>
      </c>
      <c r="AH100" s="52">
        <v>8</v>
      </c>
      <c r="AI100" s="52">
        <v>8</v>
      </c>
      <c r="AJ100" s="91" t="s">
        <v>192</v>
      </c>
    </row>
    <row r="101" spans="1:36" hidden="1" x14ac:dyDescent="0.2">
      <c r="A101" s="72" t="s">
        <v>157</v>
      </c>
      <c r="B101" s="66" t="s">
        <v>199</v>
      </c>
      <c r="C101" s="90"/>
      <c r="D101" s="92" t="s">
        <v>196</v>
      </c>
      <c r="E101" s="59"/>
      <c r="F101" s="59"/>
      <c r="G101" s="59">
        <v>26</v>
      </c>
      <c r="H101" s="59">
        <v>17</v>
      </c>
      <c r="I101" s="59">
        <v>17</v>
      </c>
      <c r="J101" s="59">
        <v>17</v>
      </c>
      <c r="K101" s="59">
        <v>17</v>
      </c>
      <c r="L101" s="59">
        <v>17</v>
      </c>
      <c r="M101" s="59">
        <v>17</v>
      </c>
      <c r="N101" s="59">
        <v>17</v>
      </c>
      <c r="O101" s="59">
        <v>17</v>
      </c>
      <c r="P101" s="59">
        <v>17</v>
      </c>
      <c r="Q101" s="59">
        <v>17</v>
      </c>
      <c r="R101" s="59">
        <v>17</v>
      </c>
      <c r="S101" s="59">
        <v>17</v>
      </c>
      <c r="T101" s="59">
        <v>17</v>
      </c>
      <c r="U101" s="59">
        <v>17</v>
      </c>
      <c r="V101" s="59">
        <v>17</v>
      </c>
      <c r="W101" s="59">
        <v>17</v>
      </c>
      <c r="X101" s="59">
        <v>17</v>
      </c>
      <c r="Y101" s="59">
        <v>17</v>
      </c>
      <c r="Z101" s="59">
        <v>17</v>
      </c>
      <c r="AA101" s="59">
        <v>17</v>
      </c>
      <c r="AB101" s="59">
        <v>17</v>
      </c>
      <c r="AC101" s="59">
        <v>17</v>
      </c>
      <c r="AD101" s="59">
        <v>17</v>
      </c>
      <c r="AE101" s="59">
        <v>17</v>
      </c>
      <c r="AF101" s="59">
        <v>17</v>
      </c>
      <c r="AG101" s="59">
        <v>17</v>
      </c>
      <c r="AH101" s="59">
        <v>17</v>
      </c>
      <c r="AI101" s="59">
        <v>17</v>
      </c>
      <c r="AJ101" s="93">
        <f>AVERAGE(E101:AI101)</f>
        <v>17.310344827586206</v>
      </c>
    </row>
    <row r="102" spans="1:36" hidden="1" x14ac:dyDescent="0.2">
      <c r="A102" s="72" t="s">
        <v>160</v>
      </c>
      <c r="B102" s="66" t="s">
        <v>200</v>
      </c>
      <c r="C102" s="90"/>
      <c r="D102" s="92" t="s">
        <v>14</v>
      </c>
      <c r="E102" s="59"/>
      <c r="F102" s="59"/>
      <c r="G102" s="59">
        <v>2.85</v>
      </c>
      <c r="H102" s="59">
        <v>2.85</v>
      </c>
      <c r="I102" s="59">
        <v>2.85</v>
      </c>
      <c r="J102" s="59">
        <v>2.85</v>
      </c>
      <c r="K102" s="59">
        <v>2.85</v>
      </c>
      <c r="L102" s="59">
        <v>2.85</v>
      </c>
      <c r="M102" s="59">
        <v>2.85</v>
      </c>
      <c r="N102" s="59">
        <v>2.85</v>
      </c>
      <c r="O102" s="59">
        <v>2.85</v>
      </c>
      <c r="P102" s="59">
        <v>2.85</v>
      </c>
      <c r="Q102" s="59">
        <v>2.85</v>
      </c>
      <c r="R102" s="59">
        <v>2.85</v>
      </c>
      <c r="S102" s="59">
        <v>2.85</v>
      </c>
      <c r="T102" s="59">
        <v>2.85</v>
      </c>
      <c r="U102" s="59">
        <v>2.85</v>
      </c>
      <c r="V102" s="59">
        <v>2.85</v>
      </c>
      <c r="W102" s="59">
        <v>2.85</v>
      </c>
      <c r="X102" s="59">
        <v>2.85</v>
      </c>
      <c r="Y102" s="59">
        <v>2.85</v>
      </c>
      <c r="Z102" s="59">
        <v>2.85</v>
      </c>
      <c r="AA102" s="59">
        <v>2.85</v>
      </c>
      <c r="AB102" s="59">
        <v>2.85</v>
      </c>
      <c r="AC102" s="59">
        <v>2.85</v>
      </c>
      <c r="AD102" s="59">
        <v>2.85</v>
      </c>
      <c r="AE102" s="59">
        <v>2.85</v>
      </c>
      <c r="AF102" s="59">
        <v>2.85</v>
      </c>
      <c r="AG102" s="59">
        <v>2.85</v>
      </c>
      <c r="AH102" s="59">
        <v>2.85</v>
      </c>
      <c r="AI102" s="59">
        <v>2.85</v>
      </c>
      <c r="AJ102" s="93">
        <f>AVERAGE(E102:AI102)</f>
        <v>2.8499999999999996</v>
      </c>
    </row>
    <row r="103" spans="1:36" hidden="1" x14ac:dyDescent="0.2">
      <c r="A103" s="72" t="s">
        <v>163</v>
      </c>
      <c r="B103" s="66" t="s">
        <v>201</v>
      </c>
      <c r="C103" s="90"/>
      <c r="D103" s="92" t="s">
        <v>202</v>
      </c>
      <c r="E103" s="43"/>
      <c r="F103" s="43"/>
      <c r="G103" s="43" t="e">
        <f>#REF!</f>
        <v>#REF!</v>
      </c>
      <c r="H103" s="43" t="e">
        <f>#REF!</f>
        <v>#REF!</v>
      </c>
      <c r="I103" s="43" t="e">
        <f>#REF!</f>
        <v>#REF!</v>
      </c>
      <c r="J103" s="43" t="e">
        <f>#REF!</f>
        <v>#REF!</v>
      </c>
      <c r="K103" s="43" t="e">
        <f>#REF!</f>
        <v>#REF!</v>
      </c>
      <c r="L103" s="43" t="e">
        <f>#REF!</f>
        <v>#REF!</v>
      </c>
      <c r="M103" s="43" t="e">
        <f>#REF!</f>
        <v>#REF!</v>
      </c>
      <c r="N103" s="43" t="e">
        <f>#REF!</f>
        <v>#REF!</v>
      </c>
      <c r="O103" s="43" t="e">
        <f>#REF!</f>
        <v>#REF!</v>
      </c>
      <c r="P103" s="43" t="e">
        <f>#REF!</f>
        <v>#REF!</v>
      </c>
      <c r="Q103" s="43" t="e">
        <f>#REF!</f>
        <v>#REF!</v>
      </c>
      <c r="R103" s="43" t="e">
        <f>#REF!</f>
        <v>#REF!</v>
      </c>
      <c r="S103" s="43" t="e">
        <f>#REF!</f>
        <v>#REF!</v>
      </c>
      <c r="T103" s="43" t="e">
        <f>#REF!</f>
        <v>#REF!</v>
      </c>
      <c r="U103" s="43" t="e">
        <f>#REF!</f>
        <v>#REF!</v>
      </c>
      <c r="V103" s="43" t="e">
        <f>#REF!</f>
        <v>#REF!</v>
      </c>
      <c r="W103" s="43" t="e">
        <f>#REF!</f>
        <v>#REF!</v>
      </c>
      <c r="X103" s="43" t="e">
        <f>#REF!</f>
        <v>#REF!</v>
      </c>
      <c r="Y103" s="43" t="e">
        <f>#REF!</f>
        <v>#REF!</v>
      </c>
      <c r="Z103" s="43" t="e">
        <f>#REF!</f>
        <v>#REF!</v>
      </c>
      <c r="AA103" s="43" t="e">
        <f>#REF!</f>
        <v>#REF!</v>
      </c>
      <c r="AB103" s="43" t="e">
        <f>#REF!</f>
        <v>#REF!</v>
      </c>
      <c r="AC103" s="43" t="e">
        <f>#REF!</f>
        <v>#REF!</v>
      </c>
      <c r="AD103" s="43" t="e">
        <f>#REF!</f>
        <v>#REF!</v>
      </c>
      <c r="AE103" s="43" t="e">
        <f>#REF!</f>
        <v>#REF!</v>
      </c>
      <c r="AF103" s="43" t="e">
        <f>#REF!</f>
        <v>#REF!</v>
      </c>
      <c r="AG103" s="43" t="e">
        <f>#REF!</f>
        <v>#REF!</v>
      </c>
      <c r="AH103" s="43" t="e">
        <f>#REF!</f>
        <v>#REF!</v>
      </c>
      <c r="AI103" s="43" t="e">
        <f>#REF!</f>
        <v>#REF!</v>
      </c>
      <c r="AJ103" s="93" t="e">
        <f>AVERAGE(E103:AI103)</f>
        <v>#REF!</v>
      </c>
    </row>
    <row r="104" spans="1:36" hidden="1" x14ac:dyDescent="0.2">
      <c r="A104" s="72" t="s">
        <v>166</v>
      </c>
      <c r="B104" s="66" t="s">
        <v>203</v>
      </c>
      <c r="C104" s="90"/>
      <c r="D104" s="92" t="s">
        <v>16</v>
      </c>
      <c r="E104" s="59"/>
      <c r="F104" s="59"/>
      <c r="G104" s="59">
        <f t="shared" ref="G104:I104" si="28">+G96</f>
        <v>1.6</v>
      </c>
      <c r="H104" s="59">
        <f t="shared" si="28"/>
        <v>3.5</v>
      </c>
      <c r="I104" s="59">
        <f t="shared" si="28"/>
        <v>12</v>
      </c>
      <c r="J104" s="59">
        <f t="shared" ref="J104:AI104" si="29">+J96</f>
        <v>26.5</v>
      </c>
      <c r="K104" s="59">
        <f t="shared" si="29"/>
        <v>26.5</v>
      </c>
      <c r="L104" s="59">
        <f t="shared" si="29"/>
        <v>26.5</v>
      </c>
      <c r="M104" s="59">
        <f t="shared" si="29"/>
        <v>26.5</v>
      </c>
      <c r="N104" s="59">
        <f t="shared" si="29"/>
        <v>26.5</v>
      </c>
      <c r="O104" s="59">
        <f t="shared" si="29"/>
        <v>26.5</v>
      </c>
      <c r="P104" s="59">
        <f t="shared" si="29"/>
        <v>26.5</v>
      </c>
      <c r="Q104" s="59">
        <f t="shared" si="29"/>
        <v>26.5</v>
      </c>
      <c r="R104" s="59">
        <f t="shared" si="29"/>
        <v>26.5</v>
      </c>
      <c r="S104" s="59">
        <f t="shared" si="29"/>
        <v>26.5</v>
      </c>
      <c r="T104" s="59">
        <f t="shared" si="29"/>
        <v>26.5</v>
      </c>
      <c r="U104" s="59">
        <f t="shared" si="29"/>
        <v>26.5</v>
      </c>
      <c r="V104" s="59">
        <f t="shared" si="29"/>
        <v>26.5</v>
      </c>
      <c r="W104" s="59">
        <f t="shared" si="29"/>
        <v>26.5</v>
      </c>
      <c r="X104" s="59">
        <f t="shared" si="29"/>
        <v>26.5</v>
      </c>
      <c r="Y104" s="59">
        <f t="shared" si="29"/>
        <v>26.5</v>
      </c>
      <c r="Z104" s="59">
        <f t="shared" si="29"/>
        <v>26.5</v>
      </c>
      <c r="AA104" s="59">
        <f t="shared" si="29"/>
        <v>26.5</v>
      </c>
      <c r="AB104" s="59">
        <f t="shared" si="29"/>
        <v>26.5</v>
      </c>
      <c r="AC104" s="59">
        <f t="shared" si="29"/>
        <v>26.5</v>
      </c>
      <c r="AD104" s="59">
        <f t="shared" si="29"/>
        <v>26.5</v>
      </c>
      <c r="AE104" s="59">
        <f t="shared" si="29"/>
        <v>26.5</v>
      </c>
      <c r="AF104" s="59">
        <f t="shared" si="29"/>
        <v>26.5</v>
      </c>
      <c r="AG104" s="59">
        <f t="shared" si="29"/>
        <v>26.5</v>
      </c>
      <c r="AH104" s="59">
        <f t="shared" ref="AH104" si="30">+AH96</f>
        <v>26.5</v>
      </c>
      <c r="AI104" s="59">
        <f t="shared" si="29"/>
        <v>26.5</v>
      </c>
      <c r="AJ104" s="93">
        <f>SUM(E104:AI104)</f>
        <v>706.1</v>
      </c>
    </row>
    <row r="105" spans="1:36" hidden="1" x14ac:dyDescent="0.2">
      <c r="A105" s="72" t="s">
        <v>179</v>
      </c>
      <c r="B105" s="66" t="s">
        <v>204</v>
      </c>
      <c r="C105" s="90"/>
      <c r="D105" s="92" t="s">
        <v>205</v>
      </c>
      <c r="E105" s="43">
        <v>24</v>
      </c>
      <c r="F105" s="43"/>
      <c r="G105" s="43">
        <v>24</v>
      </c>
      <c r="H105" s="43">
        <v>24</v>
      </c>
      <c r="I105" s="43">
        <v>24</v>
      </c>
      <c r="J105" s="43">
        <v>24</v>
      </c>
      <c r="K105" s="43">
        <v>24</v>
      </c>
      <c r="L105" s="43">
        <v>24</v>
      </c>
      <c r="M105" s="43">
        <v>24</v>
      </c>
      <c r="N105" s="43">
        <v>24</v>
      </c>
      <c r="O105" s="43">
        <v>24</v>
      </c>
      <c r="P105" s="43">
        <v>24</v>
      </c>
      <c r="Q105" s="43">
        <v>24</v>
      </c>
      <c r="R105" s="43">
        <v>24</v>
      </c>
      <c r="S105" s="43">
        <v>24</v>
      </c>
      <c r="T105" s="43">
        <v>24</v>
      </c>
      <c r="U105" s="43">
        <v>24</v>
      </c>
      <c r="V105" s="43">
        <v>24</v>
      </c>
      <c r="W105" s="43">
        <v>24</v>
      </c>
      <c r="X105" s="43">
        <v>24</v>
      </c>
      <c r="Y105" s="43">
        <v>24</v>
      </c>
      <c r="Z105" s="43">
        <v>24</v>
      </c>
      <c r="AA105" s="43">
        <v>24</v>
      </c>
      <c r="AB105" s="43">
        <v>24</v>
      </c>
      <c r="AC105" s="43">
        <v>24</v>
      </c>
      <c r="AD105" s="43">
        <v>24</v>
      </c>
      <c r="AE105" s="43">
        <v>24</v>
      </c>
      <c r="AF105" s="43">
        <v>24</v>
      </c>
      <c r="AG105" s="43">
        <v>24</v>
      </c>
      <c r="AH105" s="43">
        <v>24</v>
      </c>
      <c r="AI105" s="43">
        <v>24</v>
      </c>
      <c r="AJ105" s="93">
        <f>SUM(E105:AI105)</f>
        <v>720</v>
      </c>
    </row>
    <row r="106" spans="1:36" hidden="1" x14ac:dyDescent="0.2">
      <c r="A106" s="72" t="s">
        <v>181</v>
      </c>
      <c r="B106" s="66" t="s">
        <v>206</v>
      </c>
      <c r="C106" s="90"/>
      <c r="D106" s="92" t="s">
        <v>205</v>
      </c>
      <c r="E106" s="43">
        <f t="shared" ref="E106:I106" si="31">E66</f>
        <v>0</v>
      </c>
      <c r="F106" s="43"/>
      <c r="G106" s="59" t="e">
        <f t="shared" si="31"/>
        <v>#REF!</v>
      </c>
      <c r="H106" s="59" t="e">
        <f t="shared" si="31"/>
        <v>#REF!</v>
      </c>
      <c r="I106" s="59" t="e">
        <f t="shared" si="31"/>
        <v>#REF!</v>
      </c>
      <c r="J106" s="59" t="e">
        <f t="shared" ref="J106:AI106" si="32">J66</f>
        <v>#REF!</v>
      </c>
      <c r="K106" s="59" t="e">
        <f t="shared" si="32"/>
        <v>#REF!</v>
      </c>
      <c r="L106" s="59" t="e">
        <f t="shared" si="32"/>
        <v>#REF!</v>
      </c>
      <c r="M106" s="59" t="e">
        <f t="shared" si="32"/>
        <v>#REF!</v>
      </c>
      <c r="N106" s="59" t="e">
        <f t="shared" si="32"/>
        <v>#REF!</v>
      </c>
      <c r="O106" s="59" t="e">
        <f t="shared" si="32"/>
        <v>#REF!</v>
      </c>
      <c r="P106" s="59" t="e">
        <f t="shared" si="32"/>
        <v>#REF!</v>
      </c>
      <c r="Q106" s="59" t="e">
        <f t="shared" si="32"/>
        <v>#REF!</v>
      </c>
      <c r="R106" s="59" t="e">
        <f t="shared" si="32"/>
        <v>#REF!</v>
      </c>
      <c r="S106" s="59" t="e">
        <f t="shared" si="32"/>
        <v>#REF!</v>
      </c>
      <c r="T106" s="59" t="e">
        <f t="shared" si="32"/>
        <v>#REF!</v>
      </c>
      <c r="U106" s="59" t="e">
        <f t="shared" si="32"/>
        <v>#REF!</v>
      </c>
      <c r="V106" s="59" t="e">
        <f t="shared" si="32"/>
        <v>#REF!</v>
      </c>
      <c r="W106" s="59" t="e">
        <f t="shared" si="32"/>
        <v>#REF!</v>
      </c>
      <c r="X106" s="59" t="e">
        <f t="shared" si="32"/>
        <v>#REF!</v>
      </c>
      <c r="Y106" s="59" t="e">
        <f t="shared" si="32"/>
        <v>#REF!</v>
      </c>
      <c r="Z106" s="59" t="e">
        <f t="shared" si="32"/>
        <v>#REF!</v>
      </c>
      <c r="AA106" s="59" t="e">
        <f t="shared" si="32"/>
        <v>#REF!</v>
      </c>
      <c r="AB106" s="59" t="e">
        <f t="shared" si="32"/>
        <v>#REF!</v>
      </c>
      <c r="AC106" s="59" t="e">
        <f t="shared" si="32"/>
        <v>#REF!</v>
      </c>
      <c r="AD106" s="59" t="e">
        <f t="shared" si="32"/>
        <v>#REF!</v>
      </c>
      <c r="AE106" s="59" t="e">
        <f t="shared" si="32"/>
        <v>#REF!</v>
      </c>
      <c r="AF106" s="59" t="e">
        <f t="shared" si="32"/>
        <v>#REF!</v>
      </c>
      <c r="AG106" s="59" t="e">
        <f t="shared" si="32"/>
        <v>#REF!</v>
      </c>
      <c r="AH106" s="59" t="e">
        <f t="shared" ref="AH106" si="33">AH66</f>
        <v>#REF!</v>
      </c>
      <c r="AI106" s="59" t="e">
        <f t="shared" si="32"/>
        <v>#REF!</v>
      </c>
      <c r="AJ106" s="93" t="e">
        <f>SUM(E106:AI106)</f>
        <v>#REF!</v>
      </c>
    </row>
    <row r="107" spans="1:36" hidden="1" x14ac:dyDescent="0.2">
      <c r="A107" s="72" t="s">
        <v>183</v>
      </c>
      <c r="B107" s="66" t="s">
        <v>207</v>
      </c>
      <c r="C107" s="90"/>
      <c r="D107" s="92" t="s">
        <v>205</v>
      </c>
      <c r="E107" s="43">
        <v>0</v>
      </c>
      <c r="F107" s="43"/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0</v>
      </c>
      <c r="AC107" s="43">
        <v>0</v>
      </c>
      <c r="AD107" s="43">
        <v>0</v>
      </c>
      <c r="AE107" s="43">
        <v>0</v>
      </c>
      <c r="AF107" s="43">
        <v>0</v>
      </c>
      <c r="AG107" s="43">
        <v>0</v>
      </c>
      <c r="AH107" s="43">
        <v>0</v>
      </c>
      <c r="AI107" s="43">
        <v>0</v>
      </c>
      <c r="AJ107" s="93">
        <f>SUM(E107:AI107)</f>
        <v>0</v>
      </c>
    </row>
    <row r="108" spans="1:36" hidden="1" x14ac:dyDescent="0.2">
      <c r="A108" s="72"/>
      <c r="B108" s="66"/>
      <c r="C108" s="90"/>
      <c r="D108" s="92"/>
      <c r="E108" s="59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93"/>
    </row>
    <row r="109" spans="1:36" hidden="1" x14ac:dyDescent="0.2">
      <c r="A109" s="72" t="s">
        <v>208</v>
      </c>
      <c r="B109" s="66" t="s">
        <v>209</v>
      </c>
      <c r="C109" s="90"/>
      <c r="D109" s="92" t="s">
        <v>210</v>
      </c>
      <c r="E109" s="43">
        <f>E101*E102*E103*60/1000000</f>
        <v>0</v>
      </c>
      <c r="F109" s="43"/>
      <c r="G109" s="43" t="e">
        <f>G101*G102*G103*60/1000000</f>
        <v>#REF!</v>
      </c>
      <c r="H109" s="43" t="e">
        <f t="shared" ref="H109:I109" si="34">H101*H102*H103*60/1000000</f>
        <v>#REF!</v>
      </c>
      <c r="I109" s="43" t="e">
        <f t="shared" si="34"/>
        <v>#REF!</v>
      </c>
      <c r="J109" s="43" t="e">
        <f t="shared" ref="J109:AI109" si="35">J101*J102*J103*60/1000000</f>
        <v>#REF!</v>
      </c>
      <c r="K109" s="43" t="e">
        <f t="shared" si="35"/>
        <v>#REF!</v>
      </c>
      <c r="L109" s="43" t="e">
        <f t="shared" si="35"/>
        <v>#REF!</v>
      </c>
      <c r="M109" s="43" t="e">
        <f t="shared" si="35"/>
        <v>#REF!</v>
      </c>
      <c r="N109" s="43" t="e">
        <f t="shared" si="35"/>
        <v>#REF!</v>
      </c>
      <c r="O109" s="43" t="e">
        <f t="shared" si="35"/>
        <v>#REF!</v>
      </c>
      <c r="P109" s="43" t="e">
        <f t="shared" si="35"/>
        <v>#REF!</v>
      </c>
      <c r="Q109" s="43" t="e">
        <f t="shared" si="35"/>
        <v>#REF!</v>
      </c>
      <c r="R109" s="43" t="e">
        <f t="shared" si="35"/>
        <v>#REF!</v>
      </c>
      <c r="S109" s="43" t="e">
        <f t="shared" si="35"/>
        <v>#REF!</v>
      </c>
      <c r="T109" s="43" t="e">
        <f t="shared" si="35"/>
        <v>#REF!</v>
      </c>
      <c r="U109" s="43" t="e">
        <f t="shared" si="35"/>
        <v>#REF!</v>
      </c>
      <c r="V109" s="43" t="e">
        <f t="shared" si="35"/>
        <v>#REF!</v>
      </c>
      <c r="W109" s="43" t="e">
        <f t="shared" si="35"/>
        <v>#REF!</v>
      </c>
      <c r="X109" s="43" t="e">
        <f t="shared" si="35"/>
        <v>#REF!</v>
      </c>
      <c r="Y109" s="43" t="e">
        <f t="shared" si="35"/>
        <v>#REF!</v>
      </c>
      <c r="Z109" s="43" t="e">
        <f t="shared" si="35"/>
        <v>#REF!</v>
      </c>
      <c r="AA109" s="43" t="e">
        <f t="shared" si="35"/>
        <v>#REF!</v>
      </c>
      <c r="AB109" s="43" t="e">
        <f t="shared" si="35"/>
        <v>#REF!</v>
      </c>
      <c r="AC109" s="43" t="e">
        <f t="shared" si="35"/>
        <v>#REF!</v>
      </c>
      <c r="AD109" s="43" t="e">
        <f t="shared" si="35"/>
        <v>#REF!</v>
      </c>
      <c r="AE109" s="43" t="e">
        <f t="shared" si="35"/>
        <v>#REF!</v>
      </c>
      <c r="AF109" s="43" t="e">
        <f t="shared" si="35"/>
        <v>#REF!</v>
      </c>
      <c r="AG109" s="43" t="e">
        <f t="shared" si="35"/>
        <v>#REF!</v>
      </c>
      <c r="AH109" s="43" t="e">
        <f t="shared" ref="AH109" si="36">AH101*AH102*AH103*60/1000000</f>
        <v>#REF!</v>
      </c>
      <c r="AI109" s="43" t="e">
        <f t="shared" si="35"/>
        <v>#REF!</v>
      </c>
      <c r="AJ109" s="93" t="e">
        <f>AJ101*AJ102*AJ103*60/1000000</f>
        <v>#REF!</v>
      </c>
    </row>
    <row r="110" spans="1:36" hidden="1" x14ac:dyDescent="0.2">
      <c r="A110" s="72" t="s">
        <v>211</v>
      </c>
      <c r="B110" s="66" t="s">
        <v>212</v>
      </c>
      <c r="C110" s="90"/>
      <c r="D110" s="92" t="s">
        <v>213</v>
      </c>
      <c r="E110" s="43" t="e">
        <f t="shared" ref="E110:AJ110" si="37">1/E109</f>
        <v>#DIV/0!</v>
      </c>
      <c r="F110" s="43"/>
      <c r="G110" s="43" t="e">
        <f t="shared" si="37"/>
        <v>#REF!</v>
      </c>
      <c r="H110" s="43" t="e">
        <f t="shared" si="37"/>
        <v>#REF!</v>
      </c>
      <c r="I110" s="43" t="e">
        <f t="shared" si="37"/>
        <v>#REF!</v>
      </c>
      <c r="J110" s="43" t="e">
        <f t="shared" ref="J110:AI110" si="38">1/J109</f>
        <v>#REF!</v>
      </c>
      <c r="K110" s="43" t="e">
        <f t="shared" si="38"/>
        <v>#REF!</v>
      </c>
      <c r="L110" s="43" t="e">
        <f t="shared" si="38"/>
        <v>#REF!</v>
      </c>
      <c r="M110" s="43" t="e">
        <f t="shared" si="38"/>
        <v>#REF!</v>
      </c>
      <c r="N110" s="43" t="e">
        <f t="shared" si="38"/>
        <v>#REF!</v>
      </c>
      <c r="O110" s="43" t="e">
        <f t="shared" si="38"/>
        <v>#REF!</v>
      </c>
      <c r="P110" s="43" t="e">
        <f t="shared" si="38"/>
        <v>#REF!</v>
      </c>
      <c r="Q110" s="43" t="e">
        <f t="shared" si="38"/>
        <v>#REF!</v>
      </c>
      <c r="R110" s="43" t="e">
        <f t="shared" si="38"/>
        <v>#REF!</v>
      </c>
      <c r="S110" s="43" t="e">
        <f t="shared" si="38"/>
        <v>#REF!</v>
      </c>
      <c r="T110" s="43" t="e">
        <f t="shared" si="38"/>
        <v>#REF!</v>
      </c>
      <c r="U110" s="43" t="e">
        <f t="shared" si="38"/>
        <v>#REF!</v>
      </c>
      <c r="V110" s="43" t="e">
        <f t="shared" si="38"/>
        <v>#REF!</v>
      </c>
      <c r="W110" s="43" t="e">
        <f t="shared" si="38"/>
        <v>#REF!</v>
      </c>
      <c r="X110" s="43" t="e">
        <f t="shared" si="38"/>
        <v>#REF!</v>
      </c>
      <c r="Y110" s="43" t="e">
        <f t="shared" si="38"/>
        <v>#REF!</v>
      </c>
      <c r="Z110" s="43" t="e">
        <f t="shared" si="38"/>
        <v>#REF!</v>
      </c>
      <c r="AA110" s="43" t="e">
        <f t="shared" si="38"/>
        <v>#REF!</v>
      </c>
      <c r="AB110" s="43" t="e">
        <f t="shared" si="38"/>
        <v>#REF!</v>
      </c>
      <c r="AC110" s="43" t="e">
        <f t="shared" si="38"/>
        <v>#REF!</v>
      </c>
      <c r="AD110" s="43" t="e">
        <f t="shared" si="38"/>
        <v>#REF!</v>
      </c>
      <c r="AE110" s="43" t="e">
        <f t="shared" si="38"/>
        <v>#REF!</v>
      </c>
      <c r="AF110" s="43" t="e">
        <f t="shared" si="38"/>
        <v>#REF!</v>
      </c>
      <c r="AG110" s="43" t="e">
        <f t="shared" si="38"/>
        <v>#REF!</v>
      </c>
      <c r="AH110" s="43" t="e">
        <f t="shared" ref="AH110" si="39">1/AH109</f>
        <v>#REF!</v>
      </c>
      <c r="AI110" s="43" t="e">
        <f t="shared" si="38"/>
        <v>#REF!</v>
      </c>
      <c r="AJ110" s="93" t="e">
        <f t="shared" si="37"/>
        <v>#REF!</v>
      </c>
    </row>
    <row r="111" spans="1:36" hidden="1" x14ac:dyDescent="0.2">
      <c r="A111" s="72" t="s">
        <v>214</v>
      </c>
      <c r="B111" s="66" t="s">
        <v>215</v>
      </c>
      <c r="C111" s="90"/>
      <c r="D111" s="92" t="s">
        <v>205</v>
      </c>
      <c r="E111" s="43">
        <f t="shared" ref="E111:AJ111" si="40">E105-E107</f>
        <v>24</v>
      </c>
      <c r="F111" s="43"/>
      <c r="G111" s="43">
        <f t="shared" si="40"/>
        <v>24</v>
      </c>
      <c r="H111" s="43">
        <f t="shared" si="40"/>
        <v>24</v>
      </c>
      <c r="I111" s="43">
        <f t="shared" si="40"/>
        <v>24</v>
      </c>
      <c r="J111" s="43">
        <f t="shared" ref="J111:AI111" si="41">J105-J107</f>
        <v>24</v>
      </c>
      <c r="K111" s="43">
        <f t="shared" si="41"/>
        <v>24</v>
      </c>
      <c r="L111" s="43">
        <f t="shared" si="41"/>
        <v>24</v>
      </c>
      <c r="M111" s="43">
        <f t="shared" si="41"/>
        <v>24</v>
      </c>
      <c r="N111" s="43">
        <f t="shared" si="41"/>
        <v>24</v>
      </c>
      <c r="O111" s="43">
        <f t="shared" si="41"/>
        <v>24</v>
      </c>
      <c r="P111" s="43">
        <f t="shared" si="41"/>
        <v>24</v>
      </c>
      <c r="Q111" s="43">
        <f t="shared" si="41"/>
        <v>24</v>
      </c>
      <c r="R111" s="43">
        <f t="shared" si="41"/>
        <v>24</v>
      </c>
      <c r="S111" s="43">
        <f t="shared" si="41"/>
        <v>24</v>
      </c>
      <c r="T111" s="43">
        <f t="shared" si="41"/>
        <v>24</v>
      </c>
      <c r="U111" s="43">
        <f t="shared" si="41"/>
        <v>24</v>
      </c>
      <c r="V111" s="43">
        <f t="shared" si="41"/>
        <v>24</v>
      </c>
      <c r="W111" s="43">
        <f t="shared" si="41"/>
        <v>24</v>
      </c>
      <c r="X111" s="43">
        <f t="shared" si="41"/>
        <v>24</v>
      </c>
      <c r="Y111" s="43">
        <f t="shared" si="41"/>
        <v>24</v>
      </c>
      <c r="Z111" s="43">
        <f t="shared" si="41"/>
        <v>24</v>
      </c>
      <c r="AA111" s="43">
        <f t="shared" si="41"/>
        <v>24</v>
      </c>
      <c r="AB111" s="43">
        <f t="shared" si="41"/>
        <v>24</v>
      </c>
      <c r="AC111" s="43">
        <f t="shared" si="41"/>
        <v>24</v>
      </c>
      <c r="AD111" s="43">
        <f t="shared" si="41"/>
        <v>24</v>
      </c>
      <c r="AE111" s="43">
        <f t="shared" si="41"/>
        <v>24</v>
      </c>
      <c r="AF111" s="43">
        <f t="shared" si="41"/>
        <v>24</v>
      </c>
      <c r="AG111" s="43">
        <f t="shared" si="41"/>
        <v>24</v>
      </c>
      <c r="AH111" s="43">
        <f t="shared" ref="AH111" si="42">AH105-AH107</f>
        <v>24</v>
      </c>
      <c r="AI111" s="43">
        <f t="shared" si="41"/>
        <v>24</v>
      </c>
      <c r="AJ111" s="93">
        <f t="shared" si="40"/>
        <v>720</v>
      </c>
    </row>
    <row r="112" spans="1:36" hidden="1" x14ac:dyDescent="0.2">
      <c r="A112" s="72" t="s">
        <v>216</v>
      </c>
      <c r="B112" s="66" t="s">
        <v>217</v>
      </c>
      <c r="C112" s="90"/>
      <c r="D112" s="92" t="s">
        <v>205</v>
      </c>
      <c r="E112" s="43">
        <f t="shared" ref="E112:AJ112" si="43">E105-E106</f>
        <v>24</v>
      </c>
      <c r="F112" s="43"/>
      <c r="G112" s="43" t="e">
        <f t="shared" si="43"/>
        <v>#REF!</v>
      </c>
      <c r="H112" s="43" t="e">
        <f t="shared" si="43"/>
        <v>#REF!</v>
      </c>
      <c r="I112" s="43" t="e">
        <f t="shared" si="43"/>
        <v>#REF!</v>
      </c>
      <c r="J112" s="43" t="e">
        <f t="shared" ref="J112:AI112" si="44">J105-J106</f>
        <v>#REF!</v>
      </c>
      <c r="K112" s="43" t="e">
        <f t="shared" si="44"/>
        <v>#REF!</v>
      </c>
      <c r="L112" s="43" t="e">
        <f t="shared" si="44"/>
        <v>#REF!</v>
      </c>
      <c r="M112" s="43" t="e">
        <f t="shared" si="44"/>
        <v>#REF!</v>
      </c>
      <c r="N112" s="43" t="e">
        <f t="shared" si="44"/>
        <v>#REF!</v>
      </c>
      <c r="O112" s="43" t="e">
        <f t="shared" si="44"/>
        <v>#REF!</v>
      </c>
      <c r="P112" s="43" t="e">
        <f t="shared" si="44"/>
        <v>#REF!</v>
      </c>
      <c r="Q112" s="43" t="e">
        <f t="shared" si="44"/>
        <v>#REF!</v>
      </c>
      <c r="R112" s="43" t="e">
        <f t="shared" si="44"/>
        <v>#REF!</v>
      </c>
      <c r="S112" s="43" t="e">
        <f t="shared" si="44"/>
        <v>#REF!</v>
      </c>
      <c r="T112" s="43" t="e">
        <f t="shared" si="44"/>
        <v>#REF!</v>
      </c>
      <c r="U112" s="43" t="e">
        <f t="shared" si="44"/>
        <v>#REF!</v>
      </c>
      <c r="V112" s="43" t="e">
        <f t="shared" si="44"/>
        <v>#REF!</v>
      </c>
      <c r="W112" s="43" t="e">
        <f t="shared" si="44"/>
        <v>#REF!</v>
      </c>
      <c r="X112" s="43" t="e">
        <f t="shared" si="44"/>
        <v>#REF!</v>
      </c>
      <c r="Y112" s="43" t="e">
        <f t="shared" si="44"/>
        <v>#REF!</v>
      </c>
      <c r="Z112" s="43" t="e">
        <f t="shared" si="44"/>
        <v>#REF!</v>
      </c>
      <c r="AA112" s="43" t="e">
        <f t="shared" si="44"/>
        <v>#REF!</v>
      </c>
      <c r="AB112" s="43" t="e">
        <f t="shared" si="44"/>
        <v>#REF!</v>
      </c>
      <c r="AC112" s="43" t="e">
        <f t="shared" si="44"/>
        <v>#REF!</v>
      </c>
      <c r="AD112" s="43" t="e">
        <f t="shared" si="44"/>
        <v>#REF!</v>
      </c>
      <c r="AE112" s="43" t="e">
        <f t="shared" si="44"/>
        <v>#REF!</v>
      </c>
      <c r="AF112" s="43" t="e">
        <f t="shared" si="44"/>
        <v>#REF!</v>
      </c>
      <c r="AG112" s="43" t="e">
        <f t="shared" si="44"/>
        <v>#REF!</v>
      </c>
      <c r="AH112" s="43" t="e">
        <f t="shared" ref="AH112" si="45">AH105-AH106</f>
        <v>#REF!</v>
      </c>
      <c r="AI112" s="43" t="e">
        <f t="shared" si="44"/>
        <v>#REF!</v>
      </c>
      <c r="AJ112" s="93" t="e">
        <f t="shared" si="43"/>
        <v>#REF!</v>
      </c>
    </row>
    <row r="113" spans="1:36" hidden="1" x14ac:dyDescent="0.2">
      <c r="A113" s="72" t="s">
        <v>218</v>
      </c>
      <c r="B113" s="66" t="s">
        <v>219</v>
      </c>
      <c r="C113" s="90"/>
      <c r="D113" s="92"/>
      <c r="E113" s="43">
        <f t="shared" ref="E113:AJ113" si="46">E112/E111</f>
        <v>1</v>
      </c>
      <c r="F113" s="43"/>
      <c r="G113" s="43" t="e">
        <f t="shared" si="46"/>
        <v>#REF!</v>
      </c>
      <c r="H113" s="43" t="e">
        <f t="shared" si="46"/>
        <v>#REF!</v>
      </c>
      <c r="I113" s="43" t="e">
        <f t="shared" si="46"/>
        <v>#REF!</v>
      </c>
      <c r="J113" s="43" t="e">
        <f t="shared" ref="J113:AI113" si="47">J112/J111</f>
        <v>#REF!</v>
      </c>
      <c r="K113" s="43" t="e">
        <f t="shared" si="47"/>
        <v>#REF!</v>
      </c>
      <c r="L113" s="43" t="e">
        <f t="shared" si="47"/>
        <v>#REF!</v>
      </c>
      <c r="M113" s="43" t="e">
        <f t="shared" si="47"/>
        <v>#REF!</v>
      </c>
      <c r="N113" s="43" t="e">
        <f t="shared" si="47"/>
        <v>#REF!</v>
      </c>
      <c r="O113" s="43" t="e">
        <f t="shared" si="47"/>
        <v>#REF!</v>
      </c>
      <c r="P113" s="43" t="e">
        <f t="shared" si="47"/>
        <v>#REF!</v>
      </c>
      <c r="Q113" s="43" t="e">
        <f t="shared" si="47"/>
        <v>#REF!</v>
      </c>
      <c r="R113" s="43" t="e">
        <f t="shared" si="47"/>
        <v>#REF!</v>
      </c>
      <c r="S113" s="43" t="e">
        <f t="shared" si="47"/>
        <v>#REF!</v>
      </c>
      <c r="T113" s="43" t="e">
        <f t="shared" si="47"/>
        <v>#REF!</v>
      </c>
      <c r="U113" s="43" t="e">
        <f t="shared" si="47"/>
        <v>#REF!</v>
      </c>
      <c r="V113" s="43" t="e">
        <f t="shared" si="47"/>
        <v>#REF!</v>
      </c>
      <c r="W113" s="43" t="e">
        <f t="shared" si="47"/>
        <v>#REF!</v>
      </c>
      <c r="X113" s="43" t="e">
        <f t="shared" si="47"/>
        <v>#REF!</v>
      </c>
      <c r="Y113" s="43" t="e">
        <f t="shared" si="47"/>
        <v>#REF!</v>
      </c>
      <c r="Z113" s="43" t="e">
        <f t="shared" si="47"/>
        <v>#REF!</v>
      </c>
      <c r="AA113" s="43" t="e">
        <f t="shared" si="47"/>
        <v>#REF!</v>
      </c>
      <c r="AB113" s="43" t="e">
        <f t="shared" si="47"/>
        <v>#REF!</v>
      </c>
      <c r="AC113" s="43" t="e">
        <f t="shared" si="47"/>
        <v>#REF!</v>
      </c>
      <c r="AD113" s="43" t="e">
        <f t="shared" si="47"/>
        <v>#REF!</v>
      </c>
      <c r="AE113" s="43" t="e">
        <f t="shared" si="47"/>
        <v>#REF!</v>
      </c>
      <c r="AF113" s="43" t="e">
        <f t="shared" si="47"/>
        <v>#REF!</v>
      </c>
      <c r="AG113" s="43" t="e">
        <f t="shared" si="47"/>
        <v>#REF!</v>
      </c>
      <c r="AH113" s="43" t="e">
        <f t="shared" ref="AH113" si="48">AH112/AH111</f>
        <v>#REF!</v>
      </c>
      <c r="AI113" s="43" t="e">
        <f t="shared" si="47"/>
        <v>#REF!</v>
      </c>
      <c r="AJ113" s="93" t="e">
        <f t="shared" si="46"/>
        <v>#REF!</v>
      </c>
    </row>
    <row r="114" spans="1:36" hidden="1" x14ac:dyDescent="0.2">
      <c r="A114" s="72" t="s">
        <v>14</v>
      </c>
      <c r="B114" s="66" t="s">
        <v>220</v>
      </c>
      <c r="C114" s="90"/>
      <c r="D114" s="92"/>
      <c r="E114" s="43" t="e">
        <f t="shared" ref="E114:AJ114" si="49">E110*E104/E112</f>
        <v>#DIV/0!</v>
      </c>
      <c r="F114" s="43"/>
      <c r="G114" s="43" t="e">
        <f t="shared" si="49"/>
        <v>#REF!</v>
      </c>
      <c r="H114" s="43" t="e">
        <f t="shared" si="49"/>
        <v>#REF!</v>
      </c>
      <c r="I114" s="43" t="e">
        <f t="shared" si="49"/>
        <v>#REF!</v>
      </c>
      <c r="J114" s="43" t="e">
        <f t="shared" ref="J114:AI114" si="50">J110*J104/J112</f>
        <v>#REF!</v>
      </c>
      <c r="K114" s="43" t="e">
        <f t="shared" si="50"/>
        <v>#REF!</v>
      </c>
      <c r="L114" s="43" t="e">
        <f t="shared" si="50"/>
        <v>#REF!</v>
      </c>
      <c r="M114" s="43" t="e">
        <f t="shared" si="50"/>
        <v>#REF!</v>
      </c>
      <c r="N114" s="43" t="e">
        <f t="shared" si="50"/>
        <v>#REF!</v>
      </c>
      <c r="O114" s="43" t="e">
        <f t="shared" si="50"/>
        <v>#REF!</v>
      </c>
      <c r="P114" s="43" t="e">
        <f t="shared" si="50"/>
        <v>#REF!</v>
      </c>
      <c r="Q114" s="43" t="e">
        <f t="shared" si="50"/>
        <v>#REF!</v>
      </c>
      <c r="R114" s="43" t="e">
        <f t="shared" si="50"/>
        <v>#REF!</v>
      </c>
      <c r="S114" s="43" t="e">
        <f t="shared" si="50"/>
        <v>#REF!</v>
      </c>
      <c r="T114" s="43" t="e">
        <f t="shared" si="50"/>
        <v>#REF!</v>
      </c>
      <c r="U114" s="43" t="e">
        <f t="shared" si="50"/>
        <v>#REF!</v>
      </c>
      <c r="V114" s="43" t="e">
        <f t="shared" si="50"/>
        <v>#REF!</v>
      </c>
      <c r="W114" s="43" t="e">
        <f t="shared" si="50"/>
        <v>#REF!</v>
      </c>
      <c r="X114" s="43" t="e">
        <f t="shared" si="50"/>
        <v>#REF!</v>
      </c>
      <c r="Y114" s="43" t="e">
        <f t="shared" si="50"/>
        <v>#REF!</v>
      </c>
      <c r="Z114" s="43" t="e">
        <f t="shared" si="50"/>
        <v>#REF!</v>
      </c>
      <c r="AA114" s="43" t="e">
        <f t="shared" si="50"/>
        <v>#REF!</v>
      </c>
      <c r="AB114" s="43" t="e">
        <f t="shared" si="50"/>
        <v>#REF!</v>
      </c>
      <c r="AC114" s="43" t="e">
        <f t="shared" si="50"/>
        <v>#REF!</v>
      </c>
      <c r="AD114" s="43" t="e">
        <f t="shared" si="50"/>
        <v>#REF!</v>
      </c>
      <c r="AE114" s="43" t="e">
        <f t="shared" si="50"/>
        <v>#REF!</v>
      </c>
      <c r="AF114" s="43" t="e">
        <f t="shared" si="50"/>
        <v>#REF!</v>
      </c>
      <c r="AG114" s="43" t="e">
        <f t="shared" si="50"/>
        <v>#REF!</v>
      </c>
      <c r="AH114" s="43" t="e">
        <f t="shared" ref="AH114" si="51">AH110*AH104/AH112</f>
        <v>#REF!</v>
      </c>
      <c r="AI114" s="43" t="e">
        <f t="shared" si="50"/>
        <v>#REF!</v>
      </c>
      <c r="AJ114" s="93" t="e">
        <f t="shared" si="49"/>
        <v>#REF!</v>
      </c>
    </row>
    <row r="115" spans="1:36" ht="21" hidden="1" thickBot="1" x14ac:dyDescent="0.25">
      <c r="A115" s="94"/>
      <c r="B115" s="78" t="s">
        <v>221</v>
      </c>
      <c r="C115" s="79"/>
      <c r="D115" s="80" t="s">
        <v>173</v>
      </c>
      <c r="E115" s="95" t="e">
        <f t="shared" ref="E115:AJ115" si="52">E114*E113*100</f>
        <v>#DIV/0!</v>
      </c>
      <c r="F115" s="95">
        <f t="shared" si="52"/>
        <v>0</v>
      </c>
      <c r="G115" s="95" t="e">
        <f t="shared" si="52"/>
        <v>#REF!</v>
      </c>
      <c r="H115" s="95" t="e">
        <f t="shared" si="52"/>
        <v>#REF!</v>
      </c>
      <c r="I115" s="95" t="e">
        <f t="shared" si="52"/>
        <v>#REF!</v>
      </c>
      <c r="J115" s="95" t="e">
        <f t="shared" ref="J115:AI115" si="53">J114*J113*100</f>
        <v>#REF!</v>
      </c>
      <c r="K115" s="95" t="e">
        <f t="shared" si="53"/>
        <v>#REF!</v>
      </c>
      <c r="L115" s="95" t="e">
        <f t="shared" si="53"/>
        <v>#REF!</v>
      </c>
      <c r="M115" s="95" t="e">
        <f t="shared" si="53"/>
        <v>#REF!</v>
      </c>
      <c r="N115" s="95" t="e">
        <f t="shared" si="53"/>
        <v>#REF!</v>
      </c>
      <c r="O115" s="95" t="e">
        <f t="shared" si="53"/>
        <v>#REF!</v>
      </c>
      <c r="P115" s="95" t="e">
        <f t="shared" si="53"/>
        <v>#REF!</v>
      </c>
      <c r="Q115" s="95" t="e">
        <f t="shared" si="53"/>
        <v>#REF!</v>
      </c>
      <c r="R115" s="95" t="e">
        <f t="shared" si="53"/>
        <v>#REF!</v>
      </c>
      <c r="S115" s="95" t="e">
        <f t="shared" si="53"/>
        <v>#REF!</v>
      </c>
      <c r="T115" s="95" t="e">
        <f t="shared" si="53"/>
        <v>#REF!</v>
      </c>
      <c r="U115" s="95" t="e">
        <f t="shared" si="53"/>
        <v>#REF!</v>
      </c>
      <c r="V115" s="95" t="e">
        <f t="shared" si="53"/>
        <v>#REF!</v>
      </c>
      <c r="W115" s="95" t="e">
        <f t="shared" si="53"/>
        <v>#REF!</v>
      </c>
      <c r="X115" s="95" t="e">
        <f t="shared" si="53"/>
        <v>#REF!</v>
      </c>
      <c r="Y115" s="95" t="e">
        <f t="shared" si="53"/>
        <v>#REF!</v>
      </c>
      <c r="Z115" s="95" t="e">
        <f t="shared" si="53"/>
        <v>#REF!</v>
      </c>
      <c r="AA115" s="95" t="e">
        <f t="shared" si="53"/>
        <v>#REF!</v>
      </c>
      <c r="AB115" s="95" t="e">
        <f t="shared" si="53"/>
        <v>#REF!</v>
      </c>
      <c r="AC115" s="95" t="e">
        <f t="shared" si="53"/>
        <v>#REF!</v>
      </c>
      <c r="AD115" s="95" t="e">
        <f t="shared" si="53"/>
        <v>#REF!</v>
      </c>
      <c r="AE115" s="95" t="e">
        <f t="shared" si="53"/>
        <v>#REF!</v>
      </c>
      <c r="AF115" s="95" t="e">
        <f t="shared" si="53"/>
        <v>#REF!</v>
      </c>
      <c r="AG115" s="95" t="e">
        <f t="shared" si="53"/>
        <v>#REF!</v>
      </c>
      <c r="AH115" s="95" t="e">
        <f t="shared" ref="AH115" si="54">AH114*AH113*100</f>
        <v>#REF!</v>
      </c>
      <c r="AI115" s="95" t="e">
        <f t="shared" si="53"/>
        <v>#REF!</v>
      </c>
      <c r="AJ115" s="82" t="e">
        <f t="shared" si="52"/>
        <v>#REF!</v>
      </c>
    </row>
    <row r="116" spans="1:36" x14ac:dyDescent="0.2">
      <c r="A116" s="84"/>
      <c r="B116" s="84"/>
      <c r="C116" s="85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</row>
    <row r="117" spans="1:36" ht="21" thickBot="1" x14ac:dyDescent="0.25">
      <c r="A117" s="84"/>
      <c r="B117" s="84"/>
      <c r="C117" s="85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</row>
    <row r="118" spans="1:36" ht="26.25" customHeight="1" thickBot="1" x14ac:dyDescent="0.3">
      <c r="A118" s="84"/>
      <c r="B118" s="183" t="s">
        <v>271</v>
      </c>
      <c r="C118" s="184"/>
      <c r="D118" s="185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96"/>
    </row>
    <row r="119" spans="1:36" ht="15.75" customHeight="1" x14ac:dyDescent="0.2">
      <c r="A119" s="84"/>
      <c r="B119" s="186" t="s">
        <v>150</v>
      </c>
      <c r="C119" s="187" t="s">
        <v>16</v>
      </c>
      <c r="D119" s="190" t="s">
        <v>16</v>
      </c>
      <c r="E119" s="66">
        <v>132.19999999999999</v>
      </c>
      <c r="F119" s="66">
        <v>131.4</v>
      </c>
      <c r="G119" s="66">
        <v>126.4</v>
      </c>
      <c r="H119" s="66">
        <v>117.6</v>
      </c>
      <c r="I119" s="66">
        <v>131.80000000000001</v>
      </c>
      <c r="J119" s="66">
        <v>132.5</v>
      </c>
      <c r="K119" s="66">
        <v>129.19999999999999</v>
      </c>
      <c r="L119" s="66">
        <v>133.5</v>
      </c>
      <c r="M119" s="66">
        <v>130.1</v>
      </c>
      <c r="N119" s="66">
        <v>134.80000000000001</v>
      </c>
      <c r="O119" s="66">
        <v>128.5</v>
      </c>
      <c r="P119" s="66">
        <v>122.4</v>
      </c>
      <c r="Q119" s="66">
        <v>118.4</v>
      </c>
      <c r="R119" s="66">
        <v>110.1</v>
      </c>
      <c r="S119" s="66">
        <v>123.1</v>
      </c>
      <c r="T119" s="66">
        <v>130.4</v>
      </c>
      <c r="U119" s="66">
        <v>122.9</v>
      </c>
      <c r="V119" s="66">
        <v>121.1</v>
      </c>
      <c r="W119" s="66">
        <v>126.9</v>
      </c>
      <c r="X119" s="66">
        <v>132</v>
      </c>
      <c r="Y119" s="66">
        <v>132.6</v>
      </c>
      <c r="Z119" s="66">
        <v>125.8</v>
      </c>
      <c r="AA119" s="66">
        <v>128.6</v>
      </c>
      <c r="AB119" s="66">
        <v>129.5</v>
      </c>
      <c r="AC119" s="66">
        <v>122.1</v>
      </c>
      <c r="AD119" s="66">
        <v>120.8</v>
      </c>
      <c r="AE119" s="66">
        <v>131.19999999999999</v>
      </c>
      <c r="AF119" s="66">
        <v>135</v>
      </c>
      <c r="AG119" s="66">
        <v>124.1</v>
      </c>
      <c r="AH119" s="66">
        <v>124</v>
      </c>
      <c r="AI119" s="66">
        <v>126.9</v>
      </c>
      <c r="AJ119" s="96"/>
    </row>
    <row r="120" spans="1:36" x14ac:dyDescent="0.2">
      <c r="A120" s="84"/>
      <c r="B120" s="51" t="s">
        <v>272</v>
      </c>
      <c r="C120" s="188" t="s">
        <v>273</v>
      </c>
      <c r="D120" s="191" t="s">
        <v>273</v>
      </c>
      <c r="E120" s="66">
        <v>5971.7</v>
      </c>
      <c r="F120" s="66">
        <v>6621.4</v>
      </c>
      <c r="G120" s="66">
        <v>4416.8</v>
      </c>
      <c r="H120" s="66">
        <v>3979.8</v>
      </c>
      <c r="I120" s="66">
        <v>6632.5</v>
      </c>
      <c r="J120" s="66">
        <v>6079.6</v>
      </c>
      <c r="K120" s="66">
        <v>5158.8</v>
      </c>
      <c r="L120" s="66">
        <v>6430.8</v>
      </c>
      <c r="M120" s="66">
        <v>6330.7</v>
      </c>
      <c r="N120" s="66">
        <v>4719.3</v>
      </c>
      <c r="O120" s="66">
        <v>5830.5</v>
      </c>
      <c r="P120" s="66">
        <v>7379.4</v>
      </c>
      <c r="Q120" s="66">
        <v>7636.3</v>
      </c>
      <c r="R120" s="66">
        <v>6508.6</v>
      </c>
      <c r="S120" s="66">
        <v>5838.8</v>
      </c>
      <c r="T120" s="66">
        <v>4523.8999999999996</v>
      </c>
      <c r="U120" s="66">
        <v>4283.5</v>
      </c>
      <c r="V120" s="66">
        <v>4109.3999999999996</v>
      </c>
      <c r="W120" s="66">
        <v>6673.1</v>
      </c>
      <c r="X120" s="66">
        <v>6840.4</v>
      </c>
      <c r="Y120" s="66">
        <v>6377.6</v>
      </c>
      <c r="Z120" s="66">
        <v>6637.5</v>
      </c>
      <c r="AA120" s="66">
        <v>6584.4</v>
      </c>
      <c r="AB120" s="66">
        <v>6709.4</v>
      </c>
      <c r="AC120" s="66">
        <v>6465.3</v>
      </c>
      <c r="AD120" s="66">
        <v>6669.7</v>
      </c>
      <c r="AE120" s="66">
        <v>6863.6</v>
      </c>
      <c r="AF120" s="66">
        <v>4698.3999999999996</v>
      </c>
      <c r="AG120" s="66">
        <v>3971.9</v>
      </c>
      <c r="AH120" s="66">
        <v>3864.6</v>
      </c>
      <c r="AI120" s="66">
        <v>5703.9</v>
      </c>
      <c r="AJ120" s="96"/>
    </row>
    <row r="121" spans="1:36" x14ac:dyDescent="0.2">
      <c r="A121" s="84"/>
      <c r="B121" s="51" t="s">
        <v>274</v>
      </c>
      <c r="C121" s="188" t="s">
        <v>273</v>
      </c>
      <c r="D121" s="191" t="s">
        <v>273</v>
      </c>
      <c r="E121" s="66">
        <v>0</v>
      </c>
      <c r="F121" s="66">
        <v>0</v>
      </c>
      <c r="G121" s="66">
        <v>0</v>
      </c>
      <c r="H121" s="66">
        <v>0</v>
      </c>
      <c r="I121" s="66">
        <v>0</v>
      </c>
      <c r="J121" s="66">
        <v>21.3</v>
      </c>
      <c r="K121" s="66">
        <v>0</v>
      </c>
      <c r="L121" s="66">
        <v>0</v>
      </c>
      <c r="M121" s="66">
        <v>0</v>
      </c>
      <c r="N121" s="66">
        <v>0</v>
      </c>
      <c r="O121" s="66">
        <v>0</v>
      </c>
      <c r="P121" s="66">
        <v>0</v>
      </c>
      <c r="Q121" s="66">
        <v>10.9</v>
      </c>
      <c r="R121" s="66">
        <v>0</v>
      </c>
      <c r="S121" s="66">
        <v>0</v>
      </c>
      <c r="T121" s="66">
        <v>0</v>
      </c>
      <c r="U121" s="66">
        <v>0</v>
      </c>
      <c r="V121" s="66">
        <v>0</v>
      </c>
      <c r="W121" s="66">
        <v>0</v>
      </c>
      <c r="X121" s="66">
        <v>0</v>
      </c>
      <c r="Y121" s="66">
        <v>0</v>
      </c>
      <c r="Z121" s="66">
        <v>0</v>
      </c>
      <c r="AA121" s="66">
        <v>0</v>
      </c>
      <c r="AB121" s="66">
        <v>0</v>
      </c>
      <c r="AC121" s="66">
        <v>0</v>
      </c>
      <c r="AD121" s="66">
        <v>0</v>
      </c>
      <c r="AE121" s="66">
        <v>118.4</v>
      </c>
      <c r="AF121" s="66">
        <v>0</v>
      </c>
      <c r="AG121" s="66">
        <v>9.5</v>
      </c>
      <c r="AH121" s="66">
        <v>0</v>
      </c>
      <c r="AI121" s="66">
        <v>0</v>
      </c>
      <c r="AJ121" s="96"/>
    </row>
    <row r="122" spans="1:36" x14ac:dyDescent="0.2">
      <c r="A122" s="84"/>
      <c r="B122" s="51" t="s">
        <v>275</v>
      </c>
      <c r="C122" s="188" t="s">
        <v>153</v>
      </c>
      <c r="D122" s="191" t="s">
        <v>153</v>
      </c>
      <c r="E122" s="66">
        <v>592</v>
      </c>
      <c r="F122" s="66">
        <v>575</v>
      </c>
      <c r="G122" s="66">
        <v>614</v>
      </c>
      <c r="H122" s="66">
        <v>569</v>
      </c>
      <c r="I122" s="66">
        <v>636</v>
      </c>
      <c r="J122" s="66">
        <v>590</v>
      </c>
      <c r="K122" s="66">
        <v>573</v>
      </c>
      <c r="L122" s="66">
        <v>824</v>
      </c>
      <c r="M122" s="66">
        <v>602</v>
      </c>
      <c r="N122" s="66">
        <v>578</v>
      </c>
      <c r="O122" s="66">
        <v>684</v>
      </c>
      <c r="P122" s="66">
        <v>577</v>
      </c>
      <c r="Q122" s="66">
        <v>557</v>
      </c>
      <c r="R122" s="66">
        <v>813</v>
      </c>
      <c r="S122" s="66">
        <v>715</v>
      </c>
      <c r="T122" s="66">
        <v>545</v>
      </c>
      <c r="U122" s="66">
        <v>376</v>
      </c>
      <c r="V122" s="66">
        <v>405</v>
      </c>
      <c r="W122" s="66">
        <v>386</v>
      </c>
      <c r="X122" s="66">
        <v>365</v>
      </c>
      <c r="Y122" s="66">
        <v>230</v>
      </c>
      <c r="Z122" s="66">
        <v>287</v>
      </c>
      <c r="AA122" s="66">
        <v>248</v>
      </c>
      <c r="AB122" s="66">
        <v>242</v>
      </c>
      <c r="AC122" s="66">
        <v>280</v>
      </c>
      <c r="AD122" s="66">
        <v>305</v>
      </c>
      <c r="AE122" s="66">
        <v>268</v>
      </c>
      <c r="AF122" s="66">
        <v>418</v>
      </c>
      <c r="AG122" s="66">
        <v>249</v>
      </c>
      <c r="AH122" s="66">
        <v>273</v>
      </c>
      <c r="AI122" s="66">
        <v>275</v>
      </c>
      <c r="AJ122" s="96"/>
    </row>
    <row r="123" spans="1:36" x14ac:dyDescent="0.2">
      <c r="A123" s="84"/>
      <c r="B123" s="51" t="s">
        <v>276</v>
      </c>
      <c r="C123" s="188" t="s">
        <v>153</v>
      </c>
      <c r="D123" s="191" t="s">
        <v>153</v>
      </c>
      <c r="E123" s="66">
        <v>0</v>
      </c>
      <c r="F123" s="66">
        <v>0</v>
      </c>
      <c r="G123" s="66">
        <v>0</v>
      </c>
      <c r="H123" s="66">
        <v>0</v>
      </c>
      <c r="I123" s="66">
        <v>0</v>
      </c>
      <c r="J123" s="66">
        <v>0</v>
      </c>
      <c r="K123" s="66">
        <v>0</v>
      </c>
      <c r="L123" s="66">
        <v>0</v>
      </c>
      <c r="M123" s="66">
        <v>0</v>
      </c>
      <c r="N123" s="66">
        <v>0</v>
      </c>
      <c r="O123" s="66">
        <v>0</v>
      </c>
      <c r="P123" s="66">
        <v>0</v>
      </c>
      <c r="Q123" s="66">
        <v>0</v>
      </c>
      <c r="R123" s="66">
        <v>0</v>
      </c>
      <c r="S123" s="66">
        <v>64</v>
      </c>
      <c r="T123" s="66">
        <v>301</v>
      </c>
      <c r="U123" s="66">
        <v>296</v>
      </c>
      <c r="V123" s="66">
        <v>256</v>
      </c>
      <c r="W123" s="66">
        <v>318</v>
      </c>
      <c r="X123" s="66">
        <v>309</v>
      </c>
      <c r="Y123" s="66">
        <v>461</v>
      </c>
      <c r="Z123" s="66">
        <v>398</v>
      </c>
      <c r="AA123" s="66">
        <v>391</v>
      </c>
      <c r="AB123" s="66">
        <v>390</v>
      </c>
      <c r="AC123" s="66">
        <v>429</v>
      </c>
      <c r="AD123" s="66">
        <v>483</v>
      </c>
      <c r="AE123" s="66">
        <v>390</v>
      </c>
      <c r="AF123" s="66">
        <v>265</v>
      </c>
      <c r="AG123" s="66">
        <v>390</v>
      </c>
      <c r="AH123" s="66">
        <v>370</v>
      </c>
      <c r="AI123" s="66">
        <v>365</v>
      </c>
      <c r="AJ123" s="96"/>
    </row>
    <row r="124" spans="1:36" ht="21" x14ac:dyDescent="0.2">
      <c r="A124" s="84"/>
      <c r="B124" s="57" t="s">
        <v>277</v>
      </c>
      <c r="C124" s="189" t="s">
        <v>101</v>
      </c>
      <c r="D124" s="192" t="s">
        <v>101</v>
      </c>
      <c r="E124" s="66">
        <v>102395</v>
      </c>
      <c r="F124" s="66">
        <v>101556</v>
      </c>
      <c r="G124" s="66">
        <v>90631</v>
      </c>
      <c r="H124" s="66">
        <v>87518</v>
      </c>
      <c r="I124" s="66">
        <v>94355</v>
      </c>
      <c r="J124" s="66">
        <v>97661</v>
      </c>
      <c r="K124" s="66">
        <v>91605</v>
      </c>
      <c r="L124" s="66">
        <v>99598</v>
      </c>
      <c r="M124" s="66">
        <v>92970</v>
      </c>
      <c r="N124" s="66">
        <v>98523</v>
      </c>
      <c r="O124" s="66">
        <v>95812</v>
      </c>
      <c r="P124" s="66">
        <v>92806</v>
      </c>
      <c r="Q124" s="66">
        <v>86270</v>
      </c>
      <c r="R124" s="66">
        <v>79115</v>
      </c>
      <c r="S124" s="66">
        <v>96493</v>
      </c>
      <c r="T124" s="66">
        <v>99881</v>
      </c>
      <c r="U124" s="66">
        <v>89802</v>
      </c>
      <c r="V124" s="66">
        <v>84147</v>
      </c>
      <c r="W124" s="66">
        <v>94893</v>
      </c>
      <c r="X124" s="66">
        <v>95968</v>
      </c>
      <c r="Y124" s="66">
        <v>95387</v>
      </c>
      <c r="Z124" s="66">
        <v>92625</v>
      </c>
      <c r="AA124" s="66">
        <v>100161</v>
      </c>
      <c r="AB124" s="66">
        <v>99139</v>
      </c>
      <c r="AC124" s="66">
        <v>88197</v>
      </c>
      <c r="AD124" s="66">
        <v>83675</v>
      </c>
      <c r="AE124" s="66">
        <v>96970</v>
      </c>
      <c r="AF124" s="66">
        <v>100578</v>
      </c>
      <c r="AG124" s="66">
        <v>89030</v>
      </c>
      <c r="AH124" s="66">
        <v>85467</v>
      </c>
      <c r="AI124" s="66">
        <v>94265</v>
      </c>
      <c r="AJ124" s="96"/>
    </row>
    <row r="125" spans="1:36" ht="21" x14ac:dyDescent="0.2">
      <c r="A125" s="84"/>
      <c r="B125" s="57" t="s">
        <v>278</v>
      </c>
      <c r="C125" s="189" t="s">
        <v>101</v>
      </c>
      <c r="D125" s="192" t="s">
        <v>101</v>
      </c>
      <c r="E125" s="66">
        <v>7390</v>
      </c>
      <c r="F125" s="66">
        <v>6429</v>
      </c>
      <c r="G125" s="66">
        <v>7454</v>
      </c>
      <c r="H125" s="66">
        <v>7417</v>
      </c>
      <c r="I125" s="66">
        <v>7330</v>
      </c>
      <c r="J125" s="66">
        <v>7624</v>
      </c>
      <c r="K125" s="66">
        <v>7380</v>
      </c>
      <c r="L125" s="66">
        <v>7649</v>
      </c>
      <c r="M125" s="66">
        <v>7871</v>
      </c>
      <c r="N125" s="66">
        <v>7693</v>
      </c>
      <c r="O125" s="66">
        <v>7673</v>
      </c>
      <c r="P125" s="66">
        <v>7979</v>
      </c>
      <c r="Q125" s="66">
        <v>7765</v>
      </c>
      <c r="R125" s="66">
        <v>7270</v>
      </c>
      <c r="S125" s="66">
        <v>7892</v>
      </c>
      <c r="T125" s="66">
        <v>8104</v>
      </c>
      <c r="U125" s="66">
        <v>7833</v>
      </c>
      <c r="V125" s="66">
        <v>7638</v>
      </c>
      <c r="W125" s="66">
        <v>7692</v>
      </c>
      <c r="X125" s="66">
        <v>7967</v>
      </c>
      <c r="Y125" s="66">
        <v>8098</v>
      </c>
      <c r="Z125" s="66">
        <v>6853</v>
      </c>
      <c r="AA125" s="66">
        <v>7499</v>
      </c>
      <c r="AB125" s="66">
        <v>7458</v>
      </c>
      <c r="AC125" s="66">
        <v>7638</v>
      </c>
      <c r="AD125" s="66">
        <v>7660</v>
      </c>
      <c r="AE125" s="66">
        <v>6965</v>
      </c>
      <c r="AF125" s="66">
        <v>7407</v>
      </c>
      <c r="AG125" s="66">
        <v>6355</v>
      </c>
      <c r="AH125" s="66">
        <v>6318</v>
      </c>
      <c r="AI125" s="66">
        <v>6520</v>
      </c>
      <c r="AJ125" s="96"/>
    </row>
    <row r="126" spans="1:36" x14ac:dyDescent="0.2">
      <c r="A126" s="84"/>
      <c r="B126" s="84"/>
      <c r="C126" s="85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96"/>
    </row>
    <row r="127" spans="1:36" x14ac:dyDescent="0.2">
      <c r="A127" s="84"/>
      <c r="B127" s="84"/>
      <c r="C127" s="85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96"/>
    </row>
    <row r="128" spans="1:36" ht="20.25" customHeight="1" x14ac:dyDescent="0.2">
      <c r="A128" s="84"/>
      <c r="B128" s="84"/>
      <c r="C128" s="85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96"/>
    </row>
  </sheetData>
  <mergeCells count="9">
    <mergeCell ref="G89:AI89"/>
    <mergeCell ref="G3:AJ3"/>
    <mergeCell ref="F21:AI21"/>
    <mergeCell ref="C61:AJ62"/>
    <mergeCell ref="C68:AJ68"/>
    <mergeCell ref="D81:AJ81"/>
    <mergeCell ref="G83:AI83"/>
    <mergeCell ref="D53:AJ53"/>
    <mergeCell ref="A58:AJ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01-01-2026</vt:lpstr>
      <vt:lpstr>02-01-2026</vt:lpstr>
      <vt:lpstr>03-01-2026</vt:lpstr>
      <vt:lpstr>04-01-2026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27-01-2026</vt:lpstr>
      <vt:lpstr>28-01-2026</vt:lpstr>
      <vt:lpstr>29-01-2026</vt:lpstr>
      <vt:lpstr>30-01-2026</vt:lpstr>
      <vt:lpstr>31-01-2026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2026-04-02T04:39:41Z</dcterms:modified>
</cp:coreProperties>
</file>