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dra/Desktop/untitled folder/"/>
    </mc:Choice>
  </mc:AlternateContent>
  <xr:revisionPtr revIDLastSave="0" documentId="13_ncr:1_{B1FCDACE-B1B0-324B-8E33-D97C915DF669}" xr6:coauthVersionLast="47" xr6:coauthVersionMax="47" xr10:uidLastSave="{00000000-0000-0000-0000-000000000000}"/>
  <bookViews>
    <workbookView xWindow="0" yWindow="520" windowWidth="20480" windowHeight="12800" firstSheet="24" activeTab="31" xr2:uid="{00000000-000D-0000-FFFF-FFFF00000000}"/>
  </bookViews>
  <sheets>
    <sheet name="01-08-2025" sheetId="123" r:id="rId1"/>
    <sheet name="02-08-2025" sheetId="124" r:id="rId2"/>
    <sheet name="03-08-2025" sheetId="125" r:id="rId3"/>
    <sheet name="04-08-2025" sheetId="126" r:id="rId4"/>
    <sheet name="05-08-2025" sheetId="127" r:id="rId5"/>
    <sheet name="06-08-2025" sheetId="128" r:id="rId6"/>
    <sheet name="07-08-2025" sheetId="129" r:id="rId7"/>
    <sheet name="08-08-2025" sheetId="130" r:id="rId8"/>
    <sheet name="09-08-2025" sheetId="131" r:id="rId9"/>
    <sheet name="10-08-2025" sheetId="132" r:id="rId10"/>
    <sheet name="11-08-2025" sheetId="133" r:id="rId11"/>
    <sheet name="12-08-2025" sheetId="134" r:id="rId12"/>
    <sheet name="13-08-2025" sheetId="135" r:id="rId13"/>
    <sheet name="14-08-2025" sheetId="136" r:id="rId14"/>
    <sheet name="15-08-2025" sheetId="137" r:id="rId15"/>
    <sheet name="16-08-2025" sheetId="138" r:id="rId16"/>
    <sheet name="17-08-2025" sheetId="139" r:id="rId17"/>
    <sheet name="18-08-2025" sheetId="140" r:id="rId18"/>
    <sheet name="19-08-2025" sheetId="141" r:id="rId19"/>
    <sheet name="20-08-2025" sheetId="142" r:id="rId20"/>
    <sheet name="21-08-2025" sheetId="143" r:id="rId21"/>
    <sheet name="22-08-2025" sheetId="144" r:id="rId22"/>
    <sheet name="23-08-2025" sheetId="145" r:id="rId23"/>
    <sheet name="24-08-2025" sheetId="146" r:id="rId24"/>
    <sheet name="25-08-2025" sheetId="147" r:id="rId25"/>
    <sheet name="26-08-2025" sheetId="148" r:id="rId26"/>
    <sheet name="27-08-2025" sheetId="149" r:id="rId27"/>
    <sheet name="28-08-2025" sheetId="150" r:id="rId28"/>
    <sheet name="29-08-2025" sheetId="151" r:id="rId29"/>
    <sheet name="30-08-2025" sheetId="152" r:id="rId30"/>
    <sheet name="31-08-2025" sheetId="153" r:id="rId31"/>
    <sheet name="Pulp &amp; Chemical consumption" sheetId="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8" i="2" l="1"/>
  <c r="AJ18" i="2"/>
  <c r="G9" i="153"/>
  <c r="H9" i="153"/>
  <c r="G10" i="153"/>
  <c r="H10" i="153"/>
  <c r="G11" i="153"/>
  <c r="H11" i="153"/>
  <c r="G12" i="153"/>
  <c r="H12" i="153"/>
  <c r="F22" i="153"/>
  <c r="G22" i="153"/>
  <c r="H22" i="153"/>
  <c r="J25" i="153"/>
  <c r="J26" i="153"/>
  <c r="G9" i="152"/>
  <c r="H9" i="152"/>
  <c r="H22" i="152" s="1"/>
  <c r="G10" i="152"/>
  <c r="H10" i="152"/>
  <c r="F22" i="152"/>
  <c r="G22" i="152"/>
  <c r="J25" i="152"/>
  <c r="J26" i="152"/>
  <c r="J26" i="151" l="1"/>
  <c r="F22" i="151"/>
  <c r="H10" i="151"/>
  <c r="G10" i="151"/>
  <c r="H9" i="151"/>
  <c r="G9" i="151"/>
  <c r="H22" i="151" l="1"/>
  <c r="G22" i="151"/>
  <c r="J25" i="151"/>
  <c r="J26" i="150" l="1"/>
  <c r="H12" i="150"/>
  <c r="G12" i="150"/>
  <c r="F22" i="150"/>
  <c r="J25" i="150" s="1"/>
  <c r="H11" i="150"/>
  <c r="G11" i="150"/>
  <c r="H10" i="150"/>
  <c r="G10" i="150"/>
  <c r="H9" i="150"/>
  <c r="H22" i="150" s="1"/>
  <c r="G9" i="150"/>
  <c r="J26" i="149"/>
  <c r="F22" i="149"/>
  <c r="H11" i="149"/>
  <c r="G11" i="149"/>
  <c r="H10" i="149"/>
  <c r="G10" i="149"/>
  <c r="H9" i="149"/>
  <c r="G9" i="149"/>
  <c r="J26" i="148"/>
  <c r="H12" i="148"/>
  <c r="G12" i="148"/>
  <c r="G22" i="150" l="1"/>
  <c r="G22" i="149"/>
  <c r="H22" i="149"/>
  <c r="J25" i="149"/>
  <c r="F22" i="148"/>
  <c r="J25" i="148" s="1"/>
  <c r="H11" i="148"/>
  <c r="G11" i="148"/>
  <c r="H10" i="148"/>
  <c r="G10" i="148"/>
  <c r="H9" i="148"/>
  <c r="G9" i="148"/>
  <c r="J26" i="147"/>
  <c r="G22" i="148" l="1"/>
  <c r="H22" i="148"/>
  <c r="F22" i="147"/>
  <c r="J25" i="147" s="1"/>
  <c r="H11" i="147"/>
  <c r="G11" i="147"/>
  <c r="H10" i="147"/>
  <c r="G10" i="147"/>
  <c r="H9" i="147"/>
  <c r="G9" i="147"/>
  <c r="J26" i="146"/>
  <c r="H11" i="146"/>
  <c r="H12" i="146"/>
  <c r="G11" i="146"/>
  <c r="G12" i="146"/>
  <c r="H22" i="147" l="1"/>
  <c r="G22" i="147"/>
  <c r="F22" i="146"/>
  <c r="J25" i="146" s="1"/>
  <c r="H10" i="146"/>
  <c r="G10" i="146"/>
  <c r="H9" i="146"/>
  <c r="G9" i="146"/>
  <c r="J26" i="145"/>
  <c r="F22" i="145"/>
  <c r="H10" i="145"/>
  <c r="G10" i="145"/>
  <c r="H9" i="145"/>
  <c r="G9" i="145"/>
  <c r="J26" i="144"/>
  <c r="F22" i="144"/>
  <c r="J25" i="144" s="1"/>
  <c r="H11" i="144"/>
  <c r="G11" i="144"/>
  <c r="H10" i="144"/>
  <c r="G10" i="144"/>
  <c r="H9" i="144"/>
  <c r="G9" i="144"/>
  <c r="J26" i="143"/>
  <c r="F22" i="143"/>
  <c r="J25" i="143" s="1"/>
  <c r="H11" i="143"/>
  <c r="G11" i="143"/>
  <c r="H10" i="143"/>
  <c r="G10" i="143"/>
  <c r="H9" i="143"/>
  <c r="G9" i="143"/>
  <c r="J26" i="142"/>
  <c r="F22" i="142"/>
  <c r="G22" i="142" s="1"/>
  <c r="H11" i="142"/>
  <c r="G11" i="142"/>
  <c r="H10" i="142"/>
  <c r="G10" i="142"/>
  <c r="H9" i="142"/>
  <c r="G9" i="142"/>
  <c r="J26" i="141"/>
  <c r="F22" i="141"/>
  <c r="J25" i="141" s="1"/>
  <c r="H11" i="141"/>
  <c r="G11" i="141"/>
  <c r="H10" i="141"/>
  <c r="G10" i="141"/>
  <c r="H9" i="141"/>
  <c r="G9" i="141"/>
  <c r="J26" i="140"/>
  <c r="H14" i="140"/>
  <c r="H15" i="140"/>
  <c r="H16" i="140"/>
  <c r="H17" i="140"/>
  <c r="H18" i="140"/>
  <c r="G14" i="140"/>
  <c r="G15" i="140"/>
  <c r="G16" i="140"/>
  <c r="G17" i="140"/>
  <c r="G18" i="140"/>
  <c r="F22" i="140"/>
  <c r="J25" i="140" s="1"/>
  <c r="H13" i="140"/>
  <c r="G13" i="140"/>
  <c r="H12" i="140"/>
  <c r="G12" i="140"/>
  <c r="H11" i="140"/>
  <c r="G11" i="140"/>
  <c r="H10" i="140"/>
  <c r="G10" i="140"/>
  <c r="H9" i="140"/>
  <c r="G9" i="140"/>
  <c r="G22" i="146" l="1"/>
  <c r="H22" i="146"/>
  <c r="G22" i="145"/>
  <c r="H22" i="145"/>
  <c r="J25" i="145"/>
  <c r="G22" i="144"/>
  <c r="H22" i="144"/>
  <c r="G22" i="143"/>
  <c r="H22" i="143"/>
  <c r="H22" i="142"/>
  <c r="J25" i="142"/>
  <c r="G22" i="141"/>
  <c r="H22" i="141"/>
  <c r="G22" i="140"/>
  <c r="H22" i="140"/>
  <c r="J26" i="139" l="1"/>
  <c r="H12" i="139"/>
  <c r="H13" i="139"/>
  <c r="G12" i="139"/>
  <c r="G13" i="139"/>
  <c r="F22" i="139"/>
  <c r="H11" i="139"/>
  <c r="G11" i="139"/>
  <c r="H10" i="139"/>
  <c r="G10" i="139"/>
  <c r="H9" i="139"/>
  <c r="G9" i="139"/>
  <c r="J26" i="138"/>
  <c r="H11" i="138"/>
  <c r="G11" i="138"/>
  <c r="F22" i="138"/>
  <c r="J25" i="138" s="1"/>
  <c r="H10" i="138"/>
  <c r="G10" i="138"/>
  <c r="H9" i="138"/>
  <c r="G9" i="138"/>
  <c r="J26" i="137"/>
  <c r="F22" i="137"/>
  <c r="H10" i="137"/>
  <c r="G10" i="137"/>
  <c r="H9" i="137"/>
  <c r="G9" i="137"/>
  <c r="J26" i="136"/>
  <c r="F22" i="136"/>
  <c r="J25" i="136" s="1"/>
  <c r="H11" i="136"/>
  <c r="G11" i="136"/>
  <c r="H10" i="136"/>
  <c r="G10" i="136"/>
  <c r="H9" i="136"/>
  <c r="G9" i="136"/>
  <c r="J26" i="135"/>
  <c r="F22" i="135"/>
  <c r="H11" i="135"/>
  <c r="G11" i="135"/>
  <c r="H10" i="135"/>
  <c r="G10" i="135"/>
  <c r="H9" i="135"/>
  <c r="G9" i="135"/>
  <c r="J26" i="134"/>
  <c r="H12" i="134"/>
  <c r="G12" i="134"/>
  <c r="F22" i="134"/>
  <c r="J25" i="134" s="1"/>
  <c r="H11" i="134"/>
  <c r="G11" i="134"/>
  <c r="H10" i="134"/>
  <c r="G10" i="134"/>
  <c r="H9" i="134"/>
  <c r="G9" i="134"/>
  <c r="J26" i="133"/>
  <c r="H11" i="133"/>
  <c r="G11" i="133"/>
  <c r="F22" i="133"/>
  <c r="J25" i="133" s="1"/>
  <c r="H10" i="133"/>
  <c r="G10" i="133"/>
  <c r="H9" i="133"/>
  <c r="G9" i="133"/>
  <c r="J26" i="132"/>
  <c r="F22" i="132"/>
  <c r="H10" i="132"/>
  <c r="G10" i="132"/>
  <c r="H9" i="132"/>
  <c r="G9" i="132"/>
  <c r="J26" i="131"/>
  <c r="H13" i="131"/>
  <c r="H9" i="131"/>
  <c r="G13" i="131"/>
  <c r="F22" i="131"/>
  <c r="H12" i="131"/>
  <c r="G12" i="131"/>
  <c r="H11" i="131"/>
  <c r="G11" i="131"/>
  <c r="H10" i="131"/>
  <c r="G10" i="131"/>
  <c r="G9" i="131"/>
  <c r="J26" i="130"/>
  <c r="F22" i="130"/>
  <c r="J25" i="130" s="1"/>
  <c r="H12" i="130"/>
  <c r="G12" i="130"/>
  <c r="H11" i="130"/>
  <c r="G11" i="130"/>
  <c r="H10" i="130"/>
  <c r="G10" i="130"/>
  <c r="H9" i="130"/>
  <c r="G9" i="130"/>
  <c r="J26" i="129"/>
  <c r="H11" i="129"/>
  <c r="H12" i="129"/>
  <c r="H13" i="129"/>
  <c r="H14" i="129"/>
  <c r="G11" i="129"/>
  <c r="G12" i="129"/>
  <c r="G13" i="129"/>
  <c r="G14" i="129"/>
  <c r="F22" i="129"/>
  <c r="J25" i="129" s="1"/>
  <c r="H10" i="129"/>
  <c r="G10" i="129"/>
  <c r="H9" i="129"/>
  <c r="G9" i="129"/>
  <c r="J26" i="128"/>
  <c r="F22" i="128"/>
  <c r="J25" i="128" s="1"/>
  <c r="H10" i="128"/>
  <c r="G10" i="128"/>
  <c r="H9" i="128"/>
  <c r="G9" i="128"/>
  <c r="J26" i="127"/>
  <c r="F22" i="127"/>
  <c r="J25" i="127" s="1"/>
  <c r="H10" i="127"/>
  <c r="G10" i="127"/>
  <c r="H9" i="127"/>
  <c r="G9" i="127"/>
  <c r="J26" i="126"/>
  <c r="H13" i="126"/>
  <c r="G13" i="126"/>
  <c r="F22" i="126"/>
  <c r="J25" i="126" s="1"/>
  <c r="H12" i="126"/>
  <c r="G12" i="126"/>
  <c r="H11" i="126"/>
  <c r="G11" i="126"/>
  <c r="H10" i="126"/>
  <c r="G10" i="126"/>
  <c r="H9" i="126"/>
  <c r="H22" i="126" s="1"/>
  <c r="G9" i="126"/>
  <c r="J26" i="125"/>
  <c r="H11" i="125"/>
  <c r="H12" i="125"/>
  <c r="G11" i="125"/>
  <c r="G12" i="125"/>
  <c r="F22" i="125"/>
  <c r="J25" i="125" s="1"/>
  <c r="H10" i="125"/>
  <c r="G10" i="125"/>
  <c r="H9" i="125"/>
  <c r="G9" i="125"/>
  <c r="J26" i="124"/>
  <c r="F22" i="124"/>
  <c r="J25" i="124" s="1"/>
  <c r="H10" i="124"/>
  <c r="G10" i="124"/>
  <c r="H9" i="124"/>
  <c r="G9" i="124"/>
  <c r="F22" i="123"/>
  <c r="J25" i="123" s="1"/>
  <c r="H11" i="123"/>
  <c r="G11" i="123"/>
  <c r="H10" i="123"/>
  <c r="G10" i="123"/>
  <c r="H9" i="123"/>
  <c r="G9" i="123"/>
  <c r="AJ108" i="2"/>
  <c r="AJ109" i="2" s="1"/>
  <c r="AJ107" i="2"/>
  <c r="AJ105" i="2"/>
  <c r="AJ106" i="2" s="1"/>
  <c r="AJ110" i="2" s="1"/>
  <c r="AJ111" i="2" s="1"/>
  <c r="AJ102" i="2"/>
  <c r="AJ99" i="2"/>
  <c r="AJ93" i="2"/>
  <c r="AJ91" i="2"/>
  <c r="AJ84" i="2"/>
  <c r="AJ92" i="2" s="1"/>
  <c r="AJ100" i="2" s="1"/>
  <c r="AJ75" i="2"/>
  <c r="AJ74" i="2"/>
  <c r="AJ70" i="2"/>
  <c r="AJ67" i="2"/>
  <c r="AJ73" i="2" s="1"/>
  <c r="AJ66" i="2"/>
  <c r="AJ72" i="2" s="1"/>
  <c r="AJ65" i="2"/>
  <c r="AJ71" i="2" s="1"/>
  <c r="AJ62" i="2"/>
  <c r="AJ63" i="2"/>
  <c r="G22" i="139" l="1"/>
  <c r="H22" i="139"/>
  <c r="J25" i="139"/>
  <c r="G22" i="138"/>
  <c r="H22" i="138"/>
  <c r="H22" i="137"/>
  <c r="J25" i="137"/>
  <c r="G22" i="137"/>
  <c r="H22" i="136"/>
  <c r="G22" i="136"/>
  <c r="H22" i="135"/>
  <c r="G22" i="135"/>
  <c r="J25" i="135"/>
  <c r="G22" i="134"/>
  <c r="H22" i="134"/>
  <c r="G22" i="133"/>
  <c r="H22" i="133"/>
  <c r="G22" i="132"/>
  <c r="H22" i="132"/>
  <c r="J25" i="132"/>
  <c r="G22" i="131"/>
  <c r="H22" i="131"/>
  <c r="J25" i="131"/>
  <c r="G22" i="130"/>
  <c r="H22" i="130"/>
  <c r="H22" i="129"/>
  <c r="G22" i="129"/>
  <c r="G22" i="128"/>
  <c r="H22" i="128"/>
  <c r="G22" i="127"/>
  <c r="H22" i="127"/>
  <c r="G22" i="126"/>
  <c r="H22" i="125"/>
  <c r="G22" i="125"/>
  <c r="G22" i="124"/>
  <c r="H22" i="124"/>
  <c r="H22" i="123"/>
  <c r="G22" i="123"/>
  <c r="BU48" i="2"/>
  <c r="AI18" i="2"/>
  <c r="AH18" i="2"/>
  <c r="AG18" i="2"/>
  <c r="AF18" i="2"/>
  <c r="AE18" i="2"/>
  <c r="AD18" i="2"/>
  <c r="AC18" i="2"/>
  <c r="AB18" i="2"/>
  <c r="AA18" i="2" l="1"/>
  <c r="Z18" i="2"/>
  <c r="Y18" i="2"/>
  <c r="X18" i="2"/>
  <c r="W18" i="2"/>
  <c r="V18" i="2"/>
  <c r="U18" i="2"/>
  <c r="T18" i="2"/>
  <c r="S18" i="2" l="1"/>
  <c r="R18" i="2" l="1"/>
  <c r="BU47" i="2"/>
  <c r="Q18" i="2"/>
  <c r="P18" i="2"/>
  <c r="O18" i="2"/>
  <c r="N18" i="2"/>
  <c r="M18" i="2"/>
  <c r="L18" i="2"/>
  <c r="K18" i="2"/>
  <c r="J18" i="2"/>
  <c r="I18" i="2"/>
  <c r="H18" i="2"/>
  <c r="G18" i="2"/>
  <c r="BU17" i="2"/>
  <c r="AK107" i="2" l="1"/>
  <c r="AK99" i="2"/>
  <c r="AK105" i="2" s="1"/>
  <c r="AK106" i="2" s="1"/>
  <c r="AK93" i="2"/>
  <c r="AK91" i="2"/>
  <c r="AK84" i="2"/>
  <c r="AK75" i="2"/>
  <c r="AK74" i="2"/>
  <c r="AK70" i="2"/>
  <c r="AK67" i="2"/>
  <c r="AK73" i="2" s="1"/>
  <c r="AK66" i="2"/>
  <c r="AK72" i="2" s="1"/>
  <c r="AK65" i="2"/>
  <c r="AK71" i="2" s="1"/>
  <c r="AK62" i="2"/>
  <c r="AK102" i="2" s="1"/>
  <c r="AK108" i="2" s="1"/>
  <c r="AK109" i="2" s="1"/>
  <c r="AK63" i="2"/>
  <c r="AK92" i="2" l="1"/>
  <c r="AK100" i="2" s="1"/>
  <c r="AK110" i="2" s="1"/>
  <c r="AK111" i="2" s="1"/>
  <c r="BU52" i="2"/>
  <c r="AI107" i="2"/>
  <c r="AI99" i="2"/>
  <c r="AI105" i="2" s="1"/>
  <c r="AI106" i="2" s="1"/>
  <c r="AI93" i="2"/>
  <c r="AI91" i="2"/>
  <c r="AI84" i="2"/>
  <c r="AI92" i="2" s="1"/>
  <c r="AI100" i="2" s="1"/>
  <c r="AI75" i="2"/>
  <c r="AI74" i="2"/>
  <c r="AI70" i="2"/>
  <c r="AI67" i="2"/>
  <c r="AI73" i="2" s="1"/>
  <c r="AI66" i="2"/>
  <c r="AI72" i="2" s="1"/>
  <c r="AI65" i="2"/>
  <c r="AI71" i="2" s="1"/>
  <c r="AI62" i="2"/>
  <c r="AI102" i="2" s="1"/>
  <c r="AI108" i="2" s="1"/>
  <c r="AI63" i="2"/>
  <c r="AH107" i="2"/>
  <c r="AH99" i="2"/>
  <c r="AH105" i="2" s="1"/>
  <c r="AH106" i="2" s="1"/>
  <c r="AH93" i="2"/>
  <c r="AH91" i="2"/>
  <c r="AH84" i="2"/>
  <c r="AH92" i="2" s="1"/>
  <c r="AH100" i="2" s="1"/>
  <c r="AH75" i="2"/>
  <c r="AH74" i="2"/>
  <c r="AH70" i="2"/>
  <c r="AH67" i="2"/>
  <c r="AH73" i="2" s="1"/>
  <c r="AH66" i="2"/>
  <c r="AH72" i="2" s="1"/>
  <c r="AH65" i="2"/>
  <c r="AH71" i="2" s="1"/>
  <c r="AH62" i="2"/>
  <c r="AH102" i="2" s="1"/>
  <c r="AH108" i="2" s="1"/>
  <c r="AH63" i="2"/>
  <c r="AG107" i="2"/>
  <c r="AG99" i="2"/>
  <c r="AG105" i="2" s="1"/>
  <c r="AG106" i="2" s="1"/>
  <c r="AG93" i="2"/>
  <c r="AG91" i="2"/>
  <c r="AG84" i="2"/>
  <c r="AG75" i="2"/>
  <c r="AG74" i="2"/>
  <c r="AG70" i="2"/>
  <c r="AG67" i="2"/>
  <c r="AG73" i="2" s="1"/>
  <c r="AG66" i="2"/>
  <c r="AG72" i="2" s="1"/>
  <c r="AG65" i="2"/>
  <c r="AG71" i="2" s="1"/>
  <c r="AG62" i="2"/>
  <c r="AG102" i="2" s="1"/>
  <c r="AG108" i="2" s="1"/>
  <c r="AG63" i="2"/>
  <c r="AF107" i="2"/>
  <c r="AF99" i="2"/>
  <c r="AF105" i="2" s="1"/>
  <c r="AF106" i="2" s="1"/>
  <c r="AF93" i="2"/>
  <c r="AF91" i="2"/>
  <c r="AF84" i="2"/>
  <c r="AF75" i="2"/>
  <c r="AF74" i="2"/>
  <c r="AF70" i="2"/>
  <c r="AF67" i="2"/>
  <c r="AF73" i="2" s="1"/>
  <c r="AF66" i="2"/>
  <c r="AF72" i="2" s="1"/>
  <c r="AF65" i="2"/>
  <c r="AF71" i="2" s="1"/>
  <c r="AF62" i="2"/>
  <c r="AF102" i="2" s="1"/>
  <c r="AF108" i="2" s="1"/>
  <c r="AF63" i="2"/>
  <c r="AE107" i="2"/>
  <c r="AE99" i="2"/>
  <c r="AE105" i="2" s="1"/>
  <c r="AE106" i="2" s="1"/>
  <c r="AE93" i="2"/>
  <c r="AE91" i="2"/>
  <c r="AE84" i="2"/>
  <c r="AE75" i="2"/>
  <c r="AE74" i="2"/>
  <c r="AE70" i="2"/>
  <c r="AE67" i="2"/>
  <c r="AE73" i="2" s="1"/>
  <c r="AE66" i="2"/>
  <c r="AE72" i="2" s="1"/>
  <c r="AE65" i="2"/>
  <c r="AE71" i="2" s="1"/>
  <c r="AE62" i="2"/>
  <c r="AE102" i="2" s="1"/>
  <c r="AE108" i="2" s="1"/>
  <c r="AE63" i="2"/>
  <c r="AD107" i="2"/>
  <c r="AD99" i="2"/>
  <c r="AD105" i="2" s="1"/>
  <c r="AD106" i="2" s="1"/>
  <c r="AD93" i="2"/>
  <c r="AD91" i="2"/>
  <c r="AD84" i="2"/>
  <c r="AD75" i="2"/>
  <c r="AD74" i="2"/>
  <c r="AD70" i="2"/>
  <c r="AD67" i="2"/>
  <c r="AD73" i="2" s="1"/>
  <c r="AD66" i="2"/>
  <c r="AD72" i="2" s="1"/>
  <c r="AD65" i="2"/>
  <c r="AD71" i="2" s="1"/>
  <c r="AD62" i="2"/>
  <c r="AD102" i="2" s="1"/>
  <c r="AD108" i="2" s="1"/>
  <c r="AD63" i="2"/>
  <c r="AC107" i="2"/>
  <c r="AC99" i="2"/>
  <c r="AC105" i="2" s="1"/>
  <c r="AC106" i="2" s="1"/>
  <c r="AC93" i="2"/>
  <c r="AC91" i="2"/>
  <c r="AC84" i="2"/>
  <c r="AC75" i="2"/>
  <c r="AC74" i="2"/>
  <c r="AC70" i="2"/>
  <c r="AC67" i="2"/>
  <c r="AC73" i="2" s="1"/>
  <c r="AC66" i="2"/>
  <c r="AC72" i="2" s="1"/>
  <c r="AC65" i="2"/>
  <c r="AC71" i="2" s="1"/>
  <c r="AC62" i="2"/>
  <c r="AC102" i="2" s="1"/>
  <c r="AC108" i="2" s="1"/>
  <c r="AC63" i="2"/>
  <c r="AB107" i="2"/>
  <c r="AB99" i="2"/>
  <c r="AB105" i="2" s="1"/>
  <c r="AB106" i="2" s="1"/>
  <c r="AB93" i="2"/>
  <c r="AB91" i="2"/>
  <c r="AB84" i="2"/>
  <c r="AB75" i="2"/>
  <c r="AB74" i="2"/>
  <c r="AB70" i="2"/>
  <c r="AB67" i="2"/>
  <c r="AB73" i="2" s="1"/>
  <c r="AB66" i="2"/>
  <c r="AB72" i="2" s="1"/>
  <c r="AB65" i="2"/>
  <c r="AB71" i="2" s="1"/>
  <c r="AB62" i="2"/>
  <c r="AB102" i="2" s="1"/>
  <c r="AB108" i="2" s="1"/>
  <c r="AB63" i="2"/>
  <c r="AA107" i="2"/>
  <c r="AA99" i="2"/>
  <c r="AA105" i="2" s="1"/>
  <c r="AA106" i="2" s="1"/>
  <c r="AA93" i="2"/>
  <c r="AA91" i="2"/>
  <c r="AA84" i="2"/>
  <c r="AA75" i="2"/>
  <c r="AA74" i="2"/>
  <c r="AA70" i="2"/>
  <c r="AA67" i="2"/>
  <c r="AA73" i="2" s="1"/>
  <c r="AA66" i="2"/>
  <c r="AA72" i="2" s="1"/>
  <c r="AA65" i="2"/>
  <c r="AA71" i="2" s="1"/>
  <c r="AA62" i="2"/>
  <c r="AA102" i="2" s="1"/>
  <c r="AA108" i="2" s="1"/>
  <c r="AA63" i="2"/>
  <c r="AI109" i="2" l="1"/>
  <c r="AC92" i="2"/>
  <c r="AC100" i="2" s="1"/>
  <c r="AH109" i="2"/>
  <c r="AF92" i="2"/>
  <c r="AF100" i="2" s="1"/>
  <c r="AF110" i="2" s="1"/>
  <c r="AI110" i="2"/>
  <c r="AG92" i="2"/>
  <c r="AG100" i="2" s="1"/>
  <c r="AG109" i="2"/>
  <c r="AH110" i="2"/>
  <c r="AE109" i="2"/>
  <c r="AD92" i="2"/>
  <c r="AD100" i="2" s="1"/>
  <c r="AD110" i="2" s="1"/>
  <c r="AG110" i="2"/>
  <c r="AG111" i="2" s="1"/>
  <c r="AF109" i="2"/>
  <c r="AE92" i="2"/>
  <c r="AE100" i="2" s="1"/>
  <c r="AE110" i="2" s="1"/>
  <c r="AD109" i="2"/>
  <c r="AB109" i="2"/>
  <c r="AC109" i="2"/>
  <c r="AC110" i="2"/>
  <c r="AB92" i="2"/>
  <c r="AB100" i="2" s="1"/>
  <c r="AB110" i="2" s="1"/>
  <c r="AA92" i="2"/>
  <c r="AA100" i="2" s="1"/>
  <c r="AA110" i="2" s="1"/>
  <c r="AA111" i="2" s="1"/>
  <c r="AA109" i="2"/>
  <c r="AI111" i="2" l="1"/>
  <c r="AH111" i="2"/>
  <c r="AE111" i="2"/>
  <c r="AC111" i="2"/>
  <c r="AF111" i="2"/>
  <c r="AD111" i="2"/>
  <c r="AB111" i="2"/>
  <c r="Z107" i="2"/>
  <c r="Z99" i="2"/>
  <c r="Z105" i="2" s="1"/>
  <c r="Z106" i="2" s="1"/>
  <c r="Z93" i="2"/>
  <c r="Z91" i="2"/>
  <c r="Z84" i="2"/>
  <c r="Z75" i="2"/>
  <c r="Z74" i="2"/>
  <c r="Z70" i="2"/>
  <c r="Z67" i="2"/>
  <c r="Z73" i="2" s="1"/>
  <c r="Z66" i="2"/>
  <c r="Z72" i="2" s="1"/>
  <c r="Z65" i="2"/>
  <c r="Z71" i="2" s="1"/>
  <c r="Z62" i="2"/>
  <c r="Z102" i="2" s="1"/>
  <c r="Z108" i="2" s="1"/>
  <c r="Z63" i="2"/>
  <c r="Z109" i="2" l="1"/>
  <c r="Z92" i="2"/>
  <c r="Z100" i="2" s="1"/>
  <c r="Z110" i="2" s="1"/>
  <c r="BU16" i="2"/>
  <c r="Y63" i="2"/>
  <c r="X63" i="2"/>
  <c r="W63" i="2"/>
  <c r="V63" i="2"/>
  <c r="U63" i="2"/>
  <c r="T63" i="2"/>
  <c r="S63" i="2"/>
  <c r="R63" i="2"/>
  <c r="Q63" i="2"/>
  <c r="P63" i="2"/>
  <c r="O63" i="2"/>
  <c r="Y107" i="2"/>
  <c r="Y99" i="2"/>
  <c r="Y105" i="2" s="1"/>
  <c r="Y106" i="2" s="1"/>
  <c r="Y93" i="2"/>
  <c r="Y91" i="2"/>
  <c r="Y84" i="2"/>
  <c r="Y75" i="2"/>
  <c r="Y74" i="2"/>
  <c r="Y70" i="2"/>
  <c r="Y67" i="2"/>
  <c r="Y73" i="2" s="1"/>
  <c r="Y66" i="2"/>
  <c r="Y72" i="2" s="1"/>
  <c r="Y65" i="2"/>
  <c r="Y71" i="2" s="1"/>
  <c r="Y62" i="2"/>
  <c r="Y102" i="2" s="1"/>
  <c r="Y108" i="2" s="1"/>
  <c r="X107" i="2"/>
  <c r="X99" i="2"/>
  <c r="X105" i="2" s="1"/>
  <c r="X106" i="2" s="1"/>
  <c r="X93" i="2"/>
  <c r="X91" i="2"/>
  <c r="X84" i="2"/>
  <c r="X75" i="2"/>
  <c r="X74" i="2"/>
  <c r="X70" i="2"/>
  <c r="X67" i="2"/>
  <c r="X73" i="2" s="1"/>
  <c r="X66" i="2"/>
  <c r="X72" i="2" s="1"/>
  <c r="X65" i="2"/>
  <c r="X71" i="2" s="1"/>
  <c r="X62" i="2"/>
  <c r="X102" i="2" s="1"/>
  <c r="X108" i="2" s="1"/>
  <c r="W107" i="2"/>
  <c r="W99" i="2"/>
  <c r="W105" i="2" s="1"/>
  <c r="W106" i="2" s="1"/>
  <c r="W93" i="2"/>
  <c r="W91" i="2"/>
  <c r="W84" i="2"/>
  <c r="W92" i="2" s="1"/>
  <c r="W100" i="2" s="1"/>
  <c r="W75" i="2"/>
  <c r="W74" i="2"/>
  <c r="W70" i="2"/>
  <c r="W67" i="2"/>
  <c r="W73" i="2" s="1"/>
  <c r="W66" i="2"/>
  <c r="W72" i="2" s="1"/>
  <c r="W65" i="2"/>
  <c r="W71" i="2" s="1"/>
  <c r="W62" i="2"/>
  <c r="W102" i="2" s="1"/>
  <c r="W108" i="2" s="1"/>
  <c r="V107" i="2"/>
  <c r="V99" i="2"/>
  <c r="V105" i="2" s="1"/>
  <c r="V106" i="2" s="1"/>
  <c r="V93" i="2"/>
  <c r="V91" i="2"/>
  <c r="V84" i="2"/>
  <c r="V92" i="2" s="1"/>
  <c r="V100" i="2" s="1"/>
  <c r="V75" i="2"/>
  <c r="V74" i="2"/>
  <c r="V70" i="2"/>
  <c r="V67" i="2"/>
  <c r="V73" i="2" s="1"/>
  <c r="V66" i="2"/>
  <c r="V72" i="2" s="1"/>
  <c r="V65" i="2"/>
  <c r="V71" i="2" s="1"/>
  <c r="V62" i="2"/>
  <c r="V102" i="2" s="1"/>
  <c r="V108" i="2" s="1"/>
  <c r="U107" i="2"/>
  <c r="U99" i="2"/>
  <c r="U105" i="2" s="1"/>
  <c r="U106" i="2" s="1"/>
  <c r="U93" i="2"/>
  <c r="U91" i="2"/>
  <c r="U84" i="2"/>
  <c r="U92" i="2" s="1"/>
  <c r="U100" i="2" s="1"/>
  <c r="U75" i="2"/>
  <c r="U74" i="2"/>
  <c r="U70" i="2"/>
  <c r="U67" i="2"/>
  <c r="U73" i="2" s="1"/>
  <c r="U66" i="2"/>
  <c r="U72" i="2" s="1"/>
  <c r="U65" i="2"/>
  <c r="U71" i="2" s="1"/>
  <c r="U62" i="2"/>
  <c r="U102" i="2" s="1"/>
  <c r="U108" i="2" s="1"/>
  <c r="T107" i="2"/>
  <c r="T99" i="2"/>
  <c r="T105" i="2" s="1"/>
  <c r="T106" i="2" s="1"/>
  <c r="T93" i="2"/>
  <c r="T91" i="2"/>
  <c r="T84" i="2"/>
  <c r="T75" i="2"/>
  <c r="T74" i="2"/>
  <c r="T70" i="2"/>
  <c r="T67" i="2"/>
  <c r="T73" i="2" s="1"/>
  <c r="T66" i="2"/>
  <c r="T72" i="2" s="1"/>
  <c r="T65" i="2"/>
  <c r="T71" i="2" s="1"/>
  <c r="T62" i="2"/>
  <c r="T102" i="2" s="1"/>
  <c r="T108" i="2" s="1"/>
  <c r="S107" i="2"/>
  <c r="S99" i="2"/>
  <c r="S105" i="2" s="1"/>
  <c r="S106" i="2" s="1"/>
  <c r="S93" i="2"/>
  <c r="S91" i="2"/>
  <c r="S84" i="2"/>
  <c r="S75" i="2"/>
  <c r="S74" i="2"/>
  <c r="S70" i="2"/>
  <c r="S67" i="2"/>
  <c r="S73" i="2" s="1"/>
  <c r="S66" i="2"/>
  <c r="S72" i="2" s="1"/>
  <c r="S65" i="2"/>
  <c r="S71" i="2" s="1"/>
  <c r="S62" i="2"/>
  <c r="S102" i="2" s="1"/>
  <c r="S108" i="2" s="1"/>
  <c r="R107" i="2"/>
  <c r="R99" i="2"/>
  <c r="R105" i="2" s="1"/>
  <c r="R106" i="2" s="1"/>
  <c r="R93" i="2"/>
  <c r="R91" i="2"/>
  <c r="R84" i="2"/>
  <c r="R75" i="2"/>
  <c r="R74" i="2"/>
  <c r="R70" i="2"/>
  <c r="R67" i="2"/>
  <c r="R73" i="2" s="1"/>
  <c r="R66" i="2"/>
  <c r="R72" i="2" s="1"/>
  <c r="R65" i="2"/>
  <c r="R71" i="2" s="1"/>
  <c r="R62" i="2"/>
  <c r="R102" i="2" s="1"/>
  <c r="R108" i="2" s="1"/>
  <c r="Q107" i="2"/>
  <c r="Q99" i="2"/>
  <c r="Q105" i="2" s="1"/>
  <c r="Q106" i="2" s="1"/>
  <c r="Q93" i="2"/>
  <c r="Q91" i="2"/>
  <c r="Q84" i="2"/>
  <c r="Q75" i="2"/>
  <c r="Q74" i="2"/>
  <c r="Q70" i="2"/>
  <c r="Q67" i="2"/>
  <c r="Q73" i="2" s="1"/>
  <c r="Q66" i="2"/>
  <c r="Q72" i="2" s="1"/>
  <c r="Q65" i="2"/>
  <c r="Q71" i="2" s="1"/>
  <c r="Q62" i="2"/>
  <c r="Q102" i="2" s="1"/>
  <c r="Q108" i="2" s="1"/>
  <c r="P107" i="2"/>
  <c r="P99" i="2"/>
  <c r="P105" i="2" s="1"/>
  <c r="P106" i="2" s="1"/>
  <c r="P93" i="2"/>
  <c r="P91" i="2"/>
  <c r="P84" i="2"/>
  <c r="P75" i="2"/>
  <c r="P74" i="2"/>
  <c r="P70" i="2"/>
  <c r="P67" i="2"/>
  <c r="P73" i="2" s="1"/>
  <c r="P66" i="2"/>
  <c r="P72" i="2" s="1"/>
  <c r="P65" i="2"/>
  <c r="P71" i="2" s="1"/>
  <c r="P62" i="2"/>
  <c r="P102" i="2" s="1"/>
  <c r="P108" i="2" s="1"/>
  <c r="O107" i="2"/>
  <c r="O99" i="2"/>
  <c r="O105" i="2" s="1"/>
  <c r="O106" i="2" s="1"/>
  <c r="O93" i="2"/>
  <c r="O91" i="2"/>
  <c r="O84" i="2"/>
  <c r="O75" i="2"/>
  <c r="O74" i="2"/>
  <c r="O70" i="2"/>
  <c r="O67" i="2"/>
  <c r="O73" i="2" s="1"/>
  <c r="O66" i="2"/>
  <c r="O72" i="2" s="1"/>
  <c r="O65" i="2"/>
  <c r="O71" i="2" s="1"/>
  <c r="O62" i="2"/>
  <c r="O102" i="2" s="1"/>
  <c r="O108" i="2" s="1"/>
  <c r="S109" i="2" l="1"/>
  <c r="Z111" i="2"/>
  <c r="X92" i="2"/>
  <c r="X100" i="2" s="1"/>
  <c r="X110" i="2" s="1"/>
  <c r="X109" i="2"/>
  <c r="Q92" i="2"/>
  <c r="Q100" i="2" s="1"/>
  <c r="Q110" i="2" s="1"/>
  <c r="S92" i="2"/>
  <c r="S100" i="2" s="1"/>
  <c r="S110" i="2" s="1"/>
  <c r="V109" i="2"/>
  <c r="Y109" i="2"/>
  <c r="Y92" i="2"/>
  <c r="Y100" i="2" s="1"/>
  <c r="Y110" i="2" s="1"/>
  <c r="Y111" i="2" s="1"/>
  <c r="O109" i="2"/>
  <c r="W109" i="2"/>
  <c r="W110" i="2"/>
  <c r="T92" i="2"/>
  <c r="T100" i="2" s="1"/>
  <c r="T110" i="2" s="1"/>
  <c r="U109" i="2"/>
  <c r="V110" i="2"/>
  <c r="U110" i="2"/>
  <c r="T109" i="2"/>
  <c r="R92" i="2"/>
  <c r="R100" i="2" s="1"/>
  <c r="R110" i="2" s="1"/>
  <c r="Q109" i="2"/>
  <c r="R109" i="2"/>
  <c r="P109" i="2"/>
  <c r="P92" i="2"/>
  <c r="P100" i="2" s="1"/>
  <c r="P110" i="2" s="1"/>
  <c r="P111" i="2" s="1"/>
  <c r="O92" i="2"/>
  <c r="O100" i="2" s="1"/>
  <c r="O110" i="2" s="1"/>
  <c r="O111" i="2" s="1"/>
  <c r="N107" i="2"/>
  <c r="N99" i="2"/>
  <c r="N105" i="2" s="1"/>
  <c r="N106" i="2" s="1"/>
  <c r="N93" i="2"/>
  <c r="N91" i="2"/>
  <c r="N84" i="2"/>
  <c r="N75" i="2"/>
  <c r="N74" i="2"/>
  <c r="N70" i="2"/>
  <c r="N67" i="2"/>
  <c r="N73" i="2" s="1"/>
  <c r="N66" i="2"/>
  <c r="N72" i="2" s="1"/>
  <c r="N65" i="2"/>
  <c r="N71" i="2" s="1"/>
  <c r="N62" i="2"/>
  <c r="N102" i="2" s="1"/>
  <c r="N108" i="2" s="1"/>
  <c r="N63" i="2"/>
  <c r="M107" i="2"/>
  <c r="M99" i="2"/>
  <c r="M105" i="2" s="1"/>
  <c r="M106" i="2" s="1"/>
  <c r="M93" i="2"/>
  <c r="M91" i="2"/>
  <c r="M84" i="2"/>
  <c r="M75" i="2"/>
  <c r="M74" i="2"/>
  <c r="M70" i="2"/>
  <c r="M67" i="2"/>
  <c r="M73" i="2" s="1"/>
  <c r="M66" i="2"/>
  <c r="M72" i="2" s="1"/>
  <c r="M65" i="2"/>
  <c r="M71" i="2" s="1"/>
  <c r="M62" i="2"/>
  <c r="M102" i="2" s="1"/>
  <c r="M108" i="2" s="1"/>
  <c r="M63" i="2"/>
  <c r="L107" i="2"/>
  <c r="L99" i="2"/>
  <c r="L105" i="2" s="1"/>
  <c r="L106" i="2" s="1"/>
  <c r="L93" i="2"/>
  <c r="L91" i="2"/>
  <c r="L84" i="2"/>
  <c r="L75" i="2"/>
  <c r="L74" i="2"/>
  <c r="L70" i="2"/>
  <c r="L67" i="2"/>
  <c r="L73" i="2" s="1"/>
  <c r="L66" i="2"/>
  <c r="L72" i="2" s="1"/>
  <c r="L65" i="2"/>
  <c r="L71" i="2" s="1"/>
  <c r="L62" i="2"/>
  <c r="L102" i="2" s="1"/>
  <c r="L108" i="2" s="1"/>
  <c r="L63" i="2"/>
  <c r="BU53" i="2"/>
  <c r="BU51" i="2"/>
  <c r="V111" i="2" l="1"/>
  <c r="S111" i="2"/>
  <c r="X111" i="2"/>
  <c r="R111" i="2"/>
  <c r="W111" i="2"/>
  <c r="T111" i="2"/>
  <c r="U111" i="2"/>
  <c r="Q111" i="2"/>
  <c r="M109" i="2"/>
  <c r="N109" i="2"/>
  <c r="L109" i="2"/>
  <c r="N92" i="2"/>
  <c r="N100" i="2" s="1"/>
  <c r="N110" i="2" s="1"/>
  <c r="M92" i="2"/>
  <c r="M100" i="2" s="1"/>
  <c r="M110" i="2" s="1"/>
  <c r="L92" i="2"/>
  <c r="L100" i="2" s="1"/>
  <c r="L110" i="2" s="1"/>
  <c r="N111" i="2" l="1"/>
  <c r="M111" i="2"/>
  <c r="L111" i="2"/>
  <c r="BU23" i="2"/>
  <c r="H111" i="2" l="1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K107" i="2"/>
  <c r="J107" i="2"/>
  <c r="I107" i="2"/>
  <c r="G107" i="2"/>
  <c r="F107" i="2"/>
  <c r="E107" i="2"/>
  <c r="G105" i="2"/>
  <c r="G106" i="2" s="1"/>
  <c r="F105" i="2"/>
  <c r="F106" i="2" s="1"/>
  <c r="E105" i="2"/>
  <c r="E106" i="2" s="1"/>
  <c r="BU103" i="2"/>
  <c r="BR102" i="2"/>
  <c r="BR108" i="2" s="1"/>
  <c r="BQ102" i="2"/>
  <c r="BQ108" i="2" s="1"/>
  <c r="BP102" i="2"/>
  <c r="BP108" i="2" s="1"/>
  <c r="BO102" i="2"/>
  <c r="BO108" i="2" s="1"/>
  <c r="BN102" i="2"/>
  <c r="BN108" i="2" s="1"/>
  <c r="BM102" i="2"/>
  <c r="BM108" i="2" s="1"/>
  <c r="BL102" i="2"/>
  <c r="BL108" i="2" s="1"/>
  <c r="BK102" i="2"/>
  <c r="BK108" i="2" s="1"/>
  <c r="BJ102" i="2"/>
  <c r="BJ108" i="2" s="1"/>
  <c r="G102" i="2"/>
  <c r="G108" i="2" s="1"/>
  <c r="F102" i="2"/>
  <c r="F108" i="2" s="1"/>
  <c r="E102" i="2"/>
  <c r="E108" i="2" s="1"/>
  <c r="BU101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P105" i="2" s="1"/>
  <c r="AP106" i="2" s="1"/>
  <c r="AO99" i="2"/>
  <c r="AO105" i="2" s="1"/>
  <c r="AO106" i="2" s="1"/>
  <c r="AN99" i="2"/>
  <c r="AN105" i="2" s="1"/>
  <c r="AN106" i="2" s="1"/>
  <c r="AM99" i="2"/>
  <c r="AM105" i="2" s="1"/>
  <c r="AM106" i="2" s="1"/>
  <c r="AL99" i="2"/>
  <c r="AL105" i="2" s="1"/>
  <c r="AL106" i="2" s="1"/>
  <c r="K99" i="2"/>
  <c r="K105" i="2" s="1"/>
  <c r="K106" i="2" s="1"/>
  <c r="J99" i="2"/>
  <c r="J105" i="2" s="1"/>
  <c r="J106" i="2" s="1"/>
  <c r="I99" i="2"/>
  <c r="I105" i="2" s="1"/>
  <c r="I106" i="2" s="1"/>
  <c r="BU98" i="2"/>
  <c r="BU97" i="2"/>
  <c r="BU93" i="2" s="1"/>
  <c r="BR97" i="2"/>
  <c r="BQ97" i="2"/>
  <c r="BP97" i="2"/>
  <c r="BO97" i="2"/>
  <c r="BO93" i="2" s="1"/>
  <c r="BN97" i="2"/>
  <c r="BN93" i="2" s="1"/>
  <c r="BM97" i="2"/>
  <c r="BM93" i="2" s="1"/>
  <c r="BL97" i="2"/>
  <c r="BL93" i="2" s="1"/>
  <c r="BK97" i="2"/>
  <c r="BK93" i="2" s="1"/>
  <c r="BJ97" i="2"/>
  <c r="BI97" i="2"/>
  <c r="BI93" i="2" s="1"/>
  <c r="BH97" i="2"/>
  <c r="BG97" i="2"/>
  <c r="BG93" i="2" s="1"/>
  <c r="BF97" i="2"/>
  <c r="BE97" i="2"/>
  <c r="BE93" i="2" s="1"/>
  <c r="BD97" i="2"/>
  <c r="BC97" i="2"/>
  <c r="BC93" i="2" s="1"/>
  <c r="BB97" i="2"/>
  <c r="BA97" i="2"/>
  <c r="BA93" i="2" s="1"/>
  <c r="AZ97" i="2"/>
  <c r="AZ93" i="2" s="1"/>
  <c r="AY97" i="2"/>
  <c r="AY93" i="2" s="1"/>
  <c r="AX97" i="2"/>
  <c r="AX93" i="2" s="1"/>
  <c r="AW97" i="2"/>
  <c r="AW93" i="2" s="1"/>
  <c r="AV97" i="2"/>
  <c r="AU97" i="2"/>
  <c r="AU93" i="2" s="1"/>
  <c r="AT97" i="2"/>
  <c r="AS97" i="2"/>
  <c r="AS93" i="2" s="1"/>
  <c r="AR97" i="2"/>
  <c r="AQ97" i="2"/>
  <c r="AQ93" i="2" s="1"/>
  <c r="AP93" i="2"/>
  <c r="AO93" i="2"/>
  <c r="AN93" i="2"/>
  <c r="AM93" i="2"/>
  <c r="AL93" i="2"/>
  <c r="K93" i="2"/>
  <c r="J93" i="2"/>
  <c r="I93" i="2"/>
  <c r="H93" i="2"/>
  <c r="F93" i="2"/>
  <c r="E93" i="2"/>
  <c r="AN91" i="2"/>
  <c r="AM91" i="2"/>
  <c r="AL91" i="2"/>
  <c r="K91" i="2"/>
  <c r="J91" i="2"/>
  <c r="I91" i="2"/>
  <c r="H91" i="2"/>
  <c r="G91" i="2"/>
  <c r="F91" i="2"/>
  <c r="E91" i="2"/>
  <c r="BU90" i="2"/>
  <c r="BU89" i="2"/>
  <c r="BU88" i="2"/>
  <c r="BU87" i="2"/>
  <c r="BU86" i="2"/>
  <c r="BR84" i="2"/>
  <c r="BR92" i="2" s="1"/>
  <c r="BR100" i="2" s="1"/>
  <c r="BQ84" i="2"/>
  <c r="BQ92" i="2" s="1"/>
  <c r="BQ100" i="2" s="1"/>
  <c r="BP84" i="2"/>
  <c r="BP92" i="2" s="1"/>
  <c r="BP100" i="2" s="1"/>
  <c r="BO84" i="2"/>
  <c r="BO92" i="2" s="1"/>
  <c r="BO100" i="2" s="1"/>
  <c r="BN84" i="2"/>
  <c r="BN92" i="2" s="1"/>
  <c r="BN100" i="2" s="1"/>
  <c r="BM84" i="2"/>
  <c r="BM92" i="2" s="1"/>
  <c r="BM100" i="2" s="1"/>
  <c r="BL84" i="2"/>
  <c r="BL92" i="2" s="1"/>
  <c r="BL100" i="2" s="1"/>
  <c r="BK84" i="2"/>
  <c r="BK92" i="2" s="1"/>
  <c r="BK100" i="2" s="1"/>
  <c r="BJ84" i="2"/>
  <c r="BJ92" i="2" s="1"/>
  <c r="BJ100" i="2" s="1"/>
  <c r="BI84" i="2"/>
  <c r="BI92" i="2" s="1"/>
  <c r="BI100" i="2" s="1"/>
  <c r="BH84" i="2"/>
  <c r="BH92" i="2" s="1"/>
  <c r="BH100" i="2" s="1"/>
  <c r="BG84" i="2"/>
  <c r="BG92" i="2" s="1"/>
  <c r="BG100" i="2" s="1"/>
  <c r="BF84" i="2"/>
  <c r="BF92" i="2" s="1"/>
  <c r="BF100" i="2" s="1"/>
  <c r="BE84" i="2"/>
  <c r="BE92" i="2" s="1"/>
  <c r="BE100" i="2" s="1"/>
  <c r="BD84" i="2"/>
  <c r="BD92" i="2" s="1"/>
  <c r="BD100" i="2" s="1"/>
  <c r="BC84" i="2"/>
  <c r="BC92" i="2" s="1"/>
  <c r="BC100" i="2" s="1"/>
  <c r="BB84" i="2"/>
  <c r="BB92" i="2" s="1"/>
  <c r="BB100" i="2" s="1"/>
  <c r="BA84" i="2"/>
  <c r="BA92" i="2" s="1"/>
  <c r="BA100" i="2" s="1"/>
  <c r="AZ84" i="2"/>
  <c r="AZ92" i="2" s="1"/>
  <c r="AZ100" i="2" s="1"/>
  <c r="AY84" i="2"/>
  <c r="AY92" i="2" s="1"/>
  <c r="AY100" i="2" s="1"/>
  <c r="AX84" i="2"/>
  <c r="AX92" i="2" s="1"/>
  <c r="AX100" i="2" s="1"/>
  <c r="AW84" i="2"/>
  <c r="AW92" i="2" s="1"/>
  <c r="AW100" i="2" s="1"/>
  <c r="AV84" i="2"/>
  <c r="AV92" i="2" s="1"/>
  <c r="AV100" i="2" s="1"/>
  <c r="AU84" i="2"/>
  <c r="AU92" i="2" s="1"/>
  <c r="AU100" i="2" s="1"/>
  <c r="AT84" i="2"/>
  <c r="AT92" i="2" s="1"/>
  <c r="AT100" i="2" s="1"/>
  <c r="AS84" i="2"/>
  <c r="AS92" i="2" s="1"/>
  <c r="AS100" i="2" s="1"/>
  <c r="AR84" i="2"/>
  <c r="AR92" i="2" s="1"/>
  <c r="AR100" i="2" s="1"/>
  <c r="AQ84" i="2"/>
  <c r="AQ92" i="2" s="1"/>
  <c r="AQ100" i="2" s="1"/>
  <c r="AP84" i="2"/>
  <c r="AP92" i="2" s="1"/>
  <c r="AP100" i="2" s="1"/>
  <c r="AO84" i="2"/>
  <c r="AO92" i="2" s="1"/>
  <c r="AO100" i="2" s="1"/>
  <c r="AN84" i="2"/>
  <c r="AM84" i="2"/>
  <c r="AL84" i="2"/>
  <c r="K84" i="2"/>
  <c r="J84" i="2"/>
  <c r="I84" i="2"/>
  <c r="H84" i="2"/>
  <c r="G84" i="2"/>
  <c r="F84" i="2"/>
  <c r="E84" i="2"/>
  <c r="BU83" i="2"/>
  <c r="BU82" i="2"/>
  <c r="BU81" i="2"/>
  <c r="BU80" i="2"/>
  <c r="BU76" i="2"/>
  <c r="AM75" i="2"/>
  <c r="AL75" i="2"/>
  <c r="K75" i="2"/>
  <c r="J75" i="2"/>
  <c r="I75" i="2"/>
  <c r="H75" i="2"/>
  <c r="G75" i="2"/>
  <c r="AM74" i="2"/>
  <c r="AL74" i="2"/>
  <c r="K74" i="2"/>
  <c r="J74" i="2"/>
  <c r="I74" i="2"/>
  <c r="H74" i="2"/>
  <c r="G74" i="2"/>
  <c r="F74" i="2"/>
  <c r="E74" i="2"/>
  <c r="H73" i="2"/>
  <c r="H72" i="2"/>
  <c r="H71" i="2"/>
  <c r="AM70" i="2"/>
  <c r="AL70" i="2"/>
  <c r="K70" i="2"/>
  <c r="J70" i="2"/>
  <c r="I70" i="2"/>
  <c r="H70" i="2"/>
  <c r="G70" i="2"/>
  <c r="BU68" i="2"/>
  <c r="BU74" i="2" s="1"/>
  <c r="AQ67" i="2"/>
  <c r="AP67" i="2"/>
  <c r="AO67" i="2"/>
  <c r="AN67" i="2"/>
  <c r="AM67" i="2"/>
  <c r="AM73" i="2" s="1"/>
  <c r="AL67" i="2"/>
  <c r="AL73" i="2" s="1"/>
  <c r="K67" i="2"/>
  <c r="K73" i="2" s="1"/>
  <c r="J67" i="2"/>
  <c r="J73" i="2" s="1"/>
  <c r="I67" i="2"/>
  <c r="I73" i="2" s="1"/>
  <c r="G67" i="2"/>
  <c r="G73" i="2" s="1"/>
  <c r="AQ66" i="2"/>
  <c r="AP66" i="2"/>
  <c r="AO66" i="2"/>
  <c r="AN66" i="2"/>
  <c r="AM66" i="2"/>
  <c r="AM72" i="2" s="1"/>
  <c r="AL66" i="2"/>
  <c r="AL72" i="2" s="1"/>
  <c r="K66" i="2"/>
  <c r="K72" i="2" s="1"/>
  <c r="J66" i="2"/>
  <c r="J72" i="2" s="1"/>
  <c r="I66" i="2"/>
  <c r="I72" i="2" s="1"/>
  <c r="G66" i="2"/>
  <c r="G72" i="2" s="1"/>
  <c r="AQ65" i="2"/>
  <c r="AP65" i="2"/>
  <c r="AO65" i="2"/>
  <c r="AN65" i="2"/>
  <c r="AM65" i="2"/>
  <c r="AM71" i="2" s="1"/>
  <c r="AL65" i="2"/>
  <c r="AL71" i="2" s="1"/>
  <c r="K65" i="2"/>
  <c r="K71" i="2" s="1"/>
  <c r="J65" i="2"/>
  <c r="J71" i="2" s="1"/>
  <c r="I65" i="2"/>
  <c r="I71" i="2" s="1"/>
  <c r="G65" i="2"/>
  <c r="G71" i="2" s="1"/>
  <c r="BI62" i="2"/>
  <c r="BI102" i="2" s="1"/>
  <c r="BI108" i="2" s="1"/>
  <c r="BH62" i="2"/>
  <c r="BH102" i="2" s="1"/>
  <c r="BH108" i="2" s="1"/>
  <c r="BG62" i="2"/>
  <c r="BG102" i="2" s="1"/>
  <c r="BG108" i="2" s="1"/>
  <c r="BF62" i="2"/>
  <c r="BF102" i="2" s="1"/>
  <c r="BF108" i="2" s="1"/>
  <c r="BE62" i="2"/>
  <c r="BE102" i="2" s="1"/>
  <c r="BE108" i="2" s="1"/>
  <c r="BD62" i="2"/>
  <c r="BD102" i="2" s="1"/>
  <c r="BD108" i="2" s="1"/>
  <c r="BC62" i="2"/>
  <c r="BC102" i="2" s="1"/>
  <c r="BC108" i="2" s="1"/>
  <c r="BB62" i="2"/>
  <c r="BB102" i="2" s="1"/>
  <c r="BB108" i="2" s="1"/>
  <c r="BA62" i="2"/>
  <c r="BA102" i="2" s="1"/>
  <c r="BA108" i="2" s="1"/>
  <c r="AZ62" i="2"/>
  <c r="AZ102" i="2" s="1"/>
  <c r="AZ108" i="2" s="1"/>
  <c r="AY62" i="2"/>
  <c r="AY102" i="2" s="1"/>
  <c r="AY108" i="2" s="1"/>
  <c r="AX62" i="2"/>
  <c r="AX102" i="2" s="1"/>
  <c r="AX108" i="2" s="1"/>
  <c r="AW62" i="2"/>
  <c r="AW102" i="2" s="1"/>
  <c r="AW108" i="2" s="1"/>
  <c r="AV62" i="2"/>
  <c r="AV102" i="2" s="1"/>
  <c r="AV108" i="2" s="1"/>
  <c r="AU62" i="2"/>
  <c r="AU102" i="2" s="1"/>
  <c r="AU108" i="2" s="1"/>
  <c r="AT62" i="2"/>
  <c r="AT102" i="2" s="1"/>
  <c r="AT108" i="2" s="1"/>
  <c r="AS62" i="2"/>
  <c r="AS102" i="2" s="1"/>
  <c r="AS108" i="2" s="1"/>
  <c r="AR62" i="2"/>
  <c r="AR102" i="2" s="1"/>
  <c r="AR108" i="2" s="1"/>
  <c r="AQ62" i="2"/>
  <c r="AQ102" i="2" s="1"/>
  <c r="AQ108" i="2" s="1"/>
  <c r="AP62" i="2"/>
  <c r="AP102" i="2" s="1"/>
  <c r="AP108" i="2" s="1"/>
  <c r="AO62" i="2"/>
  <c r="AO102" i="2" s="1"/>
  <c r="AO108" i="2" s="1"/>
  <c r="AN62" i="2"/>
  <c r="AN102" i="2" s="1"/>
  <c r="AN108" i="2" s="1"/>
  <c r="AM62" i="2"/>
  <c r="AM102" i="2" s="1"/>
  <c r="AM108" i="2" s="1"/>
  <c r="AL62" i="2"/>
  <c r="AL102" i="2" s="1"/>
  <c r="AL108" i="2" s="1"/>
  <c r="K62" i="2"/>
  <c r="K102" i="2" s="1"/>
  <c r="K108" i="2" s="1"/>
  <c r="J62" i="2"/>
  <c r="J102" i="2" s="1"/>
  <c r="J108" i="2" s="1"/>
  <c r="I62" i="2"/>
  <c r="BU62" i="2" s="1"/>
  <c r="BU61" i="2"/>
  <c r="BU60" i="2"/>
  <c r="BU59" i="2"/>
  <c r="BU56" i="2"/>
  <c r="BU75" i="2" s="1"/>
  <c r="BR56" i="2"/>
  <c r="BQ56" i="2"/>
  <c r="BP56" i="2"/>
  <c r="BO56" i="2"/>
  <c r="BN56" i="2"/>
  <c r="BM56" i="2"/>
  <c r="BL56" i="2"/>
  <c r="BK56" i="2"/>
  <c r="BJ56" i="2"/>
  <c r="BI56" i="2"/>
  <c r="BH56" i="2"/>
  <c r="F56" i="2"/>
  <c r="F65" i="2" s="1"/>
  <c r="F71" i="2" s="1"/>
  <c r="E56" i="2"/>
  <c r="E70" i="2" s="1"/>
  <c r="BU55" i="2"/>
  <c r="BU46" i="2"/>
  <c r="BU45" i="2"/>
  <c r="BU44" i="2"/>
  <c r="BU43" i="2"/>
  <c r="BU42" i="2"/>
  <c r="BU41" i="2"/>
  <c r="BU40" i="2"/>
  <c r="BU39" i="2"/>
  <c r="BU38" i="2"/>
  <c r="BU37" i="2"/>
  <c r="BU36" i="2"/>
  <c r="BU35" i="2"/>
  <c r="BU34" i="2"/>
  <c r="BU33" i="2"/>
  <c r="BU32" i="2"/>
  <c r="BU31" i="2"/>
  <c r="BU30" i="2"/>
  <c r="BU29" i="2"/>
  <c r="BU28" i="2"/>
  <c r="BU27" i="2"/>
  <c r="BU26" i="2"/>
  <c r="BU25" i="2"/>
  <c r="BU24" i="2"/>
  <c r="BU22" i="2"/>
  <c r="BU21" i="2"/>
  <c r="BU20" i="2"/>
  <c r="BU19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G63" i="2" s="1"/>
  <c r="BF18" i="2"/>
  <c r="BF63" i="2" s="1"/>
  <c r="BE18" i="2"/>
  <c r="BE63" i="2" s="1"/>
  <c r="BD18" i="2"/>
  <c r="BD63" i="2" s="1"/>
  <c r="BC18" i="2"/>
  <c r="BC63" i="2" s="1"/>
  <c r="BB18" i="2"/>
  <c r="BB63" i="2" s="1"/>
  <c r="BA18" i="2"/>
  <c r="BA63" i="2" s="1"/>
  <c r="AZ18" i="2"/>
  <c r="AZ63" i="2" s="1"/>
  <c r="AY18" i="2"/>
  <c r="AY63" i="2" s="1"/>
  <c r="AX18" i="2"/>
  <c r="AX63" i="2" s="1"/>
  <c r="AW18" i="2"/>
  <c r="AW63" i="2" s="1"/>
  <c r="AV18" i="2"/>
  <c r="AV63" i="2" s="1"/>
  <c r="AU18" i="2"/>
  <c r="AU63" i="2" s="1"/>
  <c r="AT18" i="2"/>
  <c r="AT63" i="2" s="1"/>
  <c r="AS18" i="2"/>
  <c r="AS63" i="2" s="1"/>
  <c r="AR18" i="2"/>
  <c r="AR63" i="2" s="1"/>
  <c r="AQ18" i="2"/>
  <c r="AQ63" i="2" s="1"/>
  <c r="AP18" i="2"/>
  <c r="AP63" i="2" s="1"/>
  <c r="AO18" i="2"/>
  <c r="AO63" i="2" s="1"/>
  <c r="AN18" i="2"/>
  <c r="AN63" i="2" s="1"/>
  <c r="AM18" i="2"/>
  <c r="AM63" i="2" s="1"/>
  <c r="AL18" i="2"/>
  <c r="AL63" i="2" s="1"/>
  <c r="K63" i="2"/>
  <c r="J63" i="2"/>
  <c r="I63" i="2"/>
  <c r="F18" i="2"/>
  <c r="E18" i="2"/>
  <c r="BU15" i="2"/>
  <c r="BU14" i="2"/>
  <c r="BU13" i="2"/>
  <c r="BU12" i="2"/>
  <c r="BU11" i="2"/>
  <c r="BU10" i="2"/>
  <c r="BU9" i="2"/>
  <c r="BU8" i="2"/>
  <c r="BU7" i="2"/>
  <c r="BU6" i="2"/>
  <c r="BU5" i="2"/>
  <c r="BU4" i="2"/>
  <c r="AQ109" i="2" l="1"/>
  <c r="BC109" i="2"/>
  <c r="BQ109" i="2"/>
  <c r="AR105" i="2"/>
  <c r="AR106" i="2" s="1"/>
  <c r="AR110" i="2" s="1"/>
  <c r="BD105" i="2"/>
  <c r="BD106" i="2" s="1"/>
  <c r="BD110" i="2" s="1"/>
  <c r="BP105" i="2"/>
  <c r="BP106" i="2" s="1"/>
  <c r="BP110" i="2" s="1"/>
  <c r="E109" i="2"/>
  <c r="F109" i="2"/>
  <c r="G109" i="2"/>
  <c r="BQ105" i="2"/>
  <c r="BQ106" i="2" s="1"/>
  <c r="BQ110" i="2" s="1"/>
  <c r="BI105" i="2"/>
  <c r="BI106" i="2" s="1"/>
  <c r="BI110" i="2" s="1"/>
  <c r="BO109" i="2"/>
  <c r="F92" i="2"/>
  <c r="BK105" i="2"/>
  <c r="BK106" i="2" s="1"/>
  <c r="BK110" i="2" s="1"/>
  <c r="BM63" i="2"/>
  <c r="BN63" i="2"/>
  <c r="AO109" i="2"/>
  <c r="BA109" i="2"/>
  <c r="BA105" i="2"/>
  <c r="BA106" i="2" s="1"/>
  <c r="BA110" i="2" s="1"/>
  <c r="AX105" i="2"/>
  <c r="AX106" i="2" s="1"/>
  <c r="AX110" i="2" s="1"/>
  <c r="BH63" i="2"/>
  <c r="AP109" i="2"/>
  <c r="BB109" i="2"/>
  <c r="E92" i="2"/>
  <c r="BP63" i="2"/>
  <c r="AT105" i="2"/>
  <c r="AT106" i="2" s="1"/>
  <c r="AT110" i="2" s="1"/>
  <c r="BF105" i="2"/>
  <c r="BF106" i="2" s="1"/>
  <c r="BF110" i="2" s="1"/>
  <c r="BR105" i="2"/>
  <c r="BR106" i="2" s="1"/>
  <c r="BR110" i="2" s="1"/>
  <c r="BQ63" i="2"/>
  <c r="AR109" i="2"/>
  <c r="BD109" i="2"/>
  <c r="AS109" i="2"/>
  <c r="BE109" i="2"/>
  <c r="AV105" i="2"/>
  <c r="AV106" i="2" s="1"/>
  <c r="AV110" i="2" s="1"/>
  <c r="BH105" i="2"/>
  <c r="BH106" i="2" s="1"/>
  <c r="BH110" i="2" s="1"/>
  <c r="BP109" i="2"/>
  <c r="AS105" i="2"/>
  <c r="AS106" i="2" s="1"/>
  <c r="AS110" i="2" s="1"/>
  <c r="H92" i="2"/>
  <c r="BK63" i="2"/>
  <c r="BU91" i="2"/>
  <c r="K92" i="2"/>
  <c r="K100" i="2" s="1"/>
  <c r="K110" i="2" s="1"/>
  <c r="AV93" i="2"/>
  <c r="BJ105" i="2"/>
  <c r="BJ106" i="2" s="1"/>
  <c r="BJ110" i="2" s="1"/>
  <c r="AL92" i="2"/>
  <c r="AL100" i="2" s="1"/>
  <c r="AL110" i="2" s="1"/>
  <c r="BU107" i="2"/>
  <c r="G92" i="2"/>
  <c r="AN109" i="2"/>
  <c r="AZ109" i="2"/>
  <c r="BQ93" i="2"/>
  <c r="BB105" i="2"/>
  <c r="BB106" i="2" s="1"/>
  <c r="BB110" i="2" s="1"/>
  <c r="F110" i="2"/>
  <c r="BF109" i="2"/>
  <c r="AU105" i="2"/>
  <c r="AU106" i="2" s="1"/>
  <c r="AU110" i="2" s="1"/>
  <c r="BU99" i="2"/>
  <c r="BU105" i="2" s="1"/>
  <c r="BU106" i="2" s="1"/>
  <c r="BL109" i="2"/>
  <c r="BD93" i="2"/>
  <c r="BN105" i="2"/>
  <c r="BN106" i="2" s="1"/>
  <c r="BN110" i="2" s="1"/>
  <c r="BJ109" i="2"/>
  <c r="BG109" i="2"/>
  <c r="AV109" i="2"/>
  <c r="F66" i="2"/>
  <c r="F72" i="2" s="1"/>
  <c r="AM92" i="2"/>
  <c r="AM100" i="2" s="1"/>
  <c r="AM110" i="2" s="1"/>
  <c r="BO63" i="2"/>
  <c r="AW109" i="2"/>
  <c r="BI109" i="2"/>
  <c r="F75" i="2"/>
  <c r="BU84" i="2"/>
  <c r="AN92" i="2"/>
  <c r="AN100" i="2" s="1"/>
  <c r="AN110" i="2" s="1"/>
  <c r="BM109" i="2"/>
  <c r="BF93" i="2"/>
  <c r="J109" i="2"/>
  <c r="BH109" i="2"/>
  <c r="AL109" i="2"/>
  <c r="AX109" i="2"/>
  <c r="AZ105" i="2"/>
  <c r="AZ106" i="2" s="1"/>
  <c r="AZ110" i="2" s="1"/>
  <c r="BL105" i="2"/>
  <c r="BL106" i="2" s="1"/>
  <c r="BL110" i="2" s="1"/>
  <c r="BN109" i="2"/>
  <c r="J92" i="2"/>
  <c r="J100" i="2" s="1"/>
  <c r="J110" i="2" s="1"/>
  <c r="BR63" i="2"/>
  <c r="AT109" i="2"/>
  <c r="AU109" i="2"/>
  <c r="BH93" i="2"/>
  <c r="BI63" i="2"/>
  <c r="K109" i="2"/>
  <c r="BJ63" i="2"/>
  <c r="BL63" i="2"/>
  <c r="AM109" i="2"/>
  <c r="AY109" i="2"/>
  <c r="AR93" i="2"/>
  <c r="BP93" i="2"/>
  <c r="BR109" i="2"/>
  <c r="BK109" i="2"/>
  <c r="I92" i="2"/>
  <c r="I100" i="2" s="1"/>
  <c r="BC105" i="2"/>
  <c r="BC106" i="2" s="1"/>
  <c r="BC110" i="2" s="1"/>
  <c r="BC111" i="2" s="1"/>
  <c r="E110" i="2"/>
  <c r="E111" i="2" s="1"/>
  <c r="BU63" i="2"/>
  <c r="BU18" i="2"/>
  <c r="BU65" i="2"/>
  <c r="BU71" i="2" s="1"/>
  <c r="BU66" i="2"/>
  <c r="BU72" i="2" s="1"/>
  <c r="BU67" i="2"/>
  <c r="BU73" i="2" s="1"/>
  <c r="AO110" i="2"/>
  <c r="AP110" i="2"/>
  <c r="G110" i="2"/>
  <c r="E67" i="2"/>
  <c r="E73" i="2" s="1"/>
  <c r="F70" i="2"/>
  <c r="F67" i="2"/>
  <c r="F73" i="2" s="1"/>
  <c r="AT93" i="2"/>
  <c r="BB93" i="2"/>
  <c r="BJ93" i="2"/>
  <c r="BR93" i="2"/>
  <c r="I102" i="2"/>
  <c r="I108" i="2" s="1"/>
  <c r="I109" i="2" s="1"/>
  <c r="E66" i="2"/>
  <c r="E72" i="2" s="1"/>
  <c r="AW105" i="2"/>
  <c r="AW106" i="2" s="1"/>
  <c r="AW110" i="2" s="1"/>
  <c r="BE105" i="2"/>
  <c r="BE106" i="2" s="1"/>
  <c r="BE110" i="2" s="1"/>
  <c r="BM105" i="2"/>
  <c r="BM106" i="2" s="1"/>
  <c r="BM110" i="2" s="1"/>
  <c r="E65" i="2"/>
  <c r="E71" i="2" s="1"/>
  <c r="AQ105" i="2"/>
  <c r="AQ106" i="2" s="1"/>
  <c r="AQ110" i="2" s="1"/>
  <c r="AQ111" i="2" s="1"/>
  <c r="AY105" i="2"/>
  <c r="AY106" i="2" s="1"/>
  <c r="AY110" i="2" s="1"/>
  <c r="BG105" i="2"/>
  <c r="BG106" i="2" s="1"/>
  <c r="BG110" i="2" s="1"/>
  <c r="BO105" i="2"/>
  <c r="BO106" i="2" s="1"/>
  <c r="BO110" i="2" s="1"/>
  <c r="E75" i="2"/>
  <c r="BQ111" i="2" l="1"/>
  <c r="BP111" i="2"/>
  <c r="F111" i="2"/>
  <c r="J111" i="2"/>
  <c r="AT111" i="2"/>
  <c r="G111" i="2"/>
  <c r="BA111" i="2"/>
  <c r="BR111" i="2"/>
  <c r="BF111" i="2"/>
  <c r="BO111" i="2"/>
  <c r="AN111" i="2"/>
  <c r="AO111" i="2"/>
  <c r="BN111" i="2"/>
  <c r="BD111" i="2"/>
  <c r="BU92" i="2"/>
  <c r="AL111" i="2"/>
  <c r="BG111" i="2"/>
  <c r="BJ111" i="2"/>
  <c r="AR111" i="2"/>
  <c r="AM111" i="2"/>
  <c r="BB111" i="2"/>
  <c r="BI111" i="2"/>
  <c r="AP111" i="2"/>
  <c r="AS111" i="2"/>
  <c r="BE111" i="2"/>
  <c r="BU100" i="2"/>
  <c r="BM111" i="2"/>
  <c r="BL111" i="2"/>
  <c r="AU111" i="2"/>
  <c r="AZ111" i="2"/>
  <c r="AY111" i="2"/>
  <c r="BH111" i="2"/>
  <c r="BK111" i="2"/>
  <c r="AX111" i="2"/>
  <c r="AW111" i="2"/>
  <c r="AV111" i="2"/>
  <c r="K111" i="2"/>
  <c r="I110" i="2"/>
  <c r="I111" i="2" s="1"/>
  <c r="BU102" i="2"/>
  <c r="BU108" i="2" s="1"/>
  <c r="BU109" i="2" s="1"/>
  <c r="BU110" i="2" l="1"/>
  <c r="BU111" i="2" s="1"/>
</calcChain>
</file>

<file path=xl/sharedStrings.xml><?xml version="1.0" encoding="utf-8"?>
<sst xmlns="http://schemas.openxmlformats.org/spreadsheetml/2006/main" count="3672" uniqueCount="284">
  <si>
    <t>GAYATRISHALTI TISSUE PRIVATE LIMITED</t>
  </si>
  <si>
    <t>DAILY PRODUCTION REPORT OF TISSUE</t>
  </si>
  <si>
    <t>Date:</t>
  </si>
  <si>
    <t xml:space="preserve"> </t>
  </si>
  <si>
    <t>S.N.</t>
  </si>
  <si>
    <t>QUALITY</t>
  </si>
  <si>
    <t>GSM</t>
  </si>
  <si>
    <t>M/C DECKLE</t>
  </si>
  <si>
    <t>M/C Reel SPEED</t>
  </si>
  <si>
    <t>M/C PROD.</t>
  </si>
  <si>
    <t>Avg. speed</t>
  </si>
  <si>
    <t>Avg. Gsm</t>
  </si>
  <si>
    <t>Production Loss Details</t>
  </si>
  <si>
    <t>REMARKS</t>
  </si>
  <si>
    <t>m</t>
  </si>
  <si>
    <t>MPM</t>
  </si>
  <si>
    <t>MT</t>
  </si>
  <si>
    <t xml:space="preserve">  </t>
  </si>
  <si>
    <t>Dept.</t>
  </si>
  <si>
    <t>Time loss,    Hrs.   Min.</t>
  </si>
  <si>
    <t>Process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</si>
  <si>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</si>
  <si>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</si>
  <si>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</si>
  <si>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</si>
  <si>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</si>
  <si>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</si>
  <si>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</si>
  <si>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</si>
  <si>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HRS</t>
  </si>
  <si>
    <t>MR-20-J</t>
  </si>
  <si>
    <t>CT-16-J</t>
  </si>
  <si>
    <t>EN-15-J</t>
  </si>
  <si>
    <t>EN-16-J</t>
  </si>
  <si>
    <t>EN-17-J</t>
  </si>
  <si>
    <t>EN-18-J</t>
  </si>
  <si>
    <t>ET-15-J</t>
  </si>
  <si>
    <t>ET-16-J</t>
  </si>
  <si>
    <t>ET-17-J</t>
  </si>
  <si>
    <t>ET-18-J</t>
  </si>
  <si>
    <t>FT-12.5-J</t>
  </si>
  <si>
    <t>FT-13-J</t>
  </si>
  <si>
    <t>yankee doctor blade change</t>
  </si>
  <si>
    <t>FT-13.5-J</t>
  </si>
  <si>
    <t>Grade change</t>
  </si>
  <si>
    <t>FT-14-J</t>
  </si>
  <si>
    <t>Fan pump tripped</t>
  </si>
  <si>
    <t>TT-21-J</t>
  </si>
  <si>
    <t>Power fluctuation/tripped</t>
  </si>
  <si>
    <t>KT-17-J</t>
  </si>
  <si>
    <t>Wire &amp; felt cleaning</t>
  </si>
  <si>
    <t>KT-18-J</t>
  </si>
  <si>
    <t>paper feeding airshower nozzle jammed</t>
  </si>
  <si>
    <t>KT-19-J</t>
  </si>
  <si>
    <t>dcs communication failed</t>
  </si>
  <si>
    <t>KT-20-J</t>
  </si>
  <si>
    <t>Felt change</t>
  </si>
  <si>
    <t>KT-22-J</t>
  </si>
  <si>
    <t>Wire change</t>
  </si>
  <si>
    <t>KT-24-J</t>
  </si>
  <si>
    <t>CNG changwe over</t>
  </si>
  <si>
    <t>KT-26-J</t>
  </si>
  <si>
    <t>KT-30-J</t>
  </si>
  <si>
    <t>KT-32-J</t>
  </si>
  <si>
    <t>KT-34-J</t>
  </si>
  <si>
    <t>KT-35-J</t>
  </si>
  <si>
    <t>KT-36-J</t>
  </si>
  <si>
    <t>CSTT-23-J</t>
  </si>
  <si>
    <t>KT-38-J</t>
  </si>
  <si>
    <t>KT-40-J</t>
  </si>
  <si>
    <t>KT-42-J</t>
  </si>
  <si>
    <t>MR-17-J</t>
  </si>
  <si>
    <t>MR-18-J</t>
  </si>
  <si>
    <t>MR-19-J</t>
  </si>
  <si>
    <t>NT-14-J</t>
  </si>
  <si>
    <t>NT-15-J</t>
  </si>
  <si>
    <t>NT-16-J</t>
  </si>
  <si>
    <t>NT-17-J</t>
  </si>
  <si>
    <t>NT-18-J</t>
  </si>
  <si>
    <t>NT-19-J</t>
  </si>
  <si>
    <t>NT-20-J</t>
  </si>
  <si>
    <t>MR-15-J</t>
  </si>
  <si>
    <t>TC-32-J</t>
  </si>
  <si>
    <t>TC-35-J</t>
  </si>
  <si>
    <t>TC-37-J</t>
  </si>
  <si>
    <t>TC-38-J</t>
  </si>
  <si>
    <t>TC-40-J</t>
  </si>
  <si>
    <t>TC-42-J</t>
  </si>
  <si>
    <t>TT-14-J</t>
  </si>
  <si>
    <t>TT-15-J</t>
  </si>
  <si>
    <t>TT-15.5-J</t>
  </si>
  <si>
    <t>TT-16-J</t>
  </si>
  <si>
    <t>TT-16.5-J</t>
  </si>
  <si>
    <t>TT-17-J</t>
  </si>
  <si>
    <t>TT-18-J</t>
  </si>
  <si>
    <t>Particulars</t>
  </si>
  <si>
    <t>Item code</t>
  </si>
  <si>
    <t>Date</t>
  </si>
  <si>
    <t>Todate consumption</t>
  </si>
  <si>
    <t>A</t>
  </si>
  <si>
    <t>RAW MATERIAL</t>
  </si>
  <si>
    <t>Unit</t>
  </si>
  <si>
    <t>Imported Softwood Pulp SODRA (AD)</t>
  </si>
  <si>
    <t>Imported Hardwood Pulp Acacia (AD)April</t>
  </si>
  <si>
    <t>Imported Hardwood Pulp Acacia (AD)Exman</t>
  </si>
  <si>
    <t>Imported Hardwood Pulp CMPC (AD)Domestic</t>
  </si>
  <si>
    <t>Imported Hardwood Pulp Baycel</t>
  </si>
  <si>
    <t>Imported Softwood Pulp Mercer(AD)</t>
  </si>
  <si>
    <t>Imported Softwood Pulp Laja (AD)</t>
  </si>
  <si>
    <t>Imported Softwood Pulp Pacifico (AD)</t>
  </si>
  <si>
    <t>Imported Softwood Pulp KOMI (AD)</t>
  </si>
  <si>
    <t>Wet strength white Tissue</t>
  </si>
  <si>
    <t>Imported Hardwood Pulp Suzano (AD)</t>
  </si>
  <si>
    <t>Imported Softwood Pulp STORA (AD)</t>
  </si>
  <si>
    <t>Total Pulp</t>
  </si>
  <si>
    <t>B</t>
  </si>
  <si>
    <t>Solenise Chemicals</t>
  </si>
  <si>
    <t>Hercobond 2515AP (DSR)</t>
  </si>
  <si>
    <t>Kg.</t>
  </si>
  <si>
    <t>Rezosol M278 (MAP)</t>
  </si>
  <si>
    <t>Kyemene 777LX (WSR)</t>
  </si>
  <si>
    <t>SOFTING AGENT - PROSOFT TQ 218</t>
  </si>
  <si>
    <t>Creptrol A9915 (Yankee coating)</t>
  </si>
  <si>
    <t>Creptrol 3718 (Yankee coating)</t>
  </si>
  <si>
    <t>Rezosol 1400 ( Yankee Release)</t>
  </si>
  <si>
    <t>Rezosol 150 (Yankee Release)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</si>
  <si>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</si>
  <si>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</si>
  <si>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</si>
  <si>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</si>
  <si>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</si>
  <si>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</si>
  <si>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</si>
  <si>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</si>
  <si>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Telofin OF (Boilout)</t>
  </si>
  <si>
    <t>Praestaret OMA 2520 (Anionic Flocculant)</t>
  </si>
  <si>
    <t>Kybreak 505 (Repulping Aid)</t>
  </si>
  <si>
    <t>Catiofast 160 (Coagulant)</t>
  </si>
  <si>
    <t>DeTac DC 779 F (Sticky control)</t>
  </si>
  <si>
    <t>Mix Xylene</t>
  </si>
  <si>
    <t>Retarder (Ethenol)</t>
  </si>
  <si>
    <t>Caustic soda flakes</t>
  </si>
  <si>
    <t>Sodium hypochlorite</t>
  </si>
  <si>
    <t>Anmosuper DIS (Liquid soap)</t>
  </si>
  <si>
    <t>C</t>
  </si>
  <si>
    <t>MACHINE PRODUCTION</t>
  </si>
  <si>
    <t>D</t>
  </si>
  <si>
    <t>FINISHED PRODUCTION TO WARE HOUSE</t>
  </si>
  <si>
    <t>F</t>
  </si>
  <si>
    <t>Utility</t>
  </si>
  <si>
    <t>Steam consumption</t>
  </si>
  <si>
    <t>LPG consumption</t>
  </si>
  <si>
    <t>Water consumption</t>
  </si>
  <si>
    <t>m3</t>
  </si>
  <si>
    <t>Down Time</t>
  </si>
  <si>
    <t>Pulp Ratio</t>
  </si>
  <si>
    <t>Ratio</t>
  </si>
  <si>
    <t>a</t>
  </si>
  <si>
    <t>Steam,T/T</t>
  </si>
  <si>
    <t>T/T</t>
  </si>
  <si>
    <t>b</t>
  </si>
  <si>
    <t>LPG, Kg/T</t>
  </si>
  <si>
    <t>Kg./T</t>
  </si>
  <si>
    <t>c</t>
  </si>
  <si>
    <t>Water, m3/T</t>
  </si>
  <si>
    <t>m3/T</t>
  </si>
  <si>
    <t>d</t>
  </si>
  <si>
    <t>Power, KWH/T</t>
  </si>
  <si>
    <t>U/T</t>
  </si>
  <si>
    <t>H</t>
  </si>
  <si>
    <t>KPI(Key performance indicators)</t>
  </si>
  <si>
    <t>Actual, Rs./T</t>
  </si>
  <si>
    <t>Production Compliance</t>
  </si>
  <si>
    <t>%</t>
  </si>
  <si>
    <t>Prod. Compl.</t>
  </si>
  <si>
    <t>Steam cost</t>
  </si>
  <si>
    <t>Rs./T</t>
  </si>
  <si>
    <t>LPG cost</t>
  </si>
  <si>
    <t>Water cost</t>
  </si>
  <si>
    <t>e</t>
  </si>
  <si>
    <t>Power cost</t>
  </si>
  <si>
    <t>f</t>
  </si>
  <si>
    <t>Variable Man power cost(VLC)</t>
  </si>
  <si>
    <t>g</t>
  </si>
  <si>
    <t>Fixed man power (per ton basis)cost</t>
  </si>
  <si>
    <t>Quality Manufactured</t>
  </si>
  <si>
    <t>M/c</t>
  </si>
  <si>
    <t>Domestic</t>
  </si>
  <si>
    <t>Toilet</t>
  </si>
  <si>
    <t>Facial</t>
  </si>
  <si>
    <t>Napkin</t>
  </si>
  <si>
    <t>k.Towel</t>
  </si>
  <si>
    <t>Total</t>
  </si>
  <si>
    <t xml:space="preserve">Export </t>
  </si>
  <si>
    <t>Kt  (Maxi roll)</t>
  </si>
  <si>
    <t>G.Total</t>
  </si>
  <si>
    <t>gsm</t>
  </si>
  <si>
    <t>J</t>
  </si>
  <si>
    <t>O.E.E. CALCULATION Tissue</t>
  </si>
  <si>
    <t>Month - july`2022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</si>
  <si>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</si>
  <si>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</si>
  <si>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</si>
  <si>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</si>
  <si>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</si>
  <si>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</si>
  <si>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</si>
  <si>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</si>
  <si>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</si>
  <si>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h</t>
  </si>
  <si>
    <t>PRODUCTION RATE</t>
  </si>
  <si>
    <t>T/hr</t>
  </si>
  <si>
    <t>i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</si>
  <si>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</si>
  <si>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</si>
  <si>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</si>
  <si>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</si>
  <si>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</si>
  <si>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</si>
  <si>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</si>
  <si>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</si>
  <si>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</si>
  <si>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</si>
  <si>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Kyemene 821 AP(WSR)</t>
  </si>
  <si>
    <t>PACKING MATERIALS</t>
  </si>
  <si>
    <t>Core pipes</t>
  </si>
  <si>
    <t>Core Plugs</t>
  </si>
  <si>
    <t>Stretch film</t>
  </si>
  <si>
    <t>Kg</t>
  </si>
  <si>
    <t>NOS</t>
  </si>
  <si>
    <t>Imported Softwood Pulp METSA (AD)</t>
  </si>
  <si>
    <t>Yankee doctor blade change &amp; roll cleaning</t>
  </si>
  <si>
    <t>Imported Hardwood April XP (AD)</t>
  </si>
  <si>
    <t>BCHEM Rzym E - TR</t>
  </si>
  <si>
    <t>Power</t>
  </si>
  <si>
    <t>Machine tripped due to power fluctuation</t>
  </si>
  <si>
    <t>Creptrol 9258 AP (Yankee coating)</t>
  </si>
  <si>
    <t>NT</t>
  </si>
  <si>
    <t>Anmosuper PAE (WSR)</t>
  </si>
  <si>
    <t>TOWEL</t>
  </si>
  <si>
    <t>DAILY REPORT  Month (August -2025)</t>
  </si>
  <si>
    <t>Sheet break</t>
  </si>
  <si>
    <t>Steam</t>
  </si>
  <si>
    <t>Steam pressure dropped</t>
  </si>
  <si>
    <t>FT</t>
  </si>
  <si>
    <t>C.MAX</t>
  </si>
  <si>
    <t>Instruments</t>
  </si>
  <si>
    <t>Sheet break due to want of spool as Rewinder unloading table was not getting down</t>
  </si>
  <si>
    <t>Gap between pope reel &amp; spool</t>
  </si>
  <si>
    <t>TT</t>
  </si>
  <si>
    <t>Instt</t>
  </si>
  <si>
    <t>Gap between pope reel and spool / D/S primary arm sensor cable broken</t>
  </si>
  <si>
    <t>Power failure</t>
  </si>
  <si>
    <t>System wash up</t>
  </si>
  <si>
    <t>Felt &amp; Wire cleaning</t>
  </si>
  <si>
    <t>Gap between pope reel and spool &amp;  Hood Wet end burner tripped</t>
  </si>
  <si>
    <t>Others</t>
  </si>
  <si>
    <t>Jumbo roll stuck on pope reel railing</t>
  </si>
  <si>
    <t>Pope reel stopped twice</t>
  </si>
  <si>
    <t>KT</t>
  </si>
  <si>
    <t>Felt &amp; wire cleaning</t>
  </si>
  <si>
    <t xml:space="preserve">Steam pressure dropped </t>
  </si>
  <si>
    <t>Machine remained shut for want of steam</t>
  </si>
  <si>
    <t>Wet end burner tripped</t>
  </si>
  <si>
    <t>Felt &amp; wire cleaning done</t>
  </si>
  <si>
    <t xml:space="preserve">Tail feeding pipe not came in the position </t>
  </si>
  <si>
    <t>Macine triipped due to power fluctuation</t>
  </si>
  <si>
    <t>Maintainance</t>
  </si>
  <si>
    <t>Primary arm up in Auto position due spool vibration</t>
  </si>
  <si>
    <t xml:space="preserve">Felt &amp; wire cleaning and system drained </t>
  </si>
  <si>
    <t>Gap between pope reel and spool and secondary arm not ejected the spool</t>
  </si>
  <si>
    <t>Maintt</t>
  </si>
  <si>
    <t>Pope reel doctor blade change</t>
  </si>
  <si>
    <t>.0:30</t>
  </si>
  <si>
    <t>Natural Gas consumption (Tissue Machine)</t>
  </si>
  <si>
    <t>SCM</t>
  </si>
  <si>
    <t>Natural Gas consumption (Boiler)</t>
  </si>
  <si>
    <t>Fresh Water consumption</t>
  </si>
  <si>
    <t>RO water consumption</t>
  </si>
  <si>
    <t>Power (MACHINE)</t>
  </si>
  <si>
    <t>Power (BOILER+ETP)</t>
  </si>
  <si>
    <t>Machine speed slow due to Overhead crane not working</t>
  </si>
  <si>
    <t>Elect</t>
  </si>
  <si>
    <t>Machine speed slow due to Rewinder core chucks proximity sensor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</si>
</sst>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:mm;@"/>
    <numFmt numFmtId="166" formatCode="[$-409]d\-mmm\-yy;@"/>
    <numFmt numFmtId="167" formatCode="0.000"/>
  </numFmts>
  <fonts count="1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6"/>
      <name val="Times New Roman"/>
      <family val="1"/>
    </font>
    <font>
      <b/>
      <u/>
      <sz val="18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b/>
      <sz val="18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6" xfId="1" applyFont="1" applyBorder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4" fillId="0" borderId="21" xfId="1" applyFont="1" applyBorder="1"/>
    <xf numFmtId="0" fontId="4" fillId="0" borderId="2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3" xfId="0" applyFont="1" applyBorder="1"/>
    <xf numFmtId="0" fontId="2" fillId="0" borderId="8" xfId="0" applyFont="1" applyBorder="1"/>
    <xf numFmtId="2" fontId="2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1" xfId="0" applyFont="1" applyBorder="1"/>
    <xf numFmtId="0" fontId="2" fillId="0" borderId="24" xfId="0" applyFont="1" applyBorder="1"/>
    <xf numFmtId="0" fontId="2" fillId="0" borderId="25" xfId="0" applyFont="1" applyBorder="1"/>
    <xf numFmtId="0" fontId="1" fillId="0" borderId="24" xfId="0" applyFont="1" applyBorder="1" applyAlignment="1">
      <alignment horizontal="right"/>
    </xf>
    <xf numFmtId="2" fontId="2" fillId="0" borderId="24" xfId="0" applyNumberFormat="1" applyFont="1" applyBorder="1" applyAlignment="1">
      <alignment horizontal="center"/>
    </xf>
    <xf numFmtId="0" fontId="1" fillId="0" borderId="24" xfId="0" applyFont="1" applyBorder="1"/>
    <xf numFmtId="0" fontId="2" fillId="0" borderId="26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7" fillId="2" borderId="27" xfId="0" applyFont="1" applyFill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7" fillId="0" borderId="0" xfId="0" applyFont="1"/>
    <xf numFmtId="0" fontId="7" fillId="3" borderId="20" xfId="0" applyFont="1" applyFill="1" applyBorder="1"/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1" xfId="0" applyFont="1" applyFill="1" applyBorder="1"/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7" fontId="9" fillId="6" borderId="21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9" fillId="7" borderId="1" xfId="0" applyFont="1" applyFill="1" applyBorder="1"/>
    <xf numFmtId="0" fontId="9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167" fontId="9" fillId="7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/>
    <xf numFmtId="0" fontId="10" fillId="4" borderId="1" xfId="0" applyFont="1" applyFill="1" applyBorder="1"/>
    <xf numFmtId="0" fontId="10" fillId="4" borderId="3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164" fontId="7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2" fontId="9" fillId="7" borderId="2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7" fillId="2" borderId="20" xfId="0" applyFont="1" applyFill="1" applyBorder="1" applyAlignment="1">
      <alignment horizontal="center"/>
    </xf>
    <xf numFmtId="0" fontId="13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2" fontId="9" fillId="2" borderId="21" xfId="0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7" fontId="7" fillId="0" borderId="0" xfId="0" applyNumberFormat="1" applyFont="1"/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167" fontId="7" fillId="2" borderId="1" xfId="0" applyNumberFormat="1" applyFont="1" applyFill="1" applyBorder="1" applyAlignment="1">
      <alignment horizontal="center"/>
    </xf>
    <xf numFmtId="167" fontId="7" fillId="2" borderId="2" xfId="0" applyNumberFormat="1" applyFont="1" applyFill="1" applyBorder="1" applyAlignment="1">
      <alignment horizontal="center"/>
    </xf>
    <xf numFmtId="167" fontId="9" fillId="2" borderId="2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2" borderId="21" xfId="0" applyNumberFormat="1" applyFont="1" applyFill="1" applyBorder="1" applyAlignment="1">
      <alignment horizontal="center"/>
    </xf>
    <xf numFmtId="164" fontId="9" fillId="2" borderId="21" xfId="0" applyNumberFormat="1" applyFont="1" applyFill="1" applyBorder="1" applyAlignment="1">
      <alignment horizontal="center" vertical="center"/>
    </xf>
    <xf numFmtId="1" fontId="9" fillId="2" borderId="2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5" xfId="0" applyFont="1" applyFill="1" applyBorder="1"/>
    <xf numFmtId="0" fontId="7" fillId="2" borderId="4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left"/>
    </xf>
    <xf numFmtId="0" fontId="7" fillId="2" borderId="2" xfId="0" applyFont="1" applyFill="1" applyBorder="1"/>
    <xf numFmtId="0" fontId="7" fillId="2" borderId="31" xfId="0" applyFont="1" applyFill="1" applyBorder="1" applyAlignment="1">
      <alignment horizontal="center"/>
    </xf>
    <xf numFmtId="0" fontId="11" fillId="2" borderId="3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right"/>
    </xf>
    <xf numFmtId="164" fontId="7" fillId="2" borderId="8" xfId="0" applyNumberFormat="1" applyFont="1" applyFill="1" applyBorder="1" applyAlignment="1">
      <alignment horizontal="center"/>
    </xf>
    <xf numFmtId="164" fontId="7" fillId="2" borderId="23" xfId="0" applyNumberFormat="1" applyFont="1" applyFill="1" applyBorder="1" applyAlignment="1">
      <alignment horizontal="center"/>
    </xf>
    <xf numFmtId="0" fontId="7" fillId="2" borderId="20" xfId="0" applyFont="1" applyFill="1" applyBorder="1"/>
    <xf numFmtId="164" fontId="9" fillId="2" borderId="1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7" fillId="2" borderId="34" xfId="0" applyFont="1" applyFill="1" applyBorder="1"/>
    <xf numFmtId="0" fontId="9" fillId="2" borderId="35" xfId="0" applyFont="1" applyFill="1" applyBorder="1"/>
    <xf numFmtId="0" fontId="9" fillId="2" borderId="35" xfId="0" applyFont="1" applyFill="1" applyBorder="1" applyAlignment="1">
      <alignment horizontal="left"/>
    </xf>
    <xf numFmtId="0" fontId="9" fillId="2" borderId="35" xfId="0" applyFont="1" applyFill="1" applyBorder="1" applyAlignment="1">
      <alignment horizontal="center"/>
    </xf>
    <xf numFmtId="2" fontId="7" fillId="2" borderId="35" xfId="0" applyNumberFormat="1" applyFont="1" applyFill="1" applyBorder="1" applyAlignment="1">
      <alignment horizontal="center"/>
    </xf>
    <xf numFmtId="2" fontId="7" fillId="2" borderId="36" xfId="0" applyNumberFormat="1" applyFont="1" applyFill="1" applyBorder="1" applyAlignment="1">
      <alignment horizontal="center"/>
    </xf>
    <xf numFmtId="2" fontId="9" fillId="2" borderId="37" xfId="0" applyNumberFormat="1" applyFont="1" applyFill="1" applyBorder="1" applyAlignment="1">
      <alignment horizontal="center" vertical="center"/>
    </xf>
    <xf numFmtId="0" fontId="7" fillId="2" borderId="38" xfId="0" applyFont="1" applyFill="1" applyBorder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2" borderId="39" xfId="0" applyFont="1" applyFill="1" applyBorder="1" applyAlignment="1">
      <alignment vertical="center"/>
    </xf>
    <xf numFmtId="0" fontId="7" fillId="2" borderId="27" xfId="0" applyFont="1" applyFill="1" applyBorder="1" applyAlignment="1">
      <alignment horizontal="center"/>
    </xf>
    <xf numFmtId="0" fontId="11" fillId="2" borderId="40" xfId="0" applyFont="1" applyFill="1" applyBorder="1" applyAlignment="1">
      <alignment horizontal="left"/>
    </xf>
    <xf numFmtId="0" fontId="7" fillId="2" borderId="40" xfId="0" applyFont="1" applyFill="1" applyBorder="1"/>
    <xf numFmtId="0" fontId="9" fillId="2" borderId="40" xfId="0" applyFont="1" applyFill="1" applyBorder="1" applyAlignment="1">
      <alignment horizontal="left"/>
    </xf>
    <xf numFmtId="0" fontId="7" fillId="2" borderId="28" xfId="0" applyFont="1" applyFill="1" applyBorder="1"/>
    <xf numFmtId="0" fontId="9" fillId="2" borderId="4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2" fontId="7" fillId="2" borderId="21" xfId="0" applyNumberFormat="1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/>
    </xf>
    <xf numFmtId="164" fontId="9" fillId="2" borderId="35" xfId="0" applyNumberFormat="1" applyFont="1" applyFill="1" applyBorder="1" applyAlignment="1">
      <alignment horizontal="center"/>
    </xf>
    <xf numFmtId="164" fontId="9" fillId="2" borderId="36" xfId="0" applyNumberFormat="1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7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5" fontId="2" fillId="0" borderId="23" xfId="0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6" fillId="0" borderId="14" xfId="2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/>
    </xf>
    <xf numFmtId="0" fontId="7" fillId="2" borderId="43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7" fillId="3" borderId="34" xfId="0" applyFont="1" applyFill="1" applyBorder="1" applyAlignment="1">
      <alignment horizontal="center"/>
    </xf>
    <xf numFmtId="0" fontId="9" fillId="7" borderId="35" xfId="0" applyFont="1" applyFill="1" applyBorder="1"/>
    <xf numFmtId="0" fontId="9" fillId="7" borderId="35" xfId="0" applyFont="1" applyFill="1" applyBorder="1" applyAlignment="1">
      <alignment horizontal="left"/>
    </xf>
    <xf numFmtId="0" fontId="9" fillId="7" borderId="35" xfId="0" applyFont="1" applyFill="1" applyBorder="1" applyAlignment="1">
      <alignment horizontal="center"/>
    </xf>
    <xf numFmtId="2" fontId="9" fillId="7" borderId="35" xfId="0" applyNumberFormat="1" applyFont="1" applyFill="1" applyBorder="1" applyAlignment="1">
      <alignment horizontal="center"/>
    </xf>
    <xf numFmtId="167" fontId="9" fillId="7" borderId="35" xfId="0" applyNumberFormat="1" applyFont="1" applyFill="1" applyBorder="1" applyAlignment="1">
      <alignment horizontal="center"/>
    </xf>
    <xf numFmtId="2" fontId="9" fillId="7" borderId="36" xfId="0" applyNumberFormat="1" applyFont="1" applyFill="1" applyBorder="1" applyAlignment="1">
      <alignment horizontal="center"/>
    </xf>
    <xf numFmtId="167" fontId="9" fillId="6" borderId="37" xfId="0" applyNumberFormat="1" applyFont="1" applyFill="1" applyBorder="1" applyAlignment="1">
      <alignment horizontal="center" vertical="center"/>
    </xf>
    <xf numFmtId="164" fontId="6" fillId="0" borderId="3" xfId="2" applyNumberFormat="1" applyFont="1" applyBorder="1" applyAlignment="1">
      <alignment horizontal="center" vertical="center" wrapText="1"/>
    </xf>
    <xf numFmtId="164" fontId="4" fillId="0" borderId="7" xfId="2" applyNumberFormat="1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164" fontId="4" fillId="0" borderId="9" xfId="2" applyNumberFormat="1" applyFont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/>
    </xf>
    <xf numFmtId="165" fontId="4" fillId="2" borderId="10" xfId="2" applyNumberFormat="1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vertical="center"/>
    </xf>
    <xf numFmtId="0" fontId="4" fillId="2" borderId="15" xfId="2" applyFont="1" applyFill="1" applyBorder="1" applyAlignment="1">
      <alignment horizontal="center" vertical="center"/>
    </xf>
    <xf numFmtId="164" fontId="4" fillId="0" borderId="13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64" fontId="4" fillId="0" borderId="17" xfId="2" applyNumberFormat="1" applyFont="1" applyBorder="1" applyAlignment="1">
      <alignment horizontal="center" vertical="center" wrapText="1"/>
    </xf>
    <xf numFmtId="167" fontId="7" fillId="0" borderId="0" xfId="0" applyNumberFormat="1" applyFont="1" applyAlignment="1">
      <alignment horizontal="center"/>
    </xf>
    <xf numFmtId="0" fontId="7" fillId="5" borderId="2" xfId="0" applyFont="1" applyFill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7" fontId="9" fillId="6" borderId="1" xfId="0" applyNumberFormat="1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 wrapText="1"/>
    </xf>
    <xf numFmtId="165" fontId="4" fillId="2" borderId="15" xfId="2" applyNumberFormat="1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2" xfId="2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4" fillId="0" borderId="6" xfId="2" applyFont="1" applyBorder="1" applyAlignment="1">
      <alignment horizontal="center" vertical="center" wrapText="1"/>
    </xf>
    <xf numFmtId="164" fontId="4" fillId="0" borderId="18" xfId="2" applyNumberFormat="1" applyFont="1" applyBorder="1" applyAlignment="1">
      <alignment horizontal="center" vertical="center" wrapText="1"/>
    </xf>
    <xf numFmtId="164" fontId="4" fillId="0" borderId="19" xfId="2" applyNumberFormat="1" applyFont="1" applyBorder="1" applyAlignment="1">
      <alignment horizontal="center" vertical="center" wrapText="1"/>
    </xf>
    <xf numFmtId="20" fontId="4" fillId="0" borderId="10" xfId="0" applyNumberFormat="1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 wrapText="1"/>
    </xf>
    <xf numFmtId="164" fontId="14" fillId="0" borderId="1" xfId="2" applyNumberFormat="1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164" fontId="15" fillId="0" borderId="14" xfId="2" applyNumberFormat="1" applyFont="1" applyBorder="1" applyAlignment="1">
      <alignment horizontal="center" vertical="center" wrapText="1"/>
    </xf>
    <xf numFmtId="0" fontId="14" fillId="2" borderId="10" xfId="2" applyFont="1" applyFill="1" applyBorder="1" applyAlignment="1">
      <alignment horizontal="center" vertical="center"/>
    </xf>
    <xf numFmtId="165" fontId="14" fillId="2" borderId="10" xfId="2" applyNumberFormat="1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vertical="center"/>
    </xf>
    <xf numFmtId="0" fontId="14" fillId="2" borderId="15" xfId="2" applyFont="1" applyFill="1" applyBorder="1" applyAlignment="1">
      <alignment horizontal="center" vertical="center"/>
    </xf>
    <xf numFmtId="165" fontId="14" fillId="2" borderId="15" xfId="2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2" borderId="16" xfId="2" applyFont="1" applyFill="1" applyBorder="1" applyAlignment="1">
      <alignment vertical="center"/>
    </xf>
    <xf numFmtId="2" fontId="7" fillId="0" borderId="1" xfId="0" applyNumberFormat="1" applyFont="1" applyBorder="1" applyAlignment="1">
      <alignment horizontal="center"/>
    </xf>
    <xf numFmtId="0" fontId="4" fillId="0" borderId="20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4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</cellXfs>
  <cellStyles count="3">
    <cellStyle name="Normal" xfId="0" builtinId="0"/>
    <cellStyle name="Normal 4" xfId="1" xr:uid="{00000000-0005-0000-0000-000001000000}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E336-BB2F-4689-9226-7B8ED34CA918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45870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1222</v>
      </c>
      <c r="F9" s="172">
        <v>7</v>
      </c>
      <c r="G9" s="15">
        <f t="shared" ref="G9:G11" si="0">E9*F9</f>
        <v>8554</v>
      </c>
      <c r="H9" s="16">
        <f t="shared" ref="H9:H11" si="1">F9*C9</f>
        <v>105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239</v>
      </c>
      <c r="C10" s="171">
        <v>19</v>
      </c>
      <c r="D10" s="14">
        <v>2.85</v>
      </c>
      <c r="E10" s="173">
        <v>1247</v>
      </c>
      <c r="F10" s="172">
        <v>66</v>
      </c>
      <c r="G10" s="15">
        <f t="shared" si="0"/>
        <v>82302</v>
      </c>
      <c r="H10" s="16">
        <f t="shared" si="1"/>
        <v>1254</v>
      </c>
      <c r="I10" s="192" t="s">
        <v>44</v>
      </c>
      <c r="J10" s="202">
        <v>1.3888888888888888E-2</v>
      </c>
      <c r="K10" s="204" t="s">
        <v>44</v>
      </c>
    </row>
    <row r="11" spans="1:11" ht="17" x14ac:dyDescent="0.15">
      <c r="A11" s="200">
        <v>3</v>
      </c>
      <c r="B11" s="201" t="s">
        <v>237</v>
      </c>
      <c r="C11" s="171">
        <v>19</v>
      </c>
      <c r="D11" s="14">
        <v>2.85</v>
      </c>
      <c r="E11" s="173">
        <v>1247</v>
      </c>
      <c r="F11" s="185">
        <v>7</v>
      </c>
      <c r="G11" s="15">
        <f t="shared" si="0"/>
        <v>8729</v>
      </c>
      <c r="H11" s="16">
        <f t="shared" si="1"/>
        <v>133</v>
      </c>
      <c r="I11" s="192" t="s">
        <v>234</v>
      </c>
      <c r="J11" s="202">
        <v>4.1666666666666664E-2</v>
      </c>
      <c r="K11" s="203" t="s">
        <v>235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80</v>
      </c>
      <c r="G22" s="43">
        <f>SUM(G9:G21)/F22</f>
        <v>1244.8125</v>
      </c>
      <c r="H22" s="44">
        <f>SUM(H9:H21)/F22</f>
        <v>18.649999999999999</v>
      </c>
      <c r="I22" s="45" t="s">
        <v>22</v>
      </c>
      <c r="J22" s="170">
        <v>7.6388888888888895E-2</v>
      </c>
      <c r="K22" s="39"/>
    </row>
    <row r="23" spans="1:11" x14ac:dyDescent="0.15">
      <c r="E23" s="46"/>
      <c r="F23" s="47"/>
      <c r="I23" s="48" t="s">
        <v>23</v>
      </c>
      <c r="J23" s="49">
        <v>1.83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80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v>80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1.83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ADE95E0C-1905-47BA-8BD3-BD1719369A65}">
      <formula1>$K$29:$K$85</formula1>
    </dataValidation>
    <dataValidation type="list" allowBlank="1" showInputMessage="1" showErrorMessage="1" sqref="B20:B21" xr:uid="{9A3000A3-90BB-4549-A902-21F114349488}">
      <formula1>$K$29:$K$40</formula1>
    </dataValidation>
    <dataValidation type="list" allowBlank="1" showInputMessage="1" showErrorMessage="1" sqref="I50 K15:K21" xr:uid="{74BD5155-0649-44E1-A952-33364A25AB9E}">
      <formula1>$I$41:$I$50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2374-DA5A-42B9-A31A-F4309BF6BEF3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45871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1361</v>
      </c>
      <c r="F9" s="172">
        <v>76.5</v>
      </c>
      <c r="G9" s="15">
        <f t="shared" ref="G9:G10" si="0">E9*F9</f>
        <v>104116.5</v>
      </c>
      <c r="H9" s="16">
        <f t="shared" ref="H9:H10" si="1">F9*C9</f>
        <v>1147.5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239</v>
      </c>
      <c r="C10" s="171">
        <v>19</v>
      </c>
      <c r="D10" s="14">
        <v>2.85</v>
      </c>
      <c r="E10" s="173">
        <v>1264</v>
      </c>
      <c r="F10" s="172">
        <v>0.5</v>
      </c>
      <c r="G10" s="15">
        <f t="shared" si="0"/>
        <v>632</v>
      </c>
      <c r="H10" s="16">
        <f t="shared" si="1"/>
        <v>9.5</v>
      </c>
      <c r="I10" s="192" t="s">
        <v>44</v>
      </c>
      <c r="J10" s="202">
        <v>1.0416666666666666E-2</v>
      </c>
      <c r="K10" s="204" t="s">
        <v>44</v>
      </c>
    </row>
    <row r="11" spans="1:11" ht="16" x14ac:dyDescent="0.15">
      <c r="A11" s="200"/>
      <c r="B11" s="201"/>
      <c r="C11" s="171"/>
      <c r="D11" s="14"/>
      <c r="E11" s="173"/>
      <c r="F11" s="185"/>
      <c r="G11" s="15"/>
      <c r="H11" s="16"/>
      <c r="I11" s="192" t="s">
        <v>241</v>
      </c>
      <c r="J11" s="202">
        <v>1.7361111111111112E-2</v>
      </c>
      <c r="K11" s="203" t="s">
        <v>241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77</v>
      </c>
      <c r="G22" s="43">
        <f>SUM(G9:G21)/F22</f>
        <v>1360.3701298701299</v>
      </c>
      <c r="H22" s="44">
        <f>SUM(H9:H21)/F22</f>
        <v>15.025974025974026</v>
      </c>
      <c r="I22" s="45" t="s">
        <v>22</v>
      </c>
      <c r="J22" s="170">
        <v>4.8611111111111112E-2</v>
      </c>
      <c r="K22" s="39"/>
    </row>
    <row r="23" spans="1:11" x14ac:dyDescent="0.15">
      <c r="E23" s="46"/>
      <c r="F23" s="47"/>
      <c r="I23" s="48" t="s">
        <v>23</v>
      </c>
      <c r="J23" s="49">
        <v>1.17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77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</f>
        <v>157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3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7142EBC4-9383-4C3D-8AC0-AAEA9D829DCE}">
      <formula1>$I$41:$I$50</formula1>
    </dataValidation>
    <dataValidation type="list" allowBlank="1" showInputMessage="1" showErrorMessage="1" sqref="B20:B21" xr:uid="{CBB7FF63-4525-4680-9322-F05C42BA1138}">
      <formula1>$K$29:$K$40</formula1>
    </dataValidation>
    <dataValidation type="list" allowBlank="1" showInputMessage="1" showErrorMessage="1" sqref="B16:B19" xr:uid="{923BAEC0-F95D-42BA-A006-C0638FFB8440}">
      <formula1>$K$29:$K$85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C866-BCB8-4C41-8B72-1D047A61A9D8}">
  <dimension ref="A1:K85"/>
  <sheetViews>
    <sheetView workbookViewId="0">
      <selection activeCell="K15" sqref="K15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45872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1361</v>
      </c>
      <c r="F9" s="172">
        <v>4</v>
      </c>
      <c r="G9" s="15">
        <f t="shared" ref="G9:G12" si="0">E9*F9</f>
        <v>5444</v>
      </c>
      <c r="H9" s="16">
        <f t="shared" ref="H9:H12" si="1">F9*C9</f>
        <v>60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16</v>
      </c>
      <c r="D10" s="14">
        <v>2.85</v>
      </c>
      <c r="E10" s="173">
        <v>1361</v>
      </c>
      <c r="F10" s="172">
        <v>35.5</v>
      </c>
      <c r="G10" s="15">
        <f t="shared" si="0"/>
        <v>48315.5</v>
      </c>
      <c r="H10" s="16">
        <f t="shared" si="1"/>
        <v>568</v>
      </c>
      <c r="I10" s="192" t="s">
        <v>44</v>
      </c>
      <c r="J10" s="202">
        <v>2.0833333333333332E-2</v>
      </c>
      <c r="K10" s="204" t="s">
        <v>44</v>
      </c>
    </row>
    <row r="11" spans="1:11" ht="17" x14ac:dyDescent="0.15">
      <c r="A11" s="200">
        <v>3</v>
      </c>
      <c r="B11" s="201" t="s">
        <v>237</v>
      </c>
      <c r="C11" s="171">
        <v>17</v>
      </c>
      <c r="D11" s="14">
        <v>2.85</v>
      </c>
      <c r="E11" s="173">
        <v>1320</v>
      </c>
      <c r="F11" s="185">
        <v>7</v>
      </c>
      <c r="G11" s="15">
        <f t="shared" si="0"/>
        <v>9240</v>
      </c>
      <c r="H11" s="16">
        <f t="shared" si="1"/>
        <v>119</v>
      </c>
      <c r="I11" s="192" t="s">
        <v>242</v>
      </c>
      <c r="J11" s="202">
        <v>6.9444444444444441E-3</v>
      </c>
      <c r="K11" s="203" t="s">
        <v>243</v>
      </c>
    </row>
    <row r="12" spans="1:11" ht="19.25" customHeight="1" x14ac:dyDescent="0.15">
      <c r="A12" s="205">
        <v>4</v>
      </c>
      <c r="B12" s="201" t="s">
        <v>239</v>
      </c>
      <c r="C12" s="186">
        <v>19</v>
      </c>
      <c r="D12" s="14">
        <v>2.85</v>
      </c>
      <c r="E12" s="187">
        <v>1277</v>
      </c>
      <c r="F12" s="188">
        <v>41.5</v>
      </c>
      <c r="G12" s="15">
        <f t="shared" si="0"/>
        <v>52995.5</v>
      </c>
      <c r="H12" s="16">
        <f t="shared" si="1"/>
        <v>788.5</v>
      </c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88</v>
      </c>
      <c r="G22" s="43">
        <f>SUM(G9:G21)/F22</f>
        <v>1318.125</v>
      </c>
      <c r="H22" s="44">
        <f>SUM(H9:H21)/F22</f>
        <v>17.448863636363637</v>
      </c>
      <c r="I22" s="45" t="s">
        <v>22</v>
      </c>
      <c r="J22" s="170">
        <v>4.8611111111111112E-2</v>
      </c>
      <c r="K22" s="39"/>
    </row>
    <row r="23" spans="1:11" x14ac:dyDescent="0.15">
      <c r="E23" s="46"/>
      <c r="F23" s="47"/>
      <c r="I23" s="48" t="s">
        <v>23</v>
      </c>
      <c r="J23" s="49">
        <v>1.17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88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</f>
        <v>245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4.17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E59084BC-73E6-47FB-99BB-81D6DA68E148}">
      <formula1>$K$29:$K$85</formula1>
    </dataValidation>
    <dataValidation type="list" allowBlank="1" showInputMessage="1" showErrorMessage="1" sqref="B20:B21" xr:uid="{48EEA057-F181-4C2F-8CC5-3D7E323E97CA}">
      <formula1>$K$29:$K$40</formula1>
    </dataValidation>
    <dataValidation type="list" allowBlank="1" showInputMessage="1" showErrorMessage="1" sqref="I50 K15:K21" xr:uid="{BC121965-D159-4E3F-896B-D5F2E539F917}">
      <formula1>$I$41:$I$50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7254-4587-4739-BCCD-E4D45065D29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45873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14</v>
      </c>
      <c r="D9" s="14">
        <v>2.85</v>
      </c>
      <c r="E9" s="173">
        <v>1326</v>
      </c>
      <c r="F9" s="172">
        <v>4</v>
      </c>
      <c r="G9" s="15">
        <f t="shared" ref="G9:G13" si="0">E9*F9</f>
        <v>5304</v>
      </c>
      <c r="H9" s="16">
        <f t="shared" ref="H9:H13" si="1">F9*C9</f>
        <v>56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15</v>
      </c>
      <c r="D10" s="14">
        <v>2.85</v>
      </c>
      <c r="E10" s="173">
        <v>1361</v>
      </c>
      <c r="F10" s="172">
        <v>20</v>
      </c>
      <c r="G10" s="15">
        <f t="shared" si="0"/>
        <v>27220</v>
      </c>
      <c r="H10" s="16">
        <f t="shared" si="1"/>
        <v>300</v>
      </c>
      <c r="I10" s="192" t="s">
        <v>44</v>
      </c>
      <c r="J10" s="202">
        <v>2.7777777777777776E-2</v>
      </c>
      <c r="K10" s="204" t="s">
        <v>44</v>
      </c>
    </row>
    <row r="11" spans="1:11" ht="17" x14ac:dyDescent="0.15">
      <c r="A11" s="200">
        <v>3</v>
      </c>
      <c r="B11" s="201" t="s">
        <v>244</v>
      </c>
      <c r="C11" s="171">
        <v>12.5</v>
      </c>
      <c r="D11" s="14">
        <v>2.85</v>
      </c>
      <c r="E11" s="173">
        <v>1303</v>
      </c>
      <c r="F11" s="185">
        <v>24</v>
      </c>
      <c r="G11" s="15">
        <f t="shared" si="0"/>
        <v>31272</v>
      </c>
      <c r="H11" s="16">
        <f t="shared" si="1"/>
        <v>300</v>
      </c>
      <c r="I11" s="192" t="s">
        <v>241</v>
      </c>
      <c r="J11" s="202">
        <v>6.9444444444444441E-3</v>
      </c>
      <c r="K11" s="203" t="s">
        <v>241</v>
      </c>
    </row>
    <row r="12" spans="1:11" ht="19.25" customHeight="1" x14ac:dyDescent="0.15">
      <c r="A12" s="205">
        <v>4</v>
      </c>
      <c r="B12" s="201" t="s">
        <v>244</v>
      </c>
      <c r="C12" s="186">
        <v>14</v>
      </c>
      <c r="D12" s="14">
        <v>2.85</v>
      </c>
      <c r="E12" s="187">
        <v>1254</v>
      </c>
      <c r="F12" s="188">
        <v>15</v>
      </c>
      <c r="G12" s="15">
        <f t="shared" si="0"/>
        <v>18810</v>
      </c>
      <c r="H12" s="16">
        <f t="shared" si="1"/>
        <v>210</v>
      </c>
      <c r="I12" s="192"/>
      <c r="J12" s="202"/>
      <c r="K12" s="203"/>
    </row>
    <row r="13" spans="1:11" ht="17" x14ac:dyDescent="0.15">
      <c r="A13" s="207">
        <v>5</v>
      </c>
      <c r="B13" s="201" t="s">
        <v>245</v>
      </c>
      <c r="C13" s="186">
        <v>15</v>
      </c>
      <c r="D13" s="14">
        <v>2.85</v>
      </c>
      <c r="E13" s="187">
        <v>1419</v>
      </c>
      <c r="F13" s="188">
        <v>8</v>
      </c>
      <c r="G13" s="15">
        <f t="shared" si="0"/>
        <v>11352</v>
      </c>
      <c r="H13" s="16">
        <f t="shared" si="1"/>
        <v>120</v>
      </c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71</v>
      </c>
      <c r="G22" s="43">
        <f>SUM(G9:G21)/F22</f>
        <v>1323.3521126760563</v>
      </c>
      <c r="H22" s="44">
        <f>SUM(H9:H21)/F22</f>
        <v>13.887323943661972</v>
      </c>
      <c r="I22" s="45" t="s">
        <v>22</v>
      </c>
      <c r="J22" s="170">
        <v>5.5555555555555552E-2</v>
      </c>
      <c r="K22" s="39"/>
    </row>
    <row r="23" spans="1:11" x14ac:dyDescent="0.15">
      <c r="E23" s="46"/>
      <c r="F23" s="47"/>
      <c r="I23" s="48" t="s">
        <v>23</v>
      </c>
      <c r="J23" s="49">
        <v>1.33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71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</f>
        <v>316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5.5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EA6FA64C-EBA8-482E-8B77-219FFE04F413}">
      <formula1>$I$41:$I$50</formula1>
    </dataValidation>
    <dataValidation type="list" allowBlank="1" showInputMessage="1" showErrorMessage="1" sqref="B20:B21" xr:uid="{058CADCC-EB4D-478A-82E8-8AEF43EF0973}">
      <formula1>$K$29:$K$40</formula1>
    </dataValidation>
    <dataValidation type="list" allowBlank="1" showInputMessage="1" showErrorMessage="1" sqref="B16:B19" xr:uid="{BF382817-8442-4107-A791-6897E358A75A}">
      <formula1>$K$29:$K$85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79DB-747E-415C-9DEB-E05CF5FE7705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45874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244</v>
      </c>
      <c r="C9" s="171">
        <v>14</v>
      </c>
      <c r="D9" s="14">
        <v>2.85</v>
      </c>
      <c r="E9" s="173">
        <v>1413</v>
      </c>
      <c r="F9" s="172">
        <v>32</v>
      </c>
      <c r="G9" s="15">
        <f t="shared" ref="G9:G10" si="0">E9*F9</f>
        <v>45216</v>
      </c>
      <c r="H9" s="16">
        <f t="shared" ref="H9:H10" si="1">F9*C9</f>
        <v>448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244</v>
      </c>
      <c r="C10" s="171">
        <v>12.5</v>
      </c>
      <c r="D10" s="14">
        <v>2.85</v>
      </c>
      <c r="E10" s="173">
        <v>1440</v>
      </c>
      <c r="F10" s="172">
        <v>38</v>
      </c>
      <c r="G10" s="15">
        <f t="shared" si="0"/>
        <v>54720</v>
      </c>
      <c r="H10" s="16">
        <f t="shared" si="1"/>
        <v>475</v>
      </c>
      <c r="I10" s="192" t="s">
        <v>44</v>
      </c>
      <c r="J10" s="202">
        <v>2.0833333333333332E-2</v>
      </c>
      <c r="K10" s="204" t="s">
        <v>44</v>
      </c>
    </row>
    <row r="11" spans="1:11" ht="16" x14ac:dyDescent="0.15">
      <c r="A11" s="200"/>
      <c r="B11" s="201"/>
      <c r="C11" s="171"/>
      <c r="D11" s="14"/>
      <c r="E11" s="173"/>
      <c r="F11" s="185"/>
      <c r="G11" s="15"/>
      <c r="H11" s="16"/>
      <c r="I11" s="192" t="s">
        <v>246</v>
      </c>
      <c r="J11" s="202">
        <v>2.7777777777777776E-2</v>
      </c>
      <c r="K11" s="203" t="s">
        <v>247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70</v>
      </c>
      <c r="G22" s="43">
        <f>SUM(G9:G21)/F22</f>
        <v>1427.6571428571428</v>
      </c>
      <c r="H22" s="44">
        <f>SUM(H9:H21)/F22</f>
        <v>13.185714285714285</v>
      </c>
      <c r="I22" s="45" t="s">
        <v>22</v>
      </c>
      <c r="J22" s="170">
        <v>6.9444444444444448E-2</v>
      </c>
      <c r="K22" s="39"/>
    </row>
    <row r="23" spans="1:11" x14ac:dyDescent="0.15">
      <c r="E23" s="46"/>
      <c r="F23" s="47"/>
      <c r="I23" s="48" t="s">
        <v>23</v>
      </c>
      <c r="J23" s="49">
        <v>1.67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70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</f>
        <v>386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7.17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13967CBC-7577-4B79-A388-929467860809}">
      <formula1>$K$29:$K$85</formula1>
    </dataValidation>
    <dataValidation type="list" allowBlank="1" showInputMessage="1" showErrorMessage="1" sqref="B20:B21" xr:uid="{BF341608-79BF-4B23-95EC-EEDB021559EE}">
      <formula1>$K$29:$K$40</formula1>
    </dataValidation>
    <dataValidation type="list" allowBlank="1" showInputMessage="1" showErrorMessage="1" sqref="I50 K15:K21" xr:uid="{6E88EE6F-2AB0-4FFF-BE0E-01D4C51AAF37}">
      <formula1>$I$41:$I$50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E097-8462-406D-8919-25860F734CBE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45875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244</v>
      </c>
      <c r="C9" s="171">
        <v>14</v>
      </c>
      <c r="D9" s="14">
        <v>2.85</v>
      </c>
      <c r="E9" s="173">
        <v>1413</v>
      </c>
      <c r="F9" s="172">
        <v>34</v>
      </c>
      <c r="G9" s="15">
        <f t="shared" ref="G9:G10" si="0">E9*F9</f>
        <v>48042</v>
      </c>
      <c r="H9" s="16">
        <f t="shared" ref="H9:H10" si="1">F9*C9</f>
        <v>476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244</v>
      </c>
      <c r="C10" s="171">
        <v>12.5</v>
      </c>
      <c r="D10" s="14">
        <v>2.85</v>
      </c>
      <c r="E10" s="173">
        <v>1440</v>
      </c>
      <c r="F10" s="172">
        <v>36</v>
      </c>
      <c r="G10" s="15">
        <f t="shared" si="0"/>
        <v>51840</v>
      </c>
      <c r="H10" s="16">
        <f t="shared" si="1"/>
        <v>450</v>
      </c>
      <c r="I10" s="192" t="s">
        <v>44</v>
      </c>
      <c r="J10" s="202">
        <v>2.0833333333333332E-2</v>
      </c>
      <c r="K10" s="204" t="s">
        <v>44</v>
      </c>
    </row>
    <row r="11" spans="1:11" ht="16" x14ac:dyDescent="0.15">
      <c r="A11" s="200"/>
      <c r="B11" s="201"/>
      <c r="C11" s="171"/>
      <c r="D11" s="14"/>
      <c r="E11" s="173"/>
      <c r="F11" s="185"/>
      <c r="G11" s="15"/>
      <c r="H11" s="16"/>
      <c r="I11" s="192" t="s">
        <v>246</v>
      </c>
      <c r="J11" s="202">
        <v>6.9444444444444441E-3</v>
      </c>
      <c r="K11" s="203" t="s">
        <v>248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 t="s">
        <v>241</v>
      </c>
      <c r="J12" s="202">
        <v>6.9444444444444441E-3</v>
      </c>
      <c r="K12" s="203" t="s">
        <v>241</v>
      </c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70</v>
      </c>
      <c r="G22" s="43">
        <f>SUM(G9:G21)/F22</f>
        <v>1426.8857142857144</v>
      </c>
      <c r="H22" s="44">
        <f>SUM(H9:H21)/F22</f>
        <v>13.228571428571428</v>
      </c>
      <c r="I22" s="45" t="s">
        <v>22</v>
      </c>
      <c r="J22" s="170">
        <v>5.5555555555555552E-2</v>
      </c>
      <c r="K22" s="39"/>
    </row>
    <row r="23" spans="1:11" x14ac:dyDescent="0.15">
      <c r="E23" s="46"/>
      <c r="F23" s="47"/>
      <c r="I23" s="48" t="s">
        <v>23</v>
      </c>
      <c r="J23" s="49">
        <v>1.33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70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</f>
        <v>456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8.5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5E27E7CB-3182-407F-8C69-0B3827D10C88}">
      <formula1>$I$41:$I$50</formula1>
    </dataValidation>
    <dataValidation type="list" allowBlank="1" showInputMessage="1" showErrorMessage="1" sqref="B20:B21" xr:uid="{D0548170-C5EC-421B-A4FF-86738BEA7DD1}">
      <formula1>$K$29:$K$40</formula1>
    </dataValidation>
    <dataValidation type="list" allowBlank="1" showInputMessage="1" showErrorMessage="1" sqref="B16:B19" xr:uid="{ADF93E55-2A6F-4DD2-B3AC-C170AAE1A959}">
      <formula1>$K$29:$K$85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B22F-64F5-4C0F-A41A-2F55CF0C1F6C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45876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244</v>
      </c>
      <c r="C9" s="171">
        <v>12.5</v>
      </c>
      <c r="D9" s="14">
        <v>2.85</v>
      </c>
      <c r="E9" s="173">
        <v>1413</v>
      </c>
      <c r="F9" s="172">
        <v>18</v>
      </c>
      <c r="G9" s="15">
        <f t="shared" ref="G9:G14" si="0">E9*F9</f>
        <v>25434</v>
      </c>
      <c r="H9" s="16">
        <f t="shared" ref="H9:H14" si="1">F9*C9</f>
        <v>225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244</v>
      </c>
      <c r="C10" s="171">
        <v>13.5</v>
      </c>
      <c r="D10" s="14">
        <v>2.85</v>
      </c>
      <c r="E10" s="173">
        <v>1413</v>
      </c>
      <c r="F10" s="172">
        <v>3</v>
      </c>
      <c r="G10" s="15">
        <f t="shared" si="0"/>
        <v>4239</v>
      </c>
      <c r="H10" s="16">
        <f t="shared" si="1"/>
        <v>40.5</v>
      </c>
      <c r="I10" s="192" t="s">
        <v>44</v>
      </c>
      <c r="J10" s="202">
        <v>2.0833333333333332E-2</v>
      </c>
      <c r="K10" s="204" t="s">
        <v>44</v>
      </c>
    </row>
    <row r="11" spans="1:11" ht="17" x14ac:dyDescent="0.15">
      <c r="A11" s="200">
        <v>3</v>
      </c>
      <c r="B11" s="201" t="s">
        <v>244</v>
      </c>
      <c r="C11" s="171">
        <v>14</v>
      </c>
      <c r="D11" s="14">
        <v>2.85</v>
      </c>
      <c r="E11" s="173">
        <v>1422</v>
      </c>
      <c r="F11" s="185">
        <v>1</v>
      </c>
      <c r="G11" s="15">
        <f t="shared" si="0"/>
        <v>1422</v>
      </c>
      <c r="H11" s="16">
        <f t="shared" si="1"/>
        <v>14</v>
      </c>
      <c r="I11" s="192" t="s">
        <v>246</v>
      </c>
      <c r="J11" s="202">
        <v>6.9444444444444441E-3</v>
      </c>
      <c r="K11" s="203" t="s">
        <v>248</v>
      </c>
    </row>
    <row r="12" spans="1:11" ht="19.25" customHeight="1" x14ac:dyDescent="0.15">
      <c r="A12" s="205">
        <v>4</v>
      </c>
      <c r="B12" s="201" t="s">
        <v>237</v>
      </c>
      <c r="C12" s="186">
        <v>15</v>
      </c>
      <c r="D12" s="14">
        <v>2.85</v>
      </c>
      <c r="E12" s="187">
        <v>1485</v>
      </c>
      <c r="F12" s="188">
        <v>25.4</v>
      </c>
      <c r="G12" s="15">
        <f t="shared" si="0"/>
        <v>37719</v>
      </c>
      <c r="H12" s="16">
        <f t="shared" si="1"/>
        <v>381</v>
      </c>
      <c r="I12" s="192"/>
      <c r="J12" s="202"/>
      <c r="K12" s="203"/>
    </row>
    <row r="13" spans="1:11" ht="17" x14ac:dyDescent="0.15">
      <c r="A13" s="207">
        <v>5</v>
      </c>
      <c r="B13" s="201" t="s">
        <v>237</v>
      </c>
      <c r="C13" s="186">
        <v>16</v>
      </c>
      <c r="D13" s="14">
        <v>2.85</v>
      </c>
      <c r="E13" s="187">
        <v>1458</v>
      </c>
      <c r="F13" s="188">
        <v>12.8</v>
      </c>
      <c r="G13" s="15">
        <f t="shared" si="0"/>
        <v>18662.400000000001</v>
      </c>
      <c r="H13" s="16">
        <f t="shared" si="1"/>
        <v>204.8</v>
      </c>
      <c r="I13" s="192"/>
      <c r="J13" s="202"/>
      <c r="K13" s="206"/>
    </row>
    <row r="14" spans="1:11" ht="17" x14ac:dyDescent="0.15">
      <c r="A14" s="200">
        <v>6</v>
      </c>
      <c r="B14" s="201" t="s">
        <v>237</v>
      </c>
      <c r="C14" s="193">
        <v>17</v>
      </c>
      <c r="D14" s="14">
        <v>2.85</v>
      </c>
      <c r="E14" s="194">
        <v>1485</v>
      </c>
      <c r="F14" s="195">
        <v>21.8</v>
      </c>
      <c r="G14" s="15">
        <f t="shared" si="0"/>
        <v>32373</v>
      </c>
      <c r="H14" s="16">
        <f t="shared" si="1"/>
        <v>370.6</v>
      </c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82</v>
      </c>
      <c r="G22" s="43">
        <f>SUM(G9:G21)/F22</f>
        <v>1461.5780487804877</v>
      </c>
      <c r="H22" s="44">
        <f>SUM(H9:H21)/F22</f>
        <v>15.071951219512195</v>
      </c>
      <c r="I22" s="45" t="s">
        <v>22</v>
      </c>
      <c r="J22" s="170">
        <v>4.8611111111111112E-2</v>
      </c>
      <c r="K22" s="39"/>
    </row>
    <row r="23" spans="1:11" x14ac:dyDescent="0.15">
      <c r="E23" s="46"/>
      <c r="F23" s="47"/>
      <c r="I23" s="48" t="s">
        <v>23</v>
      </c>
      <c r="J23" s="49">
        <v>1.17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82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</f>
        <v>538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9.67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27D72EF0-CC49-40B2-9195-76ECC8B9DA45}">
      <formula1>$K$29:$K$85</formula1>
    </dataValidation>
    <dataValidation type="list" allowBlank="1" showInputMessage="1" showErrorMessage="1" sqref="B20:B21" xr:uid="{E9A36A12-28DB-4A96-A73C-66EC958BE73F}">
      <formula1>$K$29:$K$40</formula1>
    </dataValidation>
    <dataValidation type="list" allowBlank="1" showInputMessage="1" showErrorMessage="1" sqref="I50 K15:K21" xr:uid="{FDCC57C2-B34D-4FC5-B314-1761C434368F}">
      <formula1>$I$41:$I$50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D365-7A4D-440F-85E1-2834FBC543D4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45877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14</v>
      </c>
      <c r="D9" s="14">
        <v>2.85</v>
      </c>
      <c r="E9" s="173">
        <v>1494</v>
      </c>
      <c r="F9" s="172">
        <v>16</v>
      </c>
      <c r="G9" s="15">
        <f t="shared" ref="G9:G12" si="0">E9*F9</f>
        <v>23904</v>
      </c>
      <c r="H9" s="16">
        <f t="shared" ref="H9:H12" si="1">F9*C9</f>
        <v>224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15</v>
      </c>
      <c r="D10" s="14">
        <v>2.85</v>
      </c>
      <c r="E10" s="173">
        <v>1498</v>
      </c>
      <c r="F10" s="172">
        <v>49.7</v>
      </c>
      <c r="G10" s="15">
        <f t="shared" si="0"/>
        <v>74450.600000000006</v>
      </c>
      <c r="H10" s="16">
        <f t="shared" si="1"/>
        <v>745.5</v>
      </c>
      <c r="I10" s="192" t="s">
        <v>44</v>
      </c>
      <c r="J10" s="202">
        <v>2.7777777777777776E-2</v>
      </c>
      <c r="K10" s="204" t="s">
        <v>44</v>
      </c>
    </row>
    <row r="11" spans="1:11" ht="17" x14ac:dyDescent="0.15">
      <c r="A11" s="200">
        <v>3</v>
      </c>
      <c r="B11" s="201" t="s">
        <v>237</v>
      </c>
      <c r="C11" s="171">
        <v>16</v>
      </c>
      <c r="D11" s="14">
        <v>2.85</v>
      </c>
      <c r="E11" s="173">
        <v>1494</v>
      </c>
      <c r="F11" s="185">
        <v>5.5</v>
      </c>
      <c r="G11" s="15">
        <f t="shared" si="0"/>
        <v>8217</v>
      </c>
      <c r="H11" s="16">
        <f t="shared" si="1"/>
        <v>88</v>
      </c>
      <c r="I11" s="192"/>
      <c r="J11" s="202"/>
      <c r="K11" s="203"/>
    </row>
    <row r="12" spans="1:11" ht="19.25" customHeight="1" x14ac:dyDescent="0.15">
      <c r="A12" s="205">
        <v>4</v>
      </c>
      <c r="B12" s="201" t="s">
        <v>237</v>
      </c>
      <c r="C12" s="186">
        <v>17</v>
      </c>
      <c r="D12" s="14">
        <v>2.85</v>
      </c>
      <c r="E12" s="187">
        <v>1494</v>
      </c>
      <c r="F12" s="188">
        <v>13.8</v>
      </c>
      <c r="G12" s="15">
        <f t="shared" si="0"/>
        <v>20617.2</v>
      </c>
      <c r="H12" s="16">
        <f t="shared" si="1"/>
        <v>234.60000000000002</v>
      </c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85</v>
      </c>
      <c r="G22" s="43">
        <f>SUM(G9:G21)/F22</f>
        <v>1496.3388235294119</v>
      </c>
      <c r="H22" s="44">
        <f>SUM(H9:H21)/F22</f>
        <v>15.201176470588234</v>
      </c>
      <c r="I22" s="45" t="s">
        <v>22</v>
      </c>
      <c r="J22" s="170">
        <v>4.8611111111111112E-2</v>
      </c>
      <c r="K22" s="39"/>
    </row>
    <row r="23" spans="1:11" x14ac:dyDescent="0.15">
      <c r="E23" s="46"/>
      <c r="F23" s="47"/>
      <c r="I23" s="48" t="s">
        <v>23</v>
      </c>
      <c r="J23" s="49">
        <v>1.17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85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</f>
        <v>623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10.83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138A8AF7-4BAC-40F9-898B-CDECAC343048}">
      <formula1>$I$41:$I$50</formula1>
    </dataValidation>
    <dataValidation type="list" allowBlank="1" showInputMessage="1" showErrorMessage="1" sqref="B20:B21" xr:uid="{38724C54-8D00-4A3F-B9E1-C48C4CFC3FEE}">
      <formula1>$K$29:$K$40</formula1>
    </dataValidation>
    <dataValidation type="list" allowBlank="1" showInputMessage="1" showErrorMessage="1" sqref="B16:B19" xr:uid="{A36438A2-CBC8-48FE-A1CC-213C3D14193D}">
      <formula1>$K$29:$K$85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63E8-4492-4E50-B276-F03C12919A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45878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14</v>
      </c>
      <c r="D9" s="14">
        <v>2.85</v>
      </c>
      <c r="E9" s="173">
        <v>1476</v>
      </c>
      <c r="F9" s="172">
        <v>6.5</v>
      </c>
      <c r="G9" s="15">
        <f t="shared" ref="G9:G13" si="0">E9*F9</f>
        <v>9594</v>
      </c>
      <c r="H9" s="16">
        <f>F9*C9</f>
        <v>91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15</v>
      </c>
      <c r="D10" s="14">
        <v>2.85</v>
      </c>
      <c r="E10" s="173">
        <v>1476</v>
      </c>
      <c r="F10" s="172">
        <v>22</v>
      </c>
      <c r="G10" s="15">
        <f t="shared" si="0"/>
        <v>32472</v>
      </c>
      <c r="H10" s="16">
        <f t="shared" ref="H10:H12" si="1">F10*C10</f>
        <v>330</v>
      </c>
      <c r="I10" s="192" t="s">
        <v>44</v>
      </c>
      <c r="J10" s="202">
        <v>2.4305555555555556E-2</v>
      </c>
      <c r="K10" s="204" t="s">
        <v>44</v>
      </c>
    </row>
    <row r="11" spans="1:11" ht="17" x14ac:dyDescent="0.15">
      <c r="A11" s="200">
        <v>3</v>
      </c>
      <c r="B11" s="201" t="s">
        <v>237</v>
      </c>
      <c r="C11" s="171">
        <v>16</v>
      </c>
      <c r="D11" s="14">
        <v>2.85</v>
      </c>
      <c r="E11" s="173">
        <v>1452</v>
      </c>
      <c r="F11" s="185">
        <v>8.5</v>
      </c>
      <c r="G11" s="15">
        <f t="shared" si="0"/>
        <v>12342</v>
      </c>
      <c r="H11" s="16">
        <f t="shared" si="1"/>
        <v>136</v>
      </c>
      <c r="I11" s="192"/>
      <c r="J11" s="202"/>
      <c r="K11" s="203"/>
    </row>
    <row r="12" spans="1:11" ht="19.25" customHeight="1" x14ac:dyDescent="0.15">
      <c r="A12" s="205">
        <v>4</v>
      </c>
      <c r="B12" s="201" t="s">
        <v>239</v>
      </c>
      <c r="C12" s="186">
        <v>19</v>
      </c>
      <c r="D12" s="14">
        <v>2.85</v>
      </c>
      <c r="E12" s="187">
        <v>1292</v>
      </c>
      <c r="F12" s="188">
        <v>46</v>
      </c>
      <c r="G12" s="15">
        <f t="shared" si="0"/>
        <v>59432</v>
      </c>
      <c r="H12" s="16">
        <f t="shared" si="1"/>
        <v>874</v>
      </c>
      <c r="I12" s="192"/>
      <c r="J12" s="202"/>
      <c r="K12" s="203"/>
    </row>
    <row r="13" spans="1:11" ht="17" x14ac:dyDescent="0.15">
      <c r="A13" s="207">
        <v>5</v>
      </c>
      <c r="B13" s="201" t="s">
        <v>239</v>
      </c>
      <c r="C13" s="186">
        <v>21</v>
      </c>
      <c r="D13" s="14">
        <v>2.85</v>
      </c>
      <c r="E13" s="187">
        <v>1200</v>
      </c>
      <c r="F13" s="188">
        <v>7</v>
      </c>
      <c r="G13" s="15">
        <f t="shared" si="0"/>
        <v>8400</v>
      </c>
      <c r="H13" s="16">
        <f>F13*C13</f>
        <v>147</v>
      </c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90</v>
      </c>
      <c r="G22" s="43">
        <f>SUM(G9:G21)/F22</f>
        <v>1358.2222222222222</v>
      </c>
      <c r="H22" s="44">
        <f>SUM(H9:H21)/F22</f>
        <v>17.533333333333335</v>
      </c>
      <c r="I22" s="45" t="s">
        <v>22</v>
      </c>
      <c r="J22" s="170">
        <v>4.5138888888888888E-2</v>
      </c>
      <c r="K22" s="39"/>
    </row>
    <row r="23" spans="1:11" x14ac:dyDescent="0.15">
      <c r="E23" s="46"/>
      <c r="F23" s="47"/>
      <c r="I23" s="48" t="s">
        <v>23</v>
      </c>
      <c r="J23" s="49">
        <v>1.08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90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</f>
        <v>713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11.92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CAC504F9-164E-48C1-A58C-E83CC022BEA8}">
      <formula1>$K$29:$K$85</formula1>
    </dataValidation>
    <dataValidation type="list" allowBlank="1" showInputMessage="1" showErrorMessage="1" sqref="B20:B21" xr:uid="{4EF93ECB-52A2-477C-917E-F2E056A17AC3}">
      <formula1>$K$29:$K$40</formula1>
    </dataValidation>
    <dataValidation type="list" allowBlank="1" showInputMessage="1" showErrorMessage="1" sqref="I50 K15:K21" xr:uid="{CF2416B1-7590-4AB3-AA60-B88FB6105EB0}">
      <formula1>$I$41:$I$50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6003-04C3-4420-AF1A-1D262FCEE42A}">
  <dimension ref="A1:K85"/>
  <sheetViews>
    <sheetView zoomScale="94"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45879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9" x14ac:dyDescent="0.15">
      <c r="A9" s="212">
        <v>1</v>
      </c>
      <c r="B9" s="213" t="s">
        <v>237</v>
      </c>
      <c r="C9" s="214">
        <v>15</v>
      </c>
      <c r="D9" s="14">
        <v>2.85</v>
      </c>
      <c r="E9" s="216">
        <v>1494</v>
      </c>
      <c r="F9" s="217">
        <v>31</v>
      </c>
      <c r="G9" s="15">
        <f t="shared" ref="G9:G10" si="0">E9*F9</f>
        <v>46314</v>
      </c>
      <c r="H9" s="16">
        <f>F9*C9</f>
        <v>465</v>
      </c>
      <c r="I9" s="218" t="s">
        <v>20</v>
      </c>
      <c r="J9" s="219">
        <v>2.0833333333333332E-2</v>
      </c>
      <c r="K9" s="220" t="s">
        <v>231</v>
      </c>
    </row>
    <row r="10" spans="1:11" ht="19" x14ac:dyDescent="0.15">
      <c r="A10" s="215">
        <v>2</v>
      </c>
      <c r="B10" s="213" t="s">
        <v>239</v>
      </c>
      <c r="C10" s="214">
        <v>19</v>
      </c>
      <c r="D10" s="14">
        <v>2.85</v>
      </c>
      <c r="E10" s="216">
        <v>1264</v>
      </c>
      <c r="F10" s="217">
        <v>59</v>
      </c>
      <c r="G10" s="15">
        <f t="shared" si="0"/>
        <v>74576</v>
      </c>
      <c r="H10" s="16">
        <f t="shared" ref="H10" si="1">F10*C10</f>
        <v>1121</v>
      </c>
      <c r="I10" s="221" t="s">
        <v>44</v>
      </c>
      <c r="J10" s="222">
        <v>2.7777777777777776E-2</v>
      </c>
      <c r="K10" s="223" t="s">
        <v>44</v>
      </c>
    </row>
    <row r="11" spans="1:11" ht="18" x14ac:dyDescent="0.15">
      <c r="A11" s="200"/>
      <c r="B11" s="201"/>
      <c r="C11" s="171"/>
      <c r="D11" s="14"/>
      <c r="E11" s="173"/>
      <c r="F11" s="185"/>
      <c r="G11" s="15"/>
      <c r="H11" s="16"/>
      <c r="I11" s="221"/>
      <c r="J11" s="222"/>
      <c r="K11" s="224"/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90</v>
      </c>
      <c r="G22" s="43">
        <f>SUM(G9:G21)/F22</f>
        <v>1343.2222222222222</v>
      </c>
      <c r="H22" s="44">
        <f>SUM(H9:H21)/F22</f>
        <v>17.622222222222224</v>
      </c>
      <c r="I22" s="45" t="s">
        <v>22</v>
      </c>
      <c r="J22" s="170">
        <v>4.8611111111111112E-2</v>
      </c>
      <c r="K22" s="39"/>
    </row>
    <row r="23" spans="1:11" x14ac:dyDescent="0.15">
      <c r="E23" s="46"/>
      <c r="F23" s="47"/>
      <c r="I23" s="48" t="s">
        <v>23</v>
      </c>
      <c r="J23" s="49">
        <v>1.17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90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</f>
        <v>803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13.08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7F6E0CD9-3D54-411C-92C8-DC407040918B}">
      <formula1>$I$41:$I$50</formula1>
    </dataValidation>
    <dataValidation type="list" allowBlank="1" showInputMessage="1" showErrorMessage="1" sqref="B20:B21" xr:uid="{E681F7A8-6A84-4343-8253-D0C3CA0F3E4F}">
      <formula1>$K$29:$K$40</formula1>
    </dataValidation>
    <dataValidation type="list" allowBlank="1" showInputMessage="1" showErrorMessage="1" sqref="B16:B19" xr:uid="{A5AAAA26-BAB7-4E27-B8AA-C369CE2AEAF4}">
      <formula1>$K$29:$K$85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AD3C-8BFA-4AC3-B3A8-664899C9C19C}">
  <dimension ref="A1:K85"/>
  <sheetViews>
    <sheetView workbookViewId="0">
      <selection activeCell="K15" sqref="K15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45880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239</v>
      </c>
      <c r="C9" s="171">
        <v>17</v>
      </c>
      <c r="D9" s="14">
        <v>2.85</v>
      </c>
      <c r="E9" s="173">
        <v>1431</v>
      </c>
      <c r="F9" s="172">
        <v>49.5</v>
      </c>
      <c r="G9" s="15">
        <f t="shared" ref="G9:G11" si="0">E9*F9</f>
        <v>70834.5</v>
      </c>
      <c r="H9" s="16">
        <f>F9*C9</f>
        <v>841.5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239</v>
      </c>
      <c r="C10" s="171">
        <v>19</v>
      </c>
      <c r="D10" s="14">
        <v>2.85</v>
      </c>
      <c r="E10" s="173">
        <v>1272</v>
      </c>
      <c r="F10" s="172">
        <v>37.5</v>
      </c>
      <c r="G10" s="15">
        <f t="shared" si="0"/>
        <v>47700</v>
      </c>
      <c r="H10" s="16">
        <f t="shared" ref="H10" si="1">F10*C10</f>
        <v>712.5</v>
      </c>
      <c r="I10" s="192" t="s">
        <v>44</v>
      </c>
      <c r="J10" s="202">
        <v>1.3888888888888888E-2</v>
      </c>
      <c r="K10" s="204" t="s">
        <v>44</v>
      </c>
    </row>
    <row r="11" spans="1:11" ht="17" x14ac:dyDescent="0.15">
      <c r="A11" s="200">
        <v>3</v>
      </c>
      <c r="B11" s="201" t="s">
        <v>239</v>
      </c>
      <c r="C11" s="171">
        <v>21</v>
      </c>
      <c r="D11" s="14">
        <v>2.85</v>
      </c>
      <c r="E11" s="173">
        <v>1215</v>
      </c>
      <c r="F11" s="185">
        <v>6</v>
      </c>
      <c r="G11" s="15">
        <f t="shared" si="0"/>
        <v>7290</v>
      </c>
      <c r="H11" s="16">
        <f>F11*C11</f>
        <v>126</v>
      </c>
      <c r="I11" s="192"/>
      <c r="J11" s="202"/>
      <c r="K11" s="203"/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93</v>
      </c>
      <c r="G22" s="43">
        <f>SUM(G9:G21)/F22</f>
        <v>1352.9516129032259</v>
      </c>
      <c r="H22" s="44">
        <f>SUM(H9:H21)/F22</f>
        <v>18.06451612903226</v>
      </c>
      <c r="I22" s="45" t="s">
        <v>22</v>
      </c>
      <c r="J22" s="170">
        <v>3.4722222222222224E-2</v>
      </c>
      <c r="K22" s="39"/>
    </row>
    <row r="23" spans="1:11" x14ac:dyDescent="0.15">
      <c r="E23" s="46"/>
      <c r="F23" s="47"/>
      <c r="I23" s="48" t="s">
        <v>23</v>
      </c>
      <c r="J23" s="49">
        <v>0.83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93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</f>
        <v>896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13.92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6CD28832-C79F-4513-82FC-00A9BB84FF68}">
      <formula1>$K$29:$K$85</formula1>
    </dataValidation>
    <dataValidation type="list" allowBlank="1" showInputMessage="1" showErrorMessage="1" sqref="B20:B21" xr:uid="{1B1EEE9B-B167-44B2-B692-10E40F559468}">
      <formula1>$K$29:$K$40</formula1>
    </dataValidation>
    <dataValidation type="list" allowBlank="1" showInputMessage="1" showErrorMessage="1" sqref="I50 K15:K21" xr:uid="{8BC2DDD3-47F3-4CE7-89F8-F35D5B8EC49E}">
      <formula1>$I$41:$I$50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0E47-74DB-4E71-B137-7AA66E2B57BA}">
  <dimension ref="A1:K85"/>
  <sheetViews>
    <sheetView topLeftCell="A10" workbookViewId="0">
      <selection activeCell="A10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45881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1494</v>
      </c>
      <c r="F9" s="172">
        <v>6</v>
      </c>
      <c r="G9" s="15">
        <f t="shared" ref="G9:G12" si="0">E9*F9</f>
        <v>8964</v>
      </c>
      <c r="H9" s="16">
        <f>F9*C9</f>
        <v>90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239</v>
      </c>
      <c r="C10" s="171">
        <v>17</v>
      </c>
      <c r="D10" s="14">
        <v>2.85</v>
      </c>
      <c r="E10" s="173">
        <v>1449</v>
      </c>
      <c r="F10" s="172">
        <v>15</v>
      </c>
      <c r="G10" s="15">
        <f t="shared" si="0"/>
        <v>21735</v>
      </c>
      <c r="H10" s="16">
        <f t="shared" ref="H10" si="1">F10*C10</f>
        <v>255</v>
      </c>
      <c r="I10" s="192" t="s">
        <v>44</v>
      </c>
      <c r="J10" s="202">
        <v>2.0833333333333332E-2</v>
      </c>
      <c r="K10" s="204" t="s">
        <v>44</v>
      </c>
    </row>
    <row r="11" spans="1:11" ht="17" x14ac:dyDescent="0.15">
      <c r="A11" s="200">
        <v>3</v>
      </c>
      <c r="B11" s="201" t="s">
        <v>249</v>
      </c>
      <c r="C11" s="171">
        <v>15</v>
      </c>
      <c r="D11" s="14">
        <v>2.85</v>
      </c>
      <c r="E11" s="173">
        <v>1383</v>
      </c>
      <c r="F11" s="185">
        <v>32</v>
      </c>
      <c r="G11" s="15">
        <f t="shared" si="0"/>
        <v>44256</v>
      </c>
      <c r="H11" s="16">
        <f>F11*C11</f>
        <v>480</v>
      </c>
      <c r="I11" s="192" t="s">
        <v>250</v>
      </c>
      <c r="J11" s="202">
        <v>4.1666666666666664E-2</v>
      </c>
      <c r="K11" s="203" t="s">
        <v>251</v>
      </c>
    </row>
    <row r="12" spans="1:11" ht="19.25" customHeight="1" x14ac:dyDescent="0.15">
      <c r="A12" s="205">
        <v>4</v>
      </c>
      <c r="B12" s="201" t="s">
        <v>249</v>
      </c>
      <c r="C12" s="186">
        <v>17</v>
      </c>
      <c r="D12" s="14">
        <v>2.85</v>
      </c>
      <c r="E12" s="187">
        <v>1399</v>
      </c>
      <c r="F12" s="188">
        <v>29</v>
      </c>
      <c r="G12" s="15">
        <f t="shared" si="0"/>
        <v>40571</v>
      </c>
      <c r="H12" s="16">
        <f>F12*C12</f>
        <v>493</v>
      </c>
      <c r="I12" s="192" t="s">
        <v>234</v>
      </c>
      <c r="J12" s="202">
        <v>5.5555555555555552E-2</v>
      </c>
      <c r="K12" s="203" t="s">
        <v>252</v>
      </c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 t="s">
        <v>253</v>
      </c>
      <c r="J13" s="202">
        <v>4.1666666666666664E-2</v>
      </c>
      <c r="K13" s="206" t="s">
        <v>254</v>
      </c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82</v>
      </c>
      <c r="G22" s="43">
        <f>SUM(G9:G21)/F22</f>
        <v>1408.8536585365853</v>
      </c>
      <c r="H22" s="44">
        <f>SUM(H9:H21)/F22</f>
        <v>16.073170731707318</v>
      </c>
      <c r="I22" s="45" t="s">
        <v>22</v>
      </c>
      <c r="J22" s="170">
        <v>0.18055555555555555</v>
      </c>
      <c r="K22" s="39"/>
    </row>
    <row r="23" spans="1:11" x14ac:dyDescent="0.15">
      <c r="E23" s="46"/>
      <c r="F23" s="47"/>
      <c r="I23" s="48" t="s">
        <v>23</v>
      </c>
      <c r="J23" s="49">
        <v>4.33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82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</f>
        <v>978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18.25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42A1ADF4-E23A-46AE-AA2A-794B213B60B0}">
      <formula1>$I$41:$I$50</formula1>
    </dataValidation>
    <dataValidation type="list" allowBlank="1" showInputMessage="1" showErrorMessage="1" sqref="B20:B21" xr:uid="{BC9CE995-C70E-44FD-A1C8-7A88249575EB}">
      <formula1>$K$29:$K$40</formula1>
    </dataValidation>
    <dataValidation type="list" allowBlank="1" showInputMessage="1" showErrorMessage="1" sqref="B16:B19" xr:uid="{0214F9DB-D915-4927-BAF0-581F4FC6C720}">
      <formula1>$K$29:$K$85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CF51-01A9-40C2-BF7C-1F7B72C2D133}">
  <dimension ref="A1:K85"/>
  <sheetViews>
    <sheetView topLeftCell="A7" workbookViewId="0">
      <selection activeCell="A7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45882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249</v>
      </c>
      <c r="C9" s="171">
        <v>15</v>
      </c>
      <c r="D9" s="14">
        <v>2.85</v>
      </c>
      <c r="E9" s="173">
        <v>1449</v>
      </c>
      <c r="F9" s="172">
        <v>61</v>
      </c>
      <c r="G9" s="15">
        <f t="shared" ref="G9:G11" si="0">E9*F9</f>
        <v>88389</v>
      </c>
      <c r="H9" s="16">
        <f>F9*C9</f>
        <v>915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249</v>
      </c>
      <c r="C10" s="171">
        <v>17</v>
      </c>
      <c r="D10" s="14">
        <v>2.85</v>
      </c>
      <c r="E10" s="173">
        <v>1449</v>
      </c>
      <c r="F10" s="172">
        <v>15</v>
      </c>
      <c r="G10" s="15">
        <f t="shared" si="0"/>
        <v>21735</v>
      </c>
      <c r="H10" s="16">
        <f t="shared" ref="H10" si="1">F10*C10</f>
        <v>255</v>
      </c>
      <c r="I10" s="192" t="s">
        <v>44</v>
      </c>
      <c r="J10" s="202">
        <v>6.9444444444444441E-3</v>
      </c>
      <c r="K10" s="204" t="s">
        <v>44</v>
      </c>
    </row>
    <row r="11" spans="1:11" ht="17" x14ac:dyDescent="0.15">
      <c r="A11" s="200">
        <v>3</v>
      </c>
      <c r="B11" s="201" t="s">
        <v>237</v>
      </c>
      <c r="C11" s="171">
        <v>15</v>
      </c>
      <c r="D11" s="14">
        <v>2.85</v>
      </c>
      <c r="E11" s="173">
        <v>1476</v>
      </c>
      <c r="F11" s="185">
        <v>6</v>
      </c>
      <c r="G11" s="15">
        <f t="shared" si="0"/>
        <v>8856</v>
      </c>
      <c r="H11" s="16">
        <f>F11*C11</f>
        <v>90</v>
      </c>
      <c r="I11" s="192" t="s">
        <v>250</v>
      </c>
      <c r="J11" s="202">
        <v>2.4305555555555556E-2</v>
      </c>
      <c r="K11" s="203" t="s">
        <v>255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 t="s">
        <v>256</v>
      </c>
      <c r="J12" s="202">
        <v>2.0833333333333332E-2</v>
      </c>
      <c r="K12" s="203" t="s">
        <v>257</v>
      </c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82</v>
      </c>
      <c r="G22" s="43">
        <f>SUM(G9:G21)/F22</f>
        <v>1450.9756097560976</v>
      </c>
      <c r="H22" s="44">
        <f>SUM(H9:H21)/F22</f>
        <v>15.365853658536585</v>
      </c>
      <c r="I22" s="45" t="s">
        <v>22</v>
      </c>
      <c r="J22" s="170">
        <v>7.2916666666666671E-2</v>
      </c>
      <c r="K22" s="39"/>
    </row>
    <row r="23" spans="1:11" x14ac:dyDescent="0.15">
      <c r="E23" s="46"/>
      <c r="F23" s="47"/>
      <c r="I23" s="48" t="s">
        <v>23</v>
      </c>
      <c r="J23" s="49">
        <v>1.75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82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</f>
        <v>1060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20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6FA57BE-5C4C-462B-B88F-66C86632E546}">
      <formula1>$K$29:$K$85</formula1>
    </dataValidation>
    <dataValidation type="list" allowBlank="1" showInputMessage="1" showErrorMessage="1" sqref="B20:B21" xr:uid="{22530077-327B-4D7F-938E-EA8A134D7A47}">
      <formula1>$K$29:$K$40</formula1>
    </dataValidation>
    <dataValidation type="list" allowBlank="1" showInputMessage="1" showErrorMessage="1" sqref="I50 K15:K21" xr:uid="{51518927-FA3D-447F-80FD-D80EDFBBF1C0}">
      <formula1>$I$41:$I$50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D6E2-492C-48EE-ABEB-288EAE6761D2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45883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244</v>
      </c>
      <c r="C9" s="171">
        <v>12.5</v>
      </c>
      <c r="D9" s="14">
        <v>2.85</v>
      </c>
      <c r="E9" s="173">
        <v>1413</v>
      </c>
      <c r="F9" s="172">
        <v>45</v>
      </c>
      <c r="G9" s="15">
        <f t="shared" ref="G9:G11" si="0">E9*F9</f>
        <v>63585</v>
      </c>
      <c r="H9" s="16">
        <f>F9*C9</f>
        <v>562.5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244</v>
      </c>
      <c r="C10" s="171">
        <v>13.5</v>
      </c>
      <c r="D10" s="14">
        <v>2.85</v>
      </c>
      <c r="E10" s="173">
        <v>1368</v>
      </c>
      <c r="F10" s="172">
        <v>6</v>
      </c>
      <c r="G10" s="15">
        <f t="shared" si="0"/>
        <v>8208</v>
      </c>
      <c r="H10" s="16">
        <f t="shared" ref="H10" si="1">F10*C10</f>
        <v>81</v>
      </c>
      <c r="I10" s="192" t="s">
        <v>44</v>
      </c>
      <c r="J10" s="202">
        <v>1.7361111111111112E-2</v>
      </c>
      <c r="K10" s="204" t="s">
        <v>44</v>
      </c>
    </row>
    <row r="11" spans="1:11" ht="17" x14ac:dyDescent="0.15">
      <c r="A11" s="200">
        <v>3</v>
      </c>
      <c r="B11" s="201" t="s">
        <v>237</v>
      </c>
      <c r="C11" s="171">
        <v>15</v>
      </c>
      <c r="D11" s="14">
        <v>2.85</v>
      </c>
      <c r="E11" s="173">
        <v>1467</v>
      </c>
      <c r="F11" s="185">
        <v>20</v>
      </c>
      <c r="G11" s="15">
        <f t="shared" si="0"/>
        <v>29340</v>
      </c>
      <c r="H11" s="16">
        <f>F11*C11</f>
        <v>300</v>
      </c>
      <c r="I11" s="192" t="s">
        <v>234</v>
      </c>
      <c r="J11" s="202">
        <v>4.8611111111111112E-2</v>
      </c>
      <c r="K11" s="203" t="s">
        <v>252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 t="s">
        <v>241</v>
      </c>
      <c r="J12" s="202">
        <v>6.9444444444444441E-3</v>
      </c>
      <c r="K12" s="203" t="s">
        <v>241</v>
      </c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71</v>
      </c>
      <c r="G22" s="43">
        <f>SUM(G9:G21)/F22</f>
        <v>1424.4084507042253</v>
      </c>
      <c r="H22" s="44">
        <f>SUM(H9:H21)/F22</f>
        <v>13.288732394366198</v>
      </c>
      <c r="I22" s="45" t="s">
        <v>22</v>
      </c>
      <c r="J22" s="170">
        <v>9.375E-2</v>
      </c>
      <c r="K22" s="39"/>
    </row>
    <row r="23" spans="1:11" x14ac:dyDescent="0.15">
      <c r="E23" s="46"/>
      <c r="F23" s="47"/>
      <c r="I23" s="48" t="s">
        <v>23</v>
      </c>
      <c r="J23" s="49">
        <v>2.25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71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</f>
        <v>1131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22.25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99947151-9BE8-4FD8-B386-BF8933D29F39}">
      <formula1>$I$41:$I$50</formula1>
    </dataValidation>
    <dataValidation type="list" allowBlank="1" showInputMessage="1" showErrorMessage="1" sqref="B20:B21" xr:uid="{36FC4A63-3534-40B6-B4A0-1AD360E1A39E}">
      <formula1>$K$29:$K$40</formula1>
    </dataValidation>
    <dataValidation type="list" allowBlank="1" showInputMessage="1" showErrorMessage="1" sqref="B16:B19" xr:uid="{CE0BFBB6-2F6F-4B07-801F-C6C799EE7FBE}">
      <formula1>$K$29:$K$85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C25D-8487-412D-9C17-28B6B22061A0}">
  <dimension ref="A1:K85"/>
  <sheetViews>
    <sheetView workbookViewId="0">
      <selection activeCell="G16" sqref="G1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45884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1490</v>
      </c>
      <c r="F9" s="172">
        <v>8.5</v>
      </c>
      <c r="G9" s="15">
        <f t="shared" ref="G9:G10" si="0">E9*F9</f>
        <v>12665</v>
      </c>
      <c r="H9" s="16">
        <f>F9*C9</f>
        <v>127.5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239</v>
      </c>
      <c r="C10" s="171">
        <v>19</v>
      </c>
      <c r="D10" s="14">
        <v>2.85</v>
      </c>
      <c r="E10" s="173">
        <v>1340</v>
      </c>
      <c r="F10" s="172">
        <v>91.5</v>
      </c>
      <c r="G10" s="15">
        <f t="shared" si="0"/>
        <v>122610</v>
      </c>
      <c r="H10" s="16">
        <f t="shared" ref="H10" si="1">F10*C10</f>
        <v>1738.5</v>
      </c>
      <c r="I10" s="192" t="s">
        <v>44</v>
      </c>
      <c r="J10" s="202">
        <v>1.0416666666666666E-2</v>
      </c>
      <c r="K10" s="204" t="s">
        <v>44</v>
      </c>
    </row>
    <row r="11" spans="1:11" ht="16" x14ac:dyDescent="0.15">
      <c r="A11" s="200"/>
      <c r="B11" s="201"/>
      <c r="C11" s="171"/>
      <c r="D11" s="14"/>
      <c r="E11" s="173"/>
      <c r="F11" s="185"/>
      <c r="G11" s="15"/>
      <c r="H11" s="16"/>
      <c r="I11" s="192"/>
      <c r="J11" s="202"/>
      <c r="K11" s="203"/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100</v>
      </c>
      <c r="G22" s="43">
        <f>SUM(G9:G21)/F22</f>
        <v>1352.75</v>
      </c>
      <c r="H22" s="44">
        <f>SUM(H9:H21)/F22</f>
        <v>18.66</v>
      </c>
      <c r="I22" s="45" t="s">
        <v>22</v>
      </c>
      <c r="J22" s="170">
        <v>3.125E-2</v>
      </c>
      <c r="K22" s="39"/>
    </row>
    <row r="23" spans="1:11" x14ac:dyDescent="0.15">
      <c r="E23" s="46"/>
      <c r="F23" s="47"/>
      <c r="I23" s="48" t="s">
        <v>23</v>
      </c>
      <c r="J23" s="49">
        <v>0.75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100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</f>
        <v>1231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23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96A4CEC2-8F8E-4A77-90B8-D9830868F7B3}">
      <formula1>$K$29:$K$85</formula1>
    </dataValidation>
    <dataValidation type="list" allowBlank="1" showInputMessage="1" showErrorMessage="1" sqref="B20:B21" xr:uid="{8BD5B081-5FC2-4AFC-84C7-052FC2201C66}">
      <formula1>$K$29:$K$40</formula1>
    </dataValidation>
    <dataValidation type="list" allowBlank="1" showInputMessage="1" showErrorMessage="1" sqref="I50 K15:K21" xr:uid="{F68E5DE5-7060-4DD8-9111-81432FAB1E85}">
      <formula1>$I$41:$I$50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7CBE-7511-42A4-9BD0-F2185192E165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45885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18</v>
      </c>
      <c r="D9" s="14">
        <v>2.85</v>
      </c>
      <c r="E9" s="173">
        <v>1498</v>
      </c>
      <c r="F9" s="172">
        <v>14</v>
      </c>
      <c r="G9" s="15">
        <f t="shared" ref="G9:G11" si="0">E9*F9</f>
        <v>20972</v>
      </c>
      <c r="H9" s="16">
        <f>F9*C9</f>
        <v>252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239</v>
      </c>
      <c r="C10" s="171">
        <v>19</v>
      </c>
      <c r="D10" s="14">
        <v>2.85</v>
      </c>
      <c r="E10" s="173">
        <v>1319</v>
      </c>
      <c r="F10" s="172">
        <v>48</v>
      </c>
      <c r="G10" s="15">
        <f t="shared" si="0"/>
        <v>63312</v>
      </c>
      <c r="H10" s="16">
        <f t="shared" ref="H10" si="1">F10*C10</f>
        <v>912</v>
      </c>
      <c r="I10" s="192" t="s">
        <v>44</v>
      </c>
      <c r="J10" s="202">
        <v>2.0833333333333332E-2</v>
      </c>
      <c r="K10" s="204" t="s">
        <v>44</v>
      </c>
    </row>
    <row r="11" spans="1:11" ht="17" x14ac:dyDescent="0.15">
      <c r="A11" s="200">
        <v>3</v>
      </c>
      <c r="B11" s="201" t="s">
        <v>239</v>
      </c>
      <c r="C11" s="171">
        <v>21</v>
      </c>
      <c r="D11" s="14">
        <v>2.85</v>
      </c>
      <c r="E11" s="173">
        <v>1254</v>
      </c>
      <c r="F11" s="185">
        <v>39</v>
      </c>
      <c r="G11" s="15">
        <f t="shared" si="0"/>
        <v>48906</v>
      </c>
      <c r="H11" s="16">
        <f>F11*C11</f>
        <v>819</v>
      </c>
      <c r="I11" s="192" t="s">
        <v>250</v>
      </c>
      <c r="J11" s="202">
        <v>1.0416666666666666E-2</v>
      </c>
      <c r="K11" s="203" t="s">
        <v>258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101</v>
      </c>
      <c r="G22" s="43">
        <f>SUM(G9:G21)/F22</f>
        <v>1318.7128712871288</v>
      </c>
      <c r="H22" s="44">
        <f>SUM(H9:H21)/F22</f>
        <v>19.633663366336634</v>
      </c>
      <c r="I22" s="45" t="s">
        <v>22</v>
      </c>
      <c r="J22" s="170">
        <v>5.2083333333333336E-2</v>
      </c>
      <c r="K22" s="39"/>
    </row>
    <row r="23" spans="1:11" x14ac:dyDescent="0.15">
      <c r="E23" s="46"/>
      <c r="F23" s="47"/>
      <c r="I23" s="48" t="s">
        <v>23</v>
      </c>
      <c r="J23" s="49">
        <v>1.25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101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</f>
        <v>1332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24.25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EF5F4703-77E2-4769-B5B2-B2DE1761C590}">
      <formula1>$I$41:$I$50</formula1>
    </dataValidation>
    <dataValidation type="list" allowBlank="1" showInputMessage="1" showErrorMessage="1" sqref="B20:B21" xr:uid="{32C4FE25-4363-4591-A555-B945E455D700}">
      <formula1>$K$29:$K$40</formula1>
    </dataValidation>
    <dataValidation type="list" allowBlank="1" showInputMessage="1" showErrorMessage="1" sqref="B16:B19" xr:uid="{A9CE7074-5650-4D52-86E1-ADBDD7CD8FCF}">
      <formula1>$K$29:$K$85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3E72-04A0-41A2-BFE3-0A4ACDD1CCBB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45886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14</v>
      </c>
      <c r="D9" s="14">
        <v>2.85</v>
      </c>
      <c r="E9" s="173">
        <v>1494</v>
      </c>
      <c r="F9" s="172">
        <v>11.2</v>
      </c>
      <c r="G9" s="15">
        <f t="shared" ref="G9:G13" si="0">E9*F9</f>
        <v>16732.8</v>
      </c>
      <c r="H9" s="16">
        <f>F9*C9</f>
        <v>156.79999999999998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15</v>
      </c>
      <c r="D10" s="14">
        <v>2.85</v>
      </c>
      <c r="E10" s="173">
        <v>1494</v>
      </c>
      <c r="F10" s="172">
        <v>19.8</v>
      </c>
      <c r="G10" s="15">
        <f t="shared" si="0"/>
        <v>29581.200000000001</v>
      </c>
      <c r="H10" s="16">
        <f t="shared" ref="H10" si="1">F10*C10</f>
        <v>297</v>
      </c>
      <c r="I10" s="192" t="s">
        <v>44</v>
      </c>
      <c r="J10" s="202">
        <v>2.7777777777777776E-2</v>
      </c>
      <c r="K10" s="204" t="s">
        <v>44</v>
      </c>
    </row>
    <row r="11" spans="1:11" ht="17" x14ac:dyDescent="0.15">
      <c r="A11" s="200">
        <v>3</v>
      </c>
      <c r="B11" s="201" t="s">
        <v>237</v>
      </c>
      <c r="C11" s="171">
        <v>17</v>
      </c>
      <c r="D11" s="14">
        <v>2.85</v>
      </c>
      <c r="E11" s="173">
        <v>1512</v>
      </c>
      <c r="F11" s="185">
        <v>17.5</v>
      </c>
      <c r="G11" s="15">
        <f t="shared" si="0"/>
        <v>26460</v>
      </c>
      <c r="H11" s="16">
        <f>F11*C11</f>
        <v>297.5</v>
      </c>
      <c r="I11" s="192"/>
      <c r="J11" s="202"/>
      <c r="K11" s="203"/>
    </row>
    <row r="12" spans="1:11" ht="19.25" customHeight="1" x14ac:dyDescent="0.15">
      <c r="A12" s="205">
        <v>4</v>
      </c>
      <c r="B12" s="201" t="s">
        <v>237</v>
      </c>
      <c r="C12" s="186">
        <v>18</v>
      </c>
      <c r="D12" s="14">
        <v>2.85</v>
      </c>
      <c r="E12" s="187">
        <v>1512</v>
      </c>
      <c r="F12" s="188">
        <v>1.5</v>
      </c>
      <c r="G12" s="15">
        <f t="shared" si="0"/>
        <v>2268</v>
      </c>
      <c r="H12" s="16">
        <f>F12*C12</f>
        <v>27</v>
      </c>
      <c r="I12" s="192"/>
      <c r="J12" s="202"/>
      <c r="K12" s="203"/>
    </row>
    <row r="13" spans="1:11" ht="17" x14ac:dyDescent="0.15">
      <c r="A13" s="207">
        <v>5</v>
      </c>
      <c r="B13" s="201" t="s">
        <v>239</v>
      </c>
      <c r="C13" s="186">
        <v>17</v>
      </c>
      <c r="D13" s="14">
        <v>2.85</v>
      </c>
      <c r="E13" s="187">
        <v>1425</v>
      </c>
      <c r="F13" s="188">
        <v>40</v>
      </c>
      <c r="G13" s="15">
        <f t="shared" si="0"/>
        <v>57000</v>
      </c>
      <c r="H13" s="16">
        <f t="shared" ref="H13" si="2">F13*C13</f>
        <v>680</v>
      </c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"/>
      <c r="B16" s="23"/>
      <c r="C16" s="24"/>
      <c r="D16" s="14"/>
      <c r="E16" s="17"/>
      <c r="F16" s="24"/>
      <c r="G16" s="15"/>
      <c r="H16" s="16"/>
      <c r="I16" s="25"/>
      <c r="J16" s="21"/>
      <c r="K16" s="26"/>
    </row>
    <row r="17" spans="1:11" ht="16" x14ac:dyDescent="0.2">
      <c r="A17" s="22"/>
      <c r="B17" s="23"/>
      <c r="C17" s="24"/>
      <c r="D17" s="11"/>
      <c r="E17" s="20"/>
      <c r="F17" s="24"/>
      <c r="G17" s="18"/>
      <c r="H17" s="12"/>
      <c r="I17" s="25"/>
      <c r="J17" s="21"/>
      <c r="K17" s="26"/>
    </row>
    <row r="18" spans="1:11" ht="16" x14ac:dyDescent="0.2">
      <c r="A18" s="27"/>
      <c r="B18" s="28"/>
      <c r="C18" s="24"/>
      <c r="D18" s="11"/>
      <c r="E18" s="29"/>
      <c r="F18" s="30"/>
      <c r="G18" s="18"/>
      <c r="H18" s="12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90</v>
      </c>
      <c r="G22" s="43">
        <f>SUM(G9:G21)/F22</f>
        <v>1467.1333333333334</v>
      </c>
      <c r="H22" s="44">
        <f>SUM(H9:H21)/F22</f>
        <v>16.203333333333333</v>
      </c>
      <c r="I22" s="45" t="s">
        <v>22</v>
      </c>
      <c r="J22" s="170">
        <v>4.8611111111111112E-2</v>
      </c>
      <c r="K22" s="39"/>
    </row>
    <row r="23" spans="1:11" x14ac:dyDescent="0.15">
      <c r="E23" s="46"/>
      <c r="F23" s="47"/>
      <c r="I23" s="48" t="s">
        <v>23</v>
      </c>
      <c r="J23" s="49">
        <v>1.17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90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</f>
        <v>1422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25.42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9C4427B-B3D8-4520-B55D-5C1FD6CD6036}">
      <formula1>$K$29:$K$85</formula1>
    </dataValidation>
    <dataValidation type="list" allowBlank="1" showInputMessage="1" showErrorMessage="1" sqref="B20:B21" xr:uid="{694D6E1E-ECCA-4380-AB10-BAA92875F9C6}">
      <formula1>$K$29:$K$40</formula1>
    </dataValidation>
    <dataValidation type="list" allowBlank="1" showInputMessage="1" showErrorMessage="1" sqref="I50 K15:K21" xr:uid="{F9F4105C-F735-4DA0-94C4-2BC3893B7524}">
      <formula1>$I$41:$I$50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941A-B51E-4F4E-8642-69F487807428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45887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1485</v>
      </c>
      <c r="F9" s="172">
        <v>3.2</v>
      </c>
      <c r="G9" s="15">
        <f t="shared" ref="G9:G18" si="0">E9*F9</f>
        <v>4752</v>
      </c>
      <c r="H9" s="16">
        <f>F9*C9</f>
        <v>48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16</v>
      </c>
      <c r="D10" s="14">
        <v>2.85</v>
      </c>
      <c r="E10" s="173">
        <v>1409</v>
      </c>
      <c r="F10" s="172">
        <v>3.4</v>
      </c>
      <c r="G10" s="15">
        <f t="shared" si="0"/>
        <v>4790.5999999999995</v>
      </c>
      <c r="H10" s="16">
        <f t="shared" ref="H10" si="1">F10*C10</f>
        <v>54.4</v>
      </c>
      <c r="I10" s="192" t="s">
        <v>44</v>
      </c>
      <c r="J10" s="202">
        <v>7.6388888888888895E-2</v>
      </c>
      <c r="K10" s="204" t="s">
        <v>44</v>
      </c>
    </row>
    <row r="11" spans="1:11" ht="17" x14ac:dyDescent="0.15">
      <c r="A11" s="200">
        <v>3</v>
      </c>
      <c r="B11" s="201" t="s">
        <v>237</v>
      </c>
      <c r="C11" s="171">
        <v>17</v>
      </c>
      <c r="D11" s="14">
        <v>2.85</v>
      </c>
      <c r="E11" s="173">
        <v>1328</v>
      </c>
      <c r="F11" s="185">
        <v>5.8</v>
      </c>
      <c r="G11" s="15">
        <f t="shared" si="0"/>
        <v>7702.4</v>
      </c>
      <c r="H11" s="16">
        <f>F11*C11</f>
        <v>98.6</v>
      </c>
      <c r="I11" s="192" t="s">
        <v>253</v>
      </c>
      <c r="J11" s="202">
        <v>5.5555555555555552E-2</v>
      </c>
      <c r="K11" s="203" t="s">
        <v>260</v>
      </c>
    </row>
    <row r="12" spans="1:11" ht="19.25" customHeight="1" x14ac:dyDescent="0.15">
      <c r="A12" s="205">
        <v>4</v>
      </c>
      <c r="B12" s="201" t="s">
        <v>239</v>
      </c>
      <c r="C12" s="186">
        <v>17</v>
      </c>
      <c r="D12" s="14">
        <v>2.85</v>
      </c>
      <c r="E12" s="187">
        <v>1440</v>
      </c>
      <c r="F12" s="188">
        <v>10.5</v>
      </c>
      <c r="G12" s="15">
        <f t="shared" si="0"/>
        <v>15120</v>
      </c>
      <c r="H12" s="16">
        <f>F12*C12</f>
        <v>178.5</v>
      </c>
      <c r="I12" s="192"/>
      <c r="J12" s="202"/>
      <c r="K12" s="203"/>
    </row>
    <row r="13" spans="1:11" ht="17" x14ac:dyDescent="0.15">
      <c r="A13" s="207">
        <v>5</v>
      </c>
      <c r="B13" s="201" t="s">
        <v>259</v>
      </c>
      <c r="C13" s="186">
        <v>22</v>
      </c>
      <c r="D13" s="14">
        <v>2.85</v>
      </c>
      <c r="E13" s="187">
        <v>1197</v>
      </c>
      <c r="F13" s="188">
        <v>6</v>
      </c>
      <c r="G13" s="15">
        <f t="shared" si="0"/>
        <v>7182</v>
      </c>
      <c r="H13" s="16">
        <f t="shared" ref="H13" si="2">F13*C13</f>
        <v>132</v>
      </c>
      <c r="I13" s="192"/>
      <c r="J13" s="202"/>
      <c r="K13" s="206"/>
    </row>
    <row r="14" spans="1:11" ht="17" x14ac:dyDescent="0.15">
      <c r="A14" s="200">
        <v>6</v>
      </c>
      <c r="B14" s="201" t="s">
        <v>259</v>
      </c>
      <c r="C14" s="193">
        <v>30</v>
      </c>
      <c r="D14" s="14">
        <v>2.85</v>
      </c>
      <c r="E14" s="194">
        <v>860</v>
      </c>
      <c r="F14" s="195">
        <v>15.6</v>
      </c>
      <c r="G14" s="15">
        <f t="shared" si="0"/>
        <v>13416</v>
      </c>
      <c r="H14" s="16">
        <f>F14*C14</f>
        <v>468</v>
      </c>
      <c r="I14" s="211"/>
      <c r="J14" s="210"/>
      <c r="K14" s="204"/>
    </row>
    <row r="15" spans="1:11" ht="17" x14ac:dyDescent="0.2">
      <c r="A15" s="205">
        <v>7</v>
      </c>
      <c r="B15" s="201" t="s">
        <v>259</v>
      </c>
      <c r="C15" s="208">
        <v>32</v>
      </c>
      <c r="D15" s="14">
        <v>2.85</v>
      </c>
      <c r="E15" s="194">
        <v>787</v>
      </c>
      <c r="F15" s="209">
        <v>5.5</v>
      </c>
      <c r="G15" s="15">
        <f t="shared" si="0"/>
        <v>4328.5</v>
      </c>
      <c r="H15" s="16">
        <f t="shared" ref="H15" si="3">F15*C15</f>
        <v>176</v>
      </c>
      <c r="I15" s="25"/>
      <c r="J15" s="21"/>
      <c r="K15" s="19"/>
    </row>
    <row r="16" spans="1:11" ht="16" x14ac:dyDescent="0.2">
      <c r="A16" s="226">
        <v>8</v>
      </c>
      <c r="B16" s="227" t="s">
        <v>259</v>
      </c>
      <c r="C16" s="171">
        <v>34</v>
      </c>
      <c r="D16" s="14">
        <v>2.85</v>
      </c>
      <c r="E16" s="187">
        <v>766</v>
      </c>
      <c r="F16" s="171">
        <v>4.9000000000000004</v>
      </c>
      <c r="G16" s="15">
        <f t="shared" si="0"/>
        <v>3753.4</v>
      </c>
      <c r="H16" s="16">
        <f>F16*C16</f>
        <v>166.60000000000002</v>
      </c>
      <c r="I16" s="25"/>
      <c r="J16" s="21"/>
      <c r="K16" s="26"/>
    </row>
    <row r="17" spans="1:11" ht="16" x14ac:dyDescent="0.2">
      <c r="A17" s="226">
        <v>9</v>
      </c>
      <c r="B17" s="227" t="s">
        <v>259</v>
      </c>
      <c r="C17" s="171">
        <v>36</v>
      </c>
      <c r="D17" s="14">
        <v>2.85</v>
      </c>
      <c r="E17" s="194">
        <v>698</v>
      </c>
      <c r="F17" s="171">
        <v>25.1</v>
      </c>
      <c r="G17" s="15">
        <f t="shared" si="0"/>
        <v>17519.8</v>
      </c>
      <c r="H17" s="16">
        <f>F17*C17</f>
        <v>903.6</v>
      </c>
      <c r="I17" s="25"/>
      <c r="J17" s="21"/>
      <c r="K17" s="26"/>
    </row>
    <row r="18" spans="1:11" ht="16" x14ac:dyDescent="0.2">
      <c r="A18" s="226">
        <v>10</v>
      </c>
      <c r="B18" s="227" t="s">
        <v>259</v>
      </c>
      <c r="C18" s="171">
        <v>40</v>
      </c>
      <c r="D18" s="14">
        <v>2.85</v>
      </c>
      <c r="E18" s="194">
        <v>628</v>
      </c>
      <c r="F18" s="171">
        <v>7</v>
      </c>
      <c r="G18" s="15">
        <f t="shared" si="0"/>
        <v>4396</v>
      </c>
      <c r="H18" s="16">
        <f t="shared" ref="H18" si="4">F18*C18</f>
        <v>280</v>
      </c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87</v>
      </c>
      <c r="G22" s="43">
        <f>SUM(G9:G21)/F22</f>
        <v>953.57126436781607</v>
      </c>
      <c r="H22" s="44">
        <f>SUM(H9:H21)/F22</f>
        <v>28.801149425287353</v>
      </c>
      <c r="I22" s="45" t="s">
        <v>22</v>
      </c>
      <c r="J22" s="170">
        <v>0.15277777777777779</v>
      </c>
      <c r="K22" s="39"/>
    </row>
    <row r="23" spans="1:11" x14ac:dyDescent="0.15">
      <c r="E23" s="46"/>
      <c r="F23" s="47"/>
      <c r="I23" s="48" t="s">
        <v>23</v>
      </c>
      <c r="J23" s="49">
        <v>3.67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87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</f>
        <v>1509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29.08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7985D39C-F719-4CA2-AFA8-EE3443DEB936}">
      <formula1>$I$41:$I$50</formula1>
    </dataValidation>
    <dataValidation type="list" allowBlank="1" showInputMessage="1" showErrorMessage="1" sqref="B20:B21" xr:uid="{AA1CFA28-075E-4D8E-A6AB-097162665D8A}">
      <formula1>$K$29:$K$40</formula1>
    </dataValidation>
    <dataValidation type="list" allowBlank="1" showInputMessage="1" showErrorMessage="1" sqref="B16:B19" xr:uid="{54881838-EEDA-4B3E-86FB-DDCA4D1EB64F}">
      <formula1>$K$29:$K$85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C988-3E4C-414A-A5A0-3436AB01F64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45888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1494</v>
      </c>
      <c r="F9" s="172">
        <v>9.5</v>
      </c>
      <c r="G9" s="15">
        <f t="shared" ref="G9:G11" si="0">E9*F9</f>
        <v>14193</v>
      </c>
      <c r="H9" s="16">
        <f>F9*C9</f>
        <v>142.5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244</v>
      </c>
      <c r="C10" s="171">
        <v>14</v>
      </c>
      <c r="D10" s="14">
        <v>2.85</v>
      </c>
      <c r="E10" s="173">
        <v>1326</v>
      </c>
      <c r="F10" s="172">
        <v>13.6</v>
      </c>
      <c r="G10" s="15">
        <f t="shared" si="0"/>
        <v>18033.599999999999</v>
      </c>
      <c r="H10" s="16">
        <f t="shared" ref="H10" si="1">F10*C10</f>
        <v>190.4</v>
      </c>
      <c r="I10" s="192" t="s">
        <v>44</v>
      </c>
      <c r="J10" s="202">
        <v>2.7777777777777776E-2</v>
      </c>
      <c r="K10" s="204" t="s">
        <v>44</v>
      </c>
    </row>
    <row r="11" spans="1:11" ht="17" x14ac:dyDescent="0.15">
      <c r="A11" s="200">
        <v>3</v>
      </c>
      <c r="B11" s="201" t="s">
        <v>244</v>
      </c>
      <c r="C11" s="171">
        <v>12.5</v>
      </c>
      <c r="D11" s="14">
        <v>2.85</v>
      </c>
      <c r="E11" s="173">
        <v>1404</v>
      </c>
      <c r="F11" s="185">
        <v>46.9</v>
      </c>
      <c r="G11" s="15">
        <f t="shared" si="0"/>
        <v>65847.599999999991</v>
      </c>
      <c r="H11" s="16">
        <f>F11*C11</f>
        <v>586.25</v>
      </c>
      <c r="I11" s="192" t="s">
        <v>242</v>
      </c>
      <c r="J11" s="202">
        <v>4.1666666666666664E-2</v>
      </c>
      <c r="K11" s="203" t="s">
        <v>261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70</v>
      </c>
      <c r="G22" s="43">
        <f>SUM(G9:G21)/F22</f>
        <v>1401.0599999999997</v>
      </c>
      <c r="H22" s="44">
        <f>SUM(H9:H21)/F22</f>
        <v>13.130714285714285</v>
      </c>
      <c r="I22" s="45" t="s">
        <v>22</v>
      </c>
      <c r="J22" s="170">
        <v>9.0277777777777776E-2</v>
      </c>
      <c r="K22" s="39"/>
    </row>
    <row r="23" spans="1:11" x14ac:dyDescent="0.15">
      <c r="E23" s="46"/>
      <c r="F23" s="47"/>
      <c r="I23" s="48" t="s">
        <v>23</v>
      </c>
      <c r="J23" s="49">
        <v>2.17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70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</f>
        <v>1579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31.25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A8F84A11-DB54-4563-866C-04B4CA15A2F7}">
      <formula1>$K$29:$K$85</formula1>
    </dataValidation>
    <dataValidation type="list" allowBlank="1" showInputMessage="1" showErrorMessage="1" sqref="B20:B21" xr:uid="{1AD84181-529A-408E-AA19-9FE0700D2A98}">
      <formula1>$K$29:$K$40</formula1>
    </dataValidation>
    <dataValidation type="list" allowBlank="1" showInputMessage="1" showErrorMessage="1" sqref="I50 K15:K21" xr:uid="{AA60B4DC-9A14-447B-B54D-E74B4797490F}">
      <formula1>$I$41:$I$50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ABB1-7B09-4CED-A8F2-26F0D0165D1B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45889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244</v>
      </c>
      <c r="C9" s="171">
        <v>12.5</v>
      </c>
      <c r="D9" s="14">
        <v>2.85</v>
      </c>
      <c r="E9" s="173">
        <v>1440</v>
      </c>
      <c r="F9" s="172">
        <v>17.2</v>
      </c>
      <c r="G9" s="15">
        <f t="shared" ref="G9:G11" si="0">E9*F9</f>
        <v>24768</v>
      </c>
      <c r="H9" s="16">
        <f>F9*C9</f>
        <v>215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244</v>
      </c>
      <c r="C10" s="171">
        <v>13.5</v>
      </c>
      <c r="D10" s="14">
        <v>2.85</v>
      </c>
      <c r="E10" s="173">
        <v>1462</v>
      </c>
      <c r="F10" s="172">
        <v>14.8</v>
      </c>
      <c r="G10" s="15">
        <f t="shared" si="0"/>
        <v>21637.600000000002</v>
      </c>
      <c r="H10" s="16">
        <f t="shared" ref="H10" si="1">F10*C10</f>
        <v>199.8</v>
      </c>
      <c r="I10" s="192" t="s">
        <v>44</v>
      </c>
      <c r="J10" s="202">
        <v>1.3888888888888888E-2</v>
      </c>
      <c r="K10" s="204" t="s">
        <v>44</v>
      </c>
    </row>
    <row r="11" spans="1:11" ht="17" x14ac:dyDescent="0.15">
      <c r="A11" s="200">
        <v>3</v>
      </c>
      <c r="B11" s="201" t="s">
        <v>244</v>
      </c>
      <c r="C11" s="171">
        <v>14</v>
      </c>
      <c r="D11" s="14">
        <v>2.85</v>
      </c>
      <c r="E11" s="173">
        <v>1377</v>
      </c>
      <c r="F11" s="185">
        <v>9</v>
      </c>
      <c r="G11" s="15">
        <f t="shared" si="0"/>
        <v>12393</v>
      </c>
      <c r="H11" s="16">
        <f>F11*C11</f>
        <v>126</v>
      </c>
      <c r="I11" s="192" t="s">
        <v>242</v>
      </c>
      <c r="J11" s="202">
        <v>0.41666666666666669</v>
      </c>
      <c r="K11" s="203" t="s">
        <v>262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41</v>
      </c>
      <c r="G22" s="43">
        <f>SUM(G9:G21)/F22</f>
        <v>1434.1121951219513</v>
      </c>
      <c r="H22" s="44">
        <f>SUM(H9:H21)/F22</f>
        <v>13.190243902439024</v>
      </c>
      <c r="I22" s="45" t="s">
        <v>22</v>
      </c>
      <c r="J22" s="170">
        <v>0.4513888888888889</v>
      </c>
      <c r="K22" s="39"/>
    </row>
    <row r="23" spans="1:11" x14ac:dyDescent="0.15">
      <c r="E23" s="46"/>
      <c r="F23" s="47"/>
      <c r="I23" s="48" t="s">
        <v>23</v>
      </c>
      <c r="J23" s="49">
        <v>10.83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41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</f>
        <v>1620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42.08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121221EB-1FDA-4E19-AE8F-0F477DA37F83}">
      <formula1>$I$41:$I$50</formula1>
    </dataValidation>
    <dataValidation type="list" allowBlank="1" showInputMessage="1" showErrorMessage="1" sqref="B20:B21" xr:uid="{6F2F9BA2-AE50-41F2-A84C-942D5073724B}">
      <formula1>$K$29:$K$40</formula1>
    </dataValidation>
    <dataValidation type="list" allowBlank="1" showInputMessage="1" showErrorMessage="1" sqref="B16:B19" xr:uid="{95F90193-4B86-47B7-9328-F2E5A5627346}">
      <formula1>$K$29:$K$85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D77D-C873-41E2-A5AA-2BD0945FCF2A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45890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244</v>
      </c>
      <c r="C9" s="171">
        <v>13.5</v>
      </c>
      <c r="D9" s="14">
        <v>2.85</v>
      </c>
      <c r="E9" s="173">
        <v>1377</v>
      </c>
      <c r="F9" s="172">
        <v>58</v>
      </c>
      <c r="G9" s="15">
        <f t="shared" ref="G9:G11" si="0">E9*F9</f>
        <v>79866</v>
      </c>
      <c r="H9" s="16">
        <f>F9*C9</f>
        <v>783</v>
      </c>
      <c r="I9" s="189" t="s">
        <v>20</v>
      </c>
      <c r="J9" s="190">
        <v>2.7777777777777776E-2</v>
      </c>
      <c r="K9" s="191" t="s">
        <v>231</v>
      </c>
    </row>
    <row r="10" spans="1:11" ht="17" x14ac:dyDescent="0.15">
      <c r="A10" s="205">
        <v>2</v>
      </c>
      <c r="B10" s="201" t="s">
        <v>244</v>
      </c>
      <c r="C10" s="171">
        <v>14</v>
      </c>
      <c r="D10" s="14">
        <v>2.85</v>
      </c>
      <c r="E10" s="173">
        <v>1386</v>
      </c>
      <c r="F10" s="172">
        <v>6</v>
      </c>
      <c r="G10" s="15">
        <f t="shared" si="0"/>
        <v>8316</v>
      </c>
      <c r="H10" s="16">
        <f t="shared" ref="H10" si="1">F10*C10</f>
        <v>84</v>
      </c>
      <c r="I10" s="192" t="s">
        <v>44</v>
      </c>
      <c r="J10" s="202">
        <v>1.7361111111111112E-2</v>
      </c>
      <c r="K10" s="204" t="s">
        <v>44</v>
      </c>
    </row>
    <row r="11" spans="1:11" ht="17" x14ac:dyDescent="0.15">
      <c r="A11" s="200">
        <v>3</v>
      </c>
      <c r="B11" s="201" t="s">
        <v>249</v>
      </c>
      <c r="C11" s="171">
        <v>15</v>
      </c>
      <c r="D11" s="14">
        <v>2.85</v>
      </c>
      <c r="E11" s="173">
        <v>1360</v>
      </c>
      <c r="F11" s="185">
        <v>9</v>
      </c>
      <c r="G11" s="15">
        <f t="shared" si="0"/>
        <v>12240</v>
      </c>
      <c r="H11" s="16">
        <f>F11*C11</f>
        <v>135</v>
      </c>
      <c r="I11" s="192"/>
      <c r="J11" s="202"/>
      <c r="K11" s="203"/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73</v>
      </c>
      <c r="G22" s="43">
        <f>SUM(G9:G21)/F22</f>
        <v>1375.6438356164383</v>
      </c>
      <c r="H22" s="44">
        <f>SUM(H9:H21)/F22</f>
        <v>13.726027397260275</v>
      </c>
      <c r="I22" s="45" t="s">
        <v>22</v>
      </c>
      <c r="J22" s="170">
        <v>4.5138888888888888E-2</v>
      </c>
      <c r="K22" s="39"/>
    </row>
    <row r="23" spans="1:11" x14ac:dyDescent="0.15">
      <c r="E23" s="46"/>
      <c r="F23" s="47"/>
      <c r="I23" s="48" t="s">
        <v>23</v>
      </c>
      <c r="J23" s="49">
        <v>1.08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73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80+77+88+71+70+70+82+85+90+90+93+82+82+71+100+101+90+87+70+41+73</f>
        <v>1693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43.17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47323A0-F709-482D-9319-F99CB47928BC}">
      <formula1>$K$29:$K$85</formula1>
    </dataValidation>
    <dataValidation type="list" allowBlank="1" showInputMessage="1" showErrorMessage="1" sqref="B20:B21" xr:uid="{8D73E879-88ED-4BF2-BC61-0FB581256DF8}">
      <formula1>$K$29:$K$40</formula1>
    </dataValidation>
    <dataValidation type="list" allowBlank="1" showInputMessage="1" showErrorMessage="1" sqref="I50 K15:K21" xr:uid="{FD42CF45-F48A-4F33-9BAF-8E47262F1B6C}">
      <formula1>$I$41:$I$50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3C30-ACD5-4B7B-BA01-DC90CB37F1B9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45891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249</v>
      </c>
      <c r="C9" s="171">
        <v>15</v>
      </c>
      <c r="D9" s="14">
        <v>2.85</v>
      </c>
      <c r="E9" s="173">
        <v>1360</v>
      </c>
      <c r="F9" s="172">
        <v>45.5</v>
      </c>
      <c r="G9" s="15">
        <f t="shared" ref="G9:G11" si="0">E9*F9</f>
        <v>61880</v>
      </c>
      <c r="H9" s="16">
        <f>F9*C9</f>
        <v>682.5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249</v>
      </c>
      <c r="C10" s="171">
        <v>17</v>
      </c>
      <c r="D10" s="14">
        <v>2.85</v>
      </c>
      <c r="E10" s="173">
        <v>1360</v>
      </c>
      <c r="F10" s="172">
        <v>9.5</v>
      </c>
      <c r="G10" s="15">
        <f t="shared" si="0"/>
        <v>12920</v>
      </c>
      <c r="H10" s="16">
        <f t="shared" ref="H10" si="1">F10*C10</f>
        <v>161.5</v>
      </c>
      <c r="I10" s="192" t="s">
        <v>44</v>
      </c>
      <c r="J10" s="202">
        <v>1.7361111111111112E-2</v>
      </c>
      <c r="K10" s="204" t="s">
        <v>44</v>
      </c>
    </row>
    <row r="11" spans="1:11" ht="17" x14ac:dyDescent="0.15">
      <c r="A11" s="200">
        <v>3</v>
      </c>
      <c r="B11" s="201" t="s">
        <v>237</v>
      </c>
      <c r="C11" s="171">
        <v>15</v>
      </c>
      <c r="D11" s="14">
        <v>2.85</v>
      </c>
      <c r="E11" s="173">
        <v>1467</v>
      </c>
      <c r="F11" s="185">
        <v>29</v>
      </c>
      <c r="G11" s="15">
        <f t="shared" si="0"/>
        <v>42543</v>
      </c>
      <c r="H11" s="16">
        <f>F11*C11</f>
        <v>435</v>
      </c>
      <c r="I11" s="192" t="s">
        <v>241</v>
      </c>
      <c r="J11" s="202">
        <v>6.9444444444444441E-3</v>
      </c>
      <c r="K11" s="203" t="s">
        <v>241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84</v>
      </c>
      <c r="G22" s="43">
        <f>SUM(G9:G21)/F22</f>
        <v>1396.9404761904761</v>
      </c>
      <c r="H22" s="44">
        <f>SUM(H9:H21)/F22</f>
        <v>15.226190476190476</v>
      </c>
      <c r="I22" s="45" t="s">
        <v>22</v>
      </c>
      <c r="J22" s="170">
        <v>4.5138888888888888E-2</v>
      </c>
      <c r="K22" s="39"/>
    </row>
    <row r="23" spans="1:11" x14ac:dyDescent="0.15">
      <c r="E23" s="46"/>
      <c r="F23" s="47"/>
      <c r="I23" s="48" t="s">
        <v>23</v>
      </c>
      <c r="J23" s="49">
        <v>1.08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84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80+77+88+71+70+70+82+85+90+90+93+82+82+71+100+101+90+87+70+41+73+84</f>
        <v>1777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44.25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85A7A2BC-5A0D-497A-AB1F-0CE019B5AADC}">
      <formula1>$I$41:$I$50</formula1>
    </dataValidation>
    <dataValidation type="list" allowBlank="1" showInputMessage="1" showErrorMessage="1" sqref="B20:B21" xr:uid="{0E8D5A58-6E6C-4744-9B8E-42F5EBB1EF0F}">
      <formula1>$K$29:$K$40</formula1>
    </dataValidation>
    <dataValidation type="list" allowBlank="1" showInputMessage="1" showErrorMessage="1" sqref="B16:B19" xr:uid="{9CF10BD4-FFD8-4639-9A47-8AC3C69A65DB}">
      <formula1>$K$29:$K$85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2217-183D-4CB5-8650-000AD22DC27E}">
  <dimension ref="A1:K85"/>
  <sheetViews>
    <sheetView topLeftCell="A10" workbookViewId="0">
      <selection activeCell="A10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45892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1476</v>
      </c>
      <c r="F9" s="172">
        <v>63</v>
      </c>
      <c r="G9" s="15">
        <f t="shared" ref="G9:G10" si="0">E9*F9</f>
        <v>92988</v>
      </c>
      <c r="H9" s="16">
        <f>F9*C9</f>
        <v>945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16</v>
      </c>
      <c r="D10" s="14">
        <v>2.85</v>
      </c>
      <c r="E10" s="173">
        <v>1458</v>
      </c>
      <c r="F10" s="172">
        <v>22</v>
      </c>
      <c r="G10" s="15">
        <f t="shared" si="0"/>
        <v>32076</v>
      </c>
      <c r="H10" s="16">
        <f t="shared" ref="H10" si="1">F10*C10</f>
        <v>352</v>
      </c>
      <c r="I10" s="192" t="s">
        <v>44</v>
      </c>
      <c r="J10" s="202">
        <v>1.3888888888888888E-2</v>
      </c>
      <c r="K10" s="204" t="s">
        <v>44</v>
      </c>
    </row>
    <row r="11" spans="1:11" ht="16" x14ac:dyDescent="0.15">
      <c r="A11" s="200"/>
      <c r="B11" s="201"/>
      <c r="C11" s="171"/>
      <c r="D11" s="14"/>
      <c r="E11" s="173"/>
      <c r="F11" s="185"/>
      <c r="G11" s="15"/>
      <c r="H11" s="16"/>
      <c r="I11" s="192" t="s">
        <v>250</v>
      </c>
      <c r="J11" s="202">
        <v>2.0833333333333332E-2</v>
      </c>
      <c r="K11" s="203" t="s">
        <v>263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 t="s">
        <v>234</v>
      </c>
      <c r="J12" s="202">
        <v>4.1666666666666664E-2</v>
      </c>
      <c r="K12" s="203" t="s">
        <v>235</v>
      </c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85</v>
      </c>
      <c r="G22" s="43">
        <f>SUM(G9:G21)/F22</f>
        <v>1471.3411764705882</v>
      </c>
      <c r="H22" s="44">
        <f>SUM(H9:H21)/F22</f>
        <v>15.258823529411766</v>
      </c>
      <c r="I22" s="45" t="s">
        <v>22</v>
      </c>
      <c r="J22" s="170">
        <v>9.7222222222222224E-2</v>
      </c>
      <c r="K22" s="39"/>
    </row>
    <row r="23" spans="1:11" x14ac:dyDescent="0.15">
      <c r="E23" s="46"/>
      <c r="F23" s="47"/>
      <c r="I23" s="48" t="s">
        <v>23</v>
      </c>
      <c r="J23" s="49">
        <v>2.33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85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80+77+88+71+70+70+82+85+90+90+93+82+82+71+100+101+90+87+70+41+73+84+85</f>
        <v>1862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46.58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3DECAF31-5735-4D79-BEDD-9CB0EB573489}">
      <formula1>$K$29:$K$85</formula1>
    </dataValidation>
    <dataValidation type="list" allowBlank="1" showInputMessage="1" showErrorMessage="1" sqref="B20:B21" xr:uid="{991C2610-6219-4C08-9E83-5686E7BF69F6}">
      <formula1>$K$29:$K$40</formula1>
    </dataValidation>
    <dataValidation type="list" allowBlank="1" showInputMessage="1" showErrorMessage="1" sqref="I50 K15:K21" xr:uid="{0020DAA4-B167-4714-B74D-9E1D09EE47E1}">
      <formula1>$I$41:$I$50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81F2-19E5-4319-9BF4-59E1CA9C438A}">
  <dimension ref="A1:K85"/>
  <sheetViews>
    <sheetView topLeftCell="A7" workbookViewId="0">
      <selection activeCell="A7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45893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1469</v>
      </c>
      <c r="F9" s="172">
        <v>14.9</v>
      </c>
      <c r="G9" s="15">
        <f t="shared" ref="G9:G12" si="0">E9*F9</f>
        <v>21888.100000000002</v>
      </c>
      <c r="H9" s="16">
        <f>F9*C9</f>
        <v>223.5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17</v>
      </c>
      <c r="D10" s="14">
        <v>2.85</v>
      </c>
      <c r="E10" s="173">
        <v>1469</v>
      </c>
      <c r="F10" s="172">
        <v>17</v>
      </c>
      <c r="G10" s="15">
        <f t="shared" si="0"/>
        <v>24973</v>
      </c>
      <c r="H10" s="16">
        <f t="shared" ref="H10:H12" si="1">F10*C10</f>
        <v>289</v>
      </c>
      <c r="I10" s="192" t="s">
        <v>44</v>
      </c>
      <c r="J10" s="202">
        <v>6.9444444444444441E-3</v>
      </c>
      <c r="K10" s="204" t="s">
        <v>44</v>
      </c>
    </row>
    <row r="11" spans="1:11" ht="17" x14ac:dyDescent="0.15">
      <c r="A11" s="200">
        <v>3</v>
      </c>
      <c r="B11" s="201" t="s">
        <v>239</v>
      </c>
      <c r="C11" s="171">
        <v>17</v>
      </c>
      <c r="D11" s="14">
        <v>2.85</v>
      </c>
      <c r="E11" s="173">
        <v>1418</v>
      </c>
      <c r="F11" s="185">
        <v>28</v>
      </c>
      <c r="G11" s="15">
        <f t="shared" si="0"/>
        <v>39704</v>
      </c>
      <c r="H11" s="16">
        <f>F11*C11</f>
        <v>476</v>
      </c>
      <c r="I11" s="192" t="s">
        <v>250</v>
      </c>
      <c r="J11" s="202">
        <v>1.3888888888888888E-2</v>
      </c>
      <c r="K11" s="203" t="s">
        <v>263</v>
      </c>
    </row>
    <row r="12" spans="1:11" ht="19.25" customHeight="1" x14ac:dyDescent="0.15">
      <c r="A12" s="205">
        <v>4</v>
      </c>
      <c r="B12" s="201" t="s">
        <v>239</v>
      </c>
      <c r="C12" s="186">
        <v>19</v>
      </c>
      <c r="D12" s="14">
        <v>2.85</v>
      </c>
      <c r="E12" s="187">
        <v>1264</v>
      </c>
      <c r="F12" s="188">
        <v>26.1</v>
      </c>
      <c r="G12" s="15">
        <f t="shared" si="0"/>
        <v>32990.400000000001</v>
      </c>
      <c r="H12" s="16">
        <f t="shared" si="1"/>
        <v>495.90000000000003</v>
      </c>
      <c r="I12" s="192" t="s">
        <v>253</v>
      </c>
      <c r="J12" s="202">
        <v>4.1666666666666664E-2</v>
      </c>
      <c r="K12" s="203" t="s">
        <v>264</v>
      </c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86</v>
      </c>
      <c r="G22" s="43">
        <f>SUM(G9:G21)/F22</f>
        <v>1390.1802325581396</v>
      </c>
      <c r="H22" s="44">
        <f>SUM(H9:H21)/F22</f>
        <v>17.260465116279072</v>
      </c>
      <c r="I22" s="45" t="s">
        <v>22</v>
      </c>
      <c r="J22" s="170">
        <v>8.3333333333333329E-2</v>
      </c>
      <c r="K22" s="39"/>
    </row>
    <row r="23" spans="1:11" x14ac:dyDescent="0.15">
      <c r="E23" s="46"/>
      <c r="F23" s="47"/>
      <c r="I23" s="48" t="s">
        <v>23</v>
      </c>
      <c r="J23" s="49">
        <v>2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86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80+77+88+71+70+70+82+85+90+90+93+82+82+71+100+101+90+87+70+41+73+84+85+86</f>
        <v>1948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48.58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B1F88F75-3ED9-4251-AB2D-3BFFEE8F3E62}">
      <formula1>$I$41:$I$50</formula1>
    </dataValidation>
    <dataValidation type="list" allowBlank="1" showInputMessage="1" showErrorMessage="1" sqref="B20:B21" xr:uid="{044E89B1-78AF-4B6E-92A3-A94D5912E7D7}">
      <formula1>$K$29:$K$40</formula1>
    </dataValidation>
    <dataValidation type="list" allowBlank="1" showInputMessage="1" showErrorMessage="1" sqref="B16:B19" xr:uid="{FFC42EE4-A79A-4EB1-9095-0929BC05247C}">
      <formula1>$K$29:$K$85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8C0F-D73E-4108-9266-DCE4D04CAB2C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45894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239</v>
      </c>
      <c r="C9" s="171">
        <v>17</v>
      </c>
      <c r="D9" s="14">
        <v>2.85</v>
      </c>
      <c r="E9" s="173">
        <v>1369</v>
      </c>
      <c r="F9" s="172">
        <v>14.6</v>
      </c>
      <c r="G9" s="15">
        <f t="shared" ref="G9:G11" si="0">E9*F9</f>
        <v>19987.399999999998</v>
      </c>
      <c r="H9" s="16">
        <f>F9*C9</f>
        <v>248.2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239</v>
      </c>
      <c r="C10" s="171">
        <v>18</v>
      </c>
      <c r="D10" s="14">
        <v>2.85</v>
      </c>
      <c r="E10" s="173">
        <v>1369</v>
      </c>
      <c r="F10" s="172">
        <v>2.5</v>
      </c>
      <c r="G10" s="15">
        <f t="shared" si="0"/>
        <v>3422.5</v>
      </c>
      <c r="H10" s="16">
        <f t="shared" ref="H10" si="1">F10*C10</f>
        <v>45</v>
      </c>
      <c r="I10" s="192" t="s">
        <v>44</v>
      </c>
      <c r="J10" s="202">
        <v>1.7361111111111112E-2</v>
      </c>
      <c r="K10" s="204" t="s">
        <v>44</v>
      </c>
    </row>
    <row r="11" spans="1:11" ht="17" x14ac:dyDescent="0.15">
      <c r="A11" s="200">
        <v>3</v>
      </c>
      <c r="B11" s="201" t="s">
        <v>239</v>
      </c>
      <c r="C11" s="171">
        <v>19</v>
      </c>
      <c r="D11" s="14">
        <v>2.85</v>
      </c>
      <c r="E11" s="173">
        <v>1264</v>
      </c>
      <c r="F11" s="185">
        <v>74.900000000000006</v>
      </c>
      <c r="G11" s="15">
        <f t="shared" si="0"/>
        <v>94673.600000000006</v>
      </c>
      <c r="H11" s="16">
        <f>F11*C11</f>
        <v>1423.1000000000001</v>
      </c>
      <c r="I11" s="192"/>
      <c r="J11" s="202"/>
      <c r="K11" s="203"/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92</v>
      </c>
      <c r="G22" s="43">
        <f>SUM(G9:G21)/F22</f>
        <v>1283.516304347826</v>
      </c>
      <c r="H22" s="44">
        <f>SUM(H9:H21)/F22</f>
        <v>18.655434782608697</v>
      </c>
      <c r="I22" s="45" t="s">
        <v>22</v>
      </c>
      <c r="J22" s="170">
        <v>3.8194444444444448E-2</v>
      </c>
      <c r="K22" s="39"/>
    </row>
    <row r="23" spans="1:11" x14ac:dyDescent="0.15">
      <c r="E23" s="46"/>
      <c r="F23" s="47"/>
      <c r="I23" s="48" t="s">
        <v>23</v>
      </c>
      <c r="J23" s="49">
        <v>0.92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92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80+77+88+71+70+70+82+85+90+90+93+82+82+71+100+101+90+87+70+41+73+84+85+86+92</f>
        <v>2040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49.5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5C0B3EAC-F42D-4131-8F14-2E4476D38515}">
      <formula1>$K$29:$K$85</formula1>
    </dataValidation>
    <dataValidation type="list" allowBlank="1" showInputMessage="1" showErrorMessage="1" sqref="B20:B21" xr:uid="{E0665A93-CC00-4A33-8A57-DC398EBA488C}">
      <formula1>$K$29:$K$40</formula1>
    </dataValidation>
    <dataValidation type="list" allowBlank="1" showInputMessage="1" showErrorMessage="1" sqref="I50 K15:K21" xr:uid="{FF793EAE-BB4F-4BC3-8D42-74A36E6FC3D5}">
      <formula1>$I$41:$I$50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53A9-C924-46FE-B33F-FEA32BD41778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45895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1461</v>
      </c>
      <c r="F9" s="172">
        <v>33.5</v>
      </c>
      <c r="G9" s="15">
        <f t="shared" ref="G9:G12" si="0">E9*F9</f>
        <v>48943.5</v>
      </c>
      <c r="H9" s="16">
        <f>F9*C9</f>
        <v>502.5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16</v>
      </c>
      <c r="D10" s="14">
        <v>2.85</v>
      </c>
      <c r="E10" s="173">
        <v>1461</v>
      </c>
      <c r="F10" s="172">
        <v>16</v>
      </c>
      <c r="G10" s="15">
        <f t="shared" si="0"/>
        <v>23376</v>
      </c>
      <c r="H10" s="16">
        <f t="shared" ref="H10" si="1">F10*C10</f>
        <v>256</v>
      </c>
      <c r="I10" s="192" t="s">
        <v>44</v>
      </c>
      <c r="J10" s="202">
        <v>1.3888888888888888E-2</v>
      </c>
      <c r="K10" s="204" t="s">
        <v>44</v>
      </c>
    </row>
    <row r="11" spans="1:11" ht="17" x14ac:dyDescent="0.15">
      <c r="A11" s="200">
        <v>3</v>
      </c>
      <c r="B11" s="201" t="s">
        <v>239</v>
      </c>
      <c r="C11" s="171">
        <v>17</v>
      </c>
      <c r="D11" s="14">
        <v>2.85</v>
      </c>
      <c r="E11" s="173">
        <v>1377</v>
      </c>
      <c r="F11" s="185">
        <v>7</v>
      </c>
      <c r="G11" s="15">
        <f t="shared" si="0"/>
        <v>9639</v>
      </c>
      <c r="H11" s="16">
        <f>F11*C11</f>
        <v>119</v>
      </c>
      <c r="I11" s="192" t="s">
        <v>250</v>
      </c>
      <c r="J11" s="202">
        <v>1.3888888888888888E-2</v>
      </c>
      <c r="K11" s="203" t="s">
        <v>265</v>
      </c>
    </row>
    <row r="12" spans="1:11" ht="19.25" customHeight="1" x14ac:dyDescent="0.15">
      <c r="A12" s="205">
        <v>4</v>
      </c>
      <c r="B12" s="201" t="s">
        <v>249</v>
      </c>
      <c r="C12" s="186">
        <v>15</v>
      </c>
      <c r="D12" s="14">
        <v>2.85</v>
      </c>
      <c r="E12" s="187">
        <v>1400</v>
      </c>
      <c r="F12" s="188">
        <v>22.5</v>
      </c>
      <c r="G12" s="15">
        <f t="shared" si="0"/>
        <v>31500</v>
      </c>
      <c r="H12" s="16">
        <f>F12*C12</f>
        <v>337.5</v>
      </c>
      <c r="I12" s="192" t="s">
        <v>234</v>
      </c>
      <c r="J12" s="202">
        <v>4.8611111111111112E-2</v>
      </c>
      <c r="K12" s="203" t="s">
        <v>266</v>
      </c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 t="s">
        <v>267</v>
      </c>
      <c r="J13" s="202">
        <v>2.0833333333333332E-2</v>
      </c>
      <c r="K13" s="206" t="s">
        <v>268</v>
      </c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79</v>
      </c>
      <c r="G22" s="43">
        <f>SUM(G9:G21)/F22</f>
        <v>1436.1835443037974</v>
      </c>
      <c r="H22" s="44">
        <f>SUM(H9:H21)/F22</f>
        <v>15.379746835443038</v>
      </c>
      <c r="I22" s="45" t="s">
        <v>22</v>
      </c>
      <c r="J22" s="170">
        <v>0.11805555555555555</v>
      </c>
      <c r="K22" s="39"/>
    </row>
    <row r="23" spans="1:11" x14ac:dyDescent="0.15">
      <c r="E23" s="46"/>
      <c r="F23" s="47"/>
      <c r="I23" s="48" t="s">
        <v>23</v>
      </c>
      <c r="J23" s="49">
        <v>2.83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79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80+77+88+71+70+70+82+85+90+90+93+82+82+71+100+101+90+87+70+41+73+84+85+86+92+79</f>
        <v>2119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52.33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F03DF6EB-8428-40D0-BF5B-3CE98FF22D9B}">
      <formula1>$I$41:$I$50</formula1>
    </dataValidation>
    <dataValidation type="list" allowBlank="1" showInputMessage="1" showErrorMessage="1" sqref="B20:B21" xr:uid="{02946309-F1EE-4124-9C31-3D4C0F337C2E}">
      <formula1>$K$29:$K$40</formula1>
    </dataValidation>
    <dataValidation type="list" allowBlank="1" showInputMessage="1" showErrorMessage="1" sqref="B16:B19" xr:uid="{BC47FD3B-7385-445B-818C-74549511C42C}">
      <formula1>$K$29:$K$85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6CD7-14DB-4857-860B-7C245B501C79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45896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1383</v>
      </c>
      <c r="F9" s="172">
        <v>3</v>
      </c>
      <c r="G9" s="15">
        <f t="shared" ref="G9:G11" si="0">E9*F9</f>
        <v>4149</v>
      </c>
      <c r="H9" s="16">
        <f>F9*C9</f>
        <v>45</v>
      </c>
      <c r="I9" s="189" t="s">
        <v>20</v>
      </c>
      <c r="J9" s="190">
        <v>2.4305555555555556E-2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16</v>
      </c>
      <c r="D10" s="14">
        <v>2.85</v>
      </c>
      <c r="E10" s="173">
        <v>1240</v>
      </c>
      <c r="F10" s="172">
        <v>6</v>
      </c>
      <c r="G10" s="15">
        <f t="shared" si="0"/>
        <v>7440</v>
      </c>
      <c r="H10" s="16">
        <f t="shared" ref="H10" si="1">F10*C10</f>
        <v>96</v>
      </c>
      <c r="I10" s="192" t="s">
        <v>44</v>
      </c>
      <c r="J10" s="202">
        <v>1.3888888888888888E-2</v>
      </c>
      <c r="K10" s="204" t="s">
        <v>44</v>
      </c>
    </row>
    <row r="11" spans="1:11" ht="17" x14ac:dyDescent="0.15">
      <c r="A11" s="200">
        <v>3</v>
      </c>
      <c r="B11" s="201" t="s">
        <v>249</v>
      </c>
      <c r="C11" s="171">
        <v>15</v>
      </c>
      <c r="D11" s="14">
        <v>2.85</v>
      </c>
      <c r="E11" s="173">
        <v>1383</v>
      </c>
      <c r="F11" s="185">
        <v>61</v>
      </c>
      <c r="G11" s="15">
        <f t="shared" si="0"/>
        <v>84363</v>
      </c>
      <c r="H11" s="16">
        <f>F11*C11</f>
        <v>915</v>
      </c>
      <c r="I11" s="192" t="s">
        <v>253</v>
      </c>
      <c r="J11" s="202">
        <v>8.3333333333333329E-2</v>
      </c>
      <c r="K11" s="203" t="s">
        <v>269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 t="s">
        <v>250</v>
      </c>
      <c r="J12" s="202">
        <v>2.0833333333333332E-2</v>
      </c>
      <c r="K12" s="203" t="s">
        <v>270</v>
      </c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 t="s">
        <v>241</v>
      </c>
      <c r="J13" s="202">
        <v>6.9444444444444441E-3</v>
      </c>
      <c r="K13" s="206" t="s">
        <v>241</v>
      </c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70</v>
      </c>
      <c r="G22" s="43">
        <f>SUM(G9:G21)/F22</f>
        <v>1370.7428571428572</v>
      </c>
      <c r="H22" s="44">
        <f>SUM(H9:H21)/F22</f>
        <v>15.085714285714285</v>
      </c>
      <c r="I22" s="45" t="s">
        <v>22</v>
      </c>
      <c r="J22" s="170">
        <v>0.14930555555555555</v>
      </c>
      <c r="K22" s="39"/>
    </row>
    <row r="23" spans="1:11" x14ac:dyDescent="0.15">
      <c r="E23" s="46"/>
      <c r="F23" s="47"/>
      <c r="I23" s="48" t="s">
        <v>23</v>
      </c>
      <c r="J23" s="49">
        <v>3.58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70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80+77+88+71+70+70+82+85+90+90+93+82+82+71+100+101+90+87+70+41+73+84+85+86+92+79+70</f>
        <v>2189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55.92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8AF0301F-1D59-400D-852D-F425054FA442}">
      <formula1>$K$29:$K$85</formula1>
    </dataValidation>
    <dataValidation type="list" allowBlank="1" showInputMessage="1" showErrorMessage="1" sqref="B20:B21" xr:uid="{D2167BED-AA6F-4CB1-9DC9-A821D6C01CB3}">
      <formula1>$K$29:$K$40</formula1>
    </dataValidation>
    <dataValidation type="list" allowBlank="1" showInputMessage="1" showErrorMessage="1" sqref="I50 K15:K21" xr:uid="{AAE840A5-E24E-4350-A989-0D7AF80FC5C1}">
      <formula1>$I$41:$I$50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E6DC-5EFC-4F4A-928F-BFB832DD937E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45897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249</v>
      </c>
      <c r="C9" s="171">
        <v>15</v>
      </c>
      <c r="D9" s="14">
        <v>2.85</v>
      </c>
      <c r="E9" s="173">
        <v>1485</v>
      </c>
      <c r="F9" s="172">
        <v>48</v>
      </c>
      <c r="G9" s="15">
        <f t="shared" ref="G9:G12" si="0">E9*F9</f>
        <v>71280</v>
      </c>
      <c r="H9" s="16">
        <f>F9*C9</f>
        <v>720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249</v>
      </c>
      <c r="C10" s="171">
        <v>16</v>
      </c>
      <c r="D10" s="14">
        <v>2.85</v>
      </c>
      <c r="E10" s="173">
        <v>1435</v>
      </c>
      <c r="F10" s="172">
        <v>3</v>
      </c>
      <c r="G10" s="15">
        <f t="shared" si="0"/>
        <v>4305</v>
      </c>
      <c r="H10" s="16">
        <f t="shared" ref="H10" si="1">F10*C10</f>
        <v>48</v>
      </c>
      <c r="I10" s="192" t="s">
        <v>44</v>
      </c>
      <c r="J10" s="202">
        <v>1.7361111111111112E-2</v>
      </c>
      <c r="K10" s="204" t="s">
        <v>44</v>
      </c>
    </row>
    <row r="11" spans="1:11" ht="17" x14ac:dyDescent="0.15">
      <c r="A11" s="200">
        <v>3</v>
      </c>
      <c r="B11" s="201" t="s">
        <v>249</v>
      </c>
      <c r="C11" s="171">
        <v>17</v>
      </c>
      <c r="D11" s="14">
        <v>2.85</v>
      </c>
      <c r="E11" s="173">
        <v>1394</v>
      </c>
      <c r="F11" s="185">
        <v>9</v>
      </c>
      <c r="G11" s="15">
        <f t="shared" si="0"/>
        <v>12546</v>
      </c>
      <c r="H11" s="16">
        <f>F11*C11</f>
        <v>153</v>
      </c>
      <c r="I11" s="192" t="s">
        <v>271</v>
      </c>
      <c r="J11" s="202">
        <v>2.0833333333333332E-2</v>
      </c>
      <c r="K11" s="203" t="s">
        <v>272</v>
      </c>
    </row>
    <row r="12" spans="1:11" ht="19.25" customHeight="1" x14ac:dyDescent="0.15">
      <c r="A12" s="205">
        <v>4</v>
      </c>
      <c r="B12" s="201" t="s">
        <v>237</v>
      </c>
      <c r="C12" s="186">
        <v>17</v>
      </c>
      <c r="D12" s="14">
        <v>2.85</v>
      </c>
      <c r="E12" s="187">
        <v>1431</v>
      </c>
      <c r="F12" s="188">
        <v>22</v>
      </c>
      <c r="G12" s="15">
        <f t="shared" si="0"/>
        <v>31482</v>
      </c>
      <c r="H12" s="16">
        <f>F12*C12</f>
        <v>374</v>
      </c>
      <c r="I12" s="192" t="s">
        <v>250</v>
      </c>
      <c r="J12" s="202">
        <v>1.3888888888888888E-2</v>
      </c>
      <c r="K12" s="203" t="s">
        <v>270</v>
      </c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 t="s">
        <v>242</v>
      </c>
      <c r="J13" s="202">
        <v>1.0416666666666666E-2</v>
      </c>
      <c r="K13" s="206" t="s">
        <v>243</v>
      </c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 t="s">
        <v>241</v>
      </c>
      <c r="J14" s="210" t="s">
        <v>273</v>
      </c>
      <c r="K14" s="204" t="s">
        <v>241</v>
      </c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82</v>
      </c>
      <c r="G22" s="43">
        <f>SUM(G9:G21)/F22</f>
        <v>1458.6951219512196</v>
      </c>
      <c r="H22" s="44">
        <f>SUM(H9:H21)/F22</f>
        <v>15.792682926829269</v>
      </c>
      <c r="I22" s="45" t="s">
        <v>22</v>
      </c>
      <c r="J22" s="170">
        <v>0.10416666666666667</v>
      </c>
      <c r="K22" s="39"/>
    </row>
    <row r="23" spans="1:11" x14ac:dyDescent="0.15">
      <c r="E23" s="46"/>
      <c r="F23" s="47"/>
      <c r="I23" s="48" t="s">
        <v>23</v>
      </c>
      <c r="J23" s="49">
        <v>2.5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82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80+77+88+71+70+70+82+85+90+90+93+82+82+71+100+101+90+87+70+41+73+84+85+86+92+79+70+82</f>
        <v>2271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58.42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F510BAC0-C8F5-47F8-9E5A-EB48051E1364}">
      <formula1>$I$41:$I$50</formula1>
    </dataValidation>
    <dataValidation type="list" allowBlank="1" showInputMessage="1" showErrorMessage="1" sqref="B20:B21" xr:uid="{305A2305-57EE-4137-A255-48064D0F56A6}">
      <formula1>$K$29:$K$40</formula1>
    </dataValidation>
    <dataValidation type="list" allowBlank="1" showInputMessage="1" showErrorMessage="1" sqref="B16:B19" xr:uid="{FDB0B96F-B079-4FBD-A26E-46642DEF8B3D}">
      <formula1>$K$29:$K$85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1A19-90D7-492C-A994-30C7F0B18DB1}">
  <dimension ref="A1:K85"/>
  <sheetViews>
    <sheetView workbookViewId="0">
      <selection activeCell="K25" sqref="K25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45898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1411</v>
      </c>
      <c r="F9" s="172">
        <v>39.5</v>
      </c>
      <c r="G9" s="15">
        <f t="shared" ref="G9:G10" si="0">E9*F9</f>
        <v>55734.5</v>
      </c>
      <c r="H9" s="16">
        <f>F9*C9</f>
        <v>592.5</v>
      </c>
      <c r="I9" s="189" t="s">
        <v>20</v>
      </c>
      <c r="J9" s="190">
        <v>2.4305555555555556E-2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17</v>
      </c>
      <c r="D10" s="14">
        <v>2.85</v>
      </c>
      <c r="E10" s="173">
        <v>1419</v>
      </c>
      <c r="F10" s="172">
        <v>41.5</v>
      </c>
      <c r="G10" s="15">
        <f t="shared" si="0"/>
        <v>58888.5</v>
      </c>
      <c r="H10" s="16">
        <f t="shared" ref="H10" si="1">F10*C10</f>
        <v>705.5</v>
      </c>
      <c r="I10" s="192" t="s">
        <v>44</v>
      </c>
      <c r="J10" s="202">
        <v>6.9444444444444441E-3</v>
      </c>
      <c r="K10" s="204" t="s">
        <v>44</v>
      </c>
    </row>
    <row r="11" spans="1:11" ht="16" x14ac:dyDescent="0.15">
      <c r="A11" s="200"/>
      <c r="B11" s="201"/>
      <c r="C11" s="171"/>
      <c r="D11" s="14"/>
      <c r="E11" s="173"/>
      <c r="F11" s="185"/>
      <c r="G11" s="15"/>
      <c r="H11" s="16"/>
      <c r="I11" s="192" t="s">
        <v>241</v>
      </c>
      <c r="J11" s="202">
        <v>2.0833333333333332E-2</v>
      </c>
      <c r="K11" s="203" t="s">
        <v>241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81</v>
      </c>
      <c r="G22" s="43">
        <f>SUM(G9:G21)/F22</f>
        <v>1415.0987654320988</v>
      </c>
      <c r="H22" s="44">
        <f>SUM(H9:H21)/F22</f>
        <v>16.02469135802469</v>
      </c>
      <c r="I22" s="45" t="s">
        <v>22</v>
      </c>
      <c r="J22" s="170">
        <v>5.2083333333333336E-2</v>
      </c>
      <c r="K22" s="39"/>
    </row>
    <row r="23" spans="1:11" x14ac:dyDescent="0.15">
      <c r="E23" s="46"/>
      <c r="F23" s="47"/>
      <c r="I23" s="48" t="s">
        <v>23</v>
      </c>
      <c r="J23" s="49">
        <v>1.25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81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80+77+88+71+70+70+82+85+90+90+93+82+82+71+100+101+90+87+70+41+73+84+85+86+92+79+70+82+81</f>
        <v>2352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59.67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8366B0E-E1B8-44C2-B5B9-864BD6A982B0}">
      <formula1>$K$29:$K$85</formula1>
    </dataValidation>
    <dataValidation type="list" allowBlank="1" showInputMessage="1" showErrorMessage="1" sqref="B20:B21" xr:uid="{4C0E6C78-7388-48A9-90D7-B3A09A3EE607}">
      <formula1>$K$29:$K$40</formula1>
    </dataValidation>
    <dataValidation type="list" allowBlank="1" showInputMessage="1" showErrorMessage="1" sqref="I50 K15:K21" xr:uid="{091591A5-554F-459F-A74E-EFE65F2CAF12}">
      <formula1>$I$41:$I$50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FE8C-B42B-F34D-ADE6-DD1A887096C6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45899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15</v>
      </c>
      <c r="D9" s="14">
        <v>2.85</v>
      </c>
      <c r="E9" s="173">
        <v>1411</v>
      </c>
      <c r="F9" s="172">
        <v>63.5</v>
      </c>
      <c r="G9" s="15">
        <f>E9*F9</f>
        <v>89598.5</v>
      </c>
      <c r="H9" s="16">
        <f>F9*C9</f>
        <v>952.5</v>
      </c>
      <c r="I9" s="189" t="s">
        <v>20</v>
      </c>
      <c r="J9" s="190">
        <v>2.4305555555555556E-2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16</v>
      </c>
      <c r="D10" s="14">
        <v>2.85</v>
      </c>
      <c r="E10" s="173">
        <v>1411</v>
      </c>
      <c r="F10" s="172">
        <v>13.5</v>
      </c>
      <c r="G10" s="15">
        <f>E10*F10</f>
        <v>19048.5</v>
      </c>
      <c r="H10" s="16">
        <f>F10*C10</f>
        <v>216</v>
      </c>
      <c r="I10" s="192" t="s">
        <v>44</v>
      </c>
      <c r="J10" s="202">
        <v>1.0416666666666666E-2</v>
      </c>
      <c r="K10" s="204" t="s">
        <v>44</v>
      </c>
    </row>
    <row r="11" spans="1:11" ht="16" x14ac:dyDescent="0.15">
      <c r="A11" s="200"/>
      <c r="B11" s="201"/>
      <c r="C11" s="171"/>
      <c r="D11" s="14"/>
      <c r="E11" s="173"/>
      <c r="F11" s="185"/>
      <c r="G11" s="15"/>
      <c r="H11" s="16"/>
      <c r="I11" s="192" t="s">
        <v>282</v>
      </c>
      <c r="J11" s="202">
        <v>2.0833333333333332E-2</v>
      </c>
      <c r="K11" s="203" t="s">
        <v>281</v>
      </c>
    </row>
    <row r="12" spans="1:11" ht="19.25" customHeight="1" x14ac:dyDescent="0.15">
      <c r="A12" s="205"/>
      <c r="B12" s="201"/>
      <c r="C12" s="186"/>
      <c r="D12" s="14"/>
      <c r="E12" s="187"/>
      <c r="F12" s="188"/>
      <c r="G12" s="15"/>
      <c r="H12" s="16"/>
      <c r="I12" s="192"/>
      <c r="J12" s="202"/>
      <c r="K12" s="203"/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77</v>
      </c>
      <c r="G22" s="43">
        <f>SUM(G9:G21)/F22</f>
        <v>1411</v>
      </c>
      <c r="H22" s="44">
        <f>SUM(H9:H21)/F22</f>
        <v>15.175324675324676</v>
      </c>
      <c r="I22" s="45" t="s">
        <v>22</v>
      </c>
      <c r="J22" s="170">
        <v>5.5555555555555552E-2</v>
      </c>
      <c r="K22" s="39"/>
    </row>
    <row r="23" spans="1:11" x14ac:dyDescent="0.15">
      <c r="E23" s="46"/>
      <c r="F23" s="47"/>
      <c r="I23" s="48" t="s">
        <v>23</v>
      </c>
      <c r="J23" s="49">
        <v>1.33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77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80+77+88+71+70+70+82+85+90+90+93+82+82+71+100+101+90+87+70+41+73+84+85+86+92+79+70+82+81+77</f>
        <v>2429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61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9DF14ABA-6EB8-422D-9ADE-3B3E8C60E8AF}">
      <formula1>$K$29:$K$85</formula1>
    </dataValidation>
    <dataValidation type="list" allowBlank="1" showInputMessage="1" showErrorMessage="1" sqref="B20:B21" xr:uid="{F494D104-00EC-4AB2-AC11-EA541745E62A}">
      <formula1>$K$29:$K$40</formula1>
    </dataValidation>
    <dataValidation type="list" allowBlank="1" showInputMessage="1" showErrorMessage="1" sqref="I50 K15:K21" xr:uid="{567EF8F4-7728-46E6-833B-0F3D994D2E9B}">
      <formula1>$I$41:$I$50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136D-AEB5-F941-832F-F6200E0B684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0">
        <v>45900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00">
        <v>1</v>
      </c>
      <c r="B9" s="201" t="s">
        <v>237</v>
      </c>
      <c r="C9" s="171">
        <v>14</v>
      </c>
      <c r="D9" s="14">
        <v>2.85</v>
      </c>
      <c r="E9" s="173">
        <v>1414</v>
      </c>
      <c r="F9" s="172">
        <v>14</v>
      </c>
      <c r="G9" s="15">
        <f>E9*F9</f>
        <v>19796</v>
      </c>
      <c r="H9" s="16">
        <f>F9*C9</f>
        <v>196</v>
      </c>
      <c r="I9" s="189" t="s">
        <v>20</v>
      </c>
      <c r="J9" s="190">
        <v>2.0833333333333332E-2</v>
      </c>
      <c r="K9" s="191" t="s">
        <v>231</v>
      </c>
    </row>
    <row r="10" spans="1:11" ht="17" x14ac:dyDescent="0.15">
      <c r="A10" s="205">
        <v>2</v>
      </c>
      <c r="B10" s="201" t="s">
        <v>237</v>
      </c>
      <c r="C10" s="171">
        <v>15</v>
      </c>
      <c r="D10" s="14">
        <v>2.85</v>
      </c>
      <c r="E10" s="173">
        <v>1377</v>
      </c>
      <c r="F10" s="172">
        <v>21.5</v>
      </c>
      <c r="G10" s="15">
        <f>E10*F10</f>
        <v>29605.5</v>
      </c>
      <c r="H10" s="16">
        <f>F10*C10</f>
        <v>322.5</v>
      </c>
      <c r="I10" s="192" t="s">
        <v>44</v>
      </c>
      <c r="J10" s="202">
        <v>3.125E-2</v>
      </c>
      <c r="K10" s="204" t="s">
        <v>44</v>
      </c>
    </row>
    <row r="11" spans="1:11" ht="17" x14ac:dyDescent="0.15">
      <c r="A11" s="200">
        <v>3</v>
      </c>
      <c r="B11" s="201" t="s">
        <v>239</v>
      </c>
      <c r="C11" s="171">
        <v>19</v>
      </c>
      <c r="D11" s="14">
        <v>2.85</v>
      </c>
      <c r="E11" s="173">
        <v>1127</v>
      </c>
      <c r="F11" s="185">
        <v>33.5</v>
      </c>
      <c r="G11" s="15">
        <f>E11*F11</f>
        <v>37754.5</v>
      </c>
      <c r="H11" s="16">
        <f>F11*C11</f>
        <v>636.5</v>
      </c>
      <c r="I11" s="192" t="s">
        <v>250</v>
      </c>
      <c r="J11" s="202">
        <v>3.125E-2</v>
      </c>
      <c r="K11" s="203" t="s">
        <v>283</v>
      </c>
    </row>
    <row r="12" spans="1:11" ht="19.25" customHeight="1" x14ac:dyDescent="0.15">
      <c r="A12" s="205">
        <v>4</v>
      </c>
      <c r="B12" s="201" t="s">
        <v>259</v>
      </c>
      <c r="C12" s="186">
        <v>20</v>
      </c>
      <c r="D12" s="14">
        <v>2.85</v>
      </c>
      <c r="E12" s="187">
        <v>1197</v>
      </c>
      <c r="F12" s="188">
        <v>6</v>
      </c>
      <c r="G12" s="15">
        <f>E12*F12</f>
        <v>7182</v>
      </c>
      <c r="H12" s="16">
        <f>F12*C12</f>
        <v>120</v>
      </c>
      <c r="I12" s="192" t="s">
        <v>241</v>
      </c>
      <c r="J12" s="202">
        <v>6.9444444444444441E-3</v>
      </c>
      <c r="K12" s="203" t="s">
        <v>241</v>
      </c>
    </row>
    <row r="13" spans="1:11" ht="16" x14ac:dyDescent="0.15">
      <c r="A13" s="207"/>
      <c r="B13" s="201"/>
      <c r="C13" s="186"/>
      <c r="D13" s="14"/>
      <c r="E13" s="187"/>
      <c r="F13" s="188"/>
      <c r="G13" s="15"/>
      <c r="H13" s="16"/>
      <c r="I13" s="192"/>
      <c r="J13" s="202"/>
      <c r="K13" s="206"/>
    </row>
    <row r="14" spans="1:11" ht="16" x14ac:dyDescent="0.15">
      <c r="A14" s="200"/>
      <c r="B14" s="201"/>
      <c r="C14" s="193"/>
      <c r="D14" s="14"/>
      <c r="E14" s="194"/>
      <c r="F14" s="195"/>
      <c r="G14" s="15"/>
      <c r="H14" s="16"/>
      <c r="I14" s="211"/>
      <c r="J14" s="210"/>
      <c r="K14" s="204"/>
    </row>
    <row r="15" spans="1:11" ht="16" x14ac:dyDescent="0.2">
      <c r="A15" s="205"/>
      <c r="B15" s="201"/>
      <c r="C15" s="208"/>
      <c r="D15" s="14"/>
      <c r="E15" s="194"/>
      <c r="F15" s="209"/>
      <c r="G15" s="15"/>
      <c r="H15" s="16"/>
      <c r="I15" s="25"/>
      <c r="J15" s="21"/>
      <c r="K15" s="19"/>
    </row>
    <row r="16" spans="1:11" ht="16" x14ac:dyDescent="0.2">
      <c r="A16" s="226"/>
      <c r="B16" s="227"/>
      <c r="C16" s="171"/>
      <c r="D16" s="14"/>
      <c r="E16" s="187"/>
      <c r="F16" s="171"/>
      <c r="G16" s="15"/>
      <c r="H16" s="16"/>
      <c r="I16" s="25"/>
      <c r="J16" s="21"/>
      <c r="K16" s="26"/>
    </row>
    <row r="17" spans="1:11" ht="16" x14ac:dyDescent="0.2">
      <c r="A17" s="226"/>
      <c r="B17" s="227"/>
      <c r="C17" s="171"/>
      <c r="D17" s="14"/>
      <c r="E17" s="194"/>
      <c r="F17" s="171"/>
      <c r="G17" s="15"/>
      <c r="H17" s="16"/>
      <c r="I17" s="25"/>
      <c r="J17" s="21"/>
      <c r="K17" s="26"/>
    </row>
    <row r="18" spans="1:11" ht="16" x14ac:dyDescent="0.2">
      <c r="A18" s="226"/>
      <c r="B18" s="227"/>
      <c r="C18" s="171"/>
      <c r="D18" s="14"/>
      <c r="E18" s="194"/>
      <c r="F18" s="171"/>
      <c r="G18" s="15"/>
      <c r="H18" s="16"/>
      <c r="I18" s="10"/>
      <c r="J18" s="13"/>
      <c r="K18" s="10"/>
    </row>
    <row r="19" spans="1:11" x14ac:dyDescent="0.15">
      <c r="A19" s="31"/>
      <c r="B19" s="32"/>
      <c r="C19" s="33"/>
      <c r="D19" s="34"/>
      <c r="E19" s="31"/>
      <c r="F19" s="33"/>
      <c r="G19" s="35"/>
      <c r="H19" s="33"/>
      <c r="I19" s="32"/>
      <c r="J19" s="36"/>
      <c r="K19" s="32"/>
    </row>
    <row r="20" spans="1:11" x14ac:dyDescent="0.15">
      <c r="A20" s="31"/>
      <c r="B20" s="32"/>
      <c r="C20" s="33"/>
      <c r="D20" s="34"/>
      <c r="E20" s="31"/>
      <c r="F20" s="33"/>
      <c r="G20" s="35"/>
      <c r="H20" s="33"/>
      <c r="I20" s="32"/>
      <c r="J20" s="36"/>
      <c r="K20" s="32"/>
    </row>
    <row r="21" spans="1:11" x14ac:dyDescent="0.15">
      <c r="A21" s="31"/>
      <c r="B21" s="32"/>
      <c r="C21" s="37"/>
      <c r="D21" s="31"/>
      <c r="E21" s="36"/>
      <c r="F21" s="37"/>
      <c r="G21" s="35"/>
      <c r="H21" s="33"/>
      <c r="I21" s="32"/>
      <c r="J21" s="36"/>
      <c r="K21" s="32"/>
    </row>
    <row r="22" spans="1:11" x14ac:dyDescent="0.15">
      <c r="A22" s="38"/>
      <c r="B22" s="39"/>
      <c r="C22" s="40"/>
      <c r="D22" s="40"/>
      <c r="E22" s="41" t="s">
        <v>21</v>
      </c>
      <c r="F22" s="42">
        <f>SUM(F9:F21)</f>
        <v>75</v>
      </c>
      <c r="G22" s="43">
        <f>SUM(G9:G21)/F22</f>
        <v>1257.8399999999999</v>
      </c>
      <c r="H22" s="44">
        <f>SUM(H9:H21)/F22</f>
        <v>17</v>
      </c>
      <c r="I22" s="45" t="s">
        <v>22</v>
      </c>
      <c r="J22" s="170">
        <v>9.0277777777777776E-2</v>
      </c>
      <c r="K22" s="39"/>
    </row>
    <row r="23" spans="1:11" x14ac:dyDescent="0.15">
      <c r="E23" s="46"/>
      <c r="F23" s="47"/>
      <c r="I23" s="48" t="s">
        <v>23</v>
      </c>
      <c r="J23" s="49">
        <v>2.17</v>
      </c>
    </row>
    <row r="24" spans="1:11" x14ac:dyDescent="0.15">
      <c r="A24" s="1"/>
      <c r="I24" s="50"/>
      <c r="J24" s="51"/>
    </row>
    <row r="25" spans="1:11" x14ac:dyDescent="0.15">
      <c r="A25" s="52" t="s">
        <v>24</v>
      </c>
      <c r="B25" s="52"/>
      <c r="C25" s="52"/>
      <c r="D25" s="37"/>
      <c r="H25" s="4" t="s">
        <v>25</v>
      </c>
      <c r="I25" s="4"/>
      <c r="J25" s="46">
        <f>F22</f>
        <v>75</v>
      </c>
      <c r="K25" s="1" t="s">
        <v>16</v>
      </c>
    </row>
    <row r="26" spans="1:11" x14ac:dyDescent="0.15">
      <c r="A26" s="52" t="s">
        <v>26</v>
      </c>
      <c r="B26" s="52"/>
      <c r="C26" s="52"/>
      <c r="D26" s="37"/>
      <c r="H26" s="4" t="s">
        <v>27</v>
      </c>
      <c r="I26" s="4"/>
      <c r="J26" s="46">
        <f>80+77+88+71+70+70+82+85+90+90+93+82+82+71+100+101+90+87+70+41+73+84+85+86+92+79+70+82+81+77+75</f>
        <v>2504</v>
      </c>
      <c r="K26" s="1" t="s">
        <v>16</v>
      </c>
    </row>
    <row r="27" spans="1:11" ht="15" thickBot="1" x14ac:dyDescent="0.2">
      <c r="A27" s="53"/>
      <c r="B27" s="53"/>
      <c r="C27" s="53"/>
      <c r="D27" s="53"/>
      <c r="E27" s="54"/>
      <c r="F27" s="54"/>
      <c r="G27" s="53"/>
      <c r="H27" s="55" t="s">
        <v>28</v>
      </c>
      <c r="I27" s="55"/>
      <c r="J27" s="56">
        <v>63.1</v>
      </c>
      <c r="K27" s="5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58" t="s">
        <v>42</v>
      </c>
      <c r="K41" s="2" t="s">
        <v>43</v>
      </c>
    </row>
    <row r="42" spans="9:11" ht="15" hidden="1" x14ac:dyDescent="0.15">
      <c r="I42" s="58" t="s">
        <v>44</v>
      </c>
      <c r="K42" s="2" t="s">
        <v>45</v>
      </c>
    </row>
    <row r="43" spans="9:11" hidden="1" x14ac:dyDescent="0.15">
      <c r="I43" s="5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6DA79CDA-2F10-479E-B1BB-59B1DD2F31D1}">
      <formula1>$I$41:$I$50</formula1>
    </dataValidation>
    <dataValidation type="list" allowBlank="1" showInputMessage="1" showErrorMessage="1" sqref="B20:B21" xr:uid="{9EB4E77C-5457-49D0-8711-8FF2EFB466B6}">
      <formula1>$K$29:$K$40</formula1>
    </dataValidation>
    <dataValidation type="list" allowBlank="1" showInputMessage="1" showErrorMessage="1" sqref="B16:B19" xr:uid="{920367A4-46F2-476E-BCCB-F8C617DB6781}">
      <formula1>$K$29:$K$85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X124"/>
  <sheetViews>
    <sheetView tabSelected="1" topLeftCell="N47" zoomScale="82" zoomScaleNormal="82" workbookViewId="0">
      <selection activeCell="S116" sqref="S116:S122"/>
    </sheetView>
  </sheetViews>
  <sheetFormatPr baseColWidth="10" defaultColWidth="9.1640625" defaultRowHeight="20" x14ac:dyDescent="0.2"/>
  <cols>
    <col min="1" max="1" width="5.5" style="167" bestFit="1" customWidth="1"/>
    <col min="2" max="2" width="65.5" style="65" bestFit="1" customWidth="1"/>
    <col min="3" max="3" width="14.83203125" style="168" hidden="1" customWidth="1"/>
    <col min="4" max="4" width="12.1640625" style="65" customWidth="1"/>
    <col min="5" max="5" width="12.6640625" style="65" hidden="1" customWidth="1"/>
    <col min="6" max="6" width="17.33203125" style="65" hidden="1" customWidth="1"/>
    <col min="7" max="7" width="16.1640625" style="65" bestFit="1" customWidth="1"/>
    <col min="8" max="8" width="14.1640625" style="65" bestFit="1" customWidth="1"/>
    <col min="9" max="9" width="13.6640625" style="65" bestFit="1" customWidth="1"/>
    <col min="10" max="11" width="13.1640625" style="65" bestFit="1" customWidth="1"/>
    <col min="12" max="17" width="12.5" style="65" bestFit="1" customWidth="1"/>
    <col min="18" max="18" width="14.6640625" style="65" bestFit="1" customWidth="1"/>
    <col min="19" max="21" width="12.5" style="65" bestFit="1" customWidth="1"/>
    <col min="22" max="23" width="12.83203125" style="65" bestFit="1" customWidth="1"/>
    <col min="24" max="35" width="12.5" style="65" bestFit="1" customWidth="1"/>
    <col min="36" max="36" width="13.83203125" style="65" bestFit="1" customWidth="1"/>
    <col min="37" max="37" width="12.5" style="65" bestFit="1" customWidth="1"/>
    <col min="38" max="38" width="10.1640625" style="65" hidden="1" customWidth="1"/>
    <col min="39" max="39" width="11.6640625" style="65" hidden="1" customWidth="1"/>
    <col min="40" max="40" width="12.5" style="65" hidden="1" customWidth="1"/>
    <col min="41" max="41" width="11.6640625" style="65" hidden="1" customWidth="1"/>
    <col min="42" max="42" width="12" style="65" hidden="1" customWidth="1"/>
    <col min="43" max="43" width="12.1640625" style="65" hidden="1" customWidth="1"/>
    <col min="44" max="44" width="11.83203125" style="65" hidden="1" customWidth="1"/>
    <col min="45" max="45" width="11" style="65" hidden="1" customWidth="1"/>
    <col min="46" max="50" width="11.33203125" style="65" hidden="1" customWidth="1"/>
    <col min="51" max="51" width="13.1640625" style="65" hidden="1" customWidth="1"/>
    <col min="52" max="52" width="12.6640625" style="65" hidden="1" customWidth="1"/>
    <col min="53" max="59" width="11.33203125" style="65" hidden="1" customWidth="1"/>
    <col min="60" max="72" width="11" style="65" hidden="1" customWidth="1"/>
    <col min="73" max="73" width="34.33203125" style="169" customWidth="1"/>
    <col min="74" max="74" width="14.83203125" style="65" customWidth="1"/>
    <col min="75" max="75" width="13.5" style="65" customWidth="1"/>
    <col min="76" max="76" width="17" style="65" customWidth="1"/>
    <col min="77" max="77" width="10" style="65" customWidth="1"/>
    <col min="78" max="16384" width="9.1640625" style="65"/>
  </cols>
  <sheetData>
    <row r="1" spans="1:75" ht="23" x14ac:dyDescent="0.25">
      <c r="A1" s="61" t="s">
        <v>3</v>
      </c>
      <c r="B1" s="62" t="s">
        <v>240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4"/>
    </row>
    <row r="2" spans="1:75" ht="44.25" customHeight="1" x14ac:dyDescent="0.2">
      <c r="A2" s="66"/>
      <c r="B2" s="67" t="s">
        <v>95</v>
      </c>
      <c r="C2" s="67" t="s">
        <v>96</v>
      </c>
      <c r="D2" s="68" t="s">
        <v>97</v>
      </c>
      <c r="E2" s="68">
        <v>1</v>
      </c>
      <c r="F2" s="68">
        <v>2</v>
      </c>
      <c r="G2" s="68">
        <v>1</v>
      </c>
      <c r="H2" s="68">
        <v>2</v>
      </c>
      <c r="I2" s="68">
        <v>3</v>
      </c>
      <c r="J2" s="68">
        <v>4</v>
      </c>
      <c r="K2" s="68">
        <v>5</v>
      </c>
      <c r="L2" s="68">
        <v>6</v>
      </c>
      <c r="M2" s="68">
        <v>7</v>
      </c>
      <c r="N2" s="68">
        <v>8</v>
      </c>
      <c r="O2" s="68">
        <v>9</v>
      </c>
      <c r="P2" s="68">
        <v>10</v>
      </c>
      <c r="Q2" s="68">
        <v>11</v>
      </c>
      <c r="R2" s="68">
        <v>12</v>
      </c>
      <c r="S2" s="68">
        <v>13</v>
      </c>
      <c r="T2" s="68">
        <v>14</v>
      </c>
      <c r="U2" s="68">
        <v>15</v>
      </c>
      <c r="V2" s="68">
        <v>16</v>
      </c>
      <c r="W2" s="68">
        <v>17</v>
      </c>
      <c r="X2" s="68">
        <v>18</v>
      </c>
      <c r="Y2" s="68">
        <v>19</v>
      </c>
      <c r="Z2" s="68">
        <v>20</v>
      </c>
      <c r="AA2" s="68">
        <v>21</v>
      </c>
      <c r="AB2" s="68">
        <v>22</v>
      </c>
      <c r="AC2" s="68">
        <v>23</v>
      </c>
      <c r="AD2" s="68">
        <v>24</v>
      </c>
      <c r="AE2" s="68">
        <v>25</v>
      </c>
      <c r="AF2" s="68">
        <v>26</v>
      </c>
      <c r="AG2" s="68">
        <v>27</v>
      </c>
      <c r="AH2" s="68">
        <v>28</v>
      </c>
      <c r="AI2" s="68">
        <v>29</v>
      </c>
      <c r="AJ2" s="68">
        <v>30</v>
      </c>
      <c r="AK2" s="68">
        <v>31</v>
      </c>
      <c r="AL2" s="68">
        <v>7</v>
      </c>
      <c r="AM2" s="68">
        <v>8</v>
      </c>
      <c r="AN2" s="68">
        <v>9</v>
      </c>
      <c r="AO2" s="68">
        <v>10</v>
      </c>
      <c r="AP2" s="68">
        <v>11</v>
      </c>
      <c r="AQ2" s="68">
        <v>12</v>
      </c>
      <c r="AR2" s="68">
        <v>13</v>
      </c>
      <c r="AS2" s="68">
        <v>14</v>
      </c>
      <c r="AT2" s="68">
        <v>15</v>
      </c>
      <c r="AU2" s="68">
        <v>16</v>
      </c>
      <c r="AV2" s="68">
        <v>17</v>
      </c>
      <c r="AW2" s="68">
        <v>18</v>
      </c>
      <c r="AX2" s="68">
        <v>19</v>
      </c>
      <c r="AY2" s="68">
        <v>20</v>
      </c>
      <c r="AZ2" s="68">
        <v>21</v>
      </c>
      <c r="BA2" s="68">
        <v>22</v>
      </c>
      <c r="BB2" s="68">
        <v>23</v>
      </c>
      <c r="BC2" s="68">
        <v>24</v>
      </c>
      <c r="BD2" s="68">
        <v>25</v>
      </c>
      <c r="BE2" s="68">
        <v>26</v>
      </c>
      <c r="BF2" s="68">
        <v>27</v>
      </c>
      <c r="BG2" s="68">
        <v>28</v>
      </c>
      <c r="BH2" s="68">
        <v>16</v>
      </c>
      <c r="BI2" s="68">
        <v>17</v>
      </c>
      <c r="BJ2" s="68">
        <v>18</v>
      </c>
      <c r="BK2" s="68">
        <v>19</v>
      </c>
      <c r="BL2" s="68">
        <v>20</v>
      </c>
      <c r="BM2" s="68">
        <v>21</v>
      </c>
      <c r="BN2" s="68">
        <v>22</v>
      </c>
      <c r="BO2" s="68">
        <v>23</v>
      </c>
      <c r="BP2" s="68">
        <v>24</v>
      </c>
      <c r="BQ2" s="68">
        <v>25</v>
      </c>
      <c r="BR2" s="68">
        <v>26</v>
      </c>
      <c r="BS2" s="68">
        <v>27</v>
      </c>
      <c r="BT2" s="68">
        <v>28</v>
      </c>
      <c r="BU2" s="69" t="s">
        <v>98</v>
      </c>
    </row>
    <row r="3" spans="1:75" s="76" customFormat="1" x14ac:dyDescent="0.2">
      <c r="A3" s="70" t="s">
        <v>99</v>
      </c>
      <c r="B3" s="71" t="s">
        <v>100</v>
      </c>
      <c r="C3" s="72"/>
      <c r="D3" s="73" t="s">
        <v>101</v>
      </c>
      <c r="E3" s="74"/>
      <c r="F3" s="75"/>
      <c r="G3" s="75"/>
      <c r="H3" s="75"/>
      <c r="I3" s="231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32"/>
      <c r="AX3" s="232"/>
      <c r="AY3" s="232"/>
      <c r="AZ3" s="232"/>
      <c r="BA3" s="232"/>
      <c r="BB3" s="232"/>
      <c r="BC3" s="232"/>
      <c r="BD3" s="232"/>
      <c r="BE3" s="232"/>
      <c r="BF3" s="232"/>
      <c r="BG3" s="232"/>
      <c r="BH3" s="232"/>
      <c r="BI3" s="232"/>
      <c r="BJ3" s="232"/>
      <c r="BK3" s="232"/>
      <c r="BL3" s="232"/>
      <c r="BM3" s="232"/>
      <c r="BN3" s="232"/>
      <c r="BO3" s="232"/>
      <c r="BP3" s="232"/>
      <c r="BQ3" s="232"/>
      <c r="BR3" s="232"/>
      <c r="BS3" s="232"/>
      <c r="BT3" s="232"/>
      <c r="BU3" s="233"/>
    </row>
    <row r="4" spans="1:75" x14ac:dyDescent="0.2">
      <c r="A4" s="77">
        <v>1</v>
      </c>
      <c r="B4" s="78" t="s">
        <v>102</v>
      </c>
      <c r="C4" s="79"/>
      <c r="D4" s="80" t="s">
        <v>16</v>
      </c>
      <c r="E4" s="74">
        <v>0</v>
      </c>
      <c r="F4" s="74">
        <v>0</v>
      </c>
      <c r="G4" s="81">
        <v>0</v>
      </c>
      <c r="H4" s="81">
        <v>0</v>
      </c>
      <c r="I4" s="81">
        <v>0</v>
      </c>
      <c r="J4" s="81">
        <v>0</v>
      </c>
      <c r="K4" s="81">
        <v>0</v>
      </c>
      <c r="L4" s="81">
        <v>0</v>
      </c>
      <c r="M4" s="81">
        <v>0</v>
      </c>
      <c r="N4" s="81">
        <v>0</v>
      </c>
      <c r="O4" s="81">
        <v>0</v>
      </c>
      <c r="P4" s="81">
        <v>0</v>
      </c>
      <c r="Q4" s="81">
        <v>0</v>
      </c>
      <c r="R4" s="81">
        <v>0</v>
      </c>
      <c r="S4" s="81">
        <v>0</v>
      </c>
      <c r="T4" s="81">
        <v>0</v>
      </c>
      <c r="U4" s="81">
        <v>0</v>
      </c>
      <c r="V4" s="81">
        <v>0</v>
      </c>
      <c r="W4" s="81">
        <v>0</v>
      </c>
      <c r="X4" s="81">
        <v>0</v>
      </c>
      <c r="Y4" s="81">
        <v>0</v>
      </c>
      <c r="Z4" s="81">
        <v>0</v>
      </c>
      <c r="AA4" s="81">
        <v>0</v>
      </c>
      <c r="AB4" s="81">
        <v>0</v>
      </c>
      <c r="AC4" s="81">
        <v>0</v>
      </c>
      <c r="AD4" s="81">
        <v>0</v>
      </c>
      <c r="AE4" s="81">
        <v>0</v>
      </c>
      <c r="AF4" s="81">
        <v>0</v>
      </c>
      <c r="AG4" s="81">
        <v>0</v>
      </c>
      <c r="AH4" s="81">
        <v>0</v>
      </c>
      <c r="AI4" s="81">
        <v>0</v>
      </c>
      <c r="AJ4" s="81">
        <v>0</v>
      </c>
      <c r="AK4" s="81">
        <v>0</v>
      </c>
      <c r="AL4" s="81"/>
      <c r="AM4" s="81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4">
        <f t="shared" ref="BU4:BU46" si="0">SUM(G4:BG4)</f>
        <v>0</v>
      </c>
      <c r="BV4" s="85"/>
    </row>
    <row r="5" spans="1:75" x14ac:dyDescent="0.2">
      <c r="A5" s="77">
        <v>2</v>
      </c>
      <c r="B5" s="78" t="s">
        <v>103</v>
      </c>
      <c r="C5" s="79"/>
      <c r="D5" s="80" t="s">
        <v>16</v>
      </c>
      <c r="E5" s="74"/>
      <c r="F5" s="74"/>
      <c r="G5" s="81">
        <v>0</v>
      </c>
      <c r="H5" s="81">
        <v>0</v>
      </c>
      <c r="I5" s="81">
        <v>0</v>
      </c>
      <c r="J5" s="81">
        <v>14.084</v>
      </c>
      <c r="K5" s="81">
        <v>23.138000000000002</v>
      </c>
      <c r="L5" s="81">
        <v>22.132000000000001</v>
      </c>
      <c r="M5" s="81">
        <v>20.623000000000001</v>
      </c>
      <c r="N5" s="81">
        <v>1.006</v>
      </c>
      <c r="O5" s="81">
        <v>0</v>
      </c>
      <c r="P5" s="81">
        <v>0</v>
      </c>
      <c r="Q5" s="81">
        <v>0</v>
      </c>
      <c r="R5" s="81">
        <v>10.06</v>
      </c>
      <c r="S5" s="81">
        <v>15.09</v>
      </c>
      <c r="T5" s="81">
        <v>19.617000000000001</v>
      </c>
      <c r="U5" s="81">
        <v>0</v>
      </c>
      <c r="V5" s="81">
        <v>0</v>
      </c>
      <c r="W5" s="81">
        <v>0</v>
      </c>
      <c r="X5" s="81">
        <v>0</v>
      </c>
      <c r="Y5" s="81">
        <v>22.132000000000001</v>
      </c>
      <c r="Z5" s="81">
        <v>7.0419999999999998</v>
      </c>
      <c r="AA5" s="81">
        <v>21.126000000000001</v>
      </c>
      <c r="AB5" s="81">
        <v>0</v>
      </c>
      <c r="AC5" s="81">
        <v>0</v>
      </c>
      <c r="AD5" s="81">
        <v>0</v>
      </c>
      <c r="AE5" s="81">
        <v>0</v>
      </c>
      <c r="AF5" s="81">
        <v>0</v>
      </c>
      <c r="AG5" s="81">
        <v>0</v>
      </c>
      <c r="AH5" s="81">
        <v>0</v>
      </c>
      <c r="AI5" s="81">
        <v>0</v>
      </c>
      <c r="AJ5" s="81">
        <v>0</v>
      </c>
      <c r="AK5" s="81">
        <v>0</v>
      </c>
      <c r="AL5" s="81"/>
      <c r="AM5" s="81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4">
        <f t="shared" si="0"/>
        <v>176.05</v>
      </c>
      <c r="BV5" s="85"/>
      <c r="BW5" s="110"/>
    </row>
    <row r="6" spans="1:75" x14ac:dyDescent="0.2">
      <c r="A6" s="77">
        <v>3</v>
      </c>
      <c r="B6" s="78" t="s">
        <v>104</v>
      </c>
      <c r="C6" s="79"/>
      <c r="D6" s="80" t="s">
        <v>16</v>
      </c>
      <c r="E6" s="74">
        <v>0</v>
      </c>
      <c r="F6" s="74">
        <v>0</v>
      </c>
      <c r="G6" s="81">
        <v>0</v>
      </c>
      <c r="H6" s="81">
        <v>0</v>
      </c>
      <c r="I6" s="81">
        <v>0</v>
      </c>
      <c r="J6" s="81">
        <v>0</v>
      </c>
      <c r="K6" s="81">
        <v>0</v>
      </c>
      <c r="L6" s="81">
        <v>0</v>
      </c>
      <c r="M6" s="81">
        <v>0</v>
      </c>
      <c r="N6" s="81">
        <v>0</v>
      </c>
      <c r="O6" s="81">
        <v>0</v>
      </c>
      <c r="P6" s="81">
        <v>0</v>
      </c>
      <c r="Q6" s="81">
        <v>0</v>
      </c>
      <c r="R6" s="81">
        <v>0</v>
      </c>
      <c r="S6" s="81">
        <v>0</v>
      </c>
      <c r="T6" s="81">
        <v>0</v>
      </c>
      <c r="U6" s="81">
        <v>0</v>
      </c>
      <c r="V6" s="81">
        <v>0</v>
      </c>
      <c r="W6" s="81">
        <v>0</v>
      </c>
      <c r="X6" s="81">
        <v>0</v>
      </c>
      <c r="Y6" s="81">
        <v>0</v>
      </c>
      <c r="Z6" s="81">
        <v>0</v>
      </c>
      <c r="AA6" s="81">
        <v>0</v>
      </c>
      <c r="AB6" s="81">
        <v>0</v>
      </c>
      <c r="AC6" s="81">
        <v>0</v>
      </c>
      <c r="AD6" s="81">
        <v>0</v>
      </c>
      <c r="AE6" s="81">
        <v>0</v>
      </c>
      <c r="AF6" s="81">
        <v>0</v>
      </c>
      <c r="AG6" s="81">
        <v>0</v>
      </c>
      <c r="AH6" s="81">
        <v>0</v>
      </c>
      <c r="AI6" s="81">
        <v>0</v>
      </c>
      <c r="AJ6" s="81">
        <v>0</v>
      </c>
      <c r="AK6" s="81">
        <v>0</v>
      </c>
      <c r="AL6" s="81"/>
      <c r="AM6" s="81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4">
        <f t="shared" si="0"/>
        <v>0</v>
      </c>
      <c r="BV6" s="85"/>
      <c r="BW6" s="110"/>
    </row>
    <row r="7" spans="1:75" x14ac:dyDescent="0.2">
      <c r="A7" s="77">
        <v>4</v>
      </c>
      <c r="B7" s="78" t="s">
        <v>105</v>
      </c>
      <c r="C7" s="79"/>
      <c r="D7" s="80" t="s">
        <v>16</v>
      </c>
      <c r="E7" s="74">
        <v>0</v>
      </c>
      <c r="F7" s="74">
        <v>0</v>
      </c>
      <c r="G7" s="81">
        <v>0</v>
      </c>
      <c r="H7" s="81">
        <v>0</v>
      </c>
      <c r="I7" s="81">
        <v>0</v>
      </c>
      <c r="J7" s="81">
        <v>0</v>
      </c>
      <c r="K7" s="81">
        <v>0</v>
      </c>
      <c r="L7" s="81">
        <v>0</v>
      </c>
      <c r="M7" s="81">
        <v>17.318999999999999</v>
      </c>
      <c r="N7" s="81">
        <v>18</v>
      </c>
      <c r="O7" s="81">
        <v>17</v>
      </c>
      <c r="P7" s="81">
        <v>17</v>
      </c>
      <c r="Q7" s="81">
        <v>29</v>
      </c>
      <c r="R7" s="81">
        <v>31</v>
      </c>
      <c r="S7" s="81">
        <v>30</v>
      </c>
      <c r="T7" s="81">
        <v>17</v>
      </c>
      <c r="U7" s="81">
        <v>34</v>
      </c>
      <c r="V7" s="81">
        <v>36</v>
      </c>
      <c r="W7" s="81">
        <v>36</v>
      </c>
      <c r="X7" s="81">
        <v>7</v>
      </c>
      <c r="Y7" s="81">
        <v>22</v>
      </c>
      <c r="Z7" s="81">
        <v>23</v>
      </c>
      <c r="AA7" s="81">
        <v>21</v>
      </c>
      <c r="AB7" s="81">
        <v>0</v>
      </c>
      <c r="AC7" s="81">
        <v>0</v>
      </c>
      <c r="AD7" s="81">
        <v>0</v>
      </c>
      <c r="AE7" s="81">
        <v>0</v>
      </c>
      <c r="AF7" s="81">
        <v>0</v>
      </c>
      <c r="AG7" s="81">
        <v>0</v>
      </c>
      <c r="AH7" s="81">
        <v>0</v>
      </c>
      <c r="AI7" s="81">
        <v>0</v>
      </c>
      <c r="AJ7" s="81">
        <v>0</v>
      </c>
      <c r="AK7" s="81">
        <v>0</v>
      </c>
      <c r="AL7" s="81"/>
      <c r="AM7" s="81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4">
        <f t="shared" si="0"/>
        <v>355.31900000000002</v>
      </c>
      <c r="BV7" s="85"/>
    </row>
    <row r="8" spans="1:75" x14ac:dyDescent="0.2">
      <c r="A8" s="77">
        <v>5</v>
      </c>
      <c r="B8" s="78" t="s">
        <v>106</v>
      </c>
      <c r="C8" s="79"/>
      <c r="D8" s="80" t="s">
        <v>16</v>
      </c>
      <c r="E8" s="74"/>
      <c r="F8" s="74"/>
      <c r="G8" s="81">
        <v>0</v>
      </c>
      <c r="H8" s="81">
        <v>0</v>
      </c>
      <c r="I8" s="81">
        <v>0</v>
      </c>
      <c r="J8" s="81">
        <v>7.28</v>
      </c>
      <c r="K8" s="81">
        <v>11.96</v>
      </c>
      <c r="L8" s="81">
        <v>11.44</v>
      </c>
      <c r="M8" s="81">
        <v>4.68</v>
      </c>
      <c r="N8" s="81">
        <v>0</v>
      </c>
      <c r="O8" s="81">
        <v>0</v>
      </c>
      <c r="P8" s="81">
        <v>0</v>
      </c>
      <c r="Q8" s="81">
        <v>0</v>
      </c>
      <c r="R8" s="81">
        <v>5.2</v>
      </c>
      <c r="S8" s="81">
        <v>1.56</v>
      </c>
      <c r="T8" s="81">
        <v>0</v>
      </c>
      <c r="U8" s="81">
        <v>0</v>
      </c>
      <c r="V8" s="81">
        <v>0</v>
      </c>
      <c r="W8" s="81">
        <v>0</v>
      </c>
      <c r="X8" s="81">
        <v>0</v>
      </c>
      <c r="Y8" s="81">
        <v>0</v>
      </c>
      <c r="Z8" s="81">
        <v>0</v>
      </c>
      <c r="AA8" s="81">
        <v>0</v>
      </c>
      <c r="AB8" s="81">
        <v>0</v>
      </c>
      <c r="AC8" s="81">
        <v>0</v>
      </c>
      <c r="AD8" s="81">
        <v>0</v>
      </c>
      <c r="AE8" s="81">
        <v>0</v>
      </c>
      <c r="AF8" s="81">
        <v>0</v>
      </c>
      <c r="AG8" s="81">
        <v>0</v>
      </c>
      <c r="AH8" s="81">
        <v>0</v>
      </c>
      <c r="AI8" s="81">
        <v>0</v>
      </c>
      <c r="AJ8" s="81">
        <v>0</v>
      </c>
      <c r="AK8" s="81">
        <v>0</v>
      </c>
      <c r="AL8" s="81"/>
      <c r="AM8" s="81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4">
        <f t="shared" si="0"/>
        <v>42.120000000000005</v>
      </c>
      <c r="BV8" s="85"/>
    </row>
    <row r="9" spans="1:75" x14ac:dyDescent="0.2">
      <c r="A9" s="77">
        <v>6</v>
      </c>
      <c r="B9" s="78" t="s">
        <v>107</v>
      </c>
      <c r="C9" s="79"/>
      <c r="D9" s="80" t="s">
        <v>16</v>
      </c>
      <c r="E9" s="74"/>
      <c r="F9" s="74"/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0</v>
      </c>
      <c r="X9" s="81">
        <v>0</v>
      </c>
      <c r="Y9" s="81">
        <v>0</v>
      </c>
      <c r="Z9" s="81">
        <v>0</v>
      </c>
      <c r="AA9" s="81">
        <v>0</v>
      </c>
      <c r="AB9" s="81">
        <v>0</v>
      </c>
      <c r="AC9" s="81">
        <v>0</v>
      </c>
      <c r="AD9" s="81">
        <v>0</v>
      </c>
      <c r="AE9" s="81">
        <v>0</v>
      </c>
      <c r="AF9" s="81">
        <v>0</v>
      </c>
      <c r="AG9" s="81">
        <v>0</v>
      </c>
      <c r="AH9" s="81">
        <v>0</v>
      </c>
      <c r="AI9" s="81">
        <v>0</v>
      </c>
      <c r="AJ9" s="81">
        <v>0</v>
      </c>
      <c r="AK9" s="81">
        <v>0</v>
      </c>
      <c r="AL9" s="81"/>
      <c r="AM9" s="81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4">
        <f t="shared" si="0"/>
        <v>0</v>
      </c>
      <c r="BV9" s="85"/>
    </row>
    <row r="10" spans="1:75" x14ac:dyDescent="0.2">
      <c r="A10" s="77">
        <v>7</v>
      </c>
      <c r="B10" s="78" t="s">
        <v>108</v>
      </c>
      <c r="C10" s="79"/>
      <c r="D10" s="80" t="s">
        <v>16</v>
      </c>
      <c r="E10" s="74"/>
      <c r="F10" s="74"/>
      <c r="G10" s="81">
        <v>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81">
        <v>0</v>
      </c>
      <c r="Q10" s="81">
        <v>0</v>
      </c>
      <c r="R10" s="81">
        <v>0</v>
      </c>
      <c r="S10" s="81">
        <v>0</v>
      </c>
      <c r="T10" s="81">
        <v>0</v>
      </c>
      <c r="U10" s="81">
        <v>0</v>
      </c>
      <c r="V10" s="81">
        <v>0</v>
      </c>
      <c r="W10" s="81">
        <v>0</v>
      </c>
      <c r="X10" s="81">
        <v>0</v>
      </c>
      <c r="Y10" s="81">
        <v>0</v>
      </c>
      <c r="Z10" s="81">
        <v>0</v>
      </c>
      <c r="AA10" s="81">
        <v>0</v>
      </c>
      <c r="AB10" s="81">
        <v>0</v>
      </c>
      <c r="AC10" s="81">
        <v>0</v>
      </c>
      <c r="AD10" s="81">
        <v>0</v>
      </c>
      <c r="AE10" s="81">
        <v>0</v>
      </c>
      <c r="AF10" s="81">
        <v>0</v>
      </c>
      <c r="AG10" s="81">
        <v>0</v>
      </c>
      <c r="AH10" s="81">
        <v>0</v>
      </c>
      <c r="AI10" s="81">
        <v>0</v>
      </c>
      <c r="AJ10" s="81">
        <v>0</v>
      </c>
      <c r="AK10" s="81">
        <v>0</v>
      </c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74"/>
      <c r="BI10" s="74"/>
      <c r="BJ10" s="74"/>
      <c r="BK10" s="74"/>
      <c r="BL10" s="74"/>
      <c r="BM10" s="74"/>
      <c r="BN10" s="83"/>
      <c r="BO10" s="83"/>
      <c r="BP10" s="83"/>
      <c r="BQ10" s="83"/>
      <c r="BR10" s="83"/>
      <c r="BS10" s="83"/>
      <c r="BT10" s="83"/>
      <c r="BU10" s="84">
        <f t="shared" si="0"/>
        <v>0</v>
      </c>
      <c r="BV10" s="85"/>
    </row>
    <row r="11" spans="1:75" x14ac:dyDescent="0.2">
      <c r="A11" s="77">
        <v>8</v>
      </c>
      <c r="B11" s="78" t="s">
        <v>109</v>
      </c>
      <c r="C11" s="79"/>
      <c r="D11" s="80" t="s">
        <v>16</v>
      </c>
      <c r="E11" s="74"/>
      <c r="F11" s="74"/>
      <c r="G11" s="81">
        <v>0</v>
      </c>
      <c r="H11" s="81">
        <v>0</v>
      </c>
      <c r="I11" s="81">
        <v>0</v>
      </c>
      <c r="J11" s="81">
        <v>0</v>
      </c>
      <c r="K11" s="81">
        <v>0</v>
      </c>
      <c r="L11" s="81">
        <v>0</v>
      </c>
      <c r="M11" s="81">
        <v>0</v>
      </c>
      <c r="N11" s="81">
        <v>0</v>
      </c>
      <c r="O11" s="81">
        <v>0</v>
      </c>
      <c r="P11" s="81">
        <v>0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0</v>
      </c>
      <c r="X11" s="81">
        <v>0</v>
      </c>
      <c r="Y11" s="81">
        <v>0</v>
      </c>
      <c r="Z11" s="81">
        <v>0</v>
      </c>
      <c r="AA11" s="81">
        <v>0</v>
      </c>
      <c r="AB11" s="81">
        <v>0</v>
      </c>
      <c r="AC11" s="81">
        <v>0</v>
      </c>
      <c r="AD11" s="81">
        <v>0</v>
      </c>
      <c r="AE11" s="81">
        <v>0</v>
      </c>
      <c r="AF11" s="81">
        <v>0</v>
      </c>
      <c r="AG11" s="81">
        <v>0</v>
      </c>
      <c r="AH11" s="81">
        <v>0</v>
      </c>
      <c r="AI11" s="81">
        <v>0</v>
      </c>
      <c r="AJ11" s="81">
        <v>0</v>
      </c>
      <c r="AK11" s="81">
        <v>0</v>
      </c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74"/>
      <c r="BI11" s="74"/>
      <c r="BJ11" s="74"/>
      <c r="BK11" s="74"/>
      <c r="BL11" s="74"/>
      <c r="BM11" s="74"/>
      <c r="BN11" s="83"/>
      <c r="BO11" s="83"/>
      <c r="BP11" s="83"/>
      <c r="BQ11" s="83"/>
      <c r="BR11" s="83"/>
      <c r="BS11" s="83"/>
      <c r="BT11" s="83"/>
      <c r="BU11" s="84">
        <f t="shared" si="0"/>
        <v>0</v>
      </c>
      <c r="BV11" s="85"/>
    </row>
    <row r="12" spans="1:75" x14ac:dyDescent="0.2">
      <c r="A12" s="77">
        <v>9</v>
      </c>
      <c r="B12" s="78" t="s">
        <v>110</v>
      </c>
      <c r="C12" s="79"/>
      <c r="D12" s="80" t="s">
        <v>16</v>
      </c>
      <c r="E12" s="74"/>
      <c r="F12" s="74"/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6.5259999999999998</v>
      </c>
      <c r="S12" s="81">
        <v>10.291</v>
      </c>
      <c r="T12" s="81">
        <v>0</v>
      </c>
      <c r="U12" s="81">
        <v>0</v>
      </c>
      <c r="V12" s="81">
        <v>4.5179999999999998</v>
      </c>
      <c r="W12" s="81">
        <v>6.024</v>
      </c>
      <c r="X12" s="81">
        <v>7.0279999999999996</v>
      </c>
      <c r="Y12" s="81">
        <v>11.545999999999999</v>
      </c>
      <c r="Z12" s="81">
        <v>8.89</v>
      </c>
      <c r="AA12" s="81">
        <v>13.97</v>
      </c>
      <c r="AB12" s="81">
        <v>12.6</v>
      </c>
      <c r="AC12" s="81">
        <v>11.34</v>
      </c>
      <c r="AD12" s="81">
        <v>13.86</v>
      </c>
      <c r="AE12" s="81">
        <v>16.38</v>
      </c>
      <c r="AF12" s="81">
        <v>12.6</v>
      </c>
      <c r="AG12" s="81">
        <v>12.6</v>
      </c>
      <c r="AH12" s="81">
        <v>13.86</v>
      </c>
      <c r="AI12" s="81">
        <v>15.12</v>
      </c>
      <c r="AJ12" s="81">
        <v>15.12</v>
      </c>
      <c r="AK12" s="81">
        <v>16.38</v>
      </c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74"/>
      <c r="BI12" s="74"/>
      <c r="BJ12" s="74"/>
      <c r="BK12" s="74"/>
      <c r="BL12" s="74"/>
      <c r="BM12" s="74"/>
      <c r="BN12" s="83"/>
      <c r="BO12" s="83"/>
      <c r="BP12" s="83"/>
      <c r="BQ12" s="83"/>
      <c r="BR12" s="83"/>
      <c r="BS12" s="83"/>
      <c r="BT12" s="83"/>
      <c r="BU12" s="84">
        <f t="shared" si="0"/>
        <v>208.65300000000002</v>
      </c>
      <c r="BV12" s="85"/>
    </row>
    <row r="13" spans="1:75" x14ac:dyDescent="0.2">
      <c r="A13" s="77">
        <v>10</v>
      </c>
      <c r="B13" s="78" t="s">
        <v>111</v>
      </c>
      <c r="C13" s="79"/>
      <c r="D13" s="80" t="s">
        <v>16</v>
      </c>
      <c r="E13" s="74"/>
      <c r="F13" s="74"/>
      <c r="G13" s="81">
        <v>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0</v>
      </c>
      <c r="W13" s="81">
        <v>0</v>
      </c>
      <c r="X13" s="81">
        <v>0</v>
      </c>
      <c r="Y13" s="81">
        <v>0</v>
      </c>
      <c r="Z13" s="81">
        <v>0</v>
      </c>
      <c r="AA13" s="81">
        <v>0</v>
      </c>
      <c r="AB13" s="81">
        <v>0</v>
      </c>
      <c r="AC13" s="81">
        <v>0</v>
      </c>
      <c r="AD13" s="81">
        <v>0</v>
      </c>
      <c r="AE13" s="81">
        <v>0</v>
      </c>
      <c r="AF13" s="81">
        <v>0</v>
      </c>
      <c r="AG13" s="81">
        <v>0</v>
      </c>
      <c r="AH13" s="81">
        <v>0</v>
      </c>
      <c r="AI13" s="81">
        <v>0</v>
      </c>
      <c r="AJ13" s="81">
        <v>0</v>
      </c>
      <c r="AK13" s="81">
        <v>0</v>
      </c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74"/>
      <c r="BI13" s="74"/>
      <c r="BJ13" s="74"/>
      <c r="BK13" s="74"/>
      <c r="BL13" s="74"/>
      <c r="BM13" s="74"/>
      <c r="BN13" s="83"/>
      <c r="BO13" s="83"/>
      <c r="BP13" s="83"/>
      <c r="BQ13" s="83"/>
      <c r="BR13" s="83"/>
      <c r="BS13" s="83"/>
      <c r="BT13" s="83"/>
      <c r="BU13" s="84">
        <f t="shared" si="0"/>
        <v>0</v>
      </c>
      <c r="BV13" s="196"/>
    </row>
    <row r="14" spans="1:75" x14ac:dyDescent="0.2">
      <c r="A14" s="77">
        <v>11</v>
      </c>
      <c r="B14" s="78" t="s">
        <v>112</v>
      </c>
      <c r="C14" s="79"/>
      <c r="D14" s="80" t="s">
        <v>16</v>
      </c>
      <c r="E14" s="74"/>
      <c r="F14" s="74"/>
      <c r="G14" s="81">
        <v>57.768000000000001</v>
      </c>
      <c r="H14" s="81">
        <v>61.752000000000002</v>
      </c>
      <c r="I14" s="81">
        <v>71.712000000000003</v>
      </c>
      <c r="J14" s="81">
        <v>28.884</v>
      </c>
      <c r="K14" s="81">
        <v>11.454000000000001</v>
      </c>
      <c r="L14" s="81">
        <v>10.956</v>
      </c>
      <c r="M14" s="81">
        <v>21.663</v>
      </c>
      <c r="N14" s="81">
        <v>55.277999999999999</v>
      </c>
      <c r="O14" s="81">
        <v>56.771999999999998</v>
      </c>
      <c r="P14" s="81">
        <v>57.27</v>
      </c>
      <c r="Q14" s="81">
        <v>45.816000000000003</v>
      </c>
      <c r="R14" s="81">
        <v>17.43</v>
      </c>
      <c r="S14" s="81">
        <v>18.923999999999999</v>
      </c>
      <c r="T14" s="81">
        <v>16.931999999999999</v>
      </c>
      <c r="U14" s="81">
        <v>40.338000000000001</v>
      </c>
      <c r="V14" s="81">
        <v>42.33</v>
      </c>
      <c r="W14" s="81">
        <v>41.832000000000001</v>
      </c>
      <c r="X14" s="81">
        <v>63.744</v>
      </c>
      <c r="Y14" s="81">
        <v>9.4619999999999997</v>
      </c>
      <c r="Z14" s="81">
        <v>3.4860000000000002</v>
      </c>
      <c r="AA14" s="81">
        <v>17.43</v>
      </c>
      <c r="AB14" s="81">
        <v>66.731999999999999</v>
      </c>
      <c r="AC14" s="81">
        <v>64.242000000000004</v>
      </c>
      <c r="AD14" s="81">
        <v>69.221999999999994</v>
      </c>
      <c r="AE14" s="81">
        <v>72.209999999999994</v>
      </c>
      <c r="AF14" s="81">
        <v>68.724000000000004</v>
      </c>
      <c r="AG14" s="81">
        <v>50.795999999999999</v>
      </c>
      <c r="AH14" s="81">
        <v>61.253999999999998</v>
      </c>
      <c r="AI14" s="81">
        <v>62.747999999999998</v>
      </c>
      <c r="AJ14" s="81">
        <v>65.736000000000004</v>
      </c>
      <c r="AK14" s="81">
        <v>64.225999999999999</v>
      </c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74"/>
      <c r="BI14" s="74"/>
      <c r="BJ14" s="74"/>
      <c r="BK14" s="74"/>
      <c r="BL14" s="74"/>
      <c r="BM14" s="74"/>
      <c r="BN14" s="83"/>
      <c r="BO14" s="83"/>
      <c r="BP14" s="83"/>
      <c r="BQ14" s="83"/>
      <c r="BR14" s="83"/>
      <c r="BS14" s="83"/>
      <c r="BT14" s="83"/>
      <c r="BU14" s="84">
        <f t="shared" si="0"/>
        <v>1397.123</v>
      </c>
      <c r="BV14" s="85"/>
    </row>
    <row r="15" spans="1:75" x14ac:dyDescent="0.2">
      <c r="A15" s="77">
        <v>12</v>
      </c>
      <c r="B15" s="78" t="s">
        <v>113</v>
      </c>
      <c r="C15" s="79"/>
      <c r="D15" s="80" t="s">
        <v>16</v>
      </c>
      <c r="E15" s="74"/>
      <c r="F15" s="74"/>
      <c r="G15" s="81">
        <v>19.172999999999998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12.201000000000001</v>
      </c>
      <c r="N15" s="81">
        <v>14.691000000000001</v>
      </c>
      <c r="O15" s="81">
        <v>14.94</v>
      </c>
      <c r="P15" s="81">
        <v>16.184999999999999</v>
      </c>
      <c r="Q15" s="81">
        <v>17.43</v>
      </c>
      <c r="R15" s="81">
        <v>7.2210000000000001</v>
      </c>
      <c r="S15" s="81">
        <v>3.4860000000000002</v>
      </c>
      <c r="T15" s="81">
        <v>2.46</v>
      </c>
      <c r="U15" s="81">
        <v>15.99</v>
      </c>
      <c r="V15" s="81">
        <v>11.561999999999999</v>
      </c>
      <c r="W15" s="81">
        <v>8.8559999999999999</v>
      </c>
      <c r="X15" s="81">
        <v>10.332000000000001</v>
      </c>
      <c r="Y15" s="81">
        <v>2.214</v>
      </c>
      <c r="Z15" s="81">
        <v>0</v>
      </c>
      <c r="AA15" s="81">
        <v>0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0</v>
      </c>
      <c r="AI15" s="81">
        <v>0</v>
      </c>
      <c r="AJ15" s="81">
        <v>0</v>
      </c>
      <c r="AK15" s="81">
        <v>0</v>
      </c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74"/>
      <c r="BI15" s="74"/>
      <c r="BJ15" s="74"/>
      <c r="BK15" s="74"/>
      <c r="BL15" s="74"/>
      <c r="BM15" s="74"/>
      <c r="BN15" s="83"/>
      <c r="BO15" s="83"/>
      <c r="BP15" s="83"/>
      <c r="BQ15" s="83"/>
      <c r="BR15" s="83"/>
      <c r="BS15" s="83"/>
      <c r="BT15" s="83"/>
      <c r="BU15" s="84">
        <f t="shared" si="0"/>
        <v>156.74099999999999</v>
      </c>
      <c r="BV15" s="85"/>
    </row>
    <row r="16" spans="1:75" x14ac:dyDescent="0.2">
      <c r="A16" s="77">
        <v>13</v>
      </c>
      <c r="B16" s="78" t="s">
        <v>230</v>
      </c>
      <c r="C16" s="79"/>
      <c r="D16" s="80" t="s">
        <v>16</v>
      </c>
      <c r="E16" s="74"/>
      <c r="F16" s="74"/>
      <c r="G16" s="81">
        <v>1.722</v>
      </c>
      <c r="H16" s="81">
        <v>18.942</v>
      </c>
      <c r="I16" s="81">
        <v>20.664000000000001</v>
      </c>
      <c r="J16" s="81">
        <v>17.22</v>
      </c>
      <c r="K16" s="81">
        <v>18.942</v>
      </c>
      <c r="L16" s="81">
        <v>18.942</v>
      </c>
      <c r="M16" s="81">
        <v>6.8879999999999999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15.006</v>
      </c>
      <c r="U16" s="81">
        <v>0</v>
      </c>
      <c r="V16" s="81">
        <v>0</v>
      </c>
      <c r="W16" s="81">
        <v>0</v>
      </c>
      <c r="X16" s="81">
        <v>0</v>
      </c>
      <c r="Y16" s="81">
        <v>0</v>
      </c>
      <c r="Z16" s="81">
        <v>0</v>
      </c>
      <c r="AA16" s="81">
        <v>0</v>
      </c>
      <c r="AB16" s="81">
        <v>0</v>
      </c>
      <c r="AC16" s="81">
        <v>0</v>
      </c>
      <c r="AD16" s="81">
        <v>0</v>
      </c>
      <c r="AE16" s="81">
        <v>0</v>
      </c>
      <c r="AF16" s="81">
        <v>0</v>
      </c>
      <c r="AG16" s="81">
        <v>3.444</v>
      </c>
      <c r="AH16" s="81">
        <v>0</v>
      </c>
      <c r="AI16" s="81">
        <v>0</v>
      </c>
      <c r="AJ16" s="81">
        <v>0</v>
      </c>
      <c r="AK16" s="81">
        <v>0</v>
      </c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74"/>
      <c r="BI16" s="74"/>
      <c r="BJ16" s="74"/>
      <c r="BK16" s="74"/>
      <c r="BL16" s="74"/>
      <c r="BM16" s="74"/>
      <c r="BN16" s="83"/>
      <c r="BO16" s="83"/>
      <c r="BP16" s="83"/>
      <c r="BQ16" s="83"/>
      <c r="BR16" s="83"/>
      <c r="BS16" s="83"/>
      <c r="BT16" s="83"/>
      <c r="BU16" s="84">
        <f t="shared" si="0"/>
        <v>121.77000000000002</v>
      </c>
      <c r="BV16" s="85"/>
    </row>
    <row r="17" spans="1:74" x14ac:dyDescent="0.2">
      <c r="A17" s="77">
        <v>14</v>
      </c>
      <c r="B17" s="78" t="s">
        <v>232</v>
      </c>
      <c r="C17" s="79"/>
      <c r="D17" s="80" t="s">
        <v>16</v>
      </c>
      <c r="E17" s="74"/>
      <c r="F17" s="74"/>
      <c r="G17" s="81">
        <v>0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81">
        <v>0</v>
      </c>
      <c r="Y17" s="81">
        <v>0</v>
      </c>
      <c r="Z17" s="81">
        <v>0</v>
      </c>
      <c r="AA17" s="81">
        <v>0</v>
      </c>
      <c r="AB17" s="81">
        <v>0</v>
      </c>
      <c r="AC17" s="81">
        <v>0</v>
      </c>
      <c r="AD17" s="81">
        <v>0</v>
      </c>
      <c r="AE17" s="81">
        <v>0</v>
      </c>
      <c r="AF17" s="81">
        <v>0</v>
      </c>
      <c r="AG17" s="81">
        <v>0</v>
      </c>
      <c r="AH17" s="81">
        <v>0</v>
      </c>
      <c r="AI17" s="81">
        <v>0</v>
      </c>
      <c r="AJ17" s="81">
        <v>0</v>
      </c>
      <c r="AK17" s="81">
        <v>0</v>
      </c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74"/>
      <c r="BI17" s="74"/>
      <c r="BJ17" s="74"/>
      <c r="BK17" s="74"/>
      <c r="BL17" s="74"/>
      <c r="BM17" s="74"/>
      <c r="BN17" s="83"/>
      <c r="BO17" s="83"/>
      <c r="BP17" s="83"/>
      <c r="BQ17" s="83"/>
      <c r="BR17" s="83"/>
      <c r="BS17" s="83"/>
      <c r="BT17" s="83"/>
      <c r="BU17" s="84">
        <f t="shared" si="0"/>
        <v>0</v>
      </c>
      <c r="BV17" s="85"/>
    </row>
    <row r="18" spans="1:74" x14ac:dyDescent="0.2">
      <c r="A18" s="77"/>
      <c r="B18" s="86" t="s">
        <v>114</v>
      </c>
      <c r="C18" s="87"/>
      <c r="D18" s="88" t="s">
        <v>16</v>
      </c>
      <c r="E18" s="89">
        <f>SUM(E4:E7)</f>
        <v>0</v>
      </c>
      <c r="F18" s="89">
        <f>SUM(F4:F7)</f>
        <v>0</v>
      </c>
      <c r="G18" s="89">
        <f t="shared" ref="G18:L18" si="1">SUM(G4:G17)</f>
        <v>78.662999999999997</v>
      </c>
      <c r="H18" s="89">
        <f t="shared" si="1"/>
        <v>80.694000000000003</v>
      </c>
      <c r="I18" s="89">
        <f t="shared" si="1"/>
        <v>92.376000000000005</v>
      </c>
      <c r="J18" s="89">
        <f t="shared" si="1"/>
        <v>67.468000000000004</v>
      </c>
      <c r="K18" s="89">
        <f t="shared" si="1"/>
        <v>65.494</v>
      </c>
      <c r="L18" s="89">
        <f t="shared" si="1"/>
        <v>63.470000000000006</v>
      </c>
      <c r="M18" s="89">
        <f t="shared" ref="M18:R18" si="2">SUM(M4:M17)</f>
        <v>83.373999999999995</v>
      </c>
      <c r="N18" s="89">
        <f t="shared" si="2"/>
        <v>88.974999999999994</v>
      </c>
      <c r="O18" s="89">
        <f t="shared" si="2"/>
        <v>88.711999999999989</v>
      </c>
      <c r="P18" s="89">
        <f t="shared" si="2"/>
        <v>90.455000000000013</v>
      </c>
      <c r="Q18" s="89">
        <f t="shared" si="2"/>
        <v>92.246000000000009</v>
      </c>
      <c r="R18" s="89">
        <f t="shared" si="2"/>
        <v>77.437000000000012</v>
      </c>
      <c r="S18" s="89">
        <f t="shared" ref="S18:X18" si="3">SUM(S4:S17)</f>
        <v>79.351000000000013</v>
      </c>
      <c r="T18" s="89">
        <f t="shared" si="3"/>
        <v>71.015000000000015</v>
      </c>
      <c r="U18" s="89">
        <f t="shared" si="3"/>
        <v>90.327999999999989</v>
      </c>
      <c r="V18" s="89">
        <f t="shared" si="3"/>
        <v>94.41</v>
      </c>
      <c r="W18" s="89">
        <f t="shared" si="3"/>
        <v>92.711999999999989</v>
      </c>
      <c r="X18" s="89">
        <f t="shared" si="3"/>
        <v>88.103999999999985</v>
      </c>
      <c r="Y18" s="89">
        <f t="shared" ref="Y18:AD18" si="4">SUM(Y4:Y17)</f>
        <v>67.353999999999999</v>
      </c>
      <c r="Z18" s="89">
        <f t="shared" si="4"/>
        <v>42.417999999999999</v>
      </c>
      <c r="AA18" s="89">
        <f t="shared" si="4"/>
        <v>73.52600000000001</v>
      </c>
      <c r="AB18" s="89">
        <f t="shared" si="4"/>
        <v>79.331999999999994</v>
      </c>
      <c r="AC18" s="89">
        <f t="shared" si="4"/>
        <v>75.582000000000008</v>
      </c>
      <c r="AD18" s="89">
        <f t="shared" si="4"/>
        <v>83.081999999999994</v>
      </c>
      <c r="AE18" s="89">
        <f t="shared" ref="AE18:AK18" si="5">SUM(AE4:AE17)</f>
        <v>88.589999999999989</v>
      </c>
      <c r="AF18" s="89">
        <f t="shared" si="5"/>
        <v>81.323999999999998</v>
      </c>
      <c r="AG18" s="89">
        <f t="shared" si="5"/>
        <v>66.84</v>
      </c>
      <c r="AH18" s="89">
        <f t="shared" si="5"/>
        <v>75.114000000000004</v>
      </c>
      <c r="AI18" s="89">
        <f t="shared" si="5"/>
        <v>77.867999999999995</v>
      </c>
      <c r="AJ18" s="89">
        <f t="shared" si="5"/>
        <v>80.856000000000009</v>
      </c>
      <c r="AK18" s="89">
        <f t="shared" si="5"/>
        <v>80.605999999999995</v>
      </c>
      <c r="AL18" s="89">
        <f t="shared" ref="AL18:BD18" si="6">SUM(AL4:AL15)</f>
        <v>0</v>
      </c>
      <c r="AM18" s="89">
        <f t="shared" si="6"/>
        <v>0</v>
      </c>
      <c r="AN18" s="89">
        <f t="shared" si="6"/>
        <v>0</v>
      </c>
      <c r="AO18" s="89">
        <f t="shared" si="6"/>
        <v>0</v>
      </c>
      <c r="AP18" s="89">
        <f t="shared" si="6"/>
        <v>0</v>
      </c>
      <c r="AQ18" s="89">
        <f t="shared" si="6"/>
        <v>0</v>
      </c>
      <c r="AR18" s="89">
        <f t="shared" si="6"/>
        <v>0</v>
      </c>
      <c r="AS18" s="89">
        <f t="shared" si="6"/>
        <v>0</v>
      </c>
      <c r="AT18" s="89">
        <f t="shared" si="6"/>
        <v>0</v>
      </c>
      <c r="AU18" s="89">
        <f t="shared" si="6"/>
        <v>0</v>
      </c>
      <c r="AV18" s="89">
        <f t="shared" si="6"/>
        <v>0</v>
      </c>
      <c r="AW18" s="89">
        <f t="shared" si="6"/>
        <v>0</v>
      </c>
      <c r="AX18" s="89">
        <f t="shared" si="6"/>
        <v>0</v>
      </c>
      <c r="AY18" s="89">
        <f t="shared" si="6"/>
        <v>0</v>
      </c>
      <c r="AZ18" s="89">
        <f t="shared" si="6"/>
        <v>0</v>
      </c>
      <c r="BA18" s="89">
        <f t="shared" si="6"/>
        <v>0</v>
      </c>
      <c r="BB18" s="89">
        <f t="shared" si="6"/>
        <v>0</v>
      </c>
      <c r="BC18" s="89">
        <f t="shared" si="6"/>
        <v>0</v>
      </c>
      <c r="BD18" s="89">
        <f t="shared" si="6"/>
        <v>0</v>
      </c>
      <c r="BE18" s="89">
        <f>SUM(BE4:BE15)</f>
        <v>0</v>
      </c>
      <c r="BF18" s="89">
        <f t="shared" ref="BF18:BG18" si="7">SUM(BF4:BF13)</f>
        <v>0</v>
      </c>
      <c r="BG18" s="89">
        <f t="shared" si="7"/>
        <v>0</v>
      </c>
      <c r="BH18" s="89">
        <f t="shared" ref="BH18:BM18" si="8">SUM(BH4:BH9)</f>
        <v>0</v>
      </c>
      <c r="BI18" s="89">
        <f t="shared" si="8"/>
        <v>0</v>
      </c>
      <c r="BJ18" s="89">
        <f t="shared" si="8"/>
        <v>0</v>
      </c>
      <c r="BK18" s="89">
        <f t="shared" si="8"/>
        <v>0</v>
      </c>
      <c r="BL18" s="89">
        <f t="shared" si="8"/>
        <v>0</v>
      </c>
      <c r="BM18" s="89">
        <f t="shared" si="8"/>
        <v>0</v>
      </c>
      <c r="BN18" s="89">
        <f t="shared" ref="BN18:BT18" si="9">SUM(BN4:BN10)</f>
        <v>0</v>
      </c>
      <c r="BO18" s="89">
        <f t="shared" si="9"/>
        <v>0</v>
      </c>
      <c r="BP18" s="89">
        <f t="shared" si="9"/>
        <v>0</v>
      </c>
      <c r="BQ18" s="89">
        <f t="shared" si="9"/>
        <v>0</v>
      </c>
      <c r="BR18" s="89">
        <f t="shared" si="9"/>
        <v>0</v>
      </c>
      <c r="BS18" s="89">
        <f t="shared" si="9"/>
        <v>0</v>
      </c>
      <c r="BT18" s="89">
        <f t="shared" si="9"/>
        <v>0</v>
      </c>
      <c r="BU18" s="84">
        <f t="shared" si="0"/>
        <v>2457.7760000000007</v>
      </c>
      <c r="BV18" s="85"/>
    </row>
    <row r="19" spans="1:74" ht="25" x14ac:dyDescent="0.25">
      <c r="A19" s="70" t="s">
        <v>115</v>
      </c>
      <c r="B19" s="90" t="s">
        <v>116</v>
      </c>
      <c r="C19" s="91"/>
      <c r="D19" s="91"/>
      <c r="E19" s="91"/>
      <c r="F19" s="91"/>
      <c r="G19" s="91"/>
      <c r="H19" s="234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6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2"/>
      <c r="BL19" s="92"/>
      <c r="BM19" s="92"/>
      <c r="BN19" s="92"/>
      <c r="BO19" s="92"/>
      <c r="BP19" s="92"/>
      <c r="BQ19" s="92"/>
      <c r="BR19" s="92"/>
      <c r="BS19" s="92"/>
      <c r="BT19" s="92"/>
      <c r="BU19" s="84">
        <f t="shared" si="0"/>
        <v>0</v>
      </c>
      <c r="BV19" s="85"/>
    </row>
    <row r="20" spans="1:74" x14ac:dyDescent="0.2">
      <c r="A20" s="77">
        <v>1</v>
      </c>
      <c r="B20" s="93" t="s">
        <v>117</v>
      </c>
      <c r="C20" s="79"/>
      <c r="D20" s="80" t="s">
        <v>118</v>
      </c>
      <c r="E20" s="74"/>
      <c r="F20" s="74"/>
      <c r="G20" s="74">
        <v>65</v>
      </c>
      <c r="H20" s="74">
        <v>75</v>
      </c>
      <c r="I20" s="74">
        <v>85</v>
      </c>
      <c r="J20" s="94">
        <v>30</v>
      </c>
      <c r="K20" s="94">
        <v>0</v>
      </c>
      <c r="L20" s="74">
        <v>0</v>
      </c>
      <c r="M20" s="74">
        <v>25</v>
      </c>
      <c r="N20" s="74">
        <v>50</v>
      </c>
      <c r="O20" s="74">
        <v>60</v>
      </c>
      <c r="P20" s="74">
        <v>85</v>
      </c>
      <c r="Q20" s="74">
        <v>85</v>
      </c>
      <c r="R20" s="74">
        <v>70</v>
      </c>
      <c r="S20" s="74">
        <v>85</v>
      </c>
      <c r="T20" s="74">
        <v>25</v>
      </c>
      <c r="U20" s="74">
        <v>90</v>
      </c>
      <c r="V20" s="74">
        <v>110</v>
      </c>
      <c r="W20" s="74">
        <v>95</v>
      </c>
      <c r="X20" s="74">
        <v>150</v>
      </c>
      <c r="Y20" s="74">
        <v>15</v>
      </c>
      <c r="Z20" s="74">
        <v>0</v>
      </c>
      <c r="AA20" s="74">
        <v>0</v>
      </c>
      <c r="AB20" s="74">
        <v>40</v>
      </c>
      <c r="AC20" s="74">
        <v>95</v>
      </c>
      <c r="AD20" s="74">
        <v>70</v>
      </c>
      <c r="AE20" s="74">
        <v>95</v>
      </c>
      <c r="AF20" s="74">
        <v>40</v>
      </c>
      <c r="AG20" s="74">
        <v>20</v>
      </c>
      <c r="AH20" s="74">
        <v>30</v>
      </c>
      <c r="AI20" s="74">
        <v>100</v>
      </c>
      <c r="AJ20" s="74">
        <v>160</v>
      </c>
      <c r="AK20" s="74">
        <v>155</v>
      </c>
      <c r="AL20" s="74"/>
      <c r="AM20" s="74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4">
        <f t="shared" si="0"/>
        <v>2005</v>
      </c>
      <c r="BV20" s="85"/>
    </row>
    <row r="21" spans="1:74" x14ac:dyDescent="0.2">
      <c r="A21" s="77">
        <v>2</v>
      </c>
      <c r="B21" s="93" t="s">
        <v>119</v>
      </c>
      <c r="C21" s="79"/>
      <c r="D21" s="80" t="s">
        <v>118</v>
      </c>
      <c r="E21" s="74"/>
      <c r="F21" s="74"/>
      <c r="G21" s="74">
        <v>25</v>
      </c>
      <c r="H21" s="74">
        <v>27</v>
      </c>
      <c r="I21" s="74">
        <v>22</v>
      </c>
      <c r="J21" s="74">
        <v>27</v>
      </c>
      <c r="K21" s="74">
        <v>31</v>
      </c>
      <c r="L21" s="74">
        <v>30</v>
      </c>
      <c r="M21" s="74">
        <v>28</v>
      </c>
      <c r="N21" s="74">
        <v>24</v>
      </c>
      <c r="O21" s="74">
        <v>22</v>
      </c>
      <c r="P21" s="74">
        <v>23</v>
      </c>
      <c r="Q21" s="74">
        <v>22</v>
      </c>
      <c r="R21" s="74">
        <v>23</v>
      </c>
      <c r="S21" s="74">
        <v>25</v>
      </c>
      <c r="T21" s="74">
        <v>22</v>
      </c>
      <c r="U21" s="95">
        <v>23</v>
      </c>
      <c r="V21" s="74">
        <v>26</v>
      </c>
      <c r="W21" s="74">
        <v>24</v>
      </c>
      <c r="X21" s="74">
        <v>17</v>
      </c>
      <c r="Y21" s="74">
        <v>22</v>
      </c>
      <c r="Z21" s="74">
        <v>12</v>
      </c>
      <c r="AA21" s="74">
        <v>25</v>
      </c>
      <c r="AB21" s="74">
        <v>21</v>
      </c>
      <c r="AC21" s="74">
        <v>24</v>
      </c>
      <c r="AD21" s="74">
        <v>20</v>
      </c>
      <c r="AE21" s="74">
        <v>21</v>
      </c>
      <c r="AF21" s="74">
        <v>20</v>
      </c>
      <c r="AG21" s="74">
        <v>19</v>
      </c>
      <c r="AH21" s="74">
        <v>20</v>
      </c>
      <c r="AI21" s="74">
        <v>24</v>
      </c>
      <c r="AJ21" s="74">
        <v>20</v>
      </c>
      <c r="AK21" s="74">
        <v>20</v>
      </c>
      <c r="AL21" s="95"/>
      <c r="AM21" s="74"/>
      <c r="AN21" s="83"/>
      <c r="AO21" s="96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4">
        <f t="shared" si="0"/>
        <v>709</v>
      </c>
      <c r="BV21" s="85"/>
    </row>
    <row r="22" spans="1:74" x14ac:dyDescent="0.2">
      <c r="A22" s="77">
        <v>3</v>
      </c>
      <c r="B22" s="93" t="s">
        <v>120</v>
      </c>
      <c r="C22" s="79"/>
      <c r="D22" s="80" t="s">
        <v>118</v>
      </c>
      <c r="E22" s="74"/>
      <c r="F22" s="74"/>
      <c r="G22" s="74">
        <v>20</v>
      </c>
      <c r="H22" s="74">
        <v>20</v>
      </c>
      <c r="I22" s="74">
        <v>20</v>
      </c>
      <c r="J22" s="74">
        <v>20</v>
      </c>
      <c r="K22" s="74">
        <v>20</v>
      </c>
      <c r="L22" s="74">
        <v>20</v>
      </c>
      <c r="M22" s="74">
        <v>20</v>
      </c>
      <c r="N22" s="74">
        <v>20</v>
      </c>
      <c r="O22" s="74">
        <v>20</v>
      </c>
      <c r="P22" s="74">
        <v>20</v>
      </c>
      <c r="Q22" s="74">
        <v>20</v>
      </c>
      <c r="R22" s="74">
        <v>20</v>
      </c>
      <c r="S22" s="74">
        <v>0</v>
      </c>
      <c r="T22" s="74">
        <v>20</v>
      </c>
      <c r="U22" s="74">
        <v>20</v>
      </c>
      <c r="V22" s="74">
        <v>20</v>
      </c>
      <c r="W22" s="74">
        <v>20</v>
      </c>
      <c r="X22" s="74">
        <v>20</v>
      </c>
      <c r="Y22" s="74">
        <v>20</v>
      </c>
      <c r="Z22" s="74">
        <v>20</v>
      </c>
      <c r="AA22" s="74">
        <v>20</v>
      </c>
      <c r="AB22" s="74">
        <v>20</v>
      </c>
      <c r="AC22" s="74">
        <v>20</v>
      </c>
      <c r="AD22" s="74">
        <v>20</v>
      </c>
      <c r="AE22" s="74">
        <v>20</v>
      </c>
      <c r="AF22" s="74">
        <v>20</v>
      </c>
      <c r="AG22" s="74">
        <v>0</v>
      </c>
      <c r="AH22" s="74">
        <v>20</v>
      </c>
      <c r="AI22" s="74">
        <v>20</v>
      </c>
      <c r="AJ22" s="74">
        <v>20</v>
      </c>
      <c r="AK22" s="74">
        <v>20</v>
      </c>
      <c r="AL22" s="74"/>
      <c r="AM22" s="74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4">
        <f t="shared" si="0"/>
        <v>580</v>
      </c>
      <c r="BV22" s="85"/>
    </row>
    <row r="23" spans="1:74" x14ac:dyDescent="0.2">
      <c r="A23" s="77">
        <v>4</v>
      </c>
      <c r="B23" s="93" t="s">
        <v>223</v>
      </c>
      <c r="C23" s="79"/>
      <c r="D23" s="80" t="s">
        <v>118</v>
      </c>
      <c r="E23" s="74"/>
      <c r="F23" s="74"/>
      <c r="G23" s="74">
        <v>500</v>
      </c>
      <c r="H23" s="74">
        <v>350</v>
      </c>
      <c r="I23" s="74">
        <v>420</v>
      </c>
      <c r="J23" s="74">
        <v>350</v>
      </c>
      <c r="K23" s="74">
        <v>330</v>
      </c>
      <c r="L23" s="74">
        <v>400</v>
      </c>
      <c r="M23" s="74">
        <v>360</v>
      </c>
      <c r="N23" s="74">
        <v>350</v>
      </c>
      <c r="O23" s="74">
        <v>440</v>
      </c>
      <c r="P23" s="74">
        <v>500</v>
      </c>
      <c r="Q23" s="74">
        <v>530</v>
      </c>
      <c r="R23" s="74">
        <v>100</v>
      </c>
      <c r="S23" s="74">
        <v>30</v>
      </c>
      <c r="T23" s="74">
        <v>340</v>
      </c>
      <c r="U23" s="74">
        <v>600</v>
      </c>
      <c r="V23" s="74">
        <v>600</v>
      </c>
      <c r="W23" s="74">
        <v>600</v>
      </c>
      <c r="X23" s="74">
        <v>650</v>
      </c>
      <c r="Y23" s="74">
        <v>310</v>
      </c>
      <c r="Z23" s="74">
        <v>190</v>
      </c>
      <c r="AA23" s="74">
        <v>310</v>
      </c>
      <c r="AB23" s="74">
        <v>160</v>
      </c>
      <c r="AC23" s="74">
        <v>480</v>
      </c>
      <c r="AD23" s="74">
        <v>600</v>
      </c>
      <c r="AE23" s="74">
        <v>630</v>
      </c>
      <c r="AF23" s="74">
        <v>400</v>
      </c>
      <c r="AG23" s="74">
        <v>60</v>
      </c>
      <c r="AH23" s="74">
        <v>140</v>
      </c>
      <c r="AI23" s="74">
        <v>380</v>
      </c>
      <c r="AJ23" s="74">
        <v>360</v>
      </c>
      <c r="AK23" s="74">
        <v>410</v>
      </c>
      <c r="AL23" s="74"/>
      <c r="AM23" s="74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4">
        <f t="shared" si="0"/>
        <v>11880</v>
      </c>
      <c r="BV23" s="85"/>
    </row>
    <row r="24" spans="1:74" x14ac:dyDescent="0.2">
      <c r="A24" s="77">
        <v>5</v>
      </c>
      <c r="B24" s="93" t="s">
        <v>121</v>
      </c>
      <c r="C24" s="79"/>
      <c r="D24" s="80" t="s">
        <v>118</v>
      </c>
      <c r="E24" s="74"/>
      <c r="F24" s="74"/>
      <c r="G24" s="74">
        <v>0</v>
      </c>
      <c r="H24" s="74">
        <v>0</v>
      </c>
      <c r="I24" s="74">
        <v>0</v>
      </c>
      <c r="J24" s="74">
        <v>5</v>
      </c>
      <c r="K24" s="74">
        <v>10</v>
      </c>
      <c r="L24" s="74">
        <v>7</v>
      </c>
      <c r="M24" s="74">
        <v>3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7</v>
      </c>
      <c r="U24" s="74">
        <v>0</v>
      </c>
      <c r="V24" s="74">
        <v>0</v>
      </c>
      <c r="W24" s="74">
        <v>0</v>
      </c>
      <c r="X24" s="74">
        <v>0</v>
      </c>
      <c r="Y24" s="74">
        <v>9</v>
      </c>
      <c r="Z24" s="74">
        <v>7</v>
      </c>
      <c r="AA24" s="74">
        <v>20</v>
      </c>
      <c r="AB24" s="74">
        <v>0</v>
      </c>
      <c r="AC24" s="74">
        <v>0</v>
      </c>
      <c r="AD24" s="74">
        <v>0</v>
      </c>
      <c r="AE24" s="74">
        <v>0</v>
      </c>
      <c r="AF24" s="74">
        <v>0</v>
      </c>
      <c r="AG24" s="74">
        <v>0</v>
      </c>
      <c r="AH24" s="74">
        <v>0</v>
      </c>
      <c r="AI24" s="74">
        <v>0</v>
      </c>
      <c r="AJ24" s="74">
        <v>0</v>
      </c>
      <c r="AK24" s="74">
        <v>0</v>
      </c>
      <c r="AL24" s="74"/>
      <c r="AM24" s="74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4">
        <f t="shared" si="0"/>
        <v>68</v>
      </c>
      <c r="BV24" s="85"/>
    </row>
    <row r="25" spans="1:74" x14ac:dyDescent="0.2">
      <c r="A25" s="77">
        <v>6</v>
      </c>
      <c r="B25" s="93" t="s">
        <v>122</v>
      </c>
      <c r="C25" s="79"/>
      <c r="D25" s="80" t="s">
        <v>118</v>
      </c>
      <c r="E25" s="74"/>
      <c r="F25" s="74"/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95">
        <v>0</v>
      </c>
      <c r="Z25" s="95">
        <v>0</v>
      </c>
      <c r="AA25" s="95">
        <v>0</v>
      </c>
      <c r="AB25" s="95">
        <v>0</v>
      </c>
      <c r="AC25" s="95">
        <v>0</v>
      </c>
      <c r="AD25" s="95">
        <v>0</v>
      </c>
      <c r="AE25" s="95">
        <v>0</v>
      </c>
      <c r="AF25" s="95">
        <v>0</v>
      </c>
      <c r="AG25" s="95">
        <v>0</v>
      </c>
      <c r="AH25" s="95">
        <v>0</v>
      </c>
      <c r="AI25" s="95">
        <v>0</v>
      </c>
      <c r="AJ25" s="95">
        <v>0</v>
      </c>
      <c r="AK25" s="95">
        <v>0</v>
      </c>
      <c r="AL25" s="74"/>
      <c r="AM25" s="74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74"/>
      <c r="AY25" s="74"/>
      <c r="AZ25" s="74"/>
      <c r="BA25" s="74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4">
        <f t="shared" si="0"/>
        <v>0</v>
      </c>
      <c r="BV25" s="85"/>
    </row>
    <row r="26" spans="1:74" x14ac:dyDescent="0.2">
      <c r="A26" s="77">
        <v>7</v>
      </c>
      <c r="B26" s="93" t="s">
        <v>123</v>
      </c>
      <c r="C26" s="79"/>
      <c r="D26" s="80" t="s">
        <v>118</v>
      </c>
      <c r="E26" s="74"/>
      <c r="F26" s="74"/>
      <c r="G26" s="74">
        <v>125</v>
      </c>
      <c r="H26" s="74">
        <v>87</v>
      </c>
      <c r="I26" s="74">
        <v>105</v>
      </c>
      <c r="J26" s="74">
        <v>72</v>
      </c>
      <c r="K26" s="74">
        <v>92</v>
      </c>
      <c r="L26" s="74">
        <v>92</v>
      </c>
      <c r="M26" s="74">
        <v>102</v>
      </c>
      <c r="N26" s="74">
        <v>93</v>
      </c>
      <c r="O26" s="74">
        <v>115</v>
      </c>
      <c r="P26" s="74">
        <v>116</v>
      </c>
      <c r="Q26" s="74">
        <v>126</v>
      </c>
      <c r="R26" s="74">
        <v>103</v>
      </c>
      <c r="S26" s="74">
        <v>98</v>
      </c>
      <c r="T26" s="74">
        <v>97</v>
      </c>
      <c r="U26" s="74">
        <v>90</v>
      </c>
      <c r="V26" s="74">
        <v>126</v>
      </c>
      <c r="W26" s="74">
        <v>109</v>
      </c>
      <c r="X26" s="74">
        <v>105</v>
      </c>
      <c r="Y26" s="74">
        <v>95</v>
      </c>
      <c r="Z26" s="74">
        <v>54</v>
      </c>
      <c r="AA26" s="74">
        <v>92</v>
      </c>
      <c r="AB26" s="74">
        <v>108</v>
      </c>
      <c r="AC26" s="74">
        <v>100</v>
      </c>
      <c r="AD26" s="74">
        <v>118</v>
      </c>
      <c r="AE26" s="74">
        <v>130</v>
      </c>
      <c r="AF26" s="74">
        <v>116</v>
      </c>
      <c r="AG26" s="74">
        <v>82</v>
      </c>
      <c r="AH26" s="74">
        <v>105</v>
      </c>
      <c r="AI26" s="74">
        <v>118</v>
      </c>
      <c r="AJ26" s="74">
        <v>106</v>
      </c>
      <c r="AK26" s="74">
        <v>112</v>
      </c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83"/>
      <c r="AX26" s="74"/>
      <c r="AY26" s="74"/>
      <c r="AZ26" s="74"/>
      <c r="BA26" s="74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4">
        <f t="shared" si="0"/>
        <v>3189</v>
      </c>
      <c r="BV26" s="85"/>
    </row>
    <row r="27" spans="1:74" x14ac:dyDescent="0.2">
      <c r="A27" s="77">
        <v>8</v>
      </c>
      <c r="B27" s="93" t="s">
        <v>124</v>
      </c>
      <c r="C27" s="79"/>
      <c r="D27" s="80" t="s">
        <v>118</v>
      </c>
      <c r="E27" s="74"/>
      <c r="F27" s="74"/>
      <c r="G27" s="74">
        <v>0</v>
      </c>
      <c r="H27" s="74">
        <v>0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  <c r="Z27" s="74">
        <v>0</v>
      </c>
      <c r="AA27" s="74">
        <v>0</v>
      </c>
      <c r="AB27" s="74">
        <v>0</v>
      </c>
      <c r="AC27" s="74">
        <v>0</v>
      </c>
      <c r="AD27" s="74">
        <v>0</v>
      </c>
      <c r="AE27" s="74">
        <v>0</v>
      </c>
      <c r="AF27" s="74">
        <v>0</v>
      </c>
      <c r="AG27" s="74">
        <v>0</v>
      </c>
      <c r="AH27" s="74">
        <v>0</v>
      </c>
      <c r="AI27" s="74">
        <v>0</v>
      </c>
      <c r="AJ27" s="74">
        <v>0</v>
      </c>
      <c r="AK27" s="74">
        <v>0</v>
      </c>
      <c r="AL27" s="74"/>
      <c r="AM27" s="74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74"/>
      <c r="AY27" s="74"/>
      <c r="AZ27" s="74"/>
      <c r="BA27" s="74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4">
        <f t="shared" si="0"/>
        <v>0</v>
      </c>
      <c r="BV27" s="85"/>
    </row>
    <row r="28" spans="1:74" x14ac:dyDescent="0.2">
      <c r="A28" s="77">
        <v>9</v>
      </c>
      <c r="B28" s="93" t="s">
        <v>125</v>
      </c>
      <c r="C28" s="79"/>
      <c r="D28" s="80" t="s">
        <v>118</v>
      </c>
      <c r="E28" s="74"/>
      <c r="F28" s="74"/>
      <c r="G28" s="74">
        <v>36</v>
      </c>
      <c r="H28" s="74">
        <v>66</v>
      </c>
      <c r="I28" s="74">
        <v>66</v>
      </c>
      <c r="J28" s="74">
        <v>82</v>
      </c>
      <c r="K28" s="74">
        <v>81</v>
      </c>
      <c r="L28" s="74">
        <v>72</v>
      </c>
      <c r="M28" s="74">
        <v>62</v>
      </c>
      <c r="N28" s="74">
        <v>80</v>
      </c>
      <c r="O28" s="74">
        <v>58</v>
      </c>
      <c r="P28" s="74">
        <v>50</v>
      </c>
      <c r="Q28" s="74">
        <v>60</v>
      </c>
      <c r="R28" s="74">
        <v>60</v>
      </c>
      <c r="S28" s="74">
        <v>55</v>
      </c>
      <c r="T28" s="74">
        <v>73</v>
      </c>
      <c r="U28" s="74">
        <v>40</v>
      </c>
      <c r="V28" s="74">
        <v>43</v>
      </c>
      <c r="W28" s="74">
        <v>70</v>
      </c>
      <c r="X28" s="74">
        <v>28</v>
      </c>
      <c r="Y28" s="74">
        <v>77</v>
      </c>
      <c r="Z28" s="74">
        <v>41</v>
      </c>
      <c r="AA28" s="74">
        <v>72</v>
      </c>
      <c r="AB28" s="74">
        <v>56</v>
      </c>
      <c r="AC28" s="74">
        <v>61</v>
      </c>
      <c r="AD28" s="74">
        <v>52</v>
      </c>
      <c r="AE28" s="74">
        <v>39</v>
      </c>
      <c r="AF28" s="74">
        <v>56</v>
      </c>
      <c r="AG28" s="74">
        <v>70</v>
      </c>
      <c r="AH28" s="74">
        <v>65</v>
      </c>
      <c r="AI28" s="74">
        <v>55</v>
      </c>
      <c r="AJ28" s="74">
        <v>66</v>
      </c>
      <c r="AK28" s="74">
        <v>55</v>
      </c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4">
        <f t="shared" si="0"/>
        <v>1847</v>
      </c>
      <c r="BV28" s="85"/>
    </row>
    <row r="29" spans="1:74" x14ac:dyDescent="0.2">
      <c r="A29" s="77">
        <v>10</v>
      </c>
      <c r="B29" s="93" t="s">
        <v>126</v>
      </c>
      <c r="C29" s="97"/>
      <c r="D29" s="80" t="s">
        <v>118</v>
      </c>
      <c r="E29" s="74"/>
      <c r="F29" s="74"/>
      <c r="G29" s="74">
        <v>0</v>
      </c>
      <c r="H29" s="74">
        <v>0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10</v>
      </c>
      <c r="X29" s="74">
        <v>10</v>
      </c>
      <c r="Y29" s="74">
        <v>10</v>
      </c>
      <c r="Z29" s="74">
        <v>0</v>
      </c>
      <c r="AA29" s="74">
        <v>10</v>
      </c>
      <c r="AB29" s="74">
        <v>5</v>
      </c>
      <c r="AC29" s="74">
        <v>5</v>
      </c>
      <c r="AD29" s="74">
        <v>5</v>
      </c>
      <c r="AE29" s="74">
        <v>0</v>
      </c>
      <c r="AF29" s="74">
        <v>0</v>
      </c>
      <c r="AG29" s="74">
        <v>0</v>
      </c>
      <c r="AH29" s="74">
        <v>0</v>
      </c>
      <c r="AI29" s="74">
        <v>0</v>
      </c>
      <c r="AJ29" s="74">
        <v>5</v>
      </c>
      <c r="AK29" s="74">
        <v>5</v>
      </c>
      <c r="AL29" s="74"/>
      <c r="AM29" s="74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4">
        <f t="shared" si="0"/>
        <v>65</v>
      </c>
      <c r="BV29" s="85"/>
    </row>
    <row r="30" spans="1:74" x14ac:dyDescent="0.2">
      <c r="A30" s="77">
        <v>11</v>
      </c>
      <c r="B30" s="93" t="s">
        <v>127</v>
      </c>
      <c r="C30" s="79"/>
      <c r="D30" s="80" t="s">
        <v>118</v>
      </c>
      <c r="E30" s="74"/>
      <c r="F30" s="74"/>
      <c r="G30" s="74">
        <v>6</v>
      </c>
      <c r="H30" s="74">
        <v>6</v>
      </c>
      <c r="I30" s="74">
        <v>6</v>
      </c>
      <c r="J30" s="74">
        <v>6</v>
      </c>
      <c r="K30" s="74">
        <v>6</v>
      </c>
      <c r="L30" s="74">
        <v>6</v>
      </c>
      <c r="M30" s="74">
        <v>6</v>
      </c>
      <c r="N30" s="74">
        <v>6</v>
      </c>
      <c r="O30" s="74">
        <v>6</v>
      </c>
      <c r="P30" s="74">
        <v>6</v>
      </c>
      <c r="Q30" s="74">
        <v>6</v>
      </c>
      <c r="R30" s="74">
        <v>6</v>
      </c>
      <c r="S30" s="74">
        <v>2</v>
      </c>
      <c r="T30" s="74">
        <v>2</v>
      </c>
      <c r="U30" s="74">
        <v>2</v>
      </c>
      <c r="V30" s="74">
        <v>2</v>
      </c>
      <c r="W30" s="74">
        <v>2</v>
      </c>
      <c r="X30" s="74">
        <v>2</v>
      </c>
      <c r="Y30" s="74">
        <v>1</v>
      </c>
      <c r="Z30" s="74">
        <v>1</v>
      </c>
      <c r="AA30" s="74">
        <v>1</v>
      </c>
      <c r="AB30" s="74">
        <v>1</v>
      </c>
      <c r="AC30" s="74">
        <v>1</v>
      </c>
      <c r="AD30" s="74">
        <v>1</v>
      </c>
      <c r="AE30" s="74">
        <v>1</v>
      </c>
      <c r="AF30" s="74">
        <v>1</v>
      </c>
      <c r="AG30" s="74">
        <v>1</v>
      </c>
      <c r="AH30" s="74">
        <v>1</v>
      </c>
      <c r="AI30" s="74">
        <v>1</v>
      </c>
      <c r="AJ30" s="74">
        <v>1</v>
      </c>
      <c r="AK30" s="74">
        <v>1</v>
      </c>
      <c r="AL30" s="74"/>
      <c r="AM30" s="74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4">
        <f t="shared" si="0"/>
        <v>97</v>
      </c>
      <c r="BV30" s="85"/>
    </row>
    <row r="31" spans="1:74" x14ac:dyDescent="0.2">
      <c r="A31" s="77">
        <v>12</v>
      </c>
      <c r="B31" s="93" t="s">
        <v>128</v>
      </c>
      <c r="C31" s="79"/>
      <c r="D31" s="80" t="s">
        <v>118</v>
      </c>
      <c r="E31" s="74"/>
      <c r="F31" s="74"/>
      <c r="G31" s="74">
        <v>0</v>
      </c>
      <c r="H31" s="74">
        <v>1</v>
      </c>
      <c r="I31" s="74">
        <v>1</v>
      </c>
      <c r="J31" s="74">
        <v>1</v>
      </c>
      <c r="K31" s="74">
        <v>1</v>
      </c>
      <c r="L31" s="74">
        <v>1</v>
      </c>
      <c r="M31" s="74">
        <v>1</v>
      </c>
      <c r="N31" s="74">
        <v>1</v>
      </c>
      <c r="O31" s="74">
        <v>1</v>
      </c>
      <c r="P31" s="74">
        <v>1</v>
      </c>
      <c r="Q31" s="74">
        <v>1</v>
      </c>
      <c r="R31" s="74">
        <v>1</v>
      </c>
      <c r="S31" s="74">
        <v>0</v>
      </c>
      <c r="T31" s="74">
        <v>0</v>
      </c>
      <c r="U31" s="95">
        <v>1</v>
      </c>
      <c r="V31" s="74">
        <v>1</v>
      </c>
      <c r="W31" s="74">
        <v>1</v>
      </c>
      <c r="X31" s="74">
        <v>1</v>
      </c>
      <c r="Y31" s="74">
        <v>1</v>
      </c>
      <c r="Z31" s="74">
        <v>0</v>
      </c>
      <c r="AA31" s="74">
        <v>0</v>
      </c>
      <c r="AB31" s="74">
        <v>0</v>
      </c>
      <c r="AC31" s="74">
        <v>1</v>
      </c>
      <c r="AD31" s="74">
        <v>1</v>
      </c>
      <c r="AE31" s="74">
        <v>1</v>
      </c>
      <c r="AF31" s="74">
        <v>1</v>
      </c>
      <c r="AG31" s="74">
        <v>0</v>
      </c>
      <c r="AH31" s="74">
        <v>0</v>
      </c>
      <c r="AI31" s="74">
        <v>1</v>
      </c>
      <c r="AJ31" s="74">
        <v>1</v>
      </c>
      <c r="AK31" s="74">
        <v>1</v>
      </c>
      <c r="AL31" s="74"/>
      <c r="AM31" s="74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4">
        <f t="shared" si="0"/>
        <v>23</v>
      </c>
      <c r="BV31" s="85"/>
    </row>
    <row r="32" spans="1:74" x14ac:dyDescent="0.2">
      <c r="A32" s="77">
        <v>13</v>
      </c>
      <c r="B32" s="93" t="s">
        <v>129</v>
      </c>
      <c r="C32" s="79"/>
      <c r="D32" s="80" t="s">
        <v>118</v>
      </c>
      <c r="E32" s="74"/>
      <c r="F32" s="74"/>
      <c r="G32" s="74">
        <v>0</v>
      </c>
      <c r="H32" s="74">
        <v>1</v>
      </c>
      <c r="I32" s="74">
        <v>1</v>
      </c>
      <c r="J32" s="74">
        <v>1</v>
      </c>
      <c r="K32" s="74">
        <v>1</v>
      </c>
      <c r="L32" s="74">
        <v>1</v>
      </c>
      <c r="M32" s="74">
        <v>1</v>
      </c>
      <c r="N32" s="74">
        <v>1</v>
      </c>
      <c r="O32" s="74">
        <v>1</v>
      </c>
      <c r="P32" s="74">
        <v>1</v>
      </c>
      <c r="Q32" s="74">
        <v>1</v>
      </c>
      <c r="R32" s="74">
        <v>1</v>
      </c>
      <c r="S32" s="74">
        <v>0</v>
      </c>
      <c r="T32" s="74">
        <v>0</v>
      </c>
      <c r="U32" s="74">
        <v>1</v>
      </c>
      <c r="V32" s="74">
        <v>1</v>
      </c>
      <c r="W32" s="74">
        <v>1</v>
      </c>
      <c r="X32" s="74">
        <v>1</v>
      </c>
      <c r="Y32" s="74">
        <v>1</v>
      </c>
      <c r="Z32" s="74">
        <v>0</v>
      </c>
      <c r="AA32" s="74">
        <v>0</v>
      </c>
      <c r="AB32" s="74">
        <v>0</v>
      </c>
      <c r="AC32" s="74">
        <v>1</v>
      </c>
      <c r="AD32" s="74">
        <v>1</v>
      </c>
      <c r="AE32" s="74">
        <v>1</v>
      </c>
      <c r="AF32" s="74">
        <v>1</v>
      </c>
      <c r="AG32" s="74">
        <v>0</v>
      </c>
      <c r="AH32" s="74">
        <v>0</v>
      </c>
      <c r="AI32" s="74">
        <v>1</v>
      </c>
      <c r="AJ32" s="74">
        <v>1</v>
      </c>
      <c r="AK32" s="74">
        <v>1</v>
      </c>
      <c r="AL32" s="74"/>
      <c r="AM32" s="74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4">
        <f t="shared" si="0"/>
        <v>23</v>
      </c>
      <c r="BV32" s="85"/>
    </row>
    <row r="33" spans="1:76" x14ac:dyDescent="0.2">
      <c r="A33" s="77">
        <v>14</v>
      </c>
      <c r="B33" s="93" t="s">
        <v>130</v>
      </c>
      <c r="C33" s="79"/>
      <c r="D33" s="80" t="s">
        <v>118</v>
      </c>
      <c r="E33" s="74"/>
      <c r="F33" s="74"/>
      <c r="G33" s="74">
        <v>0</v>
      </c>
      <c r="H33" s="95">
        <v>0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0</v>
      </c>
      <c r="Z33" s="74">
        <v>0</v>
      </c>
      <c r="AA33" s="74">
        <v>0</v>
      </c>
      <c r="AB33" s="74">
        <v>0</v>
      </c>
      <c r="AC33" s="74">
        <v>0</v>
      </c>
      <c r="AD33" s="74">
        <v>0</v>
      </c>
      <c r="AE33" s="74">
        <v>0</v>
      </c>
      <c r="AF33" s="74">
        <v>0</v>
      </c>
      <c r="AG33" s="74">
        <v>0</v>
      </c>
      <c r="AH33" s="74">
        <v>0</v>
      </c>
      <c r="AI33" s="74">
        <v>0</v>
      </c>
      <c r="AJ33" s="74">
        <v>0</v>
      </c>
      <c r="AK33" s="74">
        <v>0</v>
      </c>
      <c r="AL33" s="74"/>
      <c r="AM33" s="74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98"/>
      <c r="BO33" s="83"/>
      <c r="BP33" s="83"/>
      <c r="BQ33" s="83"/>
      <c r="BR33" s="83"/>
      <c r="BS33" s="83"/>
      <c r="BT33" s="83"/>
      <c r="BU33" s="84">
        <f t="shared" si="0"/>
        <v>0</v>
      </c>
      <c r="BV33" s="85"/>
    </row>
    <row r="34" spans="1:76" x14ac:dyDescent="0.2">
      <c r="A34" s="77">
        <v>15</v>
      </c>
      <c r="B34" s="93" t="s">
        <v>131</v>
      </c>
      <c r="C34" s="97"/>
      <c r="D34" s="80" t="s">
        <v>118</v>
      </c>
      <c r="E34" s="74"/>
      <c r="F34" s="74"/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0</v>
      </c>
      <c r="Y34" s="74">
        <v>0</v>
      </c>
      <c r="Z34" s="74">
        <v>0</v>
      </c>
      <c r="AA34" s="74">
        <v>0</v>
      </c>
      <c r="AB34" s="74">
        <v>0</v>
      </c>
      <c r="AC34" s="74">
        <v>0</v>
      </c>
      <c r="AD34" s="74">
        <v>0</v>
      </c>
      <c r="AE34" s="74">
        <v>0</v>
      </c>
      <c r="AF34" s="74">
        <v>0</v>
      </c>
      <c r="AG34" s="74">
        <v>0</v>
      </c>
      <c r="AH34" s="74">
        <v>0</v>
      </c>
      <c r="AI34" s="74">
        <v>0</v>
      </c>
      <c r="AJ34" s="74">
        <v>0</v>
      </c>
      <c r="AK34" s="74">
        <v>0</v>
      </c>
      <c r="AL34" s="74"/>
      <c r="AM34" s="74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4">
        <f t="shared" si="0"/>
        <v>0</v>
      </c>
      <c r="BW34" s="76"/>
      <c r="BX34" s="85"/>
    </row>
    <row r="35" spans="1:76" x14ac:dyDescent="0.2">
      <c r="A35" s="77">
        <v>16</v>
      </c>
      <c r="B35" s="93" t="s">
        <v>132</v>
      </c>
      <c r="C35" s="79"/>
      <c r="D35" s="80" t="s">
        <v>118</v>
      </c>
      <c r="E35" s="74"/>
      <c r="F35" s="74"/>
      <c r="G35" s="74">
        <v>3</v>
      </c>
      <c r="H35" s="74">
        <v>3</v>
      </c>
      <c r="I35" s="74">
        <v>3</v>
      </c>
      <c r="J35" s="74">
        <v>3</v>
      </c>
      <c r="K35" s="74">
        <v>3</v>
      </c>
      <c r="L35" s="74">
        <v>3</v>
      </c>
      <c r="M35" s="74">
        <v>3</v>
      </c>
      <c r="N35" s="74">
        <v>3</v>
      </c>
      <c r="O35" s="74">
        <v>3</v>
      </c>
      <c r="P35" s="74">
        <v>3</v>
      </c>
      <c r="Q35" s="74">
        <v>3</v>
      </c>
      <c r="R35" s="74">
        <v>3</v>
      </c>
      <c r="S35" s="74">
        <v>3</v>
      </c>
      <c r="T35" s="74">
        <v>3</v>
      </c>
      <c r="U35" s="74">
        <v>3</v>
      </c>
      <c r="V35" s="74">
        <v>3</v>
      </c>
      <c r="W35" s="74">
        <v>3</v>
      </c>
      <c r="X35" s="74">
        <v>3</v>
      </c>
      <c r="Y35" s="74">
        <v>3</v>
      </c>
      <c r="Z35" s="74">
        <v>2</v>
      </c>
      <c r="AA35" s="74">
        <v>3</v>
      </c>
      <c r="AB35" s="74">
        <v>3</v>
      </c>
      <c r="AC35" s="74">
        <v>3</v>
      </c>
      <c r="AD35" s="74">
        <v>3</v>
      </c>
      <c r="AE35" s="74">
        <v>1</v>
      </c>
      <c r="AF35" s="74">
        <v>1</v>
      </c>
      <c r="AG35" s="74">
        <v>1</v>
      </c>
      <c r="AH35" s="74">
        <v>1</v>
      </c>
      <c r="AI35" s="74">
        <v>1</v>
      </c>
      <c r="AJ35" s="74">
        <v>1</v>
      </c>
      <c r="AK35" s="74">
        <v>1</v>
      </c>
      <c r="AL35" s="74"/>
      <c r="AM35" s="74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4">
        <f t="shared" si="0"/>
        <v>78</v>
      </c>
      <c r="BW35" s="76"/>
      <c r="BX35" s="85"/>
    </row>
    <row r="36" spans="1:76" x14ac:dyDescent="0.2">
      <c r="A36" s="77">
        <v>17</v>
      </c>
      <c r="B36" s="93" t="s">
        <v>133</v>
      </c>
      <c r="C36" s="79"/>
      <c r="D36" s="80" t="s">
        <v>118</v>
      </c>
      <c r="E36" s="74"/>
      <c r="F36" s="74"/>
      <c r="G36" s="74">
        <v>0</v>
      </c>
      <c r="H36" s="74">
        <v>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  <c r="Z36" s="74">
        <v>0</v>
      </c>
      <c r="AA36" s="74">
        <v>0</v>
      </c>
      <c r="AB36" s="74">
        <v>0</v>
      </c>
      <c r="AC36" s="74">
        <v>0</v>
      </c>
      <c r="AD36" s="74">
        <v>0</v>
      </c>
      <c r="AE36" s="74">
        <v>0</v>
      </c>
      <c r="AF36" s="74">
        <v>0</v>
      </c>
      <c r="AG36" s="74">
        <v>0</v>
      </c>
      <c r="AH36" s="74">
        <v>0</v>
      </c>
      <c r="AI36" s="74">
        <v>0</v>
      </c>
      <c r="AJ36" s="74">
        <v>0</v>
      </c>
      <c r="AK36" s="74">
        <v>0</v>
      </c>
      <c r="AL36" s="74"/>
      <c r="AM36" s="74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4">
        <f t="shared" si="0"/>
        <v>0</v>
      </c>
      <c r="BW36" s="76"/>
      <c r="BX36" s="85"/>
    </row>
    <row r="37" spans="1:76" x14ac:dyDescent="0.2">
      <c r="A37" s="77">
        <v>18</v>
      </c>
      <c r="B37" s="93" t="s">
        <v>134</v>
      </c>
      <c r="C37" s="79"/>
      <c r="D37" s="80" t="s">
        <v>118</v>
      </c>
      <c r="E37" s="74"/>
      <c r="F37" s="74"/>
      <c r="G37" s="74">
        <v>0</v>
      </c>
      <c r="H37" s="74">
        <v>0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0</v>
      </c>
      <c r="Z37" s="74">
        <v>0</v>
      </c>
      <c r="AA37" s="74">
        <v>0</v>
      </c>
      <c r="AB37" s="74">
        <v>0</v>
      </c>
      <c r="AC37" s="74">
        <v>0</v>
      </c>
      <c r="AD37" s="74">
        <v>0</v>
      </c>
      <c r="AE37" s="74">
        <v>0</v>
      </c>
      <c r="AF37" s="74">
        <v>0</v>
      </c>
      <c r="AG37" s="74">
        <v>0</v>
      </c>
      <c r="AH37" s="74">
        <v>0</v>
      </c>
      <c r="AI37" s="74">
        <v>0</v>
      </c>
      <c r="AJ37" s="74">
        <v>0</v>
      </c>
      <c r="AK37" s="74">
        <v>0</v>
      </c>
      <c r="AL37" s="74"/>
      <c r="AM37" s="74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4">
        <f t="shared" si="0"/>
        <v>0</v>
      </c>
      <c r="BW37" s="76"/>
      <c r="BX37" s="85"/>
    </row>
    <row r="38" spans="1:76" x14ac:dyDescent="0.2">
      <c r="A38" s="77">
        <v>19</v>
      </c>
      <c r="B38" s="93" t="s">
        <v>135</v>
      </c>
      <c r="C38" s="97"/>
      <c r="D38" s="80" t="s">
        <v>118</v>
      </c>
      <c r="E38" s="74"/>
      <c r="F38" s="74"/>
      <c r="G38" s="74">
        <v>1</v>
      </c>
      <c r="H38" s="74">
        <v>1</v>
      </c>
      <c r="I38" s="74">
        <v>2</v>
      </c>
      <c r="J38" s="74">
        <v>2</v>
      </c>
      <c r="K38" s="74">
        <v>3</v>
      </c>
      <c r="L38" s="74">
        <v>3</v>
      </c>
      <c r="M38" s="74">
        <v>2</v>
      </c>
      <c r="N38" s="74">
        <v>2</v>
      </c>
      <c r="O38" s="74">
        <v>3</v>
      </c>
      <c r="P38" s="74">
        <v>3</v>
      </c>
      <c r="Q38" s="74">
        <v>4</v>
      </c>
      <c r="R38" s="74">
        <v>4</v>
      </c>
      <c r="S38" s="74">
        <v>4</v>
      </c>
      <c r="T38" s="74">
        <v>4</v>
      </c>
      <c r="U38" s="74">
        <v>5</v>
      </c>
      <c r="V38" s="74">
        <v>3</v>
      </c>
      <c r="W38" s="74">
        <v>5</v>
      </c>
      <c r="X38" s="74">
        <v>4</v>
      </c>
      <c r="Y38" s="74">
        <v>5</v>
      </c>
      <c r="Z38" s="74">
        <v>2</v>
      </c>
      <c r="AA38" s="74">
        <v>4</v>
      </c>
      <c r="AB38" s="74">
        <v>2</v>
      </c>
      <c r="AC38" s="74">
        <v>2</v>
      </c>
      <c r="AD38" s="74">
        <v>2</v>
      </c>
      <c r="AE38" s="74">
        <v>2</v>
      </c>
      <c r="AF38" s="74">
        <v>2</v>
      </c>
      <c r="AG38" s="74">
        <v>2</v>
      </c>
      <c r="AH38" s="74">
        <v>2</v>
      </c>
      <c r="AI38" s="74">
        <v>2</v>
      </c>
      <c r="AJ38" s="74">
        <v>2</v>
      </c>
      <c r="AK38" s="74">
        <v>2</v>
      </c>
      <c r="AL38" s="74"/>
      <c r="AM38" s="74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4">
        <f t="shared" si="0"/>
        <v>86</v>
      </c>
      <c r="BW38" s="76"/>
      <c r="BX38" s="85"/>
    </row>
    <row r="39" spans="1:76" x14ac:dyDescent="0.2">
      <c r="A39" s="77">
        <v>20</v>
      </c>
      <c r="B39" s="93" t="s">
        <v>136</v>
      </c>
      <c r="C39" s="97"/>
      <c r="D39" s="80" t="s">
        <v>118</v>
      </c>
      <c r="E39" s="74"/>
      <c r="F39" s="74"/>
      <c r="G39" s="74">
        <v>0</v>
      </c>
      <c r="H39" s="74">
        <v>0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  <c r="Z39" s="74">
        <v>0</v>
      </c>
      <c r="AA39" s="74">
        <v>0</v>
      </c>
      <c r="AB39" s="74">
        <v>0</v>
      </c>
      <c r="AC39" s="74">
        <v>0</v>
      </c>
      <c r="AD39" s="74">
        <v>0</v>
      </c>
      <c r="AE39" s="74">
        <v>0</v>
      </c>
      <c r="AF39" s="74">
        <v>0</v>
      </c>
      <c r="AG39" s="74">
        <v>0</v>
      </c>
      <c r="AH39" s="74">
        <v>0</v>
      </c>
      <c r="AI39" s="74">
        <v>0</v>
      </c>
      <c r="AJ39" s="74">
        <v>0</v>
      </c>
      <c r="AK39" s="74">
        <v>0</v>
      </c>
      <c r="AL39" s="74"/>
      <c r="AM39" s="74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4">
        <f t="shared" si="0"/>
        <v>0</v>
      </c>
      <c r="BW39" s="76"/>
      <c r="BX39" s="85"/>
    </row>
    <row r="40" spans="1:76" x14ac:dyDescent="0.2">
      <c r="A40" s="77">
        <v>21</v>
      </c>
      <c r="B40" s="93" t="s">
        <v>137</v>
      </c>
      <c r="C40" s="79"/>
      <c r="D40" s="80" t="s">
        <v>118</v>
      </c>
      <c r="E40" s="74"/>
      <c r="F40" s="74"/>
      <c r="G40" s="74">
        <v>20</v>
      </c>
      <c r="H40" s="74">
        <v>20</v>
      </c>
      <c r="I40" s="74">
        <v>20</v>
      </c>
      <c r="J40" s="74">
        <v>20</v>
      </c>
      <c r="K40" s="74">
        <v>20</v>
      </c>
      <c r="L40" s="74">
        <v>20</v>
      </c>
      <c r="M40" s="74">
        <v>20</v>
      </c>
      <c r="N40" s="74">
        <v>20</v>
      </c>
      <c r="O40" s="74">
        <v>20</v>
      </c>
      <c r="P40" s="74">
        <v>10</v>
      </c>
      <c r="Q40" s="74">
        <v>10</v>
      </c>
      <c r="R40" s="74">
        <v>10</v>
      </c>
      <c r="S40" s="74">
        <v>30</v>
      </c>
      <c r="T40" s="74">
        <v>20</v>
      </c>
      <c r="U40" s="74">
        <v>20</v>
      </c>
      <c r="V40" s="74">
        <v>20</v>
      </c>
      <c r="W40" s="74">
        <v>10</v>
      </c>
      <c r="X40" s="74">
        <v>10</v>
      </c>
      <c r="Y40" s="74">
        <v>20</v>
      </c>
      <c r="Z40" s="74">
        <v>10</v>
      </c>
      <c r="AA40" s="74">
        <v>20</v>
      </c>
      <c r="AB40" s="74">
        <v>25</v>
      </c>
      <c r="AC40" s="74">
        <v>10</v>
      </c>
      <c r="AD40" s="74">
        <v>15</v>
      </c>
      <c r="AE40" s="74">
        <v>10</v>
      </c>
      <c r="AF40" s="74">
        <v>20</v>
      </c>
      <c r="AG40" s="74">
        <v>30</v>
      </c>
      <c r="AH40" s="74">
        <v>30</v>
      </c>
      <c r="AI40" s="74">
        <v>15</v>
      </c>
      <c r="AJ40" s="74">
        <v>15</v>
      </c>
      <c r="AK40" s="74">
        <v>15</v>
      </c>
      <c r="AL40" s="74"/>
      <c r="AM40" s="74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4">
        <f t="shared" si="0"/>
        <v>555</v>
      </c>
      <c r="BW40" s="99"/>
      <c r="BX40" s="85"/>
    </row>
    <row r="41" spans="1:76" x14ac:dyDescent="0.2">
      <c r="A41" s="77">
        <v>22</v>
      </c>
      <c r="B41" s="93" t="s">
        <v>138</v>
      </c>
      <c r="C41" s="79"/>
      <c r="D41" s="80" t="s">
        <v>118</v>
      </c>
      <c r="E41" s="74"/>
      <c r="F41" s="74"/>
      <c r="G41" s="74">
        <v>10</v>
      </c>
      <c r="H41" s="74">
        <v>10</v>
      </c>
      <c r="I41" s="74">
        <v>10</v>
      </c>
      <c r="J41" s="74">
        <v>10</v>
      </c>
      <c r="K41" s="74">
        <v>10</v>
      </c>
      <c r="L41" s="74">
        <v>10</v>
      </c>
      <c r="M41" s="74">
        <v>10</v>
      </c>
      <c r="N41" s="74">
        <v>10</v>
      </c>
      <c r="O41" s="74">
        <v>10</v>
      </c>
      <c r="P41" s="74">
        <v>10</v>
      </c>
      <c r="Q41" s="74">
        <v>10</v>
      </c>
      <c r="R41" s="74">
        <v>10</v>
      </c>
      <c r="S41" s="74">
        <v>10</v>
      </c>
      <c r="T41" s="74">
        <v>10</v>
      </c>
      <c r="U41" s="74">
        <v>10</v>
      </c>
      <c r="V41" s="74">
        <v>10</v>
      </c>
      <c r="W41" s="74">
        <v>10</v>
      </c>
      <c r="X41" s="74">
        <v>10</v>
      </c>
      <c r="Y41" s="74">
        <v>10</v>
      </c>
      <c r="Z41" s="74">
        <v>10</v>
      </c>
      <c r="AA41" s="74">
        <v>10</v>
      </c>
      <c r="AB41" s="74">
        <v>10</v>
      </c>
      <c r="AC41" s="74">
        <v>10</v>
      </c>
      <c r="AD41" s="74">
        <v>10</v>
      </c>
      <c r="AE41" s="74">
        <v>10</v>
      </c>
      <c r="AF41" s="74">
        <v>10</v>
      </c>
      <c r="AG41" s="74">
        <v>10</v>
      </c>
      <c r="AH41" s="74">
        <v>10</v>
      </c>
      <c r="AI41" s="74">
        <v>10</v>
      </c>
      <c r="AJ41" s="74">
        <v>10</v>
      </c>
      <c r="AK41" s="74">
        <v>10</v>
      </c>
      <c r="AL41" s="74"/>
      <c r="AM41" s="74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4">
        <f t="shared" si="0"/>
        <v>310</v>
      </c>
      <c r="BW41" s="99"/>
      <c r="BX41" s="85"/>
    </row>
    <row r="42" spans="1:76" x14ac:dyDescent="0.2">
      <c r="A42" s="77">
        <v>23</v>
      </c>
      <c r="B42" s="93" t="s">
        <v>139</v>
      </c>
      <c r="C42" s="79"/>
      <c r="D42" s="80" t="s">
        <v>118</v>
      </c>
      <c r="E42" s="74"/>
      <c r="F42" s="74"/>
      <c r="G42" s="74">
        <v>0</v>
      </c>
      <c r="H42" s="74">
        <v>0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  <c r="Z42" s="74">
        <v>0</v>
      </c>
      <c r="AA42" s="74">
        <v>0</v>
      </c>
      <c r="AB42" s="74">
        <v>0</v>
      </c>
      <c r="AC42" s="74">
        <v>0</v>
      </c>
      <c r="AD42" s="74">
        <v>0</v>
      </c>
      <c r="AE42" s="74">
        <v>0</v>
      </c>
      <c r="AF42" s="74">
        <v>0</v>
      </c>
      <c r="AG42" s="74">
        <v>0</v>
      </c>
      <c r="AH42" s="74">
        <v>0</v>
      </c>
      <c r="AI42" s="74">
        <v>0</v>
      </c>
      <c r="AJ42" s="74">
        <v>0</v>
      </c>
      <c r="AK42" s="74">
        <v>0</v>
      </c>
      <c r="AL42" s="74"/>
      <c r="AM42" s="74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4">
        <f t="shared" si="0"/>
        <v>0</v>
      </c>
      <c r="BW42" s="99"/>
      <c r="BX42" s="85"/>
    </row>
    <row r="43" spans="1:76" x14ac:dyDescent="0.2">
      <c r="A43" s="77">
        <v>24</v>
      </c>
      <c r="B43" s="93" t="s">
        <v>140</v>
      </c>
      <c r="C43" s="79"/>
      <c r="D43" s="80" t="s">
        <v>118</v>
      </c>
      <c r="E43" s="74"/>
      <c r="F43" s="74"/>
      <c r="G43" s="74">
        <v>0</v>
      </c>
      <c r="H43" s="74">
        <v>0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0</v>
      </c>
      <c r="AC43" s="74">
        <v>0</v>
      </c>
      <c r="AD43" s="74">
        <v>0</v>
      </c>
      <c r="AE43" s="74">
        <v>0</v>
      </c>
      <c r="AF43" s="74">
        <v>0</v>
      </c>
      <c r="AG43" s="74">
        <v>0</v>
      </c>
      <c r="AH43" s="74">
        <v>0</v>
      </c>
      <c r="AI43" s="74">
        <v>0</v>
      </c>
      <c r="AJ43" s="74">
        <v>0</v>
      </c>
      <c r="AK43" s="74">
        <v>0</v>
      </c>
      <c r="AL43" s="74"/>
      <c r="AM43" s="74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4">
        <f t="shared" si="0"/>
        <v>0</v>
      </c>
      <c r="BW43" s="99"/>
      <c r="BX43" s="85"/>
    </row>
    <row r="44" spans="1:76" x14ac:dyDescent="0.2">
      <c r="A44" s="77">
        <v>25</v>
      </c>
      <c r="B44" s="93" t="s">
        <v>141</v>
      </c>
      <c r="C44" s="79"/>
      <c r="D44" s="80" t="s">
        <v>118</v>
      </c>
      <c r="E44" s="74"/>
      <c r="F44" s="74"/>
      <c r="G44" s="74">
        <v>50</v>
      </c>
      <c r="H44" s="74">
        <v>50</v>
      </c>
      <c r="I44" s="74">
        <v>50</v>
      </c>
      <c r="J44" s="74">
        <v>50</v>
      </c>
      <c r="K44" s="74">
        <v>50</v>
      </c>
      <c r="L44" s="74">
        <v>100</v>
      </c>
      <c r="M44" s="74">
        <v>100</v>
      </c>
      <c r="N44" s="74">
        <v>100</v>
      </c>
      <c r="O44" s="74">
        <v>100</v>
      </c>
      <c r="P44" s="74">
        <v>100</v>
      </c>
      <c r="Q44" s="74">
        <v>100</v>
      </c>
      <c r="R44" s="74">
        <v>150</v>
      </c>
      <c r="S44" s="74">
        <v>150</v>
      </c>
      <c r="T44" s="74">
        <v>150</v>
      </c>
      <c r="U44" s="74">
        <v>200</v>
      </c>
      <c r="V44" s="74">
        <v>200</v>
      </c>
      <c r="W44" s="74">
        <v>200</v>
      </c>
      <c r="X44" s="74">
        <v>10</v>
      </c>
      <c r="Y44" s="74">
        <v>200</v>
      </c>
      <c r="Z44" s="74">
        <v>100</v>
      </c>
      <c r="AA44" s="74">
        <v>50</v>
      </c>
      <c r="AB44" s="74">
        <v>60</v>
      </c>
      <c r="AC44" s="74">
        <v>100</v>
      </c>
      <c r="AD44" s="74">
        <v>150</v>
      </c>
      <c r="AE44" s="74">
        <v>100</v>
      </c>
      <c r="AF44" s="74">
        <v>100</v>
      </c>
      <c r="AG44" s="74">
        <v>150</v>
      </c>
      <c r="AH44" s="74">
        <v>150</v>
      </c>
      <c r="AI44" s="74">
        <v>100</v>
      </c>
      <c r="AJ44" s="74">
        <v>100</v>
      </c>
      <c r="AK44" s="74">
        <v>0</v>
      </c>
      <c r="AL44" s="74"/>
      <c r="AM44" s="74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4">
        <f t="shared" si="0"/>
        <v>3270</v>
      </c>
      <c r="BW44" s="99"/>
      <c r="BX44" s="85"/>
    </row>
    <row r="45" spans="1:76" x14ac:dyDescent="0.2">
      <c r="A45" s="77">
        <v>26</v>
      </c>
      <c r="B45" s="93" t="s">
        <v>142</v>
      </c>
      <c r="C45" s="79"/>
      <c r="D45" s="80" t="s">
        <v>118</v>
      </c>
      <c r="E45" s="74"/>
      <c r="F45" s="74"/>
      <c r="G45" s="74">
        <v>0</v>
      </c>
      <c r="H45" s="74">
        <v>0</v>
      </c>
      <c r="I45" s="74">
        <v>0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0</v>
      </c>
      <c r="AF45" s="74">
        <v>0</v>
      </c>
      <c r="AG45" s="74">
        <v>0</v>
      </c>
      <c r="AH45" s="74">
        <v>0</v>
      </c>
      <c r="AI45" s="74">
        <v>0</v>
      </c>
      <c r="AJ45" s="74">
        <v>0</v>
      </c>
      <c r="AK45" s="74">
        <v>0</v>
      </c>
      <c r="AL45" s="74"/>
      <c r="AM45" s="74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4">
        <f t="shared" si="0"/>
        <v>0</v>
      </c>
      <c r="BW45" s="99"/>
      <c r="BX45" s="85"/>
    </row>
    <row r="46" spans="1:76" x14ac:dyDescent="0.2">
      <c r="A46" s="77">
        <v>27</v>
      </c>
      <c r="B46" s="93" t="s">
        <v>143</v>
      </c>
      <c r="C46" s="79"/>
      <c r="D46" s="80" t="s">
        <v>118</v>
      </c>
      <c r="E46" s="74"/>
      <c r="F46" s="74"/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20</v>
      </c>
      <c r="AA46" s="74">
        <v>20</v>
      </c>
      <c r="AB46" s="74">
        <v>10</v>
      </c>
      <c r="AC46" s="74">
        <v>10</v>
      </c>
      <c r="AD46" s="74">
        <v>25</v>
      </c>
      <c r="AE46" s="74">
        <v>10</v>
      </c>
      <c r="AF46" s="74">
        <v>15</v>
      </c>
      <c r="AG46" s="74">
        <v>0</v>
      </c>
      <c r="AH46" s="74">
        <v>0</v>
      </c>
      <c r="AI46" s="74">
        <v>0</v>
      </c>
      <c r="AJ46" s="74">
        <v>0</v>
      </c>
      <c r="AK46" s="74">
        <v>0</v>
      </c>
      <c r="AL46" s="74"/>
      <c r="AM46" s="74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4">
        <f t="shared" si="0"/>
        <v>110</v>
      </c>
      <c r="BW46" s="99"/>
      <c r="BX46" s="85"/>
    </row>
    <row r="47" spans="1:76" x14ac:dyDescent="0.2">
      <c r="A47" s="77">
        <v>28</v>
      </c>
      <c r="B47" s="93" t="s">
        <v>233</v>
      </c>
      <c r="C47" s="79"/>
      <c r="D47" s="197" t="s">
        <v>118</v>
      </c>
      <c r="E47" s="198"/>
      <c r="F47" s="198"/>
      <c r="G47" s="74">
        <v>0</v>
      </c>
      <c r="H47" s="74">
        <v>4.2</v>
      </c>
      <c r="I47" s="74">
        <v>5.4</v>
      </c>
      <c r="J47" s="74">
        <v>5.8</v>
      </c>
      <c r="K47" s="74">
        <v>6.2</v>
      </c>
      <c r="L47" s="74">
        <v>6.1</v>
      </c>
      <c r="M47" s="74">
        <v>7.5</v>
      </c>
      <c r="N47" s="74">
        <v>4.5999999999999996</v>
      </c>
      <c r="O47" s="74">
        <v>4.5999999999999996</v>
      </c>
      <c r="P47" s="74">
        <v>4.7</v>
      </c>
      <c r="Q47" s="74">
        <v>2.2000000000000002</v>
      </c>
      <c r="R47" s="74">
        <v>0</v>
      </c>
      <c r="S47" s="74">
        <v>0</v>
      </c>
      <c r="T47" s="225">
        <v>4.25</v>
      </c>
      <c r="U47" s="225">
        <v>5.35</v>
      </c>
      <c r="V47" s="225">
        <v>5.55</v>
      </c>
      <c r="W47" s="74">
        <v>5.4</v>
      </c>
      <c r="X47" s="74">
        <v>5.3</v>
      </c>
      <c r="Y47" s="225">
        <v>4.05</v>
      </c>
      <c r="Z47" s="225">
        <v>2.5499999999999998</v>
      </c>
      <c r="AA47" s="225">
        <v>4.3499999999999996</v>
      </c>
      <c r="AB47" s="74">
        <v>4.5999999999999996</v>
      </c>
      <c r="AC47" s="225">
        <v>4.25</v>
      </c>
      <c r="AD47" s="225">
        <v>4.8499999999999996</v>
      </c>
      <c r="AE47" s="225">
        <v>5.25</v>
      </c>
      <c r="AF47" s="74">
        <v>4.7</v>
      </c>
      <c r="AG47" s="74">
        <v>1.6</v>
      </c>
      <c r="AH47" s="225">
        <v>4.45</v>
      </c>
      <c r="AI47" s="74">
        <v>5.6</v>
      </c>
      <c r="AJ47" s="74">
        <v>5.4</v>
      </c>
      <c r="AK47" s="74">
        <v>5.7</v>
      </c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199">
        <f>SUM(G47:AK47)</f>
        <v>134.49999999999997</v>
      </c>
      <c r="BW47" s="99"/>
      <c r="BX47" s="85"/>
    </row>
    <row r="48" spans="1:76" x14ac:dyDescent="0.2">
      <c r="A48" s="77">
        <v>29</v>
      </c>
      <c r="B48" s="93" t="s">
        <v>236</v>
      </c>
      <c r="C48" s="79"/>
      <c r="D48" s="197" t="s">
        <v>118</v>
      </c>
      <c r="E48" s="198"/>
      <c r="F48" s="198"/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74">
        <v>0</v>
      </c>
      <c r="P48" s="74">
        <v>0</v>
      </c>
      <c r="Q48" s="74">
        <v>0</v>
      </c>
      <c r="R48" s="74">
        <v>0</v>
      </c>
      <c r="S48" s="74">
        <v>0</v>
      </c>
      <c r="T48" s="74">
        <v>0</v>
      </c>
      <c r="U48" s="74">
        <v>0</v>
      </c>
      <c r="V48" s="74">
        <v>0</v>
      </c>
      <c r="W48" s="74">
        <v>0</v>
      </c>
      <c r="X48" s="74">
        <v>0</v>
      </c>
      <c r="Y48" s="74">
        <v>0</v>
      </c>
      <c r="Z48" s="74">
        <v>0</v>
      </c>
      <c r="AA48" s="74">
        <v>0</v>
      </c>
      <c r="AB48" s="74">
        <v>0</v>
      </c>
      <c r="AC48" s="74">
        <v>0</v>
      </c>
      <c r="AD48" s="74">
        <v>0</v>
      </c>
      <c r="AE48" s="74">
        <v>0</v>
      </c>
      <c r="AF48" s="74">
        <v>0</v>
      </c>
      <c r="AG48" s="74">
        <v>0</v>
      </c>
      <c r="AH48" s="74">
        <v>0</v>
      </c>
      <c r="AI48" s="74">
        <v>0</v>
      </c>
      <c r="AJ48" s="74">
        <v>0</v>
      </c>
      <c r="AK48" s="74">
        <v>0</v>
      </c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199">
        <f>SUM(G48:AK48)</f>
        <v>0</v>
      </c>
      <c r="BW48" s="99"/>
      <c r="BX48" s="85"/>
    </row>
    <row r="49" spans="1:76" x14ac:dyDescent="0.2">
      <c r="A49" s="77">
        <v>30</v>
      </c>
      <c r="B49" s="93" t="s">
        <v>238</v>
      </c>
      <c r="C49" s="79"/>
      <c r="D49" s="197" t="s">
        <v>118</v>
      </c>
      <c r="E49" s="198"/>
      <c r="F49" s="198"/>
      <c r="G49" s="74">
        <v>0</v>
      </c>
      <c r="H49" s="74">
        <v>0</v>
      </c>
      <c r="I49" s="74">
        <v>0</v>
      </c>
      <c r="J49" s="74">
        <v>0</v>
      </c>
      <c r="K49" s="74">
        <v>0</v>
      </c>
      <c r="L49" s="74">
        <v>0</v>
      </c>
      <c r="M49" s="74">
        <v>0</v>
      </c>
      <c r="N49" s="74">
        <v>0</v>
      </c>
      <c r="O49" s="74">
        <v>0</v>
      </c>
      <c r="P49" s="74">
        <v>0</v>
      </c>
      <c r="Q49" s="74">
        <v>0</v>
      </c>
      <c r="R49" s="74">
        <v>0</v>
      </c>
      <c r="S49" s="74">
        <v>0</v>
      </c>
      <c r="T49" s="74">
        <v>0</v>
      </c>
      <c r="U49" s="74">
        <v>0</v>
      </c>
      <c r="V49" s="74">
        <v>0</v>
      </c>
      <c r="W49" s="74">
        <v>0</v>
      </c>
      <c r="X49" s="74">
        <v>0</v>
      </c>
      <c r="Y49" s="74">
        <v>0</v>
      </c>
      <c r="Z49" s="74">
        <v>0</v>
      </c>
      <c r="AA49" s="74">
        <v>0</v>
      </c>
      <c r="AB49" s="74">
        <v>0</v>
      </c>
      <c r="AC49" s="74">
        <v>0</v>
      </c>
      <c r="AD49" s="74">
        <v>0</v>
      </c>
      <c r="AE49" s="74">
        <v>0</v>
      </c>
      <c r="AF49" s="74">
        <v>0</v>
      </c>
      <c r="AG49" s="74">
        <v>0</v>
      </c>
      <c r="AH49" s="74">
        <v>0</v>
      </c>
      <c r="AI49" s="74">
        <v>0</v>
      </c>
      <c r="AJ49" s="74">
        <v>0</v>
      </c>
      <c r="AK49" s="74">
        <v>0</v>
      </c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199">
        <v>0</v>
      </c>
      <c r="BW49" s="99"/>
      <c r="BX49" s="85"/>
    </row>
    <row r="50" spans="1:76" x14ac:dyDescent="0.2">
      <c r="A50" s="77"/>
      <c r="B50" s="174" t="s">
        <v>224</v>
      </c>
      <c r="C50" s="79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6"/>
      <c r="AC50" s="246"/>
      <c r="AD50" s="246"/>
      <c r="AE50" s="246"/>
      <c r="AF50" s="246"/>
      <c r="AG50" s="246"/>
      <c r="AH50" s="246"/>
      <c r="AI50" s="246"/>
      <c r="AJ50" s="246"/>
      <c r="AK50" s="246"/>
      <c r="AL50" s="246"/>
      <c r="AM50" s="246"/>
      <c r="AN50" s="246"/>
      <c r="AO50" s="246"/>
      <c r="AP50" s="246"/>
      <c r="AQ50" s="246"/>
      <c r="AR50" s="246"/>
      <c r="AS50" s="246"/>
      <c r="AT50" s="246"/>
      <c r="AU50" s="246"/>
      <c r="AV50" s="246"/>
      <c r="AW50" s="246"/>
      <c r="AX50" s="246"/>
      <c r="AY50" s="246"/>
      <c r="AZ50" s="246"/>
      <c r="BA50" s="246"/>
      <c r="BB50" s="246"/>
      <c r="BC50" s="246"/>
      <c r="BD50" s="246"/>
      <c r="BE50" s="246"/>
      <c r="BF50" s="246"/>
      <c r="BG50" s="246"/>
      <c r="BH50" s="246"/>
      <c r="BI50" s="246"/>
      <c r="BJ50" s="246"/>
      <c r="BK50" s="246"/>
      <c r="BL50" s="246"/>
      <c r="BM50" s="246"/>
      <c r="BN50" s="246"/>
      <c r="BO50" s="246"/>
      <c r="BP50" s="246"/>
      <c r="BQ50" s="246"/>
      <c r="BR50" s="246"/>
      <c r="BS50" s="246"/>
      <c r="BT50" s="246"/>
      <c r="BU50" s="246"/>
      <c r="BW50" s="99"/>
      <c r="BX50" s="85"/>
    </row>
    <row r="51" spans="1:76" x14ac:dyDescent="0.2">
      <c r="A51" s="77">
        <v>28</v>
      </c>
      <c r="B51" s="93" t="s">
        <v>225</v>
      </c>
      <c r="C51" s="79"/>
      <c r="D51" s="80" t="s">
        <v>228</v>
      </c>
      <c r="E51" s="74"/>
      <c r="F51" s="74"/>
      <c r="G51" s="74">
        <v>885</v>
      </c>
      <c r="H51" s="74">
        <v>900</v>
      </c>
      <c r="I51" s="74">
        <v>952.5</v>
      </c>
      <c r="J51" s="74">
        <v>1110</v>
      </c>
      <c r="K51" s="74">
        <v>990</v>
      </c>
      <c r="L51" s="74">
        <v>1065</v>
      </c>
      <c r="M51" s="74">
        <v>1080</v>
      </c>
      <c r="N51" s="74">
        <v>1050</v>
      </c>
      <c r="O51" s="74">
        <v>997.5</v>
      </c>
      <c r="P51" s="74">
        <v>922.5</v>
      </c>
      <c r="Q51" s="74">
        <v>1035</v>
      </c>
      <c r="R51" s="74">
        <v>1057.5</v>
      </c>
      <c r="S51" s="74">
        <v>1005</v>
      </c>
      <c r="T51" s="74">
        <v>855</v>
      </c>
      <c r="U51" s="74">
        <v>1095</v>
      </c>
      <c r="V51" s="74">
        <v>900</v>
      </c>
      <c r="W51" s="74">
        <v>922.5</v>
      </c>
      <c r="X51" s="74">
        <v>870</v>
      </c>
      <c r="Y51" s="74">
        <v>870</v>
      </c>
      <c r="Z51" s="74">
        <v>637.5</v>
      </c>
      <c r="AA51" s="74">
        <v>817.5</v>
      </c>
      <c r="AB51" s="74">
        <v>1162.5</v>
      </c>
      <c r="AC51" s="74">
        <v>892.5</v>
      </c>
      <c r="AD51" s="74">
        <v>862.5</v>
      </c>
      <c r="AE51" s="74">
        <v>1140</v>
      </c>
      <c r="AF51" s="74">
        <v>990</v>
      </c>
      <c r="AG51" s="74">
        <v>1140</v>
      </c>
      <c r="AH51" s="74">
        <v>1222.5</v>
      </c>
      <c r="AI51" s="74">
        <v>975</v>
      </c>
      <c r="AJ51" s="74">
        <v>900</v>
      </c>
      <c r="AK51" s="74">
        <v>1200</v>
      </c>
      <c r="AL51" s="74"/>
      <c r="AM51" s="74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4">
        <f>SUM(G51:BG51)</f>
        <v>30502.5</v>
      </c>
      <c r="BW51" s="99"/>
      <c r="BX51" s="85"/>
    </row>
    <row r="52" spans="1:76" x14ac:dyDescent="0.2">
      <c r="A52" s="77">
        <v>29</v>
      </c>
      <c r="B52" s="93" t="s">
        <v>226</v>
      </c>
      <c r="C52" s="79"/>
      <c r="D52" s="80" t="s">
        <v>229</v>
      </c>
      <c r="E52" s="74"/>
      <c r="F52" s="74"/>
      <c r="G52" s="74">
        <v>166</v>
      </c>
      <c r="H52" s="74">
        <v>16</v>
      </c>
      <c r="I52" s="74">
        <v>102</v>
      </c>
      <c r="J52" s="74">
        <v>208</v>
      </c>
      <c r="K52" s="74">
        <v>32</v>
      </c>
      <c r="L52" s="74">
        <v>2</v>
      </c>
      <c r="M52" s="74">
        <v>94</v>
      </c>
      <c r="N52" s="74">
        <v>98</v>
      </c>
      <c r="O52" s="74">
        <v>200</v>
      </c>
      <c r="P52" s="74">
        <v>126</v>
      </c>
      <c r="Q52" s="74">
        <v>204</v>
      </c>
      <c r="R52" s="74">
        <v>134</v>
      </c>
      <c r="S52" s="74">
        <v>118</v>
      </c>
      <c r="T52" s="74">
        <v>0</v>
      </c>
      <c r="U52" s="74">
        <v>164</v>
      </c>
      <c r="V52" s="74">
        <v>324</v>
      </c>
      <c r="W52" s="74">
        <v>232</v>
      </c>
      <c r="X52" s="74">
        <v>50</v>
      </c>
      <c r="Y52" s="74">
        <v>0</v>
      </c>
      <c r="Z52" s="74">
        <v>0</v>
      </c>
      <c r="AA52" s="74">
        <v>1218</v>
      </c>
      <c r="AB52" s="74">
        <v>632</v>
      </c>
      <c r="AC52" s="74">
        <v>578</v>
      </c>
      <c r="AD52" s="74">
        <v>588</v>
      </c>
      <c r="AE52" s="74">
        <v>228</v>
      </c>
      <c r="AF52" s="74">
        <v>114</v>
      </c>
      <c r="AG52" s="74">
        <v>288</v>
      </c>
      <c r="AH52" s="74">
        <v>260</v>
      </c>
      <c r="AI52" s="74">
        <v>0</v>
      </c>
      <c r="AJ52" s="74">
        <v>0</v>
      </c>
      <c r="AK52" s="74">
        <v>24</v>
      </c>
      <c r="AL52" s="74"/>
      <c r="AM52" s="74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4">
        <f>SUM(G52:BG52)</f>
        <v>6200</v>
      </c>
      <c r="BW52" s="99"/>
      <c r="BX52" s="85"/>
    </row>
    <row r="53" spans="1:76" x14ac:dyDescent="0.2">
      <c r="A53" s="77">
        <v>30</v>
      </c>
      <c r="B53" s="93" t="s">
        <v>227</v>
      </c>
      <c r="C53" s="79"/>
      <c r="D53" s="80" t="s">
        <v>228</v>
      </c>
      <c r="E53" s="74"/>
      <c r="F53" s="74"/>
      <c r="G53" s="74">
        <v>150</v>
      </c>
      <c r="H53" s="74">
        <v>240</v>
      </c>
      <c r="I53" s="74">
        <v>255</v>
      </c>
      <c r="J53" s="74">
        <v>255</v>
      </c>
      <c r="K53" s="74">
        <v>255</v>
      </c>
      <c r="L53" s="74">
        <v>300</v>
      </c>
      <c r="M53" s="74">
        <v>300</v>
      </c>
      <c r="N53" s="74">
        <v>285</v>
      </c>
      <c r="O53" s="74">
        <v>315</v>
      </c>
      <c r="P53" s="74">
        <v>300</v>
      </c>
      <c r="Q53" s="74">
        <v>330</v>
      </c>
      <c r="R53" s="74">
        <v>255</v>
      </c>
      <c r="S53" s="74">
        <v>240</v>
      </c>
      <c r="T53" s="74">
        <v>225</v>
      </c>
      <c r="U53" s="74">
        <v>240</v>
      </c>
      <c r="V53" s="74">
        <v>255</v>
      </c>
      <c r="W53" s="74">
        <v>270</v>
      </c>
      <c r="X53" s="74">
        <v>300</v>
      </c>
      <c r="Y53" s="74">
        <v>225</v>
      </c>
      <c r="Z53" s="74">
        <v>165</v>
      </c>
      <c r="AA53" s="74">
        <v>285</v>
      </c>
      <c r="AB53" s="74">
        <v>300</v>
      </c>
      <c r="AC53" s="74">
        <v>285</v>
      </c>
      <c r="AD53" s="74">
        <v>285</v>
      </c>
      <c r="AE53" s="74">
        <v>255</v>
      </c>
      <c r="AF53" s="74">
        <v>300</v>
      </c>
      <c r="AG53" s="74">
        <v>270</v>
      </c>
      <c r="AH53" s="74">
        <v>270</v>
      </c>
      <c r="AI53" s="74">
        <v>240</v>
      </c>
      <c r="AJ53" s="74">
        <v>255</v>
      </c>
      <c r="AK53" s="74">
        <v>270</v>
      </c>
      <c r="AL53" s="74"/>
      <c r="AM53" s="74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4">
        <f>SUM(G53:BG53)</f>
        <v>8175</v>
      </c>
      <c r="BW53" s="99"/>
      <c r="BX53" s="85"/>
    </row>
    <row r="54" spans="1:76" x14ac:dyDescent="0.2">
      <c r="A54" s="247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29"/>
      <c r="AE54" s="229"/>
      <c r="AF54" s="229"/>
      <c r="AG54" s="229"/>
      <c r="AH54" s="229"/>
      <c r="AI54" s="229"/>
      <c r="AJ54" s="229"/>
      <c r="AK54" s="229"/>
      <c r="AL54" s="229"/>
      <c r="AM54" s="229"/>
      <c r="AN54" s="229"/>
      <c r="AO54" s="229"/>
      <c r="AP54" s="229"/>
      <c r="AQ54" s="229"/>
      <c r="AR54" s="229"/>
      <c r="AS54" s="229"/>
      <c r="AT54" s="229"/>
      <c r="AU54" s="229"/>
      <c r="AV54" s="229"/>
      <c r="AW54" s="229"/>
      <c r="AX54" s="229"/>
      <c r="AY54" s="229"/>
      <c r="AZ54" s="229"/>
      <c r="BA54" s="229"/>
      <c r="BB54" s="229"/>
      <c r="BC54" s="229"/>
      <c r="BD54" s="229"/>
      <c r="BE54" s="229"/>
      <c r="BF54" s="229"/>
      <c r="BG54" s="229"/>
      <c r="BH54" s="229"/>
      <c r="BI54" s="229"/>
      <c r="BJ54" s="229"/>
      <c r="BK54" s="229"/>
      <c r="BL54" s="229"/>
      <c r="BM54" s="229"/>
      <c r="BN54" s="229"/>
      <c r="BO54" s="229"/>
      <c r="BP54" s="229"/>
      <c r="BQ54" s="229"/>
      <c r="BR54" s="229"/>
      <c r="BS54" s="229"/>
      <c r="BT54" s="229"/>
      <c r="BU54" s="248"/>
      <c r="BW54" s="99"/>
      <c r="BX54" s="85"/>
    </row>
    <row r="55" spans="1:76" x14ac:dyDescent="0.2">
      <c r="A55" s="77" t="s">
        <v>144</v>
      </c>
      <c r="B55" s="86" t="s">
        <v>145</v>
      </c>
      <c r="C55" s="87"/>
      <c r="D55" s="88" t="s">
        <v>16</v>
      </c>
      <c r="E55" s="100">
        <v>0</v>
      </c>
      <c r="F55" s="100">
        <v>0</v>
      </c>
      <c r="G55" s="100">
        <v>80</v>
      </c>
      <c r="H55" s="100">
        <v>77</v>
      </c>
      <c r="I55" s="100">
        <v>88</v>
      </c>
      <c r="J55" s="100">
        <v>71</v>
      </c>
      <c r="K55" s="100">
        <v>70</v>
      </c>
      <c r="L55" s="100">
        <v>70</v>
      </c>
      <c r="M55" s="100">
        <v>82</v>
      </c>
      <c r="N55" s="100">
        <v>85</v>
      </c>
      <c r="O55" s="100">
        <v>90</v>
      </c>
      <c r="P55" s="100">
        <v>90</v>
      </c>
      <c r="Q55" s="100">
        <v>93</v>
      </c>
      <c r="R55" s="100">
        <v>82</v>
      </c>
      <c r="S55" s="100">
        <v>82</v>
      </c>
      <c r="T55" s="100">
        <v>71</v>
      </c>
      <c r="U55" s="100">
        <v>100</v>
      </c>
      <c r="V55" s="100">
        <v>101</v>
      </c>
      <c r="W55" s="100">
        <v>90</v>
      </c>
      <c r="X55" s="100">
        <v>87</v>
      </c>
      <c r="Y55" s="100">
        <v>70</v>
      </c>
      <c r="Z55" s="100">
        <v>41</v>
      </c>
      <c r="AA55" s="100">
        <v>73</v>
      </c>
      <c r="AB55" s="100">
        <v>84</v>
      </c>
      <c r="AC55" s="100">
        <v>85</v>
      </c>
      <c r="AD55" s="100">
        <v>86</v>
      </c>
      <c r="AE55" s="100">
        <v>92</v>
      </c>
      <c r="AF55" s="100">
        <v>79</v>
      </c>
      <c r="AG55" s="100">
        <v>70</v>
      </c>
      <c r="AH55" s="100">
        <v>82</v>
      </c>
      <c r="AI55" s="100">
        <v>81</v>
      </c>
      <c r="AJ55" s="100">
        <v>77</v>
      </c>
      <c r="AK55" s="100">
        <v>75</v>
      </c>
      <c r="AL55" s="100"/>
      <c r="AM55" s="100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101"/>
      <c r="BK55" s="101"/>
      <c r="BL55" s="101"/>
      <c r="BM55" s="101"/>
      <c r="BN55" s="101"/>
      <c r="BO55" s="101"/>
      <c r="BP55" s="101"/>
      <c r="BQ55" s="101"/>
      <c r="BR55" s="101"/>
      <c r="BS55" s="101"/>
      <c r="BT55" s="101"/>
      <c r="BU55" s="84">
        <f>SUM(G55:BG55)</f>
        <v>2504</v>
      </c>
      <c r="BW55" s="76"/>
      <c r="BX55" s="85"/>
    </row>
    <row r="56" spans="1:76" ht="21" thickBot="1" x14ac:dyDescent="0.25">
      <c r="A56" s="177" t="s">
        <v>146</v>
      </c>
      <c r="B56" s="178" t="s">
        <v>147</v>
      </c>
      <c r="C56" s="179"/>
      <c r="D56" s="180" t="s">
        <v>16</v>
      </c>
      <c r="E56" s="181">
        <f>E55*0.935</f>
        <v>0</v>
      </c>
      <c r="F56" s="181">
        <f t="shared" ref="F56" si="10">F55*0.935</f>
        <v>0</v>
      </c>
      <c r="G56" s="182">
        <v>73.38</v>
      </c>
      <c r="H56" s="182">
        <v>62.462000000000003</v>
      </c>
      <c r="I56" s="182">
        <v>76.965999999999994</v>
      </c>
      <c r="J56" s="182">
        <v>73.938000000000002</v>
      </c>
      <c r="K56" s="182">
        <v>67.475999999999999</v>
      </c>
      <c r="L56" s="182">
        <v>67.588999999999999</v>
      </c>
      <c r="M56" s="182">
        <v>73.158000000000001</v>
      </c>
      <c r="N56" s="182">
        <v>84.424999999999997</v>
      </c>
      <c r="O56" s="182">
        <v>83.64</v>
      </c>
      <c r="P56" s="182">
        <v>85.995999999999995</v>
      </c>
      <c r="Q56" s="182">
        <v>97.781000000000006</v>
      </c>
      <c r="R56" s="182">
        <v>66.763000000000005</v>
      </c>
      <c r="S56" s="182">
        <v>72.463999999999999</v>
      </c>
      <c r="T56" s="182">
        <v>55.345999999999997</v>
      </c>
      <c r="U56" s="182">
        <v>95.659000000000006</v>
      </c>
      <c r="V56" s="182">
        <v>101.715</v>
      </c>
      <c r="W56" s="182">
        <v>75.775000000000006</v>
      </c>
      <c r="X56" s="182">
        <v>90.727999999999994</v>
      </c>
      <c r="Y56" s="182">
        <v>57.375</v>
      </c>
      <c r="Z56" s="182">
        <v>39.389000000000003</v>
      </c>
      <c r="AA56" s="182">
        <v>56.392000000000003</v>
      </c>
      <c r="AB56" s="182">
        <v>81.284000000000006</v>
      </c>
      <c r="AC56" s="182">
        <v>68.311999999999998</v>
      </c>
      <c r="AD56" s="182">
        <v>74.468999999999994</v>
      </c>
      <c r="AE56" s="182">
        <v>96.733000000000004</v>
      </c>
      <c r="AF56" s="182">
        <v>65.078000000000003</v>
      </c>
      <c r="AG56" s="182">
        <v>75.84</v>
      </c>
      <c r="AH56" s="182">
        <v>73.486000000000004</v>
      </c>
      <c r="AI56" s="182">
        <v>69.751000000000005</v>
      </c>
      <c r="AJ56" s="182">
        <v>71.747</v>
      </c>
      <c r="AK56" s="182">
        <v>97.138999999999996</v>
      </c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1">
        <f t="shared" ref="BH56:BR56" si="11">BH55*0.94</f>
        <v>0</v>
      </c>
      <c r="BI56" s="181">
        <f t="shared" si="11"/>
        <v>0</v>
      </c>
      <c r="BJ56" s="181">
        <f t="shared" si="11"/>
        <v>0</v>
      </c>
      <c r="BK56" s="181">
        <f t="shared" si="11"/>
        <v>0</v>
      </c>
      <c r="BL56" s="181">
        <f t="shared" si="11"/>
        <v>0</v>
      </c>
      <c r="BM56" s="181">
        <f t="shared" si="11"/>
        <v>0</v>
      </c>
      <c r="BN56" s="181">
        <f t="shared" si="11"/>
        <v>0</v>
      </c>
      <c r="BO56" s="181">
        <f t="shared" si="11"/>
        <v>0</v>
      </c>
      <c r="BP56" s="181">
        <f t="shared" si="11"/>
        <v>0</v>
      </c>
      <c r="BQ56" s="181">
        <f t="shared" si="11"/>
        <v>0</v>
      </c>
      <c r="BR56" s="181">
        <f t="shared" si="11"/>
        <v>0</v>
      </c>
      <c r="BS56" s="183">
        <v>0</v>
      </c>
      <c r="BT56" s="183">
        <v>0</v>
      </c>
      <c r="BU56" s="184">
        <f>SUM(G56:BG56)</f>
        <v>2332.2560000000003</v>
      </c>
      <c r="BW56" s="76"/>
      <c r="BX56" s="85"/>
    </row>
    <row r="57" spans="1:76" hidden="1" x14ac:dyDescent="0.2">
      <c r="A57" s="175"/>
      <c r="B57" s="176"/>
      <c r="C57" s="237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  <c r="AK57" s="238"/>
      <c r="AL57" s="238"/>
      <c r="AM57" s="238"/>
      <c r="AN57" s="238"/>
      <c r="AO57" s="238"/>
      <c r="AP57" s="238"/>
      <c r="AQ57" s="238"/>
      <c r="AR57" s="238"/>
      <c r="AS57" s="238"/>
      <c r="AT57" s="238"/>
      <c r="AU57" s="238"/>
      <c r="AV57" s="238"/>
      <c r="AW57" s="238"/>
      <c r="AX57" s="238"/>
      <c r="AY57" s="238"/>
      <c r="AZ57" s="238"/>
      <c r="BA57" s="238"/>
      <c r="BB57" s="238"/>
      <c r="BC57" s="238"/>
      <c r="BD57" s="238"/>
      <c r="BE57" s="238"/>
      <c r="BF57" s="238"/>
      <c r="BG57" s="238"/>
      <c r="BH57" s="238"/>
      <c r="BI57" s="238"/>
      <c r="BJ57" s="238"/>
      <c r="BK57" s="238"/>
      <c r="BL57" s="238"/>
      <c r="BM57" s="238"/>
      <c r="BN57" s="238"/>
      <c r="BO57" s="238"/>
      <c r="BP57" s="238"/>
      <c r="BQ57" s="238"/>
      <c r="BR57" s="238"/>
      <c r="BS57" s="238"/>
      <c r="BT57" s="238"/>
      <c r="BU57" s="239"/>
      <c r="BW57" s="76"/>
      <c r="BX57" s="85"/>
    </row>
    <row r="58" spans="1:76" ht="23.25" hidden="1" customHeight="1" x14ac:dyDescent="0.25">
      <c r="A58" s="104" t="s">
        <v>148</v>
      </c>
      <c r="B58" s="105" t="s">
        <v>149</v>
      </c>
      <c r="C58" s="240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  <c r="AK58" s="241"/>
      <c r="AL58" s="241"/>
      <c r="AM58" s="241"/>
      <c r="AN58" s="241"/>
      <c r="AO58" s="241"/>
      <c r="AP58" s="241"/>
      <c r="AQ58" s="241"/>
      <c r="AR58" s="241"/>
      <c r="AS58" s="241"/>
      <c r="AT58" s="241"/>
      <c r="AU58" s="241"/>
      <c r="AV58" s="241"/>
      <c r="AW58" s="241"/>
      <c r="AX58" s="241"/>
      <c r="AY58" s="241"/>
      <c r="AZ58" s="241"/>
      <c r="BA58" s="241"/>
      <c r="BB58" s="241"/>
      <c r="BC58" s="241"/>
      <c r="BD58" s="241"/>
      <c r="BE58" s="241"/>
      <c r="BF58" s="241"/>
      <c r="BG58" s="241"/>
      <c r="BH58" s="241"/>
      <c r="BI58" s="241"/>
      <c r="BJ58" s="241"/>
      <c r="BK58" s="241"/>
      <c r="BL58" s="241"/>
      <c r="BM58" s="241"/>
      <c r="BN58" s="241"/>
      <c r="BO58" s="241"/>
      <c r="BP58" s="241"/>
      <c r="BQ58" s="241"/>
      <c r="BR58" s="241"/>
      <c r="BS58" s="241"/>
      <c r="BT58" s="241"/>
      <c r="BU58" s="242"/>
    </row>
    <row r="59" spans="1:76" hidden="1" x14ac:dyDescent="0.2">
      <c r="A59" s="104">
        <v>1</v>
      </c>
      <c r="B59" s="103" t="s">
        <v>150</v>
      </c>
      <c r="C59" s="106"/>
      <c r="D59" s="107" t="s">
        <v>16</v>
      </c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6"/>
      <c r="BP59" s="96"/>
      <c r="BQ59" s="96"/>
      <c r="BR59" s="96"/>
      <c r="BS59" s="96"/>
      <c r="BT59" s="96"/>
      <c r="BU59" s="108">
        <f>SUM(E59:AL59)</f>
        <v>0</v>
      </c>
      <c r="BW59" s="76"/>
      <c r="BX59" s="85"/>
    </row>
    <row r="60" spans="1:76" ht="15.75" hidden="1" customHeight="1" x14ac:dyDescent="0.2">
      <c r="A60" s="104">
        <v>2</v>
      </c>
      <c r="B60" s="103" t="s">
        <v>151</v>
      </c>
      <c r="C60" s="106"/>
      <c r="D60" s="107" t="s">
        <v>16</v>
      </c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108">
        <f>SUM(E60:AL60)</f>
        <v>0</v>
      </c>
      <c r="BW60" s="109"/>
      <c r="BX60" s="85"/>
    </row>
    <row r="61" spans="1:76" ht="17.25" hidden="1" customHeight="1" x14ac:dyDescent="0.2">
      <c r="A61" s="104">
        <v>3</v>
      </c>
      <c r="B61" s="103" t="s">
        <v>152</v>
      </c>
      <c r="C61" s="106"/>
      <c r="D61" s="107" t="s">
        <v>153</v>
      </c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108">
        <f>SUM(E61:AL61)</f>
        <v>0</v>
      </c>
      <c r="BX61" s="110"/>
    </row>
    <row r="62" spans="1:76" ht="19.5" hidden="1" customHeight="1" x14ac:dyDescent="0.2">
      <c r="A62" s="102">
        <v>4</v>
      </c>
      <c r="B62" s="111" t="s">
        <v>154</v>
      </c>
      <c r="C62" s="112"/>
      <c r="D62" s="113" t="s">
        <v>29</v>
      </c>
      <c r="E62" s="114"/>
      <c r="F62" s="114"/>
      <c r="G62" s="114"/>
      <c r="H62" s="114"/>
      <c r="I62" s="114" t="e">
        <f>#REF!</f>
        <v>#REF!</v>
      </c>
      <c r="J62" s="114" t="e">
        <f>#REF!</f>
        <v>#REF!</v>
      </c>
      <c r="K62" s="114" t="e">
        <f>#REF!</f>
        <v>#REF!</v>
      </c>
      <c r="L62" s="114" t="e">
        <f>#REF!</f>
        <v>#REF!</v>
      </c>
      <c r="M62" s="114" t="e">
        <f>#REF!</f>
        <v>#REF!</v>
      </c>
      <c r="N62" s="114" t="e">
        <f>#REF!</f>
        <v>#REF!</v>
      </c>
      <c r="O62" s="114" t="e">
        <f>#REF!</f>
        <v>#REF!</v>
      </c>
      <c r="P62" s="114" t="e">
        <f>#REF!</f>
        <v>#REF!</v>
      </c>
      <c r="Q62" s="114" t="e">
        <f>#REF!</f>
        <v>#REF!</v>
      </c>
      <c r="R62" s="114" t="e">
        <f>#REF!</f>
        <v>#REF!</v>
      </c>
      <c r="S62" s="114" t="e">
        <f>#REF!</f>
        <v>#REF!</v>
      </c>
      <c r="T62" s="114" t="e">
        <f>#REF!</f>
        <v>#REF!</v>
      </c>
      <c r="U62" s="114" t="e">
        <f>#REF!</f>
        <v>#REF!</v>
      </c>
      <c r="V62" s="114" t="e">
        <f>#REF!</f>
        <v>#REF!</v>
      </c>
      <c r="W62" s="114" t="e">
        <f>#REF!</f>
        <v>#REF!</v>
      </c>
      <c r="X62" s="114" t="e">
        <f>#REF!</f>
        <v>#REF!</v>
      </c>
      <c r="Y62" s="114" t="e">
        <f>#REF!</f>
        <v>#REF!</v>
      </c>
      <c r="Z62" s="114" t="e">
        <f>#REF!</f>
        <v>#REF!</v>
      </c>
      <c r="AA62" s="114" t="e">
        <f>#REF!</f>
        <v>#REF!</v>
      </c>
      <c r="AB62" s="114" t="e">
        <f>#REF!</f>
        <v>#REF!</v>
      </c>
      <c r="AC62" s="114" t="e">
        <f>#REF!</f>
        <v>#REF!</v>
      </c>
      <c r="AD62" s="114" t="e">
        <f>#REF!</f>
        <v>#REF!</v>
      </c>
      <c r="AE62" s="114" t="e">
        <f>#REF!</f>
        <v>#REF!</v>
      </c>
      <c r="AF62" s="114" t="e">
        <f>#REF!</f>
        <v>#REF!</v>
      </c>
      <c r="AG62" s="114" t="e">
        <f>#REF!</f>
        <v>#REF!</v>
      </c>
      <c r="AH62" s="114" t="e">
        <f>#REF!</f>
        <v>#REF!</v>
      </c>
      <c r="AI62" s="114" t="e">
        <f>#REF!</f>
        <v>#REF!</v>
      </c>
      <c r="AJ62" s="114" t="e">
        <f>#REF!</f>
        <v>#REF!</v>
      </c>
      <c r="AK62" s="114" t="e">
        <f>#REF!</f>
        <v>#REF!</v>
      </c>
      <c r="AL62" s="114" t="e">
        <f>#REF!</f>
        <v>#REF!</v>
      </c>
      <c r="AM62" s="114" t="e">
        <f>#REF!</f>
        <v>#REF!</v>
      </c>
      <c r="AN62" s="115" t="e">
        <f>#REF!</f>
        <v>#REF!</v>
      </c>
      <c r="AO62" s="115" t="e">
        <f>#REF!</f>
        <v>#REF!</v>
      </c>
      <c r="AP62" s="115" t="e">
        <f>#REF!</f>
        <v>#REF!</v>
      </c>
      <c r="AQ62" s="115" t="e">
        <f>#REF!</f>
        <v>#REF!</v>
      </c>
      <c r="AR62" s="115" t="e">
        <f>#REF!</f>
        <v>#REF!</v>
      </c>
      <c r="AS62" s="115" t="e">
        <f>#REF!</f>
        <v>#REF!</v>
      </c>
      <c r="AT62" s="115" t="e">
        <f>#REF!</f>
        <v>#REF!</v>
      </c>
      <c r="AU62" s="115" t="e">
        <f>#REF!</f>
        <v>#REF!</v>
      </c>
      <c r="AV62" s="115" t="e">
        <f>#REF!</f>
        <v>#REF!</v>
      </c>
      <c r="AW62" s="115" t="e">
        <f>#REF!</f>
        <v>#REF!</v>
      </c>
      <c r="AX62" s="115" t="e">
        <f>#REF!</f>
        <v>#REF!</v>
      </c>
      <c r="AY62" s="115" t="e">
        <f>#REF!</f>
        <v>#REF!</v>
      </c>
      <c r="AZ62" s="115" t="e">
        <f>#REF!</f>
        <v>#REF!</v>
      </c>
      <c r="BA62" s="115" t="e">
        <f>#REF!</f>
        <v>#REF!</v>
      </c>
      <c r="BB62" s="115" t="e">
        <f>#REF!</f>
        <v>#REF!</v>
      </c>
      <c r="BC62" s="115" t="e">
        <f>#REF!</f>
        <v>#REF!</v>
      </c>
      <c r="BD62" s="115" t="e">
        <f>#REF!</f>
        <v>#REF!</v>
      </c>
      <c r="BE62" s="115" t="e">
        <f>#REF!</f>
        <v>#REF!</v>
      </c>
      <c r="BF62" s="115" t="e">
        <f>#REF!</f>
        <v>#REF!</v>
      </c>
      <c r="BG62" s="115" t="e">
        <f>#REF!</f>
        <v>#REF!</v>
      </c>
      <c r="BH62" s="115" t="e">
        <f>#REF!</f>
        <v>#REF!</v>
      </c>
      <c r="BI62" s="115" t="e">
        <f>#REF!</f>
        <v>#REF!</v>
      </c>
      <c r="BJ62" s="115">
        <v>2</v>
      </c>
      <c r="BK62" s="115">
        <v>2</v>
      </c>
      <c r="BL62" s="115">
        <v>2</v>
      </c>
      <c r="BM62" s="115">
        <v>2</v>
      </c>
      <c r="BN62" s="115">
        <v>2</v>
      </c>
      <c r="BO62" s="115">
        <v>2</v>
      </c>
      <c r="BP62" s="115">
        <v>2</v>
      </c>
      <c r="BQ62" s="115">
        <v>2</v>
      </c>
      <c r="BR62" s="115">
        <v>2</v>
      </c>
      <c r="BS62" s="115"/>
      <c r="BT62" s="115"/>
      <c r="BU62" s="108" t="e">
        <f>SUM(I62:BS62)</f>
        <v>#REF!</v>
      </c>
      <c r="BX62" s="110"/>
    </row>
    <row r="63" spans="1:76" ht="23.25" hidden="1" customHeight="1" x14ac:dyDescent="0.2">
      <c r="A63" s="104">
        <v>5</v>
      </c>
      <c r="B63" s="103" t="s">
        <v>155</v>
      </c>
      <c r="C63" s="106"/>
      <c r="D63" s="103" t="s">
        <v>156</v>
      </c>
      <c r="E63" s="116"/>
      <c r="F63" s="116"/>
      <c r="G63" s="116"/>
      <c r="H63" s="116"/>
      <c r="I63" s="116">
        <f t="shared" ref="I63:BR63" si="12">I18/I56</f>
        <v>1.2002182782007642</v>
      </c>
      <c r="J63" s="116">
        <f t="shared" si="12"/>
        <v>0.91249425194081535</v>
      </c>
      <c r="K63" s="116">
        <f t="shared" si="12"/>
        <v>0.9706265931590492</v>
      </c>
      <c r="L63" s="116">
        <f t="shared" ref="L63:AK63" si="13">L18/L56</f>
        <v>0.9390581307609227</v>
      </c>
      <c r="M63" s="116">
        <f t="shared" si="13"/>
        <v>1.139642964542497</v>
      </c>
      <c r="N63" s="116">
        <f t="shared" si="13"/>
        <v>1.0538939887474088</v>
      </c>
      <c r="O63" s="116">
        <f t="shared" si="13"/>
        <v>1.0606408417025346</v>
      </c>
      <c r="P63" s="116">
        <f t="shared" si="13"/>
        <v>1.0518512488952976</v>
      </c>
      <c r="Q63" s="116">
        <f t="shared" si="13"/>
        <v>0.94339391088248237</v>
      </c>
      <c r="R63" s="116">
        <f t="shared" si="13"/>
        <v>1.1598789748812965</v>
      </c>
      <c r="S63" s="116">
        <f t="shared" si="13"/>
        <v>1.0950402958710534</v>
      </c>
      <c r="T63" s="116">
        <f t="shared" si="13"/>
        <v>1.2831098905069926</v>
      </c>
      <c r="U63" s="116">
        <f t="shared" si="13"/>
        <v>0.94427079522052271</v>
      </c>
      <c r="V63" s="116">
        <f t="shared" si="13"/>
        <v>0.92818168411738677</v>
      </c>
      <c r="W63" s="116">
        <f t="shared" si="13"/>
        <v>1.2235169910920487</v>
      </c>
      <c r="X63" s="116">
        <f t="shared" si="13"/>
        <v>0.97107838814919312</v>
      </c>
      <c r="Y63" s="116">
        <f t="shared" si="13"/>
        <v>1.1739259259259258</v>
      </c>
      <c r="Z63" s="116">
        <f t="shared" si="13"/>
        <v>1.0768996420320394</v>
      </c>
      <c r="AA63" s="116">
        <f t="shared" si="13"/>
        <v>1.3038374237480495</v>
      </c>
      <c r="AB63" s="116">
        <f t="shared" si="13"/>
        <v>0.97598543378770719</v>
      </c>
      <c r="AC63" s="116">
        <f t="shared" si="13"/>
        <v>1.1064234687902565</v>
      </c>
      <c r="AD63" s="116">
        <f t="shared" si="13"/>
        <v>1.1156588647625187</v>
      </c>
      <c r="AE63" s="116">
        <f t="shared" si="13"/>
        <v>0.91581983397599565</v>
      </c>
      <c r="AF63" s="116">
        <f t="shared" si="13"/>
        <v>1.249638894864624</v>
      </c>
      <c r="AG63" s="116">
        <f t="shared" si="13"/>
        <v>0.88132911392405067</v>
      </c>
      <c r="AH63" s="116">
        <f t="shared" si="13"/>
        <v>1.0221538796505456</v>
      </c>
      <c r="AI63" s="116">
        <f t="shared" si="13"/>
        <v>1.1163710914538858</v>
      </c>
      <c r="AJ63" s="116">
        <f t="shared" ref="AJ63" si="14">AJ18/AJ56</f>
        <v>1.1269600122653214</v>
      </c>
      <c r="AK63" s="116">
        <f t="shared" si="13"/>
        <v>0.82980059502362591</v>
      </c>
      <c r="AL63" s="116" t="e">
        <f t="shared" si="12"/>
        <v>#DIV/0!</v>
      </c>
      <c r="AM63" s="116" t="e">
        <f t="shared" si="12"/>
        <v>#DIV/0!</v>
      </c>
      <c r="AN63" s="116" t="e">
        <f t="shared" si="12"/>
        <v>#DIV/0!</v>
      </c>
      <c r="AO63" s="116" t="e">
        <f t="shared" si="12"/>
        <v>#DIV/0!</v>
      </c>
      <c r="AP63" s="116" t="e">
        <f t="shared" si="12"/>
        <v>#DIV/0!</v>
      </c>
      <c r="AQ63" s="116" t="e">
        <f t="shared" si="12"/>
        <v>#DIV/0!</v>
      </c>
      <c r="AR63" s="116" t="e">
        <f t="shared" si="12"/>
        <v>#DIV/0!</v>
      </c>
      <c r="AS63" s="116" t="e">
        <f t="shared" si="12"/>
        <v>#DIV/0!</v>
      </c>
      <c r="AT63" s="116" t="e">
        <f t="shared" si="12"/>
        <v>#DIV/0!</v>
      </c>
      <c r="AU63" s="116" t="e">
        <f t="shared" si="12"/>
        <v>#DIV/0!</v>
      </c>
      <c r="AV63" s="116" t="e">
        <f t="shared" si="12"/>
        <v>#DIV/0!</v>
      </c>
      <c r="AW63" s="116" t="e">
        <f t="shared" si="12"/>
        <v>#DIV/0!</v>
      </c>
      <c r="AX63" s="116" t="e">
        <f t="shared" si="12"/>
        <v>#DIV/0!</v>
      </c>
      <c r="AY63" s="116" t="e">
        <f t="shared" si="12"/>
        <v>#DIV/0!</v>
      </c>
      <c r="AZ63" s="116" t="e">
        <f t="shared" si="12"/>
        <v>#DIV/0!</v>
      </c>
      <c r="BA63" s="116" t="e">
        <f t="shared" si="12"/>
        <v>#DIV/0!</v>
      </c>
      <c r="BB63" s="116" t="e">
        <f t="shared" si="12"/>
        <v>#DIV/0!</v>
      </c>
      <c r="BC63" s="116" t="e">
        <f t="shared" si="12"/>
        <v>#DIV/0!</v>
      </c>
      <c r="BD63" s="116" t="e">
        <f t="shared" si="12"/>
        <v>#DIV/0!</v>
      </c>
      <c r="BE63" s="116" t="e">
        <f t="shared" si="12"/>
        <v>#DIV/0!</v>
      </c>
      <c r="BF63" s="116" t="e">
        <f t="shared" si="12"/>
        <v>#DIV/0!</v>
      </c>
      <c r="BG63" s="116" t="e">
        <f t="shared" si="12"/>
        <v>#DIV/0!</v>
      </c>
      <c r="BH63" s="116" t="e">
        <f t="shared" si="12"/>
        <v>#DIV/0!</v>
      </c>
      <c r="BI63" s="116" t="e">
        <f t="shared" si="12"/>
        <v>#DIV/0!</v>
      </c>
      <c r="BJ63" s="116" t="e">
        <f t="shared" si="12"/>
        <v>#DIV/0!</v>
      </c>
      <c r="BK63" s="116" t="e">
        <f t="shared" si="12"/>
        <v>#DIV/0!</v>
      </c>
      <c r="BL63" s="116" t="e">
        <f t="shared" si="12"/>
        <v>#DIV/0!</v>
      </c>
      <c r="BM63" s="116" t="e">
        <f t="shared" si="12"/>
        <v>#DIV/0!</v>
      </c>
      <c r="BN63" s="116" t="e">
        <f t="shared" si="12"/>
        <v>#DIV/0!</v>
      </c>
      <c r="BO63" s="116" t="e">
        <f t="shared" si="12"/>
        <v>#DIV/0!</v>
      </c>
      <c r="BP63" s="116" t="e">
        <f t="shared" si="12"/>
        <v>#DIV/0!</v>
      </c>
      <c r="BQ63" s="116" t="e">
        <f t="shared" si="12"/>
        <v>#DIV/0!</v>
      </c>
      <c r="BR63" s="116" t="e">
        <f t="shared" si="12"/>
        <v>#DIV/0!</v>
      </c>
      <c r="BS63" s="117"/>
      <c r="BT63" s="117"/>
      <c r="BU63" s="118" t="e">
        <f xml:space="preserve"> AVERAGE(E63:BS63)</f>
        <v>#DIV/0!</v>
      </c>
    </row>
    <row r="64" spans="1:76" ht="23.25" hidden="1" customHeight="1" x14ac:dyDescent="0.2">
      <c r="A64" s="104"/>
      <c r="B64" s="103"/>
      <c r="C64" s="243"/>
      <c r="D64" s="244"/>
      <c r="E64" s="244"/>
      <c r="F64" s="244"/>
      <c r="G64" s="244"/>
      <c r="H64" s="244"/>
      <c r="I64" s="244"/>
      <c r="J64" s="244"/>
      <c r="K64" s="244"/>
      <c r="L64" s="244"/>
      <c r="M64" s="244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  <c r="AD64" s="244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  <c r="AO64" s="244"/>
      <c r="AP64" s="244"/>
      <c r="AQ64" s="244"/>
      <c r="AR64" s="244"/>
      <c r="AS64" s="244"/>
      <c r="AT64" s="244"/>
      <c r="AU64" s="244"/>
      <c r="AV64" s="244"/>
      <c r="AW64" s="244"/>
      <c r="AX64" s="244"/>
      <c r="AY64" s="244"/>
      <c r="AZ64" s="244"/>
      <c r="BA64" s="244"/>
      <c r="BB64" s="244"/>
      <c r="BC64" s="244"/>
      <c r="BD64" s="244"/>
      <c r="BE64" s="244"/>
      <c r="BF64" s="244"/>
      <c r="BG64" s="244"/>
      <c r="BH64" s="244"/>
      <c r="BI64" s="244"/>
      <c r="BJ64" s="244"/>
      <c r="BK64" s="244"/>
      <c r="BL64" s="244"/>
      <c r="BM64" s="244"/>
      <c r="BN64" s="244"/>
      <c r="BO64" s="244"/>
      <c r="BP64" s="244"/>
      <c r="BQ64" s="244"/>
      <c r="BR64" s="244"/>
      <c r="BS64" s="244"/>
      <c r="BT64" s="244"/>
      <c r="BU64" s="245"/>
    </row>
    <row r="65" spans="1:76" hidden="1" x14ac:dyDescent="0.2">
      <c r="A65" s="104" t="s">
        <v>157</v>
      </c>
      <c r="B65" s="103" t="s">
        <v>158</v>
      </c>
      <c r="C65" s="106"/>
      <c r="D65" s="107" t="s">
        <v>159</v>
      </c>
      <c r="E65" s="114" t="e">
        <f>E59/E56</f>
        <v>#DIV/0!</v>
      </c>
      <c r="F65" s="114" t="e">
        <f>F59/F56</f>
        <v>#DIV/0!</v>
      </c>
      <c r="G65" s="114">
        <f>G59/G56</f>
        <v>0</v>
      </c>
      <c r="H65" s="114"/>
      <c r="I65" s="114">
        <f t="shared" ref="I65:AQ65" si="15">I59/I56</f>
        <v>0</v>
      </c>
      <c r="J65" s="114">
        <f t="shared" si="15"/>
        <v>0</v>
      </c>
      <c r="K65" s="114">
        <f t="shared" si="15"/>
        <v>0</v>
      </c>
      <c r="L65" s="114">
        <f t="shared" ref="L65:AK65" si="16">L59/L56</f>
        <v>0</v>
      </c>
      <c r="M65" s="114">
        <f t="shared" si="16"/>
        <v>0</v>
      </c>
      <c r="N65" s="114">
        <f t="shared" si="16"/>
        <v>0</v>
      </c>
      <c r="O65" s="114">
        <f t="shared" si="16"/>
        <v>0</v>
      </c>
      <c r="P65" s="114">
        <f t="shared" si="16"/>
        <v>0</v>
      </c>
      <c r="Q65" s="114">
        <f t="shared" si="16"/>
        <v>0</v>
      </c>
      <c r="R65" s="114">
        <f t="shared" si="16"/>
        <v>0</v>
      </c>
      <c r="S65" s="114">
        <f t="shared" si="16"/>
        <v>0</v>
      </c>
      <c r="T65" s="114">
        <f t="shared" si="16"/>
        <v>0</v>
      </c>
      <c r="U65" s="114">
        <f t="shared" si="16"/>
        <v>0</v>
      </c>
      <c r="V65" s="114">
        <f t="shared" si="16"/>
        <v>0</v>
      </c>
      <c r="W65" s="114">
        <f t="shared" si="16"/>
        <v>0</v>
      </c>
      <c r="X65" s="114">
        <f t="shared" si="16"/>
        <v>0</v>
      </c>
      <c r="Y65" s="114">
        <f t="shared" si="16"/>
        <v>0</v>
      </c>
      <c r="Z65" s="114">
        <f t="shared" si="16"/>
        <v>0</v>
      </c>
      <c r="AA65" s="114">
        <f t="shared" si="16"/>
        <v>0</v>
      </c>
      <c r="AB65" s="114">
        <f t="shared" si="16"/>
        <v>0</v>
      </c>
      <c r="AC65" s="114">
        <f t="shared" si="16"/>
        <v>0</v>
      </c>
      <c r="AD65" s="114">
        <f t="shared" si="16"/>
        <v>0</v>
      </c>
      <c r="AE65" s="114">
        <f t="shared" si="16"/>
        <v>0</v>
      </c>
      <c r="AF65" s="114">
        <f t="shared" si="16"/>
        <v>0</v>
      </c>
      <c r="AG65" s="114">
        <f t="shared" si="16"/>
        <v>0</v>
      </c>
      <c r="AH65" s="114">
        <f t="shared" si="16"/>
        <v>0</v>
      </c>
      <c r="AI65" s="114">
        <f t="shared" si="16"/>
        <v>0</v>
      </c>
      <c r="AJ65" s="114">
        <f t="shared" ref="AJ65" si="17">AJ59/AJ56</f>
        <v>0</v>
      </c>
      <c r="AK65" s="114">
        <f t="shared" si="16"/>
        <v>0</v>
      </c>
      <c r="AL65" s="114" t="e">
        <f t="shared" si="15"/>
        <v>#DIV/0!</v>
      </c>
      <c r="AM65" s="114" t="e">
        <f t="shared" si="15"/>
        <v>#DIV/0!</v>
      </c>
      <c r="AN65" s="114" t="e">
        <f t="shared" si="15"/>
        <v>#DIV/0!</v>
      </c>
      <c r="AO65" s="114" t="e">
        <f t="shared" si="15"/>
        <v>#DIV/0!</v>
      </c>
      <c r="AP65" s="114" t="e">
        <f t="shared" si="15"/>
        <v>#DIV/0!</v>
      </c>
      <c r="AQ65" s="114" t="e">
        <f t="shared" si="15"/>
        <v>#DIV/0!</v>
      </c>
      <c r="AR65" s="115">
        <v>0</v>
      </c>
      <c r="AS65" s="115">
        <v>0</v>
      </c>
      <c r="AT65" s="115">
        <v>0</v>
      </c>
      <c r="AU65" s="115">
        <v>0</v>
      </c>
      <c r="AV65" s="115">
        <v>0</v>
      </c>
      <c r="AW65" s="115">
        <v>0</v>
      </c>
      <c r="AX65" s="115">
        <v>0</v>
      </c>
      <c r="AY65" s="115">
        <v>0</v>
      </c>
      <c r="AZ65" s="115">
        <v>0</v>
      </c>
      <c r="BA65" s="115">
        <v>0</v>
      </c>
      <c r="BB65" s="115">
        <v>0</v>
      </c>
      <c r="BC65" s="115">
        <v>0</v>
      </c>
      <c r="BD65" s="115">
        <v>0</v>
      </c>
      <c r="BE65" s="115">
        <v>0</v>
      </c>
      <c r="BF65" s="115">
        <v>0</v>
      </c>
      <c r="BG65" s="115">
        <v>0</v>
      </c>
      <c r="BH65" s="115">
        <v>0</v>
      </c>
      <c r="BI65" s="115">
        <v>0</v>
      </c>
      <c r="BJ65" s="115">
        <v>0</v>
      </c>
      <c r="BK65" s="115">
        <v>0</v>
      </c>
      <c r="BL65" s="115">
        <v>0</v>
      </c>
      <c r="BM65" s="115">
        <v>0</v>
      </c>
      <c r="BN65" s="115">
        <v>0</v>
      </c>
      <c r="BO65" s="115">
        <v>0</v>
      </c>
      <c r="BP65" s="115">
        <v>0</v>
      </c>
      <c r="BQ65" s="115">
        <v>0</v>
      </c>
      <c r="BR65" s="115">
        <v>0</v>
      </c>
      <c r="BS65" s="115"/>
      <c r="BT65" s="115"/>
      <c r="BU65" s="108">
        <f>BU59/BU56</f>
        <v>0</v>
      </c>
      <c r="BX65" s="110"/>
    </row>
    <row r="66" spans="1:76" hidden="1" x14ac:dyDescent="0.2">
      <c r="A66" s="104" t="s">
        <v>160</v>
      </c>
      <c r="B66" s="103" t="s">
        <v>161</v>
      </c>
      <c r="C66" s="106"/>
      <c r="D66" s="107" t="s">
        <v>162</v>
      </c>
      <c r="E66" s="95" t="e">
        <f>E60*1000/E56</f>
        <v>#DIV/0!</v>
      </c>
      <c r="F66" s="95" t="e">
        <f>F60*1000/F56</f>
        <v>#DIV/0!</v>
      </c>
      <c r="G66" s="95">
        <f>G60*1000/G56</f>
        <v>0</v>
      </c>
      <c r="H66" s="95"/>
      <c r="I66" s="95">
        <f t="shared" ref="I66:AQ66" si="18">I60*1000/I56</f>
        <v>0</v>
      </c>
      <c r="J66" s="95">
        <f t="shared" si="18"/>
        <v>0</v>
      </c>
      <c r="K66" s="95">
        <f t="shared" si="18"/>
        <v>0</v>
      </c>
      <c r="L66" s="95">
        <f t="shared" ref="L66:AK66" si="19">L60*1000/L56</f>
        <v>0</v>
      </c>
      <c r="M66" s="95">
        <f t="shared" si="19"/>
        <v>0</v>
      </c>
      <c r="N66" s="95">
        <f t="shared" si="19"/>
        <v>0</v>
      </c>
      <c r="O66" s="95">
        <f t="shared" si="19"/>
        <v>0</v>
      </c>
      <c r="P66" s="95">
        <f t="shared" si="19"/>
        <v>0</v>
      </c>
      <c r="Q66" s="95">
        <f t="shared" si="19"/>
        <v>0</v>
      </c>
      <c r="R66" s="95">
        <f t="shared" si="19"/>
        <v>0</v>
      </c>
      <c r="S66" s="95">
        <f t="shared" si="19"/>
        <v>0</v>
      </c>
      <c r="T66" s="95">
        <f t="shared" si="19"/>
        <v>0</v>
      </c>
      <c r="U66" s="95">
        <f t="shared" si="19"/>
        <v>0</v>
      </c>
      <c r="V66" s="95">
        <f t="shared" si="19"/>
        <v>0</v>
      </c>
      <c r="W66" s="95">
        <f t="shared" si="19"/>
        <v>0</v>
      </c>
      <c r="X66" s="95">
        <f t="shared" si="19"/>
        <v>0</v>
      </c>
      <c r="Y66" s="95">
        <f t="shared" si="19"/>
        <v>0</v>
      </c>
      <c r="Z66" s="95">
        <f t="shared" si="19"/>
        <v>0</v>
      </c>
      <c r="AA66" s="95">
        <f t="shared" si="19"/>
        <v>0</v>
      </c>
      <c r="AB66" s="95">
        <f t="shared" si="19"/>
        <v>0</v>
      </c>
      <c r="AC66" s="95">
        <f t="shared" si="19"/>
        <v>0</v>
      </c>
      <c r="AD66" s="95">
        <f t="shared" si="19"/>
        <v>0</v>
      </c>
      <c r="AE66" s="95">
        <f t="shared" si="19"/>
        <v>0</v>
      </c>
      <c r="AF66" s="95">
        <f t="shared" si="19"/>
        <v>0</v>
      </c>
      <c r="AG66" s="95">
        <f t="shared" si="19"/>
        <v>0</v>
      </c>
      <c r="AH66" s="95">
        <f t="shared" si="19"/>
        <v>0</v>
      </c>
      <c r="AI66" s="95">
        <f t="shared" si="19"/>
        <v>0</v>
      </c>
      <c r="AJ66" s="95">
        <f t="shared" ref="AJ66" si="20">AJ60*1000/AJ56</f>
        <v>0</v>
      </c>
      <c r="AK66" s="95">
        <f t="shared" si="19"/>
        <v>0</v>
      </c>
      <c r="AL66" s="95" t="e">
        <f t="shared" si="18"/>
        <v>#DIV/0!</v>
      </c>
      <c r="AM66" s="95" t="e">
        <f t="shared" si="18"/>
        <v>#DIV/0!</v>
      </c>
      <c r="AN66" s="95" t="e">
        <f t="shared" si="18"/>
        <v>#DIV/0!</v>
      </c>
      <c r="AO66" s="95" t="e">
        <f t="shared" si="18"/>
        <v>#DIV/0!</v>
      </c>
      <c r="AP66" s="95" t="e">
        <f t="shared" si="18"/>
        <v>#DIV/0!</v>
      </c>
      <c r="AQ66" s="95" t="e">
        <f t="shared" si="18"/>
        <v>#DIV/0!</v>
      </c>
      <c r="AR66" s="96">
        <v>0</v>
      </c>
      <c r="AS66" s="96">
        <v>0</v>
      </c>
      <c r="AT66" s="96">
        <v>0</v>
      </c>
      <c r="AU66" s="96">
        <v>0</v>
      </c>
      <c r="AV66" s="96">
        <v>0</v>
      </c>
      <c r="AW66" s="96">
        <v>0</v>
      </c>
      <c r="AX66" s="96">
        <v>0</v>
      </c>
      <c r="AY66" s="96">
        <v>0</v>
      </c>
      <c r="AZ66" s="96">
        <v>0</v>
      </c>
      <c r="BA66" s="96">
        <v>0</v>
      </c>
      <c r="BB66" s="96">
        <v>0</v>
      </c>
      <c r="BC66" s="96">
        <v>0</v>
      </c>
      <c r="BD66" s="96">
        <v>0</v>
      </c>
      <c r="BE66" s="96">
        <v>0</v>
      </c>
      <c r="BF66" s="96">
        <v>0</v>
      </c>
      <c r="BG66" s="96">
        <v>0</v>
      </c>
      <c r="BH66" s="96">
        <v>0</v>
      </c>
      <c r="BI66" s="96">
        <v>0</v>
      </c>
      <c r="BJ66" s="96">
        <v>0</v>
      </c>
      <c r="BK66" s="96">
        <v>0</v>
      </c>
      <c r="BL66" s="96">
        <v>0</v>
      </c>
      <c r="BM66" s="96">
        <v>0</v>
      </c>
      <c r="BN66" s="96">
        <v>0</v>
      </c>
      <c r="BO66" s="96">
        <v>0</v>
      </c>
      <c r="BP66" s="96">
        <v>0</v>
      </c>
      <c r="BQ66" s="96">
        <v>0</v>
      </c>
      <c r="BR66" s="96">
        <v>0</v>
      </c>
      <c r="BS66" s="96"/>
      <c r="BT66" s="96"/>
      <c r="BU66" s="108">
        <f>BU60*1000/BU56</f>
        <v>0</v>
      </c>
      <c r="BX66" s="110"/>
    </row>
    <row r="67" spans="1:76" hidden="1" x14ac:dyDescent="0.2">
      <c r="A67" s="104" t="s">
        <v>163</v>
      </c>
      <c r="B67" s="103" t="s">
        <v>164</v>
      </c>
      <c r="C67" s="106"/>
      <c r="D67" s="107" t="s">
        <v>165</v>
      </c>
      <c r="E67" s="114" t="e">
        <f>E61/E56</f>
        <v>#DIV/0!</v>
      </c>
      <c r="F67" s="114" t="e">
        <f>F61/F56</f>
        <v>#DIV/0!</v>
      </c>
      <c r="G67" s="114">
        <f>G61/G56</f>
        <v>0</v>
      </c>
      <c r="H67" s="114"/>
      <c r="I67" s="114">
        <f t="shared" ref="I67:AQ67" si="21">I61/I56</f>
        <v>0</v>
      </c>
      <c r="J67" s="114">
        <f t="shared" si="21"/>
        <v>0</v>
      </c>
      <c r="K67" s="114">
        <f t="shared" si="21"/>
        <v>0</v>
      </c>
      <c r="L67" s="114">
        <f t="shared" ref="L67:AK67" si="22">L61/L56</f>
        <v>0</v>
      </c>
      <c r="M67" s="114">
        <f t="shared" si="22"/>
        <v>0</v>
      </c>
      <c r="N67" s="114">
        <f t="shared" si="22"/>
        <v>0</v>
      </c>
      <c r="O67" s="114">
        <f t="shared" si="22"/>
        <v>0</v>
      </c>
      <c r="P67" s="114">
        <f t="shared" si="22"/>
        <v>0</v>
      </c>
      <c r="Q67" s="114">
        <f t="shared" si="22"/>
        <v>0</v>
      </c>
      <c r="R67" s="114">
        <f t="shared" si="22"/>
        <v>0</v>
      </c>
      <c r="S67" s="114">
        <f t="shared" si="22"/>
        <v>0</v>
      </c>
      <c r="T67" s="114">
        <f t="shared" si="22"/>
        <v>0</v>
      </c>
      <c r="U67" s="114">
        <f t="shared" si="22"/>
        <v>0</v>
      </c>
      <c r="V67" s="114">
        <f t="shared" si="22"/>
        <v>0</v>
      </c>
      <c r="W67" s="114">
        <f t="shared" si="22"/>
        <v>0</v>
      </c>
      <c r="X67" s="114">
        <f t="shared" si="22"/>
        <v>0</v>
      </c>
      <c r="Y67" s="114">
        <f t="shared" si="22"/>
        <v>0</v>
      </c>
      <c r="Z67" s="114">
        <f t="shared" si="22"/>
        <v>0</v>
      </c>
      <c r="AA67" s="114">
        <f t="shared" si="22"/>
        <v>0</v>
      </c>
      <c r="AB67" s="114">
        <f t="shared" si="22"/>
        <v>0</v>
      </c>
      <c r="AC67" s="114">
        <f t="shared" si="22"/>
        <v>0</v>
      </c>
      <c r="AD67" s="114">
        <f t="shared" si="22"/>
        <v>0</v>
      </c>
      <c r="AE67" s="114">
        <f t="shared" si="22"/>
        <v>0</v>
      </c>
      <c r="AF67" s="114">
        <f t="shared" si="22"/>
        <v>0</v>
      </c>
      <c r="AG67" s="114">
        <f t="shared" si="22"/>
        <v>0</v>
      </c>
      <c r="AH67" s="114">
        <f t="shared" si="22"/>
        <v>0</v>
      </c>
      <c r="AI67" s="114">
        <f t="shared" si="22"/>
        <v>0</v>
      </c>
      <c r="AJ67" s="114">
        <f t="shared" ref="AJ67" si="23">AJ61/AJ56</f>
        <v>0</v>
      </c>
      <c r="AK67" s="114">
        <f t="shared" si="22"/>
        <v>0</v>
      </c>
      <c r="AL67" s="114" t="e">
        <f t="shared" si="21"/>
        <v>#DIV/0!</v>
      </c>
      <c r="AM67" s="114" t="e">
        <f t="shared" si="21"/>
        <v>#DIV/0!</v>
      </c>
      <c r="AN67" s="114" t="e">
        <f t="shared" si="21"/>
        <v>#DIV/0!</v>
      </c>
      <c r="AO67" s="114" t="e">
        <f t="shared" si="21"/>
        <v>#DIV/0!</v>
      </c>
      <c r="AP67" s="114" t="e">
        <f t="shared" si="21"/>
        <v>#DIV/0!</v>
      </c>
      <c r="AQ67" s="114" t="e">
        <f t="shared" si="21"/>
        <v>#DIV/0!</v>
      </c>
      <c r="AR67" s="115">
        <v>0</v>
      </c>
      <c r="AS67" s="115">
        <v>0</v>
      </c>
      <c r="AT67" s="115">
        <v>0</v>
      </c>
      <c r="AU67" s="115">
        <v>0</v>
      </c>
      <c r="AV67" s="115">
        <v>0</v>
      </c>
      <c r="AW67" s="115">
        <v>0</v>
      </c>
      <c r="AX67" s="115">
        <v>0</v>
      </c>
      <c r="AY67" s="115">
        <v>0</v>
      </c>
      <c r="AZ67" s="115">
        <v>0</v>
      </c>
      <c r="BA67" s="115">
        <v>0</v>
      </c>
      <c r="BB67" s="115">
        <v>0</v>
      </c>
      <c r="BC67" s="115">
        <v>0</v>
      </c>
      <c r="BD67" s="115">
        <v>0</v>
      </c>
      <c r="BE67" s="115">
        <v>0</v>
      </c>
      <c r="BF67" s="115">
        <v>0</v>
      </c>
      <c r="BG67" s="115">
        <v>0</v>
      </c>
      <c r="BH67" s="115">
        <v>0</v>
      </c>
      <c r="BI67" s="115">
        <v>0</v>
      </c>
      <c r="BJ67" s="115">
        <v>0</v>
      </c>
      <c r="BK67" s="115">
        <v>0</v>
      </c>
      <c r="BL67" s="115">
        <v>0</v>
      </c>
      <c r="BM67" s="115">
        <v>0</v>
      </c>
      <c r="BN67" s="115">
        <v>0</v>
      </c>
      <c r="BO67" s="115">
        <v>0</v>
      </c>
      <c r="BP67" s="115">
        <v>0</v>
      </c>
      <c r="BQ67" s="115">
        <v>0</v>
      </c>
      <c r="BR67" s="115">
        <v>0</v>
      </c>
      <c r="BS67" s="115"/>
      <c r="BT67" s="115"/>
      <c r="BU67" s="108">
        <f>BU61/BU56</f>
        <v>0</v>
      </c>
      <c r="BX67" s="110"/>
    </row>
    <row r="68" spans="1:76" hidden="1" x14ac:dyDescent="0.2">
      <c r="A68" s="104" t="s">
        <v>166</v>
      </c>
      <c r="B68" s="103" t="s">
        <v>167</v>
      </c>
      <c r="C68" s="106"/>
      <c r="D68" s="107" t="s">
        <v>168</v>
      </c>
      <c r="E68" s="119"/>
      <c r="F68" s="119"/>
      <c r="G68" s="119"/>
      <c r="H68" s="119"/>
      <c r="I68" s="119">
        <v>0</v>
      </c>
      <c r="J68" s="119">
        <v>0</v>
      </c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  <c r="BU68" s="121" t="e">
        <f>+#REF!</f>
        <v>#REF!</v>
      </c>
      <c r="BV68" s="110"/>
    </row>
    <row r="69" spans="1:76" hidden="1" x14ac:dyDescent="0.2">
      <c r="A69" s="104" t="s">
        <v>169</v>
      </c>
      <c r="B69" s="103" t="s">
        <v>170</v>
      </c>
      <c r="C69" s="106"/>
      <c r="D69" s="107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122" t="s">
        <v>171</v>
      </c>
      <c r="BV69" s="110"/>
    </row>
    <row r="70" spans="1:76" hidden="1" x14ac:dyDescent="0.2">
      <c r="A70" s="104" t="s">
        <v>157</v>
      </c>
      <c r="B70" s="103" t="s">
        <v>172</v>
      </c>
      <c r="C70" s="106"/>
      <c r="D70" s="107" t="s">
        <v>173</v>
      </c>
      <c r="E70" s="95" t="e">
        <f>E56*100/#REF!</f>
        <v>#REF!</v>
      </c>
      <c r="F70" s="95" t="e">
        <f>F56*100/#REF!</f>
        <v>#REF!</v>
      </c>
      <c r="G70" s="95" t="e">
        <f>G56*100/#REF!</f>
        <v>#REF!</v>
      </c>
      <c r="H70" s="95" t="e">
        <f>H56*100/#REF!</f>
        <v>#REF!</v>
      </c>
      <c r="I70" s="95" t="e">
        <f>I56*100/#REF!</f>
        <v>#REF!</v>
      </c>
      <c r="J70" s="95" t="e">
        <f>J56*100/#REF!</f>
        <v>#REF!</v>
      </c>
      <c r="K70" s="95" t="e">
        <f>K56*100/#REF!</f>
        <v>#REF!</v>
      </c>
      <c r="L70" s="95" t="e">
        <f>L56*100/#REF!</f>
        <v>#REF!</v>
      </c>
      <c r="M70" s="95" t="e">
        <f>M56*100/#REF!</f>
        <v>#REF!</v>
      </c>
      <c r="N70" s="95" t="e">
        <f>N56*100/#REF!</f>
        <v>#REF!</v>
      </c>
      <c r="O70" s="95" t="e">
        <f>O56*100/#REF!</f>
        <v>#REF!</v>
      </c>
      <c r="P70" s="95" t="e">
        <f>P56*100/#REF!</f>
        <v>#REF!</v>
      </c>
      <c r="Q70" s="95" t="e">
        <f>Q56*100/#REF!</f>
        <v>#REF!</v>
      </c>
      <c r="R70" s="95" t="e">
        <f>R56*100/#REF!</f>
        <v>#REF!</v>
      </c>
      <c r="S70" s="95" t="e">
        <f>S56*100/#REF!</f>
        <v>#REF!</v>
      </c>
      <c r="T70" s="95" t="e">
        <f>T56*100/#REF!</f>
        <v>#REF!</v>
      </c>
      <c r="U70" s="95" t="e">
        <f>U56*100/#REF!</f>
        <v>#REF!</v>
      </c>
      <c r="V70" s="95" t="e">
        <f>V56*100/#REF!</f>
        <v>#REF!</v>
      </c>
      <c r="W70" s="95" t="e">
        <f>W56*100/#REF!</f>
        <v>#REF!</v>
      </c>
      <c r="X70" s="95" t="e">
        <f>X56*100/#REF!</f>
        <v>#REF!</v>
      </c>
      <c r="Y70" s="95" t="e">
        <f>Y56*100/#REF!</f>
        <v>#REF!</v>
      </c>
      <c r="Z70" s="95" t="e">
        <f>Z56*100/#REF!</f>
        <v>#REF!</v>
      </c>
      <c r="AA70" s="95" t="e">
        <f>AA56*100/#REF!</f>
        <v>#REF!</v>
      </c>
      <c r="AB70" s="95" t="e">
        <f>AB56*100/#REF!</f>
        <v>#REF!</v>
      </c>
      <c r="AC70" s="95" t="e">
        <f>AC56*100/#REF!</f>
        <v>#REF!</v>
      </c>
      <c r="AD70" s="95" t="e">
        <f>AD56*100/#REF!</f>
        <v>#REF!</v>
      </c>
      <c r="AE70" s="95" t="e">
        <f>AE56*100/#REF!</f>
        <v>#REF!</v>
      </c>
      <c r="AF70" s="95" t="e">
        <f>AF56*100/#REF!</f>
        <v>#REF!</v>
      </c>
      <c r="AG70" s="95" t="e">
        <f>AG56*100/#REF!</f>
        <v>#REF!</v>
      </c>
      <c r="AH70" s="95" t="e">
        <f>AH56*100/#REF!</f>
        <v>#REF!</v>
      </c>
      <c r="AI70" s="95" t="e">
        <f>AI56*100/#REF!</f>
        <v>#REF!</v>
      </c>
      <c r="AJ70" s="95" t="e">
        <f>AJ56*100/#REF!</f>
        <v>#REF!</v>
      </c>
      <c r="AK70" s="95" t="e">
        <f>AK56*100/#REF!</f>
        <v>#REF!</v>
      </c>
      <c r="AL70" s="95" t="e">
        <f>AL56*100/#REF!</f>
        <v>#REF!</v>
      </c>
      <c r="AM70" s="95" t="e">
        <f>AM56*100/#REF!</f>
        <v>#REF!</v>
      </c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122" t="s">
        <v>174</v>
      </c>
      <c r="BV70" s="110"/>
    </row>
    <row r="71" spans="1:76" hidden="1" x14ac:dyDescent="0.2">
      <c r="A71" s="104" t="s">
        <v>160</v>
      </c>
      <c r="B71" s="103" t="s">
        <v>175</v>
      </c>
      <c r="C71" s="106"/>
      <c r="D71" s="107" t="s">
        <v>176</v>
      </c>
      <c r="E71" s="95" t="e">
        <f>#REF!*E65</f>
        <v>#REF!</v>
      </c>
      <c r="F71" s="119" t="e">
        <f>#REF!*F65</f>
        <v>#REF!</v>
      </c>
      <c r="G71" s="119" t="e">
        <f>#REF!*G65</f>
        <v>#REF!</v>
      </c>
      <c r="H71" s="119" t="e">
        <f>#REF!*H65</f>
        <v>#REF!</v>
      </c>
      <c r="I71" s="119" t="e">
        <f>#REF!*I65</f>
        <v>#REF!</v>
      </c>
      <c r="J71" s="119" t="e">
        <f>#REF!*J65</f>
        <v>#REF!</v>
      </c>
      <c r="K71" s="119" t="e">
        <f>#REF!*K65</f>
        <v>#REF!</v>
      </c>
      <c r="L71" s="119" t="e">
        <f>#REF!*L65</f>
        <v>#REF!</v>
      </c>
      <c r="M71" s="119" t="e">
        <f>#REF!*M65</f>
        <v>#REF!</v>
      </c>
      <c r="N71" s="119" t="e">
        <f>#REF!*N65</f>
        <v>#REF!</v>
      </c>
      <c r="O71" s="119" t="e">
        <f>#REF!*O65</f>
        <v>#REF!</v>
      </c>
      <c r="P71" s="119" t="e">
        <f>#REF!*P65</f>
        <v>#REF!</v>
      </c>
      <c r="Q71" s="119" t="e">
        <f>#REF!*Q65</f>
        <v>#REF!</v>
      </c>
      <c r="R71" s="119" t="e">
        <f>#REF!*R65</f>
        <v>#REF!</v>
      </c>
      <c r="S71" s="119" t="e">
        <f>#REF!*S65</f>
        <v>#REF!</v>
      </c>
      <c r="T71" s="119" t="e">
        <f>#REF!*T65</f>
        <v>#REF!</v>
      </c>
      <c r="U71" s="119" t="e">
        <f>#REF!*U65</f>
        <v>#REF!</v>
      </c>
      <c r="V71" s="119" t="e">
        <f>#REF!*V65</f>
        <v>#REF!</v>
      </c>
      <c r="W71" s="119" t="e">
        <f>#REF!*W65</f>
        <v>#REF!</v>
      </c>
      <c r="X71" s="119" t="e">
        <f>#REF!*X65</f>
        <v>#REF!</v>
      </c>
      <c r="Y71" s="119" t="e">
        <f>#REF!*Y65</f>
        <v>#REF!</v>
      </c>
      <c r="Z71" s="119" t="e">
        <f>#REF!*Z65</f>
        <v>#REF!</v>
      </c>
      <c r="AA71" s="119" t="e">
        <f>#REF!*AA65</f>
        <v>#REF!</v>
      </c>
      <c r="AB71" s="119" t="e">
        <f>#REF!*AB65</f>
        <v>#REF!</v>
      </c>
      <c r="AC71" s="119" t="e">
        <f>#REF!*AC65</f>
        <v>#REF!</v>
      </c>
      <c r="AD71" s="119" t="e">
        <f>#REF!*AD65</f>
        <v>#REF!</v>
      </c>
      <c r="AE71" s="119" t="e">
        <f>#REF!*AE65</f>
        <v>#REF!</v>
      </c>
      <c r="AF71" s="119" t="e">
        <f>#REF!*AF65</f>
        <v>#REF!</v>
      </c>
      <c r="AG71" s="119" t="e">
        <f>#REF!*AG65</f>
        <v>#REF!</v>
      </c>
      <c r="AH71" s="119" t="e">
        <f>#REF!*AH65</f>
        <v>#REF!</v>
      </c>
      <c r="AI71" s="119" t="e">
        <f>#REF!*AI65</f>
        <v>#REF!</v>
      </c>
      <c r="AJ71" s="119" t="e">
        <f>#REF!*AJ65</f>
        <v>#REF!</v>
      </c>
      <c r="AK71" s="119" t="e">
        <f>#REF!*AK65</f>
        <v>#REF!</v>
      </c>
      <c r="AL71" s="119" t="e">
        <f>#REF!*AL65</f>
        <v>#REF!</v>
      </c>
      <c r="AM71" s="119" t="e">
        <f>#REF!*AM65</f>
        <v>#REF!</v>
      </c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3" t="e">
        <f>BU65*#REF!</f>
        <v>#REF!</v>
      </c>
      <c r="BV71" s="110"/>
    </row>
    <row r="72" spans="1:76" hidden="1" x14ac:dyDescent="0.2">
      <c r="A72" s="104" t="s">
        <v>163</v>
      </c>
      <c r="B72" s="103" t="s">
        <v>177</v>
      </c>
      <c r="C72" s="106"/>
      <c r="D72" s="107" t="s">
        <v>176</v>
      </c>
      <c r="E72" s="95" t="e">
        <f>#REF!*E66</f>
        <v>#REF!</v>
      </c>
      <c r="F72" s="119" t="e">
        <f>#REF!*F66</f>
        <v>#REF!</v>
      </c>
      <c r="G72" s="119" t="e">
        <f>#REF!*G66</f>
        <v>#REF!</v>
      </c>
      <c r="H72" s="119" t="e">
        <f>#REF!*H66</f>
        <v>#REF!</v>
      </c>
      <c r="I72" s="119" t="e">
        <f>#REF!*I66</f>
        <v>#REF!</v>
      </c>
      <c r="J72" s="119" t="e">
        <f>#REF!*J66</f>
        <v>#REF!</v>
      </c>
      <c r="K72" s="119" t="e">
        <f>#REF!*K66</f>
        <v>#REF!</v>
      </c>
      <c r="L72" s="119" t="e">
        <f>#REF!*L66</f>
        <v>#REF!</v>
      </c>
      <c r="M72" s="119" t="e">
        <f>#REF!*M66</f>
        <v>#REF!</v>
      </c>
      <c r="N72" s="119" t="e">
        <f>#REF!*N66</f>
        <v>#REF!</v>
      </c>
      <c r="O72" s="119" t="e">
        <f>#REF!*O66</f>
        <v>#REF!</v>
      </c>
      <c r="P72" s="119" t="e">
        <f>#REF!*P66</f>
        <v>#REF!</v>
      </c>
      <c r="Q72" s="119" t="e">
        <f>#REF!*Q66</f>
        <v>#REF!</v>
      </c>
      <c r="R72" s="119" t="e">
        <f>#REF!*R66</f>
        <v>#REF!</v>
      </c>
      <c r="S72" s="119" t="e">
        <f>#REF!*S66</f>
        <v>#REF!</v>
      </c>
      <c r="T72" s="119" t="e">
        <f>#REF!*T66</f>
        <v>#REF!</v>
      </c>
      <c r="U72" s="119" t="e">
        <f>#REF!*U66</f>
        <v>#REF!</v>
      </c>
      <c r="V72" s="119" t="e">
        <f>#REF!*V66</f>
        <v>#REF!</v>
      </c>
      <c r="W72" s="119" t="e">
        <f>#REF!*W66</f>
        <v>#REF!</v>
      </c>
      <c r="X72" s="119" t="e">
        <f>#REF!*X66</f>
        <v>#REF!</v>
      </c>
      <c r="Y72" s="119" t="e">
        <f>#REF!*Y66</f>
        <v>#REF!</v>
      </c>
      <c r="Z72" s="119" t="e">
        <f>#REF!*Z66</f>
        <v>#REF!</v>
      </c>
      <c r="AA72" s="119" t="e">
        <f>#REF!*AA66</f>
        <v>#REF!</v>
      </c>
      <c r="AB72" s="119" t="e">
        <f>#REF!*AB66</f>
        <v>#REF!</v>
      </c>
      <c r="AC72" s="119" t="e">
        <f>#REF!*AC66</f>
        <v>#REF!</v>
      </c>
      <c r="AD72" s="119" t="e">
        <f>#REF!*AD66</f>
        <v>#REF!</v>
      </c>
      <c r="AE72" s="119" t="e">
        <f>#REF!*AE66</f>
        <v>#REF!</v>
      </c>
      <c r="AF72" s="119" t="e">
        <f>#REF!*AF66</f>
        <v>#REF!</v>
      </c>
      <c r="AG72" s="119" t="e">
        <f>#REF!*AG66</f>
        <v>#REF!</v>
      </c>
      <c r="AH72" s="119" t="e">
        <f>#REF!*AH66</f>
        <v>#REF!</v>
      </c>
      <c r="AI72" s="119" t="e">
        <f>#REF!*AI66</f>
        <v>#REF!</v>
      </c>
      <c r="AJ72" s="119" t="e">
        <f>#REF!*AJ66</f>
        <v>#REF!</v>
      </c>
      <c r="AK72" s="119" t="e">
        <f>#REF!*AK66</f>
        <v>#REF!</v>
      </c>
      <c r="AL72" s="119" t="e">
        <f>#REF!*AL66</f>
        <v>#REF!</v>
      </c>
      <c r="AM72" s="119" t="e">
        <f>#REF!*AM66</f>
        <v>#REF!</v>
      </c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3" t="e">
        <f>BU66*#REF!</f>
        <v>#REF!</v>
      </c>
      <c r="BV72" s="110"/>
    </row>
    <row r="73" spans="1:76" hidden="1" x14ac:dyDescent="0.2">
      <c r="A73" s="104" t="s">
        <v>166</v>
      </c>
      <c r="B73" s="103" t="s">
        <v>178</v>
      </c>
      <c r="C73" s="106"/>
      <c r="D73" s="107" t="s">
        <v>176</v>
      </c>
      <c r="E73" s="95" t="e">
        <f>#REF!*E67</f>
        <v>#REF!</v>
      </c>
      <c r="F73" s="119" t="e">
        <f>#REF!*F67</f>
        <v>#REF!</v>
      </c>
      <c r="G73" s="119" t="e">
        <f>#REF!*G67</f>
        <v>#REF!</v>
      </c>
      <c r="H73" s="119" t="e">
        <f>#REF!*H67</f>
        <v>#REF!</v>
      </c>
      <c r="I73" s="119" t="e">
        <f>#REF!*I67</f>
        <v>#REF!</v>
      </c>
      <c r="J73" s="119" t="e">
        <f>#REF!*J67</f>
        <v>#REF!</v>
      </c>
      <c r="K73" s="119" t="e">
        <f>#REF!*K67</f>
        <v>#REF!</v>
      </c>
      <c r="L73" s="119" t="e">
        <f>#REF!*L67</f>
        <v>#REF!</v>
      </c>
      <c r="M73" s="119" t="e">
        <f>#REF!*M67</f>
        <v>#REF!</v>
      </c>
      <c r="N73" s="119" t="e">
        <f>#REF!*N67</f>
        <v>#REF!</v>
      </c>
      <c r="O73" s="119" t="e">
        <f>#REF!*O67</f>
        <v>#REF!</v>
      </c>
      <c r="P73" s="119" t="e">
        <f>#REF!*P67</f>
        <v>#REF!</v>
      </c>
      <c r="Q73" s="119" t="e">
        <f>#REF!*Q67</f>
        <v>#REF!</v>
      </c>
      <c r="R73" s="119" t="e">
        <f>#REF!*R67</f>
        <v>#REF!</v>
      </c>
      <c r="S73" s="119" t="e">
        <f>#REF!*S67</f>
        <v>#REF!</v>
      </c>
      <c r="T73" s="119" t="e">
        <f>#REF!*T67</f>
        <v>#REF!</v>
      </c>
      <c r="U73" s="119" t="e">
        <f>#REF!*U67</f>
        <v>#REF!</v>
      </c>
      <c r="V73" s="119" t="e">
        <f>#REF!*V67</f>
        <v>#REF!</v>
      </c>
      <c r="W73" s="119" t="e">
        <f>#REF!*W67</f>
        <v>#REF!</v>
      </c>
      <c r="X73" s="119" t="e">
        <f>#REF!*X67</f>
        <v>#REF!</v>
      </c>
      <c r="Y73" s="119" t="e">
        <f>#REF!*Y67</f>
        <v>#REF!</v>
      </c>
      <c r="Z73" s="119" t="e">
        <f>#REF!*Z67</f>
        <v>#REF!</v>
      </c>
      <c r="AA73" s="119" t="e">
        <f>#REF!*AA67</f>
        <v>#REF!</v>
      </c>
      <c r="AB73" s="119" t="e">
        <f>#REF!*AB67</f>
        <v>#REF!</v>
      </c>
      <c r="AC73" s="119" t="e">
        <f>#REF!*AC67</f>
        <v>#REF!</v>
      </c>
      <c r="AD73" s="119" t="e">
        <f>#REF!*AD67</f>
        <v>#REF!</v>
      </c>
      <c r="AE73" s="119" t="e">
        <f>#REF!*AE67</f>
        <v>#REF!</v>
      </c>
      <c r="AF73" s="119" t="e">
        <f>#REF!*AF67</f>
        <v>#REF!</v>
      </c>
      <c r="AG73" s="119" t="e">
        <f>#REF!*AG67</f>
        <v>#REF!</v>
      </c>
      <c r="AH73" s="119" t="e">
        <f>#REF!*AH67</f>
        <v>#REF!</v>
      </c>
      <c r="AI73" s="119" t="e">
        <f>#REF!*AI67</f>
        <v>#REF!</v>
      </c>
      <c r="AJ73" s="119" t="e">
        <f>#REF!*AJ67</f>
        <v>#REF!</v>
      </c>
      <c r="AK73" s="119" t="e">
        <f>#REF!*AK67</f>
        <v>#REF!</v>
      </c>
      <c r="AL73" s="119" t="e">
        <f>#REF!*AL67</f>
        <v>#REF!</v>
      </c>
      <c r="AM73" s="119" t="e">
        <f>#REF!*AM67</f>
        <v>#REF!</v>
      </c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3" t="e">
        <f>BU67*#REF!</f>
        <v>#REF!</v>
      </c>
      <c r="BV73" s="110"/>
    </row>
    <row r="74" spans="1:76" hidden="1" x14ac:dyDescent="0.2">
      <c r="A74" s="104" t="s">
        <v>179</v>
      </c>
      <c r="B74" s="103" t="s">
        <v>180</v>
      </c>
      <c r="C74" s="106"/>
      <c r="D74" s="107" t="s">
        <v>176</v>
      </c>
      <c r="E74" s="95" t="e">
        <f>#REF!*E68</f>
        <v>#REF!</v>
      </c>
      <c r="F74" s="119" t="e">
        <f>#REF!*F68</f>
        <v>#REF!</v>
      </c>
      <c r="G74" s="119" t="e">
        <f>#REF!*G68</f>
        <v>#REF!</v>
      </c>
      <c r="H74" s="119" t="e">
        <f>#REF!*H68</f>
        <v>#REF!</v>
      </c>
      <c r="I74" s="119" t="e">
        <f>#REF!*I68</f>
        <v>#REF!</v>
      </c>
      <c r="J74" s="119" t="e">
        <f>#REF!*J68</f>
        <v>#REF!</v>
      </c>
      <c r="K74" s="119" t="e">
        <f>#REF!*K68</f>
        <v>#REF!</v>
      </c>
      <c r="L74" s="119" t="e">
        <f>#REF!*L68</f>
        <v>#REF!</v>
      </c>
      <c r="M74" s="119" t="e">
        <f>#REF!*M68</f>
        <v>#REF!</v>
      </c>
      <c r="N74" s="119" t="e">
        <f>#REF!*N68</f>
        <v>#REF!</v>
      </c>
      <c r="O74" s="119" t="e">
        <f>#REF!*O68</f>
        <v>#REF!</v>
      </c>
      <c r="P74" s="119" t="e">
        <f>#REF!*P68</f>
        <v>#REF!</v>
      </c>
      <c r="Q74" s="119" t="e">
        <f>#REF!*Q68</f>
        <v>#REF!</v>
      </c>
      <c r="R74" s="119" t="e">
        <f>#REF!*R68</f>
        <v>#REF!</v>
      </c>
      <c r="S74" s="119" t="e">
        <f>#REF!*S68</f>
        <v>#REF!</v>
      </c>
      <c r="T74" s="119" t="e">
        <f>#REF!*T68</f>
        <v>#REF!</v>
      </c>
      <c r="U74" s="119" t="e">
        <f>#REF!*U68</f>
        <v>#REF!</v>
      </c>
      <c r="V74" s="119" t="e">
        <f>#REF!*V68</f>
        <v>#REF!</v>
      </c>
      <c r="W74" s="119" t="e">
        <f>#REF!*W68</f>
        <v>#REF!</v>
      </c>
      <c r="X74" s="119" t="e">
        <f>#REF!*X68</f>
        <v>#REF!</v>
      </c>
      <c r="Y74" s="119" t="e">
        <f>#REF!*Y68</f>
        <v>#REF!</v>
      </c>
      <c r="Z74" s="119" t="e">
        <f>#REF!*Z68</f>
        <v>#REF!</v>
      </c>
      <c r="AA74" s="119" t="e">
        <f>#REF!*AA68</f>
        <v>#REF!</v>
      </c>
      <c r="AB74" s="119" t="e">
        <f>#REF!*AB68</f>
        <v>#REF!</v>
      </c>
      <c r="AC74" s="119" t="e">
        <f>#REF!*AC68</f>
        <v>#REF!</v>
      </c>
      <c r="AD74" s="119" t="e">
        <f>#REF!*AD68</f>
        <v>#REF!</v>
      </c>
      <c r="AE74" s="119" t="e">
        <f>#REF!*AE68</f>
        <v>#REF!</v>
      </c>
      <c r="AF74" s="119" t="e">
        <f>#REF!*AF68</f>
        <v>#REF!</v>
      </c>
      <c r="AG74" s="119" t="e">
        <f>#REF!*AG68</f>
        <v>#REF!</v>
      </c>
      <c r="AH74" s="119" t="e">
        <f>#REF!*AH68</f>
        <v>#REF!</v>
      </c>
      <c r="AI74" s="119" t="e">
        <f>#REF!*AI68</f>
        <v>#REF!</v>
      </c>
      <c r="AJ74" s="119" t="e">
        <f>#REF!*AJ68</f>
        <v>#REF!</v>
      </c>
      <c r="AK74" s="119" t="e">
        <f>#REF!*AK68</f>
        <v>#REF!</v>
      </c>
      <c r="AL74" s="119" t="e">
        <f>#REF!*AL68</f>
        <v>#REF!</v>
      </c>
      <c r="AM74" s="119" t="e">
        <f>#REF!*AM68</f>
        <v>#REF!</v>
      </c>
      <c r="AN74" s="120"/>
      <c r="AO74" s="120"/>
      <c r="AP74" s="120"/>
      <c r="AQ74" s="120"/>
      <c r="AR74" s="120"/>
      <c r="AS74" s="120"/>
      <c r="AT74" s="120"/>
      <c r="AU74" s="120"/>
      <c r="AV74" s="120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3" t="e">
        <f>BU68*#REF!</f>
        <v>#REF!</v>
      </c>
      <c r="BV74" s="110"/>
    </row>
    <row r="75" spans="1:76" hidden="1" x14ac:dyDescent="0.2">
      <c r="A75" s="104" t="s">
        <v>181</v>
      </c>
      <c r="B75" s="103" t="s">
        <v>182</v>
      </c>
      <c r="C75" s="106"/>
      <c r="D75" s="107" t="s">
        <v>176</v>
      </c>
      <c r="E75" s="95" t="e">
        <f>#REF!/E56</f>
        <v>#REF!</v>
      </c>
      <c r="F75" s="119" t="e">
        <f>#REF!/F56</f>
        <v>#REF!</v>
      </c>
      <c r="G75" s="119" t="e">
        <f>#REF!/G56</f>
        <v>#REF!</v>
      </c>
      <c r="H75" s="119" t="e">
        <f>#REF!/H56</f>
        <v>#REF!</v>
      </c>
      <c r="I75" s="119" t="e">
        <f>#REF!/I56</f>
        <v>#REF!</v>
      </c>
      <c r="J75" s="119" t="e">
        <f>#REF!/J56</f>
        <v>#REF!</v>
      </c>
      <c r="K75" s="119" t="e">
        <f>#REF!/K56</f>
        <v>#REF!</v>
      </c>
      <c r="L75" s="119" t="e">
        <f>#REF!/L56</f>
        <v>#REF!</v>
      </c>
      <c r="M75" s="119" t="e">
        <f>#REF!/M56</f>
        <v>#REF!</v>
      </c>
      <c r="N75" s="119" t="e">
        <f>#REF!/N56</f>
        <v>#REF!</v>
      </c>
      <c r="O75" s="119" t="e">
        <f>#REF!/O56</f>
        <v>#REF!</v>
      </c>
      <c r="P75" s="119" t="e">
        <f>#REF!/P56</f>
        <v>#REF!</v>
      </c>
      <c r="Q75" s="119" t="e">
        <f>#REF!/Q56</f>
        <v>#REF!</v>
      </c>
      <c r="R75" s="119" t="e">
        <f>#REF!/R56</f>
        <v>#REF!</v>
      </c>
      <c r="S75" s="119" t="e">
        <f>#REF!/S56</f>
        <v>#REF!</v>
      </c>
      <c r="T75" s="119" t="e">
        <f>#REF!/T56</f>
        <v>#REF!</v>
      </c>
      <c r="U75" s="119" t="e">
        <f>#REF!/U56</f>
        <v>#REF!</v>
      </c>
      <c r="V75" s="119" t="e">
        <f>#REF!/V56</f>
        <v>#REF!</v>
      </c>
      <c r="W75" s="119" t="e">
        <f>#REF!/W56</f>
        <v>#REF!</v>
      </c>
      <c r="X75" s="119" t="e">
        <f>#REF!/X56</f>
        <v>#REF!</v>
      </c>
      <c r="Y75" s="119" t="e">
        <f>#REF!/Y56</f>
        <v>#REF!</v>
      </c>
      <c r="Z75" s="119" t="e">
        <f>#REF!/Z56</f>
        <v>#REF!</v>
      </c>
      <c r="AA75" s="119" t="e">
        <f>#REF!/AA56</f>
        <v>#REF!</v>
      </c>
      <c r="AB75" s="119" t="e">
        <f>#REF!/AB56</f>
        <v>#REF!</v>
      </c>
      <c r="AC75" s="119" t="e">
        <f>#REF!/AC56</f>
        <v>#REF!</v>
      </c>
      <c r="AD75" s="119" t="e">
        <f>#REF!/AD56</f>
        <v>#REF!</v>
      </c>
      <c r="AE75" s="119" t="e">
        <f>#REF!/AE56</f>
        <v>#REF!</v>
      </c>
      <c r="AF75" s="119" t="e">
        <f>#REF!/AF56</f>
        <v>#REF!</v>
      </c>
      <c r="AG75" s="119" t="e">
        <f>#REF!/AG56</f>
        <v>#REF!</v>
      </c>
      <c r="AH75" s="119" t="e">
        <f>#REF!/AH56</f>
        <v>#REF!</v>
      </c>
      <c r="AI75" s="119" t="e">
        <f>#REF!/AI56</f>
        <v>#REF!</v>
      </c>
      <c r="AJ75" s="119" t="e">
        <f>#REF!/AJ56</f>
        <v>#REF!</v>
      </c>
      <c r="AK75" s="119" t="e">
        <f>#REF!/AK56</f>
        <v>#REF!</v>
      </c>
      <c r="AL75" s="119" t="e">
        <f>#REF!/AL56</f>
        <v>#REF!</v>
      </c>
      <c r="AM75" s="119" t="e">
        <f>#REF!/AM56</f>
        <v>#REF!</v>
      </c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  <c r="BU75" s="123" t="e">
        <f>#REF!/BU56</f>
        <v>#REF!</v>
      </c>
      <c r="BV75" s="110"/>
    </row>
    <row r="76" spans="1:76" hidden="1" x14ac:dyDescent="0.2">
      <c r="A76" s="104" t="s">
        <v>183</v>
      </c>
      <c r="B76" s="103" t="s">
        <v>184</v>
      </c>
      <c r="C76" s="106"/>
      <c r="D76" s="107" t="s">
        <v>176</v>
      </c>
      <c r="E76" s="119">
        <v>291</v>
      </c>
      <c r="F76" s="119">
        <v>291</v>
      </c>
      <c r="G76" s="119">
        <v>291</v>
      </c>
      <c r="H76" s="119">
        <v>291</v>
      </c>
      <c r="I76" s="119">
        <v>291</v>
      </c>
      <c r="J76" s="119">
        <v>291</v>
      </c>
      <c r="K76" s="119">
        <v>291</v>
      </c>
      <c r="L76" s="119">
        <v>291</v>
      </c>
      <c r="M76" s="119">
        <v>291</v>
      </c>
      <c r="N76" s="119">
        <v>291</v>
      </c>
      <c r="O76" s="119">
        <v>291</v>
      </c>
      <c r="P76" s="119">
        <v>291</v>
      </c>
      <c r="Q76" s="119">
        <v>291</v>
      </c>
      <c r="R76" s="119">
        <v>291</v>
      </c>
      <c r="S76" s="119">
        <v>291</v>
      </c>
      <c r="T76" s="119">
        <v>291</v>
      </c>
      <c r="U76" s="119">
        <v>291</v>
      </c>
      <c r="V76" s="119">
        <v>291</v>
      </c>
      <c r="W76" s="119">
        <v>291</v>
      </c>
      <c r="X76" s="119">
        <v>291</v>
      </c>
      <c r="Y76" s="119">
        <v>291</v>
      </c>
      <c r="Z76" s="119">
        <v>291</v>
      </c>
      <c r="AA76" s="119">
        <v>291</v>
      </c>
      <c r="AB76" s="119">
        <v>291</v>
      </c>
      <c r="AC76" s="119">
        <v>291</v>
      </c>
      <c r="AD76" s="119">
        <v>291</v>
      </c>
      <c r="AE76" s="119">
        <v>291</v>
      </c>
      <c r="AF76" s="119">
        <v>291</v>
      </c>
      <c r="AG76" s="119">
        <v>291</v>
      </c>
      <c r="AH76" s="119">
        <v>291</v>
      </c>
      <c r="AI76" s="119">
        <v>291</v>
      </c>
      <c r="AJ76" s="119">
        <v>291</v>
      </c>
      <c r="AK76" s="119">
        <v>291</v>
      </c>
      <c r="AL76" s="119">
        <v>291</v>
      </c>
      <c r="AM76" s="119">
        <v>291</v>
      </c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3">
        <f>AVERAGE(E76:AL76)</f>
        <v>291</v>
      </c>
      <c r="BV76" s="110"/>
    </row>
    <row r="77" spans="1:76" ht="20.25" hidden="1" customHeight="1" x14ac:dyDescent="0.2">
      <c r="A77" s="104"/>
      <c r="B77" s="103"/>
      <c r="C77" s="106"/>
      <c r="D77" s="243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244"/>
      <c r="S77" s="244"/>
      <c r="T77" s="244"/>
      <c r="U77" s="244"/>
      <c r="V77" s="244"/>
      <c r="W77" s="244"/>
      <c r="X77" s="244"/>
      <c r="Y77" s="244"/>
      <c r="Z77" s="244"/>
      <c r="AA77" s="244"/>
      <c r="AB77" s="244"/>
      <c r="AC77" s="244"/>
      <c r="AD77" s="244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44"/>
      <c r="AP77" s="244"/>
      <c r="AQ77" s="244"/>
      <c r="AR77" s="244"/>
      <c r="AS77" s="244"/>
      <c r="AT77" s="244"/>
      <c r="AU77" s="244"/>
      <c r="AV77" s="244"/>
      <c r="AW77" s="244"/>
      <c r="AX77" s="244"/>
      <c r="AY77" s="244"/>
      <c r="AZ77" s="244"/>
      <c r="BA77" s="244"/>
      <c r="BB77" s="244"/>
      <c r="BC77" s="244"/>
      <c r="BD77" s="244"/>
      <c r="BE77" s="244"/>
      <c r="BF77" s="244"/>
      <c r="BG77" s="244"/>
      <c r="BH77" s="244"/>
      <c r="BI77" s="244"/>
      <c r="BJ77" s="244"/>
      <c r="BK77" s="244"/>
      <c r="BL77" s="244"/>
      <c r="BM77" s="244"/>
      <c r="BN77" s="244"/>
      <c r="BO77" s="244"/>
      <c r="BP77" s="244"/>
      <c r="BQ77" s="244"/>
      <c r="BR77" s="244"/>
      <c r="BS77" s="244"/>
      <c r="BT77" s="244"/>
      <c r="BU77" s="245"/>
      <c r="BV77" s="110"/>
    </row>
    <row r="78" spans="1:76" hidden="1" x14ac:dyDescent="0.2">
      <c r="A78" s="104" t="s">
        <v>179</v>
      </c>
      <c r="B78" s="103" t="s">
        <v>185</v>
      </c>
      <c r="C78" s="106"/>
      <c r="D78" s="107"/>
      <c r="E78" s="124"/>
      <c r="F78" s="125"/>
      <c r="G78" s="125"/>
      <c r="H78" s="125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  <c r="BJ78" s="127"/>
      <c r="BK78" s="127"/>
      <c r="BL78" s="127"/>
      <c r="BM78" s="127"/>
      <c r="BN78" s="127"/>
      <c r="BO78" s="127"/>
      <c r="BP78" s="127"/>
      <c r="BQ78" s="127"/>
      <c r="BR78" s="127"/>
      <c r="BS78" s="127"/>
      <c r="BT78" s="127"/>
      <c r="BU78" s="108" t="s">
        <v>186</v>
      </c>
      <c r="BV78" s="110"/>
    </row>
    <row r="79" spans="1:76" hidden="1" x14ac:dyDescent="0.2">
      <c r="A79" s="104"/>
      <c r="B79" s="128" t="s">
        <v>187</v>
      </c>
      <c r="C79" s="129"/>
      <c r="D79" s="107"/>
      <c r="E79" s="124"/>
      <c r="F79" s="125"/>
      <c r="G79" s="125"/>
      <c r="H79" s="130"/>
      <c r="I79" s="228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  <c r="AA79" s="229"/>
      <c r="AB79" s="229"/>
      <c r="AC79" s="229"/>
      <c r="AD79" s="229"/>
      <c r="AE79" s="229"/>
      <c r="AF79" s="229"/>
      <c r="AG79" s="229"/>
      <c r="AH79" s="229"/>
      <c r="AI79" s="229"/>
      <c r="AJ79" s="229"/>
      <c r="AK79" s="229"/>
      <c r="AL79" s="230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  <c r="BG79" s="131"/>
      <c r="BH79" s="131"/>
      <c r="BI79" s="131"/>
      <c r="BJ79" s="131"/>
      <c r="BK79" s="131"/>
      <c r="BL79" s="131"/>
      <c r="BM79" s="131"/>
      <c r="BN79" s="131"/>
      <c r="BO79" s="131"/>
      <c r="BP79" s="131"/>
      <c r="BQ79" s="131"/>
      <c r="BR79" s="131"/>
      <c r="BS79" s="131"/>
      <c r="BT79" s="131"/>
      <c r="BU79" s="132" t="s">
        <v>187</v>
      </c>
      <c r="BV79" s="110"/>
    </row>
    <row r="80" spans="1:76" hidden="1" x14ac:dyDescent="0.2">
      <c r="A80" s="133" t="s">
        <v>157</v>
      </c>
      <c r="B80" s="103" t="s">
        <v>188</v>
      </c>
      <c r="C80" s="106"/>
      <c r="D80" s="107" t="s">
        <v>16</v>
      </c>
      <c r="E80" s="95"/>
      <c r="F80" s="95"/>
      <c r="G80" s="95"/>
      <c r="H80" s="95"/>
      <c r="I80" s="134">
        <v>1.6</v>
      </c>
      <c r="J80" s="134">
        <v>3.5</v>
      </c>
      <c r="K80" s="134">
        <v>12</v>
      </c>
      <c r="L80" s="134">
        <v>26.5</v>
      </c>
      <c r="M80" s="134">
        <v>26.5</v>
      </c>
      <c r="N80" s="134">
        <v>26.5</v>
      </c>
      <c r="O80" s="134">
        <v>26.5</v>
      </c>
      <c r="P80" s="134">
        <v>26.5</v>
      </c>
      <c r="Q80" s="134">
        <v>26.5</v>
      </c>
      <c r="R80" s="134">
        <v>26.5</v>
      </c>
      <c r="S80" s="134">
        <v>26.5</v>
      </c>
      <c r="T80" s="134">
        <v>26.5</v>
      </c>
      <c r="U80" s="134">
        <v>26.5</v>
      </c>
      <c r="V80" s="134">
        <v>26.5</v>
      </c>
      <c r="W80" s="134">
        <v>26.5</v>
      </c>
      <c r="X80" s="134">
        <v>26.5</v>
      </c>
      <c r="Y80" s="134">
        <v>26.5</v>
      </c>
      <c r="Z80" s="134">
        <v>26.5</v>
      </c>
      <c r="AA80" s="134">
        <v>26.5</v>
      </c>
      <c r="AB80" s="134">
        <v>26.5</v>
      </c>
      <c r="AC80" s="134">
        <v>26.5</v>
      </c>
      <c r="AD80" s="134">
        <v>26.5</v>
      </c>
      <c r="AE80" s="134">
        <v>26.5</v>
      </c>
      <c r="AF80" s="134">
        <v>26.5</v>
      </c>
      <c r="AG80" s="134">
        <v>26.5</v>
      </c>
      <c r="AH80" s="134">
        <v>26.5</v>
      </c>
      <c r="AI80" s="134">
        <v>26.5</v>
      </c>
      <c r="AJ80" s="134">
        <v>26.5</v>
      </c>
      <c r="AK80" s="134">
        <v>26.5</v>
      </c>
      <c r="AL80" s="134">
        <v>12</v>
      </c>
      <c r="AM80" s="134">
        <v>17.5</v>
      </c>
      <c r="AN80" s="135">
        <v>26</v>
      </c>
      <c r="AO80" s="135">
        <v>2.5</v>
      </c>
      <c r="AP80" s="135">
        <v>0</v>
      </c>
      <c r="AQ80" s="135">
        <v>0</v>
      </c>
      <c r="AR80" s="135">
        <v>23.5</v>
      </c>
      <c r="AS80" s="135">
        <v>2.5</v>
      </c>
      <c r="AT80" s="135">
        <v>2.5</v>
      </c>
      <c r="AU80" s="135">
        <v>2.5</v>
      </c>
      <c r="AV80" s="135">
        <v>2.5</v>
      </c>
      <c r="AW80" s="135">
        <v>2.5</v>
      </c>
      <c r="AX80" s="135">
        <v>2.5</v>
      </c>
      <c r="AY80" s="135">
        <v>2.5</v>
      </c>
      <c r="AZ80" s="135">
        <v>2.5</v>
      </c>
      <c r="BA80" s="135">
        <v>2.5</v>
      </c>
      <c r="BB80" s="135">
        <v>2.5</v>
      </c>
      <c r="BC80" s="135">
        <v>2.5</v>
      </c>
      <c r="BD80" s="135">
        <v>2.5</v>
      </c>
      <c r="BE80" s="135">
        <v>2.5</v>
      </c>
      <c r="BF80" s="135">
        <v>2.5</v>
      </c>
      <c r="BG80" s="135">
        <v>2.5</v>
      </c>
      <c r="BH80" s="135">
        <v>2.5</v>
      </c>
      <c r="BI80" s="135">
        <v>2.5</v>
      </c>
      <c r="BJ80" s="135">
        <v>2.5</v>
      </c>
      <c r="BK80" s="135">
        <v>2.5</v>
      </c>
      <c r="BL80" s="135">
        <v>2.5</v>
      </c>
      <c r="BM80" s="135">
        <v>2.5</v>
      </c>
      <c r="BN80" s="135">
        <v>2.5</v>
      </c>
      <c r="BO80" s="135">
        <v>2.5</v>
      </c>
      <c r="BP80" s="135">
        <v>2.5</v>
      </c>
      <c r="BQ80" s="135">
        <v>2.5</v>
      </c>
      <c r="BR80" s="135">
        <v>2.5</v>
      </c>
      <c r="BS80" s="135"/>
      <c r="BT80" s="135"/>
      <c r="BU80" s="108">
        <f>SUM(I80:BS80)</f>
        <v>852.6</v>
      </c>
      <c r="BV80" s="110"/>
    </row>
    <row r="81" spans="1:74" hidden="1" x14ac:dyDescent="0.2">
      <c r="A81" s="133" t="s">
        <v>160</v>
      </c>
      <c r="B81" s="103" t="s">
        <v>189</v>
      </c>
      <c r="C81" s="106"/>
      <c r="D81" s="107" t="s">
        <v>16</v>
      </c>
      <c r="E81" s="95"/>
      <c r="F81" s="95"/>
      <c r="G81" s="95"/>
      <c r="H81" s="95"/>
      <c r="I81" s="95">
        <v>0</v>
      </c>
      <c r="J81" s="95">
        <v>0</v>
      </c>
      <c r="K81" s="95">
        <v>0</v>
      </c>
      <c r="L81" s="95">
        <v>0</v>
      </c>
      <c r="M81" s="95">
        <v>0</v>
      </c>
      <c r="N81" s="95">
        <v>0</v>
      </c>
      <c r="O81" s="95">
        <v>0</v>
      </c>
      <c r="P81" s="95">
        <v>0</v>
      </c>
      <c r="Q81" s="95">
        <v>0</v>
      </c>
      <c r="R81" s="95">
        <v>0</v>
      </c>
      <c r="S81" s="95">
        <v>0</v>
      </c>
      <c r="T81" s="95">
        <v>0</v>
      </c>
      <c r="U81" s="95">
        <v>0</v>
      </c>
      <c r="V81" s="95">
        <v>0</v>
      </c>
      <c r="W81" s="95">
        <v>0</v>
      </c>
      <c r="X81" s="95">
        <v>0</v>
      </c>
      <c r="Y81" s="95">
        <v>0</v>
      </c>
      <c r="Z81" s="95">
        <v>0</v>
      </c>
      <c r="AA81" s="95">
        <v>0</v>
      </c>
      <c r="AB81" s="95">
        <v>0</v>
      </c>
      <c r="AC81" s="95">
        <v>0</v>
      </c>
      <c r="AD81" s="95">
        <v>0</v>
      </c>
      <c r="AE81" s="95">
        <v>0</v>
      </c>
      <c r="AF81" s="95">
        <v>0</v>
      </c>
      <c r="AG81" s="95">
        <v>0</v>
      </c>
      <c r="AH81" s="95">
        <v>0</v>
      </c>
      <c r="AI81" s="95">
        <v>0</v>
      </c>
      <c r="AJ81" s="95">
        <v>0</v>
      </c>
      <c r="AK81" s="95">
        <v>0</v>
      </c>
      <c r="AL81" s="95">
        <v>0</v>
      </c>
      <c r="AM81" s="95">
        <v>0</v>
      </c>
      <c r="AN81" s="96">
        <v>0</v>
      </c>
      <c r="AO81" s="96">
        <v>0</v>
      </c>
      <c r="AP81" s="96">
        <v>15</v>
      </c>
      <c r="AQ81" s="96">
        <v>0</v>
      </c>
      <c r="AR81" s="96">
        <v>0</v>
      </c>
      <c r="AS81" s="96">
        <v>12.5</v>
      </c>
      <c r="AT81" s="96">
        <v>12.5</v>
      </c>
      <c r="AU81" s="96">
        <v>12.5</v>
      </c>
      <c r="AV81" s="96">
        <v>12.5</v>
      </c>
      <c r="AW81" s="96">
        <v>12.5</v>
      </c>
      <c r="AX81" s="96">
        <v>12.5</v>
      </c>
      <c r="AY81" s="96">
        <v>12.5</v>
      </c>
      <c r="AZ81" s="96">
        <v>12.5</v>
      </c>
      <c r="BA81" s="96">
        <v>12.5</v>
      </c>
      <c r="BB81" s="96">
        <v>12.5</v>
      </c>
      <c r="BC81" s="96">
        <v>12.5</v>
      </c>
      <c r="BD81" s="96">
        <v>12.5</v>
      </c>
      <c r="BE81" s="96">
        <v>12.5</v>
      </c>
      <c r="BF81" s="96">
        <v>12.5</v>
      </c>
      <c r="BG81" s="96">
        <v>12.5</v>
      </c>
      <c r="BH81" s="96">
        <v>12.5</v>
      </c>
      <c r="BI81" s="96">
        <v>12.5</v>
      </c>
      <c r="BJ81" s="96">
        <v>12.5</v>
      </c>
      <c r="BK81" s="96">
        <v>12.5</v>
      </c>
      <c r="BL81" s="96">
        <v>12.5</v>
      </c>
      <c r="BM81" s="96">
        <v>12.5</v>
      </c>
      <c r="BN81" s="96">
        <v>12.5</v>
      </c>
      <c r="BO81" s="96">
        <v>12.5</v>
      </c>
      <c r="BP81" s="96">
        <v>12.5</v>
      </c>
      <c r="BQ81" s="96">
        <v>12.5</v>
      </c>
      <c r="BR81" s="96">
        <v>12.5</v>
      </c>
      <c r="BS81" s="96"/>
      <c r="BT81" s="96"/>
      <c r="BU81" s="108">
        <f>SUM(I81:BS81)</f>
        <v>340</v>
      </c>
      <c r="BV81" s="110"/>
    </row>
    <row r="82" spans="1:74" hidden="1" x14ac:dyDescent="0.2">
      <c r="A82" s="133" t="s">
        <v>163</v>
      </c>
      <c r="B82" s="103" t="s">
        <v>190</v>
      </c>
      <c r="C82" s="106"/>
      <c r="D82" s="107" t="s">
        <v>16</v>
      </c>
      <c r="E82" s="95"/>
      <c r="F82" s="95"/>
      <c r="G82" s="95"/>
      <c r="H82" s="95"/>
      <c r="I82" s="95">
        <v>0</v>
      </c>
      <c r="J82" s="95">
        <v>0</v>
      </c>
      <c r="K82" s="95">
        <v>0</v>
      </c>
      <c r="L82" s="95">
        <v>0</v>
      </c>
      <c r="M82" s="95">
        <v>0</v>
      </c>
      <c r="N82" s="95">
        <v>0</v>
      </c>
      <c r="O82" s="95">
        <v>0</v>
      </c>
      <c r="P82" s="95">
        <v>0</v>
      </c>
      <c r="Q82" s="95">
        <v>0</v>
      </c>
      <c r="R82" s="95">
        <v>0</v>
      </c>
      <c r="S82" s="95">
        <v>0</v>
      </c>
      <c r="T82" s="95">
        <v>0</v>
      </c>
      <c r="U82" s="95">
        <v>0</v>
      </c>
      <c r="V82" s="95">
        <v>0</v>
      </c>
      <c r="W82" s="95">
        <v>0</v>
      </c>
      <c r="X82" s="95">
        <v>0</v>
      </c>
      <c r="Y82" s="95">
        <v>0</v>
      </c>
      <c r="Z82" s="95">
        <v>0</v>
      </c>
      <c r="AA82" s="95">
        <v>0</v>
      </c>
      <c r="AB82" s="95">
        <v>0</v>
      </c>
      <c r="AC82" s="95">
        <v>0</v>
      </c>
      <c r="AD82" s="95">
        <v>0</v>
      </c>
      <c r="AE82" s="95">
        <v>0</v>
      </c>
      <c r="AF82" s="95">
        <v>0</v>
      </c>
      <c r="AG82" s="95">
        <v>0</v>
      </c>
      <c r="AH82" s="95">
        <v>0</v>
      </c>
      <c r="AI82" s="95">
        <v>0</v>
      </c>
      <c r="AJ82" s="95">
        <v>0</v>
      </c>
      <c r="AK82" s="95">
        <v>0</v>
      </c>
      <c r="AL82" s="95">
        <v>0</v>
      </c>
      <c r="AM82" s="95">
        <v>0</v>
      </c>
      <c r="AN82" s="96">
        <v>0</v>
      </c>
      <c r="AO82" s="96">
        <v>32.5</v>
      </c>
      <c r="AP82" s="96">
        <v>5.5</v>
      </c>
      <c r="AQ82" s="96">
        <v>32.5</v>
      </c>
      <c r="AR82" s="96">
        <v>23.5</v>
      </c>
      <c r="AS82" s="96">
        <v>38</v>
      </c>
      <c r="AT82" s="96">
        <v>38</v>
      </c>
      <c r="AU82" s="96">
        <v>38</v>
      </c>
      <c r="AV82" s="96">
        <v>38</v>
      </c>
      <c r="AW82" s="96">
        <v>38</v>
      </c>
      <c r="AX82" s="96">
        <v>38</v>
      </c>
      <c r="AY82" s="96">
        <v>38</v>
      </c>
      <c r="AZ82" s="96">
        <v>38</v>
      </c>
      <c r="BA82" s="96">
        <v>38</v>
      </c>
      <c r="BB82" s="96">
        <v>38</v>
      </c>
      <c r="BC82" s="96">
        <v>38</v>
      </c>
      <c r="BD82" s="96">
        <v>38</v>
      </c>
      <c r="BE82" s="96">
        <v>38</v>
      </c>
      <c r="BF82" s="96">
        <v>38</v>
      </c>
      <c r="BG82" s="96">
        <v>38</v>
      </c>
      <c r="BH82" s="96">
        <v>38</v>
      </c>
      <c r="BI82" s="96">
        <v>38</v>
      </c>
      <c r="BJ82" s="96">
        <v>38</v>
      </c>
      <c r="BK82" s="96">
        <v>38</v>
      </c>
      <c r="BL82" s="96">
        <v>38</v>
      </c>
      <c r="BM82" s="96">
        <v>38</v>
      </c>
      <c r="BN82" s="96">
        <v>38</v>
      </c>
      <c r="BO82" s="96">
        <v>38</v>
      </c>
      <c r="BP82" s="96">
        <v>38</v>
      </c>
      <c r="BQ82" s="96">
        <v>38</v>
      </c>
      <c r="BR82" s="96">
        <v>38</v>
      </c>
      <c r="BS82" s="96"/>
      <c r="BT82" s="96"/>
      <c r="BU82" s="108">
        <f>SUM(I82:BS82)</f>
        <v>1082</v>
      </c>
      <c r="BV82" s="110"/>
    </row>
    <row r="83" spans="1:74" hidden="1" x14ac:dyDescent="0.2">
      <c r="A83" s="133" t="s">
        <v>166</v>
      </c>
      <c r="B83" s="103" t="s">
        <v>191</v>
      </c>
      <c r="C83" s="106"/>
      <c r="D83" s="107" t="s">
        <v>16</v>
      </c>
      <c r="E83" s="95"/>
      <c r="F83" s="95"/>
      <c r="G83" s="95"/>
      <c r="H83" s="95"/>
      <c r="I83" s="95">
        <v>0</v>
      </c>
      <c r="J83" s="95">
        <v>0</v>
      </c>
      <c r="K83" s="95">
        <v>0</v>
      </c>
      <c r="L83" s="95">
        <v>0</v>
      </c>
      <c r="M83" s="95">
        <v>0</v>
      </c>
      <c r="N83" s="95">
        <v>0</v>
      </c>
      <c r="O83" s="95">
        <v>0</v>
      </c>
      <c r="P83" s="95">
        <v>0</v>
      </c>
      <c r="Q83" s="95">
        <v>0</v>
      </c>
      <c r="R83" s="95">
        <v>0</v>
      </c>
      <c r="S83" s="95">
        <v>0</v>
      </c>
      <c r="T83" s="95">
        <v>0</v>
      </c>
      <c r="U83" s="95">
        <v>0</v>
      </c>
      <c r="V83" s="95">
        <v>0</v>
      </c>
      <c r="W83" s="95">
        <v>0</v>
      </c>
      <c r="X83" s="95">
        <v>0</v>
      </c>
      <c r="Y83" s="95">
        <v>0</v>
      </c>
      <c r="Z83" s="95">
        <v>0</v>
      </c>
      <c r="AA83" s="95">
        <v>0</v>
      </c>
      <c r="AB83" s="95">
        <v>0</v>
      </c>
      <c r="AC83" s="95">
        <v>0</v>
      </c>
      <c r="AD83" s="95">
        <v>0</v>
      </c>
      <c r="AE83" s="95">
        <v>0</v>
      </c>
      <c r="AF83" s="95">
        <v>0</v>
      </c>
      <c r="AG83" s="95">
        <v>0</v>
      </c>
      <c r="AH83" s="95">
        <v>0</v>
      </c>
      <c r="AI83" s="95">
        <v>0</v>
      </c>
      <c r="AJ83" s="95">
        <v>0</v>
      </c>
      <c r="AK83" s="95">
        <v>0</v>
      </c>
      <c r="AL83" s="95">
        <v>0</v>
      </c>
      <c r="AM83" s="95">
        <v>0</v>
      </c>
      <c r="AN83" s="96">
        <v>0</v>
      </c>
      <c r="AO83" s="96">
        <v>0</v>
      </c>
      <c r="AP83" s="96">
        <v>0</v>
      </c>
      <c r="AQ83" s="96">
        <v>0</v>
      </c>
      <c r="AR83" s="96">
        <v>0</v>
      </c>
      <c r="AS83" s="96">
        <v>0</v>
      </c>
      <c r="AT83" s="96">
        <v>0</v>
      </c>
      <c r="AU83" s="96">
        <v>0</v>
      </c>
      <c r="AV83" s="96">
        <v>0</v>
      </c>
      <c r="AW83" s="96">
        <v>0</v>
      </c>
      <c r="AX83" s="96">
        <v>0</v>
      </c>
      <c r="AY83" s="96">
        <v>0</v>
      </c>
      <c r="AZ83" s="96">
        <v>0</v>
      </c>
      <c r="BA83" s="96">
        <v>0</v>
      </c>
      <c r="BB83" s="96">
        <v>0</v>
      </c>
      <c r="BC83" s="96">
        <v>0</v>
      </c>
      <c r="BD83" s="96">
        <v>0</v>
      </c>
      <c r="BE83" s="96">
        <v>0</v>
      </c>
      <c r="BF83" s="96">
        <v>0</v>
      </c>
      <c r="BG83" s="96">
        <v>0</v>
      </c>
      <c r="BH83" s="96">
        <v>0</v>
      </c>
      <c r="BI83" s="96">
        <v>0</v>
      </c>
      <c r="BJ83" s="96">
        <v>0</v>
      </c>
      <c r="BK83" s="96">
        <v>0</v>
      </c>
      <c r="BL83" s="96">
        <v>0</v>
      </c>
      <c r="BM83" s="96">
        <v>0</v>
      </c>
      <c r="BN83" s="96">
        <v>0</v>
      </c>
      <c r="BO83" s="96">
        <v>0</v>
      </c>
      <c r="BP83" s="96">
        <v>0</v>
      </c>
      <c r="BQ83" s="96">
        <v>0</v>
      </c>
      <c r="BR83" s="96">
        <v>0</v>
      </c>
      <c r="BS83" s="96"/>
      <c r="BT83" s="96"/>
      <c r="BU83" s="108">
        <f>SUM(I83:BS83)</f>
        <v>0</v>
      </c>
      <c r="BV83" s="110"/>
    </row>
    <row r="84" spans="1:74" hidden="1" x14ac:dyDescent="0.2">
      <c r="A84" s="136"/>
      <c r="B84" s="103" t="s">
        <v>192</v>
      </c>
      <c r="C84" s="106"/>
      <c r="D84" s="107" t="s">
        <v>16</v>
      </c>
      <c r="E84" s="137">
        <f t="shared" ref="E84:BU84" si="24">SUM(E80:E83)</f>
        <v>0</v>
      </c>
      <c r="F84" s="137">
        <f t="shared" si="24"/>
        <v>0</v>
      </c>
      <c r="G84" s="137">
        <f t="shared" si="24"/>
        <v>0</v>
      </c>
      <c r="H84" s="137">
        <f t="shared" si="24"/>
        <v>0</v>
      </c>
      <c r="I84" s="137">
        <f t="shared" si="24"/>
        <v>1.6</v>
      </c>
      <c r="J84" s="137">
        <f t="shared" si="24"/>
        <v>3.5</v>
      </c>
      <c r="K84" s="137">
        <f t="shared" si="24"/>
        <v>12</v>
      </c>
      <c r="L84" s="137">
        <f t="shared" ref="L84:AK84" si="25">SUM(L80:L83)</f>
        <v>26.5</v>
      </c>
      <c r="M84" s="137">
        <f t="shared" si="25"/>
        <v>26.5</v>
      </c>
      <c r="N84" s="137">
        <f t="shared" si="25"/>
        <v>26.5</v>
      </c>
      <c r="O84" s="137">
        <f t="shared" si="25"/>
        <v>26.5</v>
      </c>
      <c r="P84" s="137">
        <f t="shared" si="25"/>
        <v>26.5</v>
      </c>
      <c r="Q84" s="137">
        <f t="shared" si="25"/>
        <v>26.5</v>
      </c>
      <c r="R84" s="137">
        <f t="shared" si="25"/>
        <v>26.5</v>
      </c>
      <c r="S84" s="137">
        <f t="shared" si="25"/>
        <v>26.5</v>
      </c>
      <c r="T84" s="137">
        <f t="shared" si="25"/>
        <v>26.5</v>
      </c>
      <c r="U84" s="137">
        <f t="shared" si="25"/>
        <v>26.5</v>
      </c>
      <c r="V84" s="137">
        <f t="shared" si="25"/>
        <v>26.5</v>
      </c>
      <c r="W84" s="137">
        <f t="shared" si="25"/>
        <v>26.5</v>
      </c>
      <c r="X84" s="137">
        <f t="shared" si="25"/>
        <v>26.5</v>
      </c>
      <c r="Y84" s="137">
        <f t="shared" si="25"/>
        <v>26.5</v>
      </c>
      <c r="Z84" s="137">
        <f t="shared" si="25"/>
        <v>26.5</v>
      </c>
      <c r="AA84" s="137">
        <f t="shared" si="25"/>
        <v>26.5</v>
      </c>
      <c r="AB84" s="137">
        <f t="shared" si="25"/>
        <v>26.5</v>
      </c>
      <c r="AC84" s="137">
        <f t="shared" si="25"/>
        <v>26.5</v>
      </c>
      <c r="AD84" s="137">
        <f t="shared" si="25"/>
        <v>26.5</v>
      </c>
      <c r="AE84" s="137">
        <f t="shared" si="25"/>
        <v>26.5</v>
      </c>
      <c r="AF84" s="137">
        <f t="shared" si="25"/>
        <v>26.5</v>
      </c>
      <c r="AG84" s="137">
        <f t="shared" si="25"/>
        <v>26.5</v>
      </c>
      <c r="AH84" s="137">
        <f t="shared" si="25"/>
        <v>26.5</v>
      </c>
      <c r="AI84" s="137">
        <f t="shared" si="25"/>
        <v>26.5</v>
      </c>
      <c r="AJ84" s="137">
        <f t="shared" ref="AJ84" si="26">SUM(AJ80:AJ83)</f>
        <v>26.5</v>
      </c>
      <c r="AK84" s="137">
        <f t="shared" si="25"/>
        <v>26.5</v>
      </c>
      <c r="AL84" s="137">
        <f t="shared" si="24"/>
        <v>12</v>
      </c>
      <c r="AM84" s="137">
        <f t="shared" si="24"/>
        <v>17.5</v>
      </c>
      <c r="AN84" s="137">
        <f t="shared" si="24"/>
        <v>26</v>
      </c>
      <c r="AO84" s="137">
        <f t="shared" si="24"/>
        <v>35</v>
      </c>
      <c r="AP84" s="137">
        <f t="shared" si="24"/>
        <v>20.5</v>
      </c>
      <c r="AQ84" s="137">
        <f t="shared" si="24"/>
        <v>32.5</v>
      </c>
      <c r="AR84" s="137">
        <f t="shared" si="24"/>
        <v>47</v>
      </c>
      <c r="AS84" s="137">
        <f t="shared" si="24"/>
        <v>53</v>
      </c>
      <c r="AT84" s="137">
        <f t="shared" si="24"/>
        <v>53</v>
      </c>
      <c r="AU84" s="137">
        <f t="shared" si="24"/>
        <v>53</v>
      </c>
      <c r="AV84" s="137">
        <f t="shared" si="24"/>
        <v>53</v>
      </c>
      <c r="AW84" s="137">
        <f t="shared" si="24"/>
        <v>53</v>
      </c>
      <c r="AX84" s="137">
        <f t="shared" si="24"/>
        <v>53</v>
      </c>
      <c r="AY84" s="137">
        <f t="shared" si="24"/>
        <v>53</v>
      </c>
      <c r="AZ84" s="137">
        <f t="shared" si="24"/>
        <v>53</v>
      </c>
      <c r="BA84" s="137">
        <f t="shared" si="24"/>
        <v>53</v>
      </c>
      <c r="BB84" s="137">
        <f t="shared" si="24"/>
        <v>53</v>
      </c>
      <c r="BC84" s="137">
        <f t="shared" si="24"/>
        <v>53</v>
      </c>
      <c r="BD84" s="137">
        <f t="shared" si="24"/>
        <v>53</v>
      </c>
      <c r="BE84" s="137">
        <f t="shared" si="24"/>
        <v>53</v>
      </c>
      <c r="BF84" s="137">
        <f t="shared" si="24"/>
        <v>53</v>
      </c>
      <c r="BG84" s="137">
        <f t="shared" si="24"/>
        <v>53</v>
      </c>
      <c r="BH84" s="137">
        <f t="shared" si="24"/>
        <v>53</v>
      </c>
      <c r="BI84" s="137">
        <f t="shared" si="24"/>
        <v>53</v>
      </c>
      <c r="BJ84" s="137">
        <f t="shared" si="24"/>
        <v>53</v>
      </c>
      <c r="BK84" s="137">
        <f t="shared" si="24"/>
        <v>53</v>
      </c>
      <c r="BL84" s="137">
        <f t="shared" si="24"/>
        <v>53</v>
      </c>
      <c r="BM84" s="137">
        <f t="shared" si="24"/>
        <v>53</v>
      </c>
      <c r="BN84" s="137">
        <f t="shared" si="24"/>
        <v>53</v>
      </c>
      <c r="BO84" s="137">
        <f t="shared" si="24"/>
        <v>53</v>
      </c>
      <c r="BP84" s="137">
        <f t="shared" si="24"/>
        <v>53</v>
      </c>
      <c r="BQ84" s="137">
        <f t="shared" si="24"/>
        <v>53</v>
      </c>
      <c r="BR84" s="137">
        <f t="shared" si="24"/>
        <v>53</v>
      </c>
      <c r="BS84" s="138"/>
      <c r="BT84" s="138"/>
      <c r="BU84" s="122">
        <f t="shared" si="24"/>
        <v>2274.6</v>
      </c>
      <c r="BV84" s="110"/>
    </row>
    <row r="85" spans="1:74" hidden="1" x14ac:dyDescent="0.2">
      <c r="A85" s="136"/>
      <c r="B85" s="128" t="s">
        <v>193</v>
      </c>
      <c r="C85" s="129"/>
      <c r="D85" s="125"/>
      <c r="E85" s="125"/>
      <c r="F85" s="125"/>
      <c r="G85" s="125"/>
      <c r="H85" s="125"/>
      <c r="I85" s="228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  <c r="AA85" s="229"/>
      <c r="AB85" s="229"/>
      <c r="AC85" s="229"/>
      <c r="AD85" s="229"/>
      <c r="AE85" s="229"/>
      <c r="AF85" s="229"/>
      <c r="AG85" s="229"/>
      <c r="AH85" s="229"/>
      <c r="AI85" s="229"/>
      <c r="AJ85" s="229"/>
      <c r="AK85" s="229"/>
      <c r="AL85" s="230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  <c r="BH85" s="131"/>
      <c r="BI85" s="131"/>
      <c r="BJ85" s="131"/>
      <c r="BK85" s="131"/>
      <c r="BL85" s="131"/>
      <c r="BM85" s="131"/>
      <c r="BN85" s="131"/>
      <c r="BO85" s="131"/>
      <c r="BP85" s="131"/>
      <c r="BQ85" s="131"/>
      <c r="BR85" s="131"/>
      <c r="BS85" s="131"/>
      <c r="BT85" s="131"/>
      <c r="BU85" s="139" t="s">
        <v>193</v>
      </c>
      <c r="BV85" s="110"/>
    </row>
    <row r="86" spans="1:74" hidden="1" x14ac:dyDescent="0.2">
      <c r="A86" s="133" t="s">
        <v>157</v>
      </c>
      <c r="B86" s="103" t="s">
        <v>188</v>
      </c>
      <c r="C86" s="106"/>
      <c r="D86" s="107" t="s">
        <v>16</v>
      </c>
      <c r="E86" s="95"/>
      <c r="F86" s="95"/>
      <c r="G86" s="95"/>
      <c r="H86" s="95"/>
      <c r="I86" s="95">
        <v>0</v>
      </c>
      <c r="J86" s="95">
        <v>0</v>
      </c>
      <c r="K86" s="95">
        <v>0</v>
      </c>
      <c r="L86" s="95">
        <v>0</v>
      </c>
      <c r="M86" s="95">
        <v>0</v>
      </c>
      <c r="N86" s="95">
        <v>0</v>
      </c>
      <c r="O86" s="95">
        <v>0</v>
      </c>
      <c r="P86" s="95">
        <v>0</v>
      </c>
      <c r="Q86" s="95">
        <v>0</v>
      </c>
      <c r="R86" s="95">
        <v>0</v>
      </c>
      <c r="S86" s="95">
        <v>0</v>
      </c>
      <c r="T86" s="95">
        <v>0</v>
      </c>
      <c r="U86" s="95">
        <v>0</v>
      </c>
      <c r="V86" s="95">
        <v>0</v>
      </c>
      <c r="W86" s="95">
        <v>0</v>
      </c>
      <c r="X86" s="95">
        <v>0</v>
      </c>
      <c r="Y86" s="95">
        <v>0</v>
      </c>
      <c r="Z86" s="95">
        <v>0</v>
      </c>
      <c r="AA86" s="95">
        <v>0</v>
      </c>
      <c r="AB86" s="95">
        <v>0</v>
      </c>
      <c r="AC86" s="95">
        <v>0</v>
      </c>
      <c r="AD86" s="95">
        <v>0</v>
      </c>
      <c r="AE86" s="95">
        <v>0</v>
      </c>
      <c r="AF86" s="95">
        <v>0</v>
      </c>
      <c r="AG86" s="95">
        <v>0</v>
      </c>
      <c r="AH86" s="95">
        <v>0</v>
      </c>
      <c r="AI86" s="95">
        <v>0</v>
      </c>
      <c r="AJ86" s="95">
        <v>0</v>
      </c>
      <c r="AK86" s="95">
        <v>0</v>
      </c>
      <c r="AL86" s="95">
        <v>0</v>
      </c>
      <c r="AM86" s="95">
        <v>0</v>
      </c>
      <c r="AN86" s="96">
        <v>0</v>
      </c>
      <c r="AO86" s="96">
        <v>0</v>
      </c>
      <c r="AP86" s="96">
        <v>0</v>
      </c>
      <c r="AQ86" s="96">
        <v>0</v>
      </c>
      <c r="AR86" s="96">
        <v>0</v>
      </c>
      <c r="AS86" s="96">
        <v>0</v>
      </c>
      <c r="AT86" s="96">
        <v>0</v>
      </c>
      <c r="AU86" s="96">
        <v>0</v>
      </c>
      <c r="AV86" s="96">
        <v>0</v>
      </c>
      <c r="AW86" s="96">
        <v>0</v>
      </c>
      <c r="AX86" s="96">
        <v>0</v>
      </c>
      <c r="AY86" s="96">
        <v>0</v>
      </c>
      <c r="AZ86" s="96">
        <v>0</v>
      </c>
      <c r="BA86" s="96">
        <v>0</v>
      </c>
      <c r="BB86" s="96">
        <v>0</v>
      </c>
      <c r="BC86" s="96">
        <v>0</v>
      </c>
      <c r="BD86" s="96">
        <v>0</v>
      </c>
      <c r="BE86" s="96">
        <v>0</v>
      </c>
      <c r="BF86" s="96">
        <v>0</v>
      </c>
      <c r="BG86" s="96">
        <v>0</v>
      </c>
      <c r="BH86" s="96">
        <v>0</v>
      </c>
      <c r="BI86" s="96">
        <v>0</v>
      </c>
      <c r="BJ86" s="96">
        <v>0</v>
      </c>
      <c r="BK86" s="96">
        <v>0</v>
      </c>
      <c r="BL86" s="96">
        <v>0</v>
      </c>
      <c r="BM86" s="96">
        <v>0</v>
      </c>
      <c r="BN86" s="96">
        <v>0</v>
      </c>
      <c r="BO86" s="96">
        <v>0</v>
      </c>
      <c r="BP86" s="96">
        <v>0</v>
      </c>
      <c r="BQ86" s="96">
        <v>0</v>
      </c>
      <c r="BR86" s="96">
        <v>0</v>
      </c>
      <c r="BS86" s="96"/>
      <c r="BT86" s="96"/>
      <c r="BU86" s="108">
        <f>SUM(E86:AL86)</f>
        <v>0</v>
      </c>
      <c r="BV86" s="110"/>
    </row>
    <row r="87" spans="1:74" hidden="1" x14ac:dyDescent="0.2">
      <c r="A87" s="133" t="s">
        <v>160</v>
      </c>
      <c r="B87" s="103" t="s">
        <v>189</v>
      </c>
      <c r="C87" s="106"/>
      <c r="D87" s="107" t="s">
        <v>16</v>
      </c>
      <c r="E87" s="95"/>
      <c r="F87" s="95"/>
      <c r="G87" s="95"/>
      <c r="H87" s="95"/>
      <c r="I87" s="95">
        <v>0</v>
      </c>
      <c r="J87" s="95">
        <v>0</v>
      </c>
      <c r="K87" s="95">
        <v>0</v>
      </c>
      <c r="L87" s="95">
        <v>0</v>
      </c>
      <c r="M87" s="95">
        <v>0</v>
      </c>
      <c r="N87" s="95">
        <v>0</v>
      </c>
      <c r="O87" s="95">
        <v>0</v>
      </c>
      <c r="P87" s="95">
        <v>0</v>
      </c>
      <c r="Q87" s="95">
        <v>0</v>
      </c>
      <c r="R87" s="95">
        <v>0</v>
      </c>
      <c r="S87" s="95">
        <v>0</v>
      </c>
      <c r="T87" s="95">
        <v>0</v>
      </c>
      <c r="U87" s="95">
        <v>0</v>
      </c>
      <c r="V87" s="95">
        <v>0</v>
      </c>
      <c r="W87" s="95">
        <v>0</v>
      </c>
      <c r="X87" s="95">
        <v>0</v>
      </c>
      <c r="Y87" s="95">
        <v>0</v>
      </c>
      <c r="Z87" s="95">
        <v>0</v>
      </c>
      <c r="AA87" s="95">
        <v>0</v>
      </c>
      <c r="AB87" s="95">
        <v>0</v>
      </c>
      <c r="AC87" s="95">
        <v>0</v>
      </c>
      <c r="AD87" s="95">
        <v>0</v>
      </c>
      <c r="AE87" s="95">
        <v>0</v>
      </c>
      <c r="AF87" s="95">
        <v>0</v>
      </c>
      <c r="AG87" s="95">
        <v>0</v>
      </c>
      <c r="AH87" s="95">
        <v>0</v>
      </c>
      <c r="AI87" s="95">
        <v>0</v>
      </c>
      <c r="AJ87" s="95">
        <v>0</v>
      </c>
      <c r="AK87" s="95">
        <v>0</v>
      </c>
      <c r="AL87" s="95">
        <v>0</v>
      </c>
      <c r="AM87" s="95">
        <v>0</v>
      </c>
      <c r="AN87" s="96">
        <v>0</v>
      </c>
      <c r="AO87" s="96">
        <v>0</v>
      </c>
      <c r="AP87" s="96">
        <v>0</v>
      </c>
      <c r="AQ87" s="96">
        <v>0</v>
      </c>
      <c r="AR87" s="96">
        <v>0</v>
      </c>
      <c r="AS87" s="96">
        <v>0</v>
      </c>
      <c r="AT87" s="96">
        <v>0</v>
      </c>
      <c r="AU87" s="96">
        <v>0</v>
      </c>
      <c r="AV87" s="96">
        <v>0</v>
      </c>
      <c r="AW87" s="96">
        <v>0</v>
      </c>
      <c r="AX87" s="96">
        <v>0</v>
      </c>
      <c r="AY87" s="96">
        <v>0</v>
      </c>
      <c r="AZ87" s="96">
        <v>0</v>
      </c>
      <c r="BA87" s="96">
        <v>0</v>
      </c>
      <c r="BB87" s="96">
        <v>0</v>
      </c>
      <c r="BC87" s="96">
        <v>0</v>
      </c>
      <c r="BD87" s="96">
        <v>0</v>
      </c>
      <c r="BE87" s="96">
        <v>0</v>
      </c>
      <c r="BF87" s="96">
        <v>0</v>
      </c>
      <c r="BG87" s="96">
        <v>0</v>
      </c>
      <c r="BH87" s="96">
        <v>0</v>
      </c>
      <c r="BI87" s="96">
        <v>0</v>
      </c>
      <c r="BJ87" s="96">
        <v>0</v>
      </c>
      <c r="BK87" s="96">
        <v>0</v>
      </c>
      <c r="BL87" s="96">
        <v>0</v>
      </c>
      <c r="BM87" s="96">
        <v>0</v>
      </c>
      <c r="BN87" s="96">
        <v>0</v>
      </c>
      <c r="BO87" s="96">
        <v>0</v>
      </c>
      <c r="BP87" s="96">
        <v>0</v>
      </c>
      <c r="BQ87" s="96">
        <v>0</v>
      </c>
      <c r="BR87" s="96">
        <v>0</v>
      </c>
      <c r="BS87" s="96"/>
      <c r="BT87" s="96"/>
      <c r="BU87" s="108">
        <f>SUM(E87:AL87)</f>
        <v>0</v>
      </c>
      <c r="BV87" s="110"/>
    </row>
    <row r="88" spans="1:74" hidden="1" x14ac:dyDescent="0.2">
      <c r="A88" s="133" t="s">
        <v>163</v>
      </c>
      <c r="B88" s="103" t="s">
        <v>190</v>
      </c>
      <c r="C88" s="106"/>
      <c r="D88" s="107" t="s">
        <v>16</v>
      </c>
      <c r="E88" s="95"/>
      <c r="F88" s="95"/>
      <c r="G88" s="95"/>
      <c r="H88" s="95"/>
      <c r="I88" s="95">
        <v>0</v>
      </c>
      <c r="J88" s="95">
        <v>0</v>
      </c>
      <c r="K88" s="95">
        <v>0</v>
      </c>
      <c r="L88" s="95">
        <v>0</v>
      </c>
      <c r="M88" s="95">
        <v>0</v>
      </c>
      <c r="N88" s="95">
        <v>0</v>
      </c>
      <c r="O88" s="95">
        <v>0</v>
      </c>
      <c r="P88" s="95">
        <v>0</v>
      </c>
      <c r="Q88" s="95">
        <v>0</v>
      </c>
      <c r="R88" s="95">
        <v>0</v>
      </c>
      <c r="S88" s="95">
        <v>0</v>
      </c>
      <c r="T88" s="95">
        <v>0</v>
      </c>
      <c r="U88" s="95">
        <v>0</v>
      </c>
      <c r="V88" s="95">
        <v>0</v>
      </c>
      <c r="W88" s="95">
        <v>0</v>
      </c>
      <c r="X88" s="95">
        <v>0</v>
      </c>
      <c r="Y88" s="95">
        <v>0</v>
      </c>
      <c r="Z88" s="95">
        <v>0</v>
      </c>
      <c r="AA88" s="95">
        <v>0</v>
      </c>
      <c r="AB88" s="95">
        <v>0</v>
      </c>
      <c r="AC88" s="95">
        <v>0</v>
      </c>
      <c r="AD88" s="95">
        <v>0</v>
      </c>
      <c r="AE88" s="95">
        <v>0</v>
      </c>
      <c r="AF88" s="95">
        <v>0</v>
      </c>
      <c r="AG88" s="95">
        <v>0</v>
      </c>
      <c r="AH88" s="95">
        <v>0</v>
      </c>
      <c r="AI88" s="95">
        <v>0</v>
      </c>
      <c r="AJ88" s="95">
        <v>0</v>
      </c>
      <c r="AK88" s="95">
        <v>0</v>
      </c>
      <c r="AL88" s="95">
        <v>0</v>
      </c>
      <c r="AM88" s="95">
        <v>0</v>
      </c>
      <c r="AN88" s="96">
        <v>0</v>
      </c>
      <c r="AO88" s="96">
        <v>0</v>
      </c>
      <c r="AP88" s="96">
        <v>0</v>
      </c>
      <c r="AQ88" s="96">
        <v>0</v>
      </c>
      <c r="AR88" s="96">
        <v>0</v>
      </c>
      <c r="AS88" s="96">
        <v>0</v>
      </c>
      <c r="AT88" s="96">
        <v>0</v>
      </c>
      <c r="AU88" s="96">
        <v>0</v>
      </c>
      <c r="AV88" s="96">
        <v>0</v>
      </c>
      <c r="AW88" s="96">
        <v>0</v>
      </c>
      <c r="AX88" s="96">
        <v>0</v>
      </c>
      <c r="AY88" s="96">
        <v>0</v>
      </c>
      <c r="AZ88" s="96">
        <v>0</v>
      </c>
      <c r="BA88" s="96">
        <v>0</v>
      </c>
      <c r="BB88" s="96">
        <v>0</v>
      </c>
      <c r="BC88" s="96">
        <v>0</v>
      </c>
      <c r="BD88" s="96">
        <v>0</v>
      </c>
      <c r="BE88" s="96">
        <v>0</v>
      </c>
      <c r="BF88" s="96">
        <v>0</v>
      </c>
      <c r="BG88" s="96">
        <v>0</v>
      </c>
      <c r="BH88" s="96">
        <v>0</v>
      </c>
      <c r="BI88" s="96">
        <v>0</v>
      </c>
      <c r="BJ88" s="96">
        <v>0</v>
      </c>
      <c r="BK88" s="96">
        <v>0</v>
      </c>
      <c r="BL88" s="96">
        <v>0</v>
      </c>
      <c r="BM88" s="96">
        <v>0</v>
      </c>
      <c r="BN88" s="96">
        <v>0</v>
      </c>
      <c r="BO88" s="96">
        <v>0</v>
      </c>
      <c r="BP88" s="96">
        <v>0</v>
      </c>
      <c r="BQ88" s="96">
        <v>0</v>
      </c>
      <c r="BR88" s="96">
        <v>0</v>
      </c>
      <c r="BS88" s="96"/>
      <c r="BT88" s="96"/>
      <c r="BU88" s="108">
        <f>SUM(E88:AL88)</f>
        <v>0</v>
      </c>
      <c r="BV88" s="110"/>
    </row>
    <row r="89" spans="1:74" hidden="1" x14ac:dyDescent="0.2">
      <c r="A89" s="133" t="s">
        <v>166</v>
      </c>
      <c r="B89" s="103" t="s">
        <v>191</v>
      </c>
      <c r="C89" s="106"/>
      <c r="D89" s="107" t="s">
        <v>16</v>
      </c>
      <c r="E89" s="95"/>
      <c r="F89" s="95"/>
      <c r="G89" s="95"/>
      <c r="H89" s="95"/>
      <c r="I89" s="95">
        <v>0</v>
      </c>
      <c r="J89" s="95">
        <v>0</v>
      </c>
      <c r="K89" s="95">
        <v>0</v>
      </c>
      <c r="L89" s="95">
        <v>0</v>
      </c>
      <c r="M89" s="95">
        <v>0</v>
      </c>
      <c r="N89" s="95">
        <v>0</v>
      </c>
      <c r="O89" s="95">
        <v>0</v>
      </c>
      <c r="P89" s="95">
        <v>0</v>
      </c>
      <c r="Q89" s="95">
        <v>0</v>
      </c>
      <c r="R89" s="95">
        <v>0</v>
      </c>
      <c r="S89" s="95">
        <v>0</v>
      </c>
      <c r="T89" s="95">
        <v>0</v>
      </c>
      <c r="U89" s="95">
        <v>0</v>
      </c>
      <c r="V89" s="95">
        <v>0</v>
      </c>
      <c r="W89" s="95">
        <v>0</v>
      </c>
      <c r="X89" s="95">
        <v>0</v>
      </c>
      <c r="Y89" s="95">
        <v>0</v>
      </c>
      <c r="Z89" s="95">
        <v>0</v>
      </c>
      <c r="AA89" s="95">
        <v>0</v>
      </c>
      <c r="AB89" s="95">
        <v>0</v>
      </c>
      <c r="AC89" s="95">
        <v>0</v>
      </c>
      <c r="AD89" s="95">
        <v>0</v>
      </c>
      <c r="AE89" s="95">
        <v>0</v>
      </c>
      <c r="AF89" s="95">
        <v>0</v>
      </c>
      <c r="AG89" s="95">
        <v>0</v>
      </c>
      <c r="AH89" s="95">
        <v>0</v>
      </c>
      <c r="AI89" s="95">
        <v>0</v>
      </c>
      <c r="AJ89" s="95">
        <v>0</v>
      </c>
      <c r="AK89" s="95">
        <v>0</v>
      </c>
      <c r="AL89" s="95">
        <v>0</v>
      </c>
      <c r="AM89" s="95">
        <v>0</v>
      </c>
      <c r="AN89" s="96">
        <v>0</v>
      </c>
      <c r="AO89" s="96">
        <v>0</v>
      </c>
      <c r="AP89" s="96">
        <v>0</v>
      </c>
      <c r="AQ89" s="96">
        <v>0</v>
      </c>
      <c r="AR89" s="96">
        <v>0</v>
      </c>
      <c r="AS89" s="96">
        <v>0</v>
      </c>
      <c r="AT89" s="96">
        <v>0</v>
      </c>
      <c r="AU89" s="96">
        <v>0</v>
      </c>
      <c r="AV89" s="96">
        <v>0</v>
      </c>
      <c r="AW89" s="96">
        <v>0</v>
      </c>
      <c r="AX89" s="96">
        <v>0</v>
      </c>
      <c r="AY89" s="96">
        <v>0</v>
      </c>
      <c r="AZ89" s="96">
        <v>0</v>
      </c>
      <c r="BA89" s="96">
        <v>0</v>
      </c>
      <c r="BB89" s="96">
        <v>0</v>
      </c>
      <c r="BC89" s="96">
        <v>0</v>
      </c>
      <c r="BD89" s="96">
        <v>0</v>
      </c>
      <c r="BE89" s="96">
        <v>0</v>
      </c>
      <c r="BF89" s="96">
        <v>0</v>
      </c>
      <c r="BG89" s="96">
        <v>0</v>
      </c>
      <c r="BH89" s="96">
        <v>0</v>
      </c>
      <c r="BI89" s="96">
        <v>0</v>
      </c>
      <c r="BJ89" s="96">
        <v>0</v>
      </c>
      <c r="BK89" s="96">
        <v>0</v>
      </c>
      <c r="BL89" s="96">
        <v>0</v>
      </c>
      <c r="BM89" s="96">
        <v>0</v>
      </c>
      <c r="BN89" s="96">
        <v>0</v>
      </c>
      <c r="BO89" s="96">
        <v>0</v>
      </c>
      <c r="BP89" s="96">
        <v>0</v>
      </c>
      <c r="BQ89" s="96">
        <v>0</v>
      </c>
      <c r="BR89" s="96">
        <v>0</v>
      </c>
      <c r="BS89" s="96"/>
      <c r="BT89" s="96"/>
      <c r="BU89" s="108">
        <f>SUM(E89:AL89)</f>
        <v>0</v>
      </c>
      <c r="BV89" s="110"/>
    </row>
    <row r="90" spans="1:74" hidden="1" x14ac:dyDescent="0.2">
      <c r="A90" s="133" t="s">
        <v>179</v>
      </c>
      <c r="B90" s="103" t="s">
        <v>194</v>
      </c>
      <c r="C90" s="106"/>
      <c r="D90" s="107" t="s">
        <v>16</v>
      </c>
      <c r="E90" s="95"/>
      <c r="F90" s="95"/>
      <c r="G90" s="95"/>
      <c r="H90" s="95"/>
      <c r="I90" s="95">
        <v>0</v>
      </c>
      <c r="J90" s="95">
        <v>0</v>
      </c>
      <c r="K90" s="95">
        <v>0</v>
      </c>
      <c r="L90" s="95">
        <v>0</v>
      </c>
      <c r="M90" s="95">
        <v>0</v>
      </c>
      <c r="N90" s="95">
        <v>0</v>
      </c>
      <c r="O90" s="95">
        <v>0</v>
      </c>
      <c r="P90" s="95">
        <v>0</v>
      </c>
      <c r="Q90" s="95">
        <v>0</v>
      </c>
      <c r="R90" s="95">
        <v>0</v>
      </c>
      <c r="S90" s="95">
        <v>0</v>
      </c>
      <c r="T90" s="95">
        <v>0</v>
      </c>
      <c r="U90" s="95">
        <v>0</v>
      </c>
      <c r="V90" s="95">
        <v>0</v>
      </c>
      <c r="W90" s="95">
        <v>0</v>
      </c>
      <c r="X90" s="95">
        <v>0</v>
      </c>
      <c r="Y90" s="95">
        <v>0</v>
      </c>
      <c r="Z90" s="95">
        <v>0</v>
      </c>
      <c r="AA90" s="95">
        <v>0</v>
      </c>
      <c r="AB90" s="95">
        <v>0</v>
      </c>
      <c r="AC90" s="95">
        <v>0</v>
      </c>
      <c r="AD90" s="95">
        <v>0</v>
      </c>
      <c r="AE90" s="95">
        <v>0</v>
      </c>
      <c r="AF90" s="95">
        <v>0</v>
      </c>
      <c r="AG90" s="95">
        <v>0</v>
      </c>
      <c r="AH90" s="95">
        <v>0</v>
      </c>
      <c r="AI90" s="95">
        <v>0</v>
      </c>
      <c r="AJ90" s="95">
        <v>0</v>
      </c>
      <c r="AK90" s="95">
        <v>0</v>
      </c>
      <c r="AL90" s="95">
        <v>0</v>
      </c>
      <c r="AM90" s="95">
        <v>0</v>
      </c>
      <c r="AN90" s="96">
        <v>0</v>
      </c>
      <c r="AO90" s="96">
        <v>0</v>
      </c>
      <c r="AP90" s="96">
        <v>0</v>
      </c>
      <c r="AQ90" s="96">
        <v>0</v>
      </c>
      <c r="AR90" s="96">
        <v>0</v>
      </c>
      <c r="AS90" s="96">
        <v>0</v>
      </c>
      <c r="AT90" s="96">
        <v>0</v>
      </c>
      <c r="AU90" s="96">
        <v>0</v>
      </c>
      <c r="AV90" s="96">
        <v>0</v>
      </c>
      <c r="AW90" s="96">
        <v>0</v>
      </c>
      <c r="AX90" s="96">
        <v>0</v>
      </c>
      <c r="AY90" s="96">
        <v>0</v>
      </c>
      <c r="AZ90" s="96">
        <v>0</v>
      </c>
      <c r="BA90" s="96">
        <v>0</v>
      </c>
      <c r="BB90" s="96">
        <v>0</v>
      </c>
      <c r="BC90" s="96">
        <v>0</v>
      </c>
      <c r="BD90" s="96">
        <v>0</v>
      </c>
      <c r="BE90" s="96">
        <v>0</v>
      </c>
      <c r="BF90" s="96">
        <v>0</v>
      </c>
      <c r="BG90" s="96">
        <v>0</v>
      </c>
      <c r="BH90" s="96">
        <v>0</v>
      </c>
      <c r="BI90" s="96">
        <v>0</v>
      </c>
      <c r="BJ90" s="96">
        <v>0</v>
      </c>
      <c r="BK90" s="96">
        <v>0</v>
      </c>
      <c r="BL90" s="96">
        <v>0</v>
      </c>
      <c r="BM90" s="96">
        <v>0</v>
      </c>
      <c r="BN90" s="96">
        <v>0</v>
      </c>
      <c r="BO90" s="96">
        <v>0</v>
      </c>
      <c r="BP90" s="96">
        <v>0</v>
      </c>
      <c r="BQ90" s="96">
        <v>0</v>
      </c>
      <c r="BR90" s="96">
        <v>0</v>
      </c>
      <c r="BS90" s="96"/>
      <c r="BT90" s="96"/>
      <c r="BU90" s="108">
        <f>SUM(E90:AL90)</f>
        <v>0</v>
      </c>
      <c r="BV90" s="110"/>
    </row>
    <row r="91" spans="1:74" hidden="1" x14ac:dyDescent="0.2">
      <c r="A91" s="136"/>
      <c r="B91" s="103" t="s">
        <v>192</v>
      </c>
      <c r="C91" s="106"/>
      <c r="D91" s="107" t="s">
        <v>16</v>
      </c>
      <c r="E91" s="137">
        <f t="shared" ref="E91:BU91" si="27">SUM(E86:E90)</f>
        <v>0</v>
      </c>
      <c r="F91" s="137">
        <f t="shared" si="27"/>
        <v>0</v>
      </c>
      <c r="G91" s="137">
        <f t="shared" si="27"/>
        <v>0</v>
      </c>
      <c r="H91" s="137">
        <f t="shared" si="27"/>
        <v>0</v>
      </c>
      <c r="I91" s="137">
        <f t="shared" si="27"/>
        <v>0</v>
      </c>
      <c r="J91" s="137">
        <f t="shared" si="27"/>
        <v>0</v>
      </c>
      <c r="K91" s="137">
        <f t="shared" si="27"/>
        <v>0</v>
      </c>
      <c r="L91" s="137">
        <f t="shared" ref="L91:AK91" si="28">SUM(L86:L90)</f>
        <v>0</v>
      </c>
      <c r="M91" s="137">
        <f t="shared" si="28"/>
        <v>0</v>
      </c>
      <c r="N91" s="137">
        <f t="shared" si="28"/>
        <v>0</v>
      </c>
      <c r="O91" s="137">
        <f t="shared" si="28"/>
        <v>0</v>
      </c>
      <c r="P91" s="137">
        <f t="shared" si="28"/>
        <v>0</v>
      </c>
      <c r="Q91" s="137">
        <f t="shared" si="28"/>
        <v>0</v>
      </c>
      <c r="R91" s="137">
        <f t="shared" si="28"/>
        <v>0</v>
      </c>
      <c r="S91" s="137">
        <f t="shared" si="28"/>
        <v>0</v>
      </c>
      <c r="T91" s="137">
        <f t="shared" si="28"/>
        <v>0</v>
      </c>
      <c r="U91" s="137">
        <f t="shared" si="28"/>
        <v>0</v>
      </c>
      <c r="V91" s="137">
        <f t="shared" si="28"/>
        <v>0</v>
      </c>
      <c r="W91" s="137">
        <f t="shared" si="28"/>
        <v>0</v>
      </c>
      <c r="X91" s="137">
        <f t="shared" si="28"/>
        <v>0</v>
      </c>
      <c r="Y91" s="137">
        <f t="shared" si="28"/>
        <v>0</v>
      </c>
      <c r="Z91" s="137">
        <f t="shared" si="28"/>
        <v>0</v>
      </c>
      <c r="AA91" s="137">
        <f t="shared" si="28"/>
        <v>0</v>
      </c>
      <c r="AB91" s="137">
        <f t="shared" si="28"/>
        <v>0</v>
      </c>
      <c r="AC91" s="137">
        <f t="shared" si="28"/>
        <v>0</v>
      </c>
      <c r="AD91" s="137">
        <f t="shared" si="28"/>
        <v>0</v>
      </c>
      <c r="AE91" s="137">
        <f t="shared" si="28"/>
        <v>0</v>
      </c>
      <c r="AF91" s="137">
        <f t="shared" si="28"/>
        <v>0</v>
      </c>
      <c r="AG91" s="137">
        <f t="shared" si="28"/>
        <v>0</v>
      </c>
      <c r="AH91" s="137">
        <f t="shared" si="28"/>
        <v>0</v>
      </c>
      <c r="AI91" s="137">
        <f t="shared" si="28"/>
        <v>0</v>
      </c>
      <c r="AJ91" s="137">
        <f t="shared" ref="AJ91" si="29">SUM(AJ86:AJ90)</f>
        <v>0</v>
      </c>
      <c r="AK91" s="137">
        <f t="shared" si="28"/>
        <v>0</v>
      </c>
      <c r="AL91" s="137">
        <f t="shared" si="27"/>
        <v>0</v>
      </c>
      <c r="AM91" s="137">
        <f t="shared" si="27"/>
        <v>0</v>
      </c>
      <c r="AN91" s="137">
        <f t="shared" si="27"/>
        <v>0</v>
      </c>
      <c r="AO91" s="138">
        <v>0</v>
      </c>
      <c r="AP91" s="138">
        <v>0</v>
      </c>
      <c r="AQ91" s="138">
        <v>0</v>
      </c>
      <c r="AR91" s="138">
        <v>0</v>
      </c>
      <c r="AS91" s="138">
        <v>0</v>
      </c>
      <c r="AT91" s="138">
        <v>0</v>
      </c>
      <c r="AU91" s="138">
        <v>0</v>
      </c>
      <c r="AV91" s="138">
        <v>0</v>
      </c>
      <c r="AW91" s="138">
        <v>0</v>
      </c>
      <c r="AX91" s="138">
        <v>0</v>
      </c>
      <c r="AY91" s="138">
        <v>0</v>
      </c>
      <c r="AZ91" s="138">
        <v>0</v>
      </c>
      <c r="BA91" s="138">
        <v>0</v>
      </c>
      <c r="BB91" s="138">
        <v>0</v>
      </c>
      <c r="BC91" s="138">
        <v>0</v>
      </c>
      <c r="BD91" s="138">
        <v>0</v>
      </c>
      <c r="BE91" s="138">
        <v>0</v>
      </c>
      <c r="BF91" s="138">
        <v>0</v>
      </c>
      <c r="BG91" s="138">
        <v>0</v>
      </c>
      <c r="BH91" s="138">
        <v>0</v>
      </c>
      <c r="BI91" s="138">
        <v>0</v>
      </c>
      <c r="BJ91" s="138">
        <v>0</v>
      </c>
      <c r="BK91" s="138">
        <v>0</v>
      </c>
      <c r="BL91" s="138">
        <v>0</v>
      </c>
      <c r="BM91" s="138">
        <v>0</v>
      </c>
      <c r="BN91" s="138">
        <v>0</v>
      </c>
      <c r="BO91" s="138">
        <v>0</v>
      </c>
      <c r="BP91" s="138">
        <v>0</v>
      </c>
      <c r="BQ91" s="138">
        <v>0</v>
      </c>
      <c r="BR91" s="138">
        <v>0</v>
      </c>
      <c r="BS91" s="138"/>
      <c r="BT91" s="138"/>
      <c r="BU91" s="108">
        <f t="shared" si="27"/>
        <v>0</v>
      </c>
    </row>
    <row r="92" spans="1:74" hidden="1" x14ac:dyDescent="0.2">
      <c r="A92" s="136"/>
      <c r="B92" s="103" t="s">
        <v>195</v>
      </c>
      <c r="C92" s="106"/>
      <c r="D92" s="107" t="s">
        <v>16</v>
      </c>
      <c r="E92" s="137">
        <f t="shared" ref="E92:BU92" si="30">E84+E91</f>
        <v>0</v>
      </c>
      <c r="F92" s="137">
        <f t="shared" si="30"/>
        <v>0</v>
      </c>
      <c r="G92" s="137">
        <f t="shared" si="30"/>
        <v>0</v>
      </c>
      <c r="H92" s="137">
        <f t="shared" si="30"/>
        <v>0</v>
      </c>
      <c r="I92" s="137">
        <f t="shared" si="30"/>
        <v>1.6</v>
      </c>
      <c r="J92" s="137">
        <f t="shared" si="30"/>
        <v>3.5</v>
      </c>
      <c r="K92" s="137">
        <f t="shared" si="30"/>
        <v>12</v>
      </c>
      <c r="L92" s="137">
        <f t="shared" ref="L92:AK92" si="31">L84+L91</f>
        <v>26.5</v>
      </c>
      <c r="M92" s="137">
        <f t="shared" si="31"/>
        <v>26.5</v>
      </c>
      <c r="N92" s="137">
        <f t="shared" si="31"/>
        <v>26.5</v>
      </c>
      <c r="O92" s="137">
        <f t="shared" si="31"/>
        <v>26.5</v>
      </c>
      <c r="P92" s="137">
        <f t="shared" si="31"/>
        <v>26.5</v>
      </c>
      <c r="Q92" s="137">
        <f t="shared" si="31"/>
        <v>26.5</v>
      </c>
      <c r="R92" s="137">
        <f t="shared" si="31"/>
        <v>26.5</v>
      </c>
      <c r="S92" s="137">
        <f t="shared" si="31"/>
        <v>26.5</v>
      </c>
      <c r="T92" s="137">
        <f t="shared" si="31"/>
        <v>26.5</v>
      </c>
      <c r="U92" s="137">
        <f t="shared" si="31"/>
        <v>26.5</v>
      </c>
      <c r="V92" s="137">
        <f t="shared" si="31"/>
        <v>26.5</v>
      </c>
      <c r="W92" s="137">
        <f t="shared" si="31"/>
        <v>26.5</v>
      </c>
      <c r="X92" s="137">
        <f t="shared" si="31"/>
        <v>26.5</v>
      </c>
      <c r="Y92" s="137">
        <f t="shared" si="31"/>
        <v>26.5</v>
      </c>
      <c r="Z92" s="137">
        <f t="shared" si="31"/>
        <v>26.5</v>
      </c>
      <c r="AA92" s="137">
        <f t="shared" si="31"/>
        <v>26.5</v>
      </c>
      <c r="AB92" s="137">
        <f t="shared" si="31"/>
        <v>26.5</v>
      </c>
      <c r="AC92" s="137">
        <f t="shared" si="31"/>
        <v>26.5</v>
      </c>
      <c r="AD92" s="137">
        <f t="shared" si="31"/>
        <v>26.5</v>
      </c>
      <c r="AE92" s="137">
        <f t="shared" si="31"/>
        <v>26.5</v>
      </c>
      <c r="AF92" s="137">
        <f t="shared" si="31"/>
        <v>26.5</v>
      </c>
      <c r="AG92" s="137">
        <f t="shared" si="31"/>
        <v>26.5</v>
      </c>
      <c r="AH92" s="137">
        <f t="shared" si="31"/>
        <v>26.5</v>
      </c>
      <c r="AI92" s="137">
        <f t="shared" si="31"/>
        <v>26.5</v>
      </c>
      <c r="AJ92" s="137">
        <f t="shared" ref="AJ92" si="32">AJ84+AJ91</f>
        <v>26.5</v>
      </c>
      <c r="AK92" s="137">
        <f t="shared" si="31"/>
        <v>26.5</v>
      </c>
      <c r="AL92" s="137">
        <f t="shared" si="30"/>
        <v>12</v>
      </c>
      <c r="AM92" s="137">
        <f t="shared" si="30"/>
        <v>17.5</v>
      </c>
      <c r="AN92" s="137">
        <f t="shared" si="30"/>
        <v>26</v>
      </c>
      <c r="AO92" s="137">
        <f t="shared" si="30"/>
        <v>35</v>
      </c>
      <c r="AP92" s="137">
        <f t="shared" si="30"/>
        <v>20.5</v>
      </c>
      <c r="AQ92" s="137">
        <f t="shared" si="30"/>
        <v>32.5</v>
      </c>
      <c r="AR92" s="137">
        <f t="shared" si="30"/>
        <v>47</v>
      </c>
      <c r="AS92" s="137">
        <f t="shared" si="30"/>
        <v>53</v>
      </c>
      <c r="AT92" s="137">
        <f t="shared" si="30"/>
        <v>53</v>
      </c>
      <c r="AU92" s="137">
        <f t="shared" si="30"/>
        <v>53</v>
      </c>
      <c r="AV92" s="137">
        <f t="shared" si="30"/>
        <v>53</v>
      </c>
      <c r="AW92" s="137">
        <f t="shared" si="30"/>
        <v>53</v>
      </c>
      <c r="AX92" s="137">
        <f t="shared" si="30"/>
        <v>53</v>
      </c>
      <c r="AY92" s="137">
        <f t="shared" si="30"/>
        <v>53</v>
      </c>
      <c r="AZ92" s="137">
        <f t="shared" si="30"/>
        <v>53</v>
      </c>
      <c r="BA92" s="137">
        <f t="shared" si="30"/>
        <v>53</v>
      </c>
      <c r="BB92" s="137">
        <f t="shared" si="30"/>
        <v>53</v>
      </c>
      <c r="BC92" s="137">
        <f t="shared" si="30"/>
        <v>53</v>
      </c>
      <c r="BD92" s="137">
        <f t="shared" si="30"/>
        <v>53</v>
      </c>
      <c r="BE92" s="137">
        <f t="shared" si="30"/>
        <v>53</v>
      </c>
      <c r="BF92" s="137">
        <f t="shared" si="30"/>
        <v>53</v>
      </c>
      <c r="BG92" s="137">
        <f t="shared" si="30"/>
        <v>53</v>
      </c>
      <c r="BH92" s="137">
        <f t="shared" si="30"/>
        <v>53</v>
      </c>
      <c r="BI92" s="137">
        <f t="shared" si="30"/>
        <v>53</v>
      </c>
      <c r="BJ92" s="137">
        <f t="shared" si="30"/>
        <v>53</v>
      </c>
      <c r="BK92" s="137">
        <f t="shared" si="30"/>
        <v>53</v>
      </c>
      <c r="BL92" s="137">
        <f t="shared" si="30"/>
        <v>53</v>
      </c>
      <c r="BM92" s="137">
        <f t="shared" si="30"/>
        <v>53</v>
      </c>
      <c r="BN92" s="137">
        <f t="shared" si="30"/>
        <v>53</v>
      </c>
      <c r="BO92" s="137">
        <f t="shared" si="30"/>
        <v>53</v>
      </c>
      <c r="BP92" s="137">
        <f t="shared" si="30"/>
        <v>53</v>
      </c>
      <c r="BQ92" s="137">
        <f t="shared" si="30"/>
        <v>53</v>
      </c>
      <c r="BR92" s="137">
        <f t="shared" si="30"/>
        <v>53</v>
      </c>
      <c r="BS92" s="138"/>
      <c r="BT92" s="138"/>
      <c r="BU92" s="108">
        <f t="shared" si="30"/>
        <v>2274.6</v>
      </c>
    </row>
    <row r="93" spans="1:74" ht="21" hidden="1" thickBot="1" x14ac:dyDescent="0.25">
      <c r="A93" s="140"/>
      <c r="B93" s="141" t="s">
        <v>11</v>
      </c>
      <c r="C93" s="142"/>
      <c r="D93" s="143" t="s">
        <v>196</v>
      </c>
      <c r="E93" s="144">
        <f>E97</f>
        <v>0</v>
      </c>
      <c r="F93" s="144">
        <f t="shared" ref="F93:BR93" si="33">F97</f>
        <v>0</v>
      </c>
      <c r="G93" s="144">
        <v>12.5</v>
      </c>
      <c r="H93" s="144">
        <f t="shared" si="33"/>
        <v>0</v>
      </c>
      <c r="I93" s="144">
        <f t="shared" si="33"/>
        <v>26</v>
      </c>
      <c r="J93" s="144">
        <f t="shared" si="33"/>
        <v>17</v>
      </c>
      <c r="K93" s="144">
        <f t="shared" si="33"/>
        <v>17</v>
      </c>
      <c r="L93" s="144">
        <f t="shared" ref="L93:AK93" si="34">L97</f>
        <v>17</v>
      </c>
      <c r="M93" s="144">
        <f t="shared" si="34"/>
        <v>17</v>
      </c>
      <c r="N93" s="144">
        <f t="shared" si="34"/>
        <v>17</v>
      </c>
      <c r="O93" s="144">
        <f t="shared" si="34"/>
        <v>17</v>
      </c>
      <c r="P93" s="144">
        <f t="shared" si="34"/>
        <v>17</v>
      </c>
      <c r="Q93" s="144">
        <f t="shared" si="34"/>
        <v>17</v>
      </c>
      <c r="R93" s="144">
        <f t="shared" si="34"/>
        <v>17</v>
      </c>
      <c r="S93" s="144">
        <f t="shared" si="34"/>
        <v>17</v>
      </c>
      <c r="T93" s="144">
        <f t="shared" si="34"/>
        <v>17</v>
      </c>
      <c r="U93" s="144">
        <f t="shared" si="34"/>
        <v>17</v>
      </c>
      <c r="V93" s="144">
        <f t="shared" si="34"/>
        <v>17</v>
      </c>
      <c r="W93" s="144">
        <f t="shared" si="34"/>
        <v>17</v>
      </c>
      <c r="X93" s="144">
        <f t="shared" si="34"/>
        <v>17</v>
      </c>
      <c r="Y93" s="144">
        <f t="shared" si="34"/>
        <v>17</v>
      </c>
      <c r="Z93" s="144">
        <f t="shared" si="34"/>
        <v>17</v>
      </c>
      <c r="AA93" s="144">
        <f t="shared" si="34"/>
        <v>17</v>
      </c>
      <c r="AB93" s="144">
        <f t="shared" si="34"/>
        <v>17</v>
      </c>
      <c r="AC93" s="144">
        <f t="shared" si="34"/>
        <v>17</v>
      </c>
      <c r="AD93" s="144">
        <f t="shared" si="34"/>
        <v>17</v>
      </c>
      <c r="AE93" s="144">
        <f t="shared" si="34"/>
        <v>17</v>
      </c>
      <c r="AF93" s="144">
        <f t="shared" si="34"/>
        <v>17</v>
      </c>
      <c r="AG93" s="144">
        <f t="shared" si="34"/>
        <v>17</v>
      </c>
      <c r="AH93" s="144">
        <f t="shared" si="34"/>
        <v>17</v>
      </c>
      <c r="AI93" s="144">
        <f t="shared" si="34"/>
        <v>17</v>
      </c>
      <c r="AJ93" s="144">
        <f t="shared" ref="AJ93" si="35">AJ97</f>
        <v>17</v>
      </c>
      <c r="AK93" s="144">
        <f t="shared" si="34"/>
        <v>17</v>
      </c>
      <c r="AL93" s="144">
        <f t="shared" si="33"/>
        <v>17</v>
      </c>
      <c r="AM93" s="144">
        <f t="shared" si="33"/>
        <v>15</v>
      </c>
      <c r="AN93" s="144">
        <f t="shared" si="33"/>
        <v>15</v>
      </c>
      <c r="AO93" s="144">
        <f t="shared" si="33"/>
        <v>15</v>
      </c>
      <c r="AP93" s="144">
        <f t="shared" si="33"/>
        <v>13.2</v>
      </c>
      <c r="AQ93" s="144" t="e">
        <f t="shared" si="33"/>
        <v>#REF!</v>
      </c>
      <c r="AR93" s="144" t="e">
        <f t="shared" si="33"/>
        <v>#REF!</v>
      </c>
      <c r="AS93" s="144" t="e">
        <f t="shared" si="33"/>
        <v>#REF!</v>
      </c>
      <c r="AT93" s="144" t="e">
        <f t="shared" si="33"/>
        <v>#REF!</v>
      </c>
      <c r="AU93" s="144" t="e">
        <f t="shared" si="33"/>
        <v>#REF!</v>
      </c>
      <c r="AV93" s="144" t="e">
        <f t="shared" si="33"/>
        <v>#REF!</v>
      </c>
      <c r="AW93" s="144" t="e">
        <f t="shared" si="33"/>
        <v>#REF!</v>
      </c>
      <c r="AX93" s="144" t="e">
        <f t="shared" si="33"/>
        <v>#REF!</v>
      </c>
      <c r="AY93" s="144" t="e">
        <f t="shared" si="33"/>
        <v>#REF!</v>
      </c>
      <c r="AZ93" s="144" t="e">
        <f t="shared" si="33"/>
        <v>#REF!</v>
      </c>
      <c r="BA93" s="144" t="e">
        <f t="shared" si="33"/>
        <v>#REF!</v>
      </c>
      <c r="BB93" s="144" t="e">
        <f t="shared" si="33"/>
        <v>#REF!</v>
      </c>
      <c r="BC93" s="144" t="e">
        <f t="shared" si="33"/>
        <v>#REF!</v>
      </c>
      <c r="BD93" s="144" t="e">
        <f t="shared" si="33"/>
        <v>#REF!</v>
      </c>
      <c r="BE93" s="144" t="e">
        <f t="shared" si="33"/>
        <v>#REF!</v>
      </c>
      <c r="BF93" s="144" t="e">
        <f t="shared" si="33"/>
        <v>#REF!</v>
      </c>
      <c r="BG93" s="144" t="e">
        <f t="shared" si="33"/>
        <v>#REF!</v>
      </c>
      <c r="BH93" s="144" t="e">
        <f t="shared" si="33"/>
        <v>#REF!</v>
      </c>
      <c r="BI93" s="144" t="e">
        <f t="shared" si="33"/>
        <v>#REF!</v>
      </c>
      <c r="BJ93" s="144" t="e">
        <f t="shared" si="33"/>
        <v>#REF!</v>
      </c>
      <c r="BK93" s="144" t="e">
        <f t="shared" si="33"/>
        <v>#REF!</v>
      </c>
      <c r="BL93" s="144" t="e">
        <f t="shared" si="33"/>
        <v>#REF!</v>
      </c>
      <c r="BM93" s="144" t="e">
        <f t="shared" si="33"/>
        <v>#REF!</v>
      </c>
      <c r="BN93" s="144" t="e">
        <f t="shared" si="33"/>
        <v>#REF!</v>
      </c>
      <c r="BO93" s="144" t="e">
        <f t="shared" si="33"/>
        <v>#REF!</v>
      </c>
      <c r="BP93" s="144" t="e">
        <f t="shared" si="33"/>
        <v>#REF!</v>
      </c>
      <c r="BQ93" s="144" t="e">
        <f t="shared" si="33"/>
        <v>#REF!</v>
      </c>
      <c r="BR93" s="144" t="e">
        <f t="shared" si="33"/>
        <v>#REF!</v>
      </c>
      <c r="BS93" s="145"/>
      <c r="BT93" s="145"/>
      <c r="BU93" s="146">
        <f>+BU97</f>
        <v>16.976470588235294</v>
      </c>
    </row>
    <row r="94" spans="1:74" ht="21" hidden="1" thickBot="1" x14ac:dyDescent="0.25">
      <c r="A94" s="147"/>
      <c r="B94" s="148"/>
      <c r="C94" s="149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148"/>
      <c r="AE94" s="148"/>
      <c r="AF94" s="148"/>
      <c r="AG94" s="148"/>
      <c r="AH94" s="148"/>
      <c r="AI94" s="148"/>
      <c r="AJ94" s="148"/>
      <c r="AK94" s="148"/>
      <c r="AL94" s="148"/>
      <c r="AM94" s="148"/>
      <c r="AN94" s="148"/>
      <c r="AO94" s="148"/>
      <c r="AP94" s="148"/>
      <c r="AQ94" s="145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  <c r="BI94" s="148"/>
      <c r="BJ94" s="148"/>
      <c r="BK94" s="148"/>
      <c r="BL94" s="148"/>
      <c r="BM94" s="148"/>
      <c r="BN94" s="148"/>
      <c r="BO94" s="148"/>
      <c r="BP94" s="148"/>
      <c r="BQ94" s="148"/>
      <c r="BR94" s="148"/>
      <c r="BS94" s="148"/>
      <c r="BT94" s="148"/>
      <c r="BU94" s="150"/>
    </row>
    <row r="95" spans="1:74" hidden="1" x14ac:dyDescent="0.2">
      <c r="A95" s="151" t="s">
        <v>197</v>
      </c>
      <c r="B95" s="152" t="s">
        <v>198</v>
      </c>
      <c r="C95" s="152"/>
      <c r="D95" s="153"/>
      <c r="E95" s="153"/>
      <c r="F95" s="154" t="s">
        <v>199</v>
      </c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5"/>
      <c r="AO95" s="155"/>
      <c r="AP95" s="155"/>
      <c r="AQ95" s="155"/>
      <c r="AR95" s="155"/>
      <c r="AS95" s="156"/>
      <c r="AT95" s="156"/>
      <c r="AU95" s="156"/>
      <c r="AV95" s="156"/>
      <c r="AW95" s="156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  <c r="BJ95" s="156"/>
      <c r="BK95" s="156"/>
      <c r="BL95" s="156"/>
      <c r="BM95" s="156"/>
      <c r="BN95" s="156"/>
      <c r="BO95" s="156"/>
      <c r="BP95" s="156"/>
      <c r="BQ95" s="156"/>
      <c r="BR95" s="156"/>
      <c r="BS95" s="157"/>
      <c r="BT95" s="157"/>
      <c r="BU95" s="148"/>
    </row>
    <row r="96" spans="1:74" hidden="1" x14ac:dyDescent="0.2">
      <c r="A96" s="104"/>
      <c r="B96" s="125"/>
      <c r="C96" s="158"/>
      <c r="D96" s="107" t="s">
        <v>101</v>
      </c>
      <c r="E96" s="107">
        <v>1</v>
      </c>
      <c r="F96" s="107">
        <v>2</v>
      </c>
      <c r="G96" s="107">
        <v>3</v>
      </c>
      <c r="H96" s="107">
        <v>4</v>
      </c>
      <c r="I96" s="107">
        <v>5</v>
      </c>
      <c r="J96" s="107">
        <v>6</v>
      </c>
      <c r="K96" s="107">
        <v>7</v>
      </c>
      <c r="L96" s="107">
        <v>8</v>
      </c>
      <c r="M96" s="107">
        <v>8</v>
      </c>
      <c r="N96" s="107">
        <v>8</v>
      </c>
      <c r="O96" s="107">
        <v>8</v>
      </c>
      <c r="P96" s="107">
        <v>8</v>
      </c>
      <c r="Q96" s="107">
        <v>8</v>
      </c>
      <c r="R96" s="107">
        <v>8</v>
      </c>
      <c r="S96" s="107">
        <v>8</v>
      </c>
      <c r="T96" s="107">
        <v>8</v>
      </c>
      <c r="U96" s="107">
        <v>8</v>
      </c>
      <c r="V96" s="107">
        <v>8</v>
      </c>
      <c r="W96" s="107">
        <v>8</v>
      </c>
      <c r="X96" s="107">
        <v>8</v>
      </c>
      <c r="Y96" s="107">
        <v>8</v>
      </c>
      <c r="Z96" s="107">
        <v>8</v>
      </c>
      <c r="AA96" s="107">
        <v>8</v>
      </c>
      <c r="AB96" s="107">
        <v>8</v>
      </c>
      <c r="AC96" s="107">
        <v>8</v>
      </c>
      <c r="AD96" s="107">
        <v>8</v>
      </c>
      <c r="AE96" s="107">
        <v>8</v>
      </c>
      <c r="AF96" s="107">
        <v>8</v>
      </c>
      <c r="AG96" s="107">
        <v>8</v>
      </c>
      <c r="AH96" s="107">
        <v>8</v>
      </c>
      <c r="AI96" s="107">
        <v>8</v>
      </c>
      <c r="AJ96" s="107">
        <v>8</v>
      </c>
      <c r="AK96" s="107">
        <v>8</v>
      </c>
      <c r="AL96" s="107">
        <v>9</v>
      </c>
      <c r="AM96" s="107">
        <v>10</v>
      </c>
      <c r="AN96" s="159">
        <v>11</v>
      </c>
      <c r="AO96" s="159">
        <v>12</v>
      </c>
      <c r="AP96" s="159">
        <v>13</v>
      </c>
      <c r="AQ96" s="159">
        <v>14</v>
      </c>
      <c r="AR96" s="159">
        <v>15</v>
      </c>
      <c r="AS96" s="159">
        <v>16</v>
      </c>
      <c r="AT96" s="159">
        <v>16</v>
      </c>
      <c r="AU96" s="159">
        <v>16</v>
      </c>
      <c r="AV96" s="159">
        <v>16</v>
      </c>
      <c r="AW96" s="159">
        <v>16</v>
      </c>
      <c r="AX96" s="159">
        <v>16</v>
      </c>
      <c r="AY96" s="159">
        <v>16</v>
      </c>
      <c r="AZ96" s="159">
        <v>16</v>
      </c>
      <c r="BA96" s="159">
        <v>16</v>
      </c>
      <c r="BB96" s="159">
        <v>16</v>
      </c>
      <c r="BC96" s="159">
        <v>16</v>
      </c>
      <c r="BD96" s="159">
        <v>16</v>
      </c>
      <c r="BE96" s="159">
        <v>16</v>
      </c>
      <c r="BF96" s="159">
        <v>16</v>
      </c>
      <c r="BG96" s="159">
        <v>16</v>
      </c>
      <c r="BH96" s="159">
        <v>16</v>
      </c>
      <c r="BI96" s="159">
        <v>16</v>
      </c>
      <c r="BJ96" s="159">
        <v>16</v>
      </c>
      <c r="BK96" s="159">
        <v>16</v>
      </c>
      <c r="BL96" s="159">
        <v>16</v>
      </c>
      <c r="BM96" s="159">
        <v>16</v>
      </c>
      <c r="BN96" s="159">
        <v>16</v>
      </c>
      <c r="BO96" s="159">
        <v>16</v>
      </c>
      <c r="BP96" s="159">
        <v>16</v>
      </c>
      <c r="BQ96" s="159">
        <v>16</v>
      </c>
      <c r="BR96" s="159">
        <v>16</v>
      </c>
      <c r="BS96" s="159"/>
      <c r="BT96" s="159"/>
      <c r="BU96" s="160" t="s">
        <v>192</v>
      </c>
    </row>
    <row r="97" spans="1:73" hidden="1" x14ac:dyDescent="0.2">
      <c r="A97" s="133" t="s">
        <v>157</v>
      </c>
      <c r="B97" s="125" t="s">
        <v>200</v>
      </c>
      <c r="C97" s="158"/>
      <c r="D97" s="161" t="s">
        <v>196</v>
      </c>
      <c r="E97" s="114"/>
      <c r="F97" s="114"/>
      <c r="G97" s="114"/>
      <c r="H97" s="114"/>
      <c r="I97" s="114">
        <v>26</v>
      </c>
      <c r="J97" s="114">
        <v>17</v>
      </c>
      <c r="K97" s="114">
        <v>17</v>
      </c>
      <c r="L97" s="114">
        <v>17</v>
      </c>
      <c r="M97" s="114">
        <v>17</v>
      </c>
      <c r="N97" s="114">
        <v>17</v>
      </c>
      <c r="O97" s="114">
        <v>17</v>
      </c>
      <c r="P97" s="114">
        <v>17</v>
      </c>
      <c r="Q97" s="114">
        <v>17</v>
      </c>
      <c r="R97" s="114">
        <v>17</v>
      </c>
      <c r="S97" s="114">
        <v>17</v>
      </c>
      <c r="T97" s="114">
        <v>17</v>
      </c>
      <c r="U97" s="114">
        <v>17</v>
      </c>
      <c r="V97" s="114">
        <v>17</v>
      </c>
      <c r="W97" s="114">
        <v>17</v>
      </c>
      <c r="X97" s="114">
        <v>17</v>
      </c>
      <c r="Y97" s="114">
        <v>17</v>
      </c>
      <c r="Z97" s="114">
        <v>17</v>
      </c>
      <c r="AA97" s="114">
        <v>17</v>
      </c>
      <c r="AB97" s="114">
        <v>17</v>
      </c>
      <c r="AC97" s="114">
        <v>17</v>
      </c>
      <c r="AD97" s="114">
        <v>17</v>
      </c>
      <c r="AE97" s="114">
        <v>17</v>
      </c>
      <c r="AF97" s="114">
        <v>17</v>
      </c>
      <c r="AG97" s="114">
        <v>17</v>
      </c>
      <c r="AH97" s="114">
        <v>17</v>
      </c>
      <c r="AI97" s="114">
        <v>17</v>
      </c>
      <c r="AJ97" s="114">
        <v>17</v>
      </c>
      <c r="AK97" s="114">
        <v>17</v>
      </c>
      <c r="AL97" s="114">
        <v>17</v>
      </c>
      <c r="AM97" s="114">
        <v>15</v>
      </c>
      <c r="AN97" s="115">
        <v>15</v>
      </c>
      <c r="AO97" s="115">
        <v>15</v>
      </c>
      <c r="AP97" s="115">
        <v>13.2</v>
      </c>
      <c r="AQ97" s="115" t="e">
        <f>#REF!</f>
        <v>#REF!</v>
      </c>
      <c r="AR97" s="115" t="e">
        <f>#REF!</f>
        <v>#REF!</v>
      </c>
      <c r="AS97" s="115" t="e">
        <f>#REF!</f>
        <v>#REF!</v>
      </c>
      <c r="AT97" s="115" t="e">
        <f>#REF!</f>
        <v>#REF!</v>
      </c>
      <c r="AU97" s="115" t="e">
        <f>#REF!</f>
        <v>#REF!</v>
      </c>
      <c r="AV97" s="115" t="e">
        <f>#REF!</f>
        <v>#REF!</v>
      </c>
      <c r="AW97" s="115" t="e">
        <f>#REF!</f>
        <v>#REF!</v>
      </c>
      <c r="AX97" s="115" t="e">
        <f>#REF!</f>
        <v>#REF!</v>
      </c>
      <c r="AY97" s="115" t="e">
        <f>#REF!</f>
        <v>#REF!</v>
      </c>
      <c r="AZ97" s="115" t="e">
        <f>#REF!</f>
        <v>#REF!</v>
      </c>
      <c r="BA97" s="115" t="e">
        <f>#REF!</f>
        <v>#REF!</v>
      </c>
      <c r="BB97" s="115" t="e">
        <f>#REF!</f>
        <v>#REF!</v>
      </c>
      <c r="BC97" s="115" t="e">
        <f>#REF!</f>
        <v>#REF!</v>
      </c>
      <c r="BD97" s="115" t="e">
        <f>#REF!</f>
        <v>#REF!</v>
      </c>
      <c r="BE97" s="115" t="e">
        <f>#REF!</f>
        <v>#REF!</v>
      </c>
      <c r="BF97" s="115" t="e">
        <f>#REF!</f>
        <v>#REF!</v>
      </c>
      <c r="BG97" s="115" t="e">
        <f>#REF!</f>
        <v>#REF!</v>
      </c>
      <c r="BH97" s="115" t="e">
        <f>#REF!</f>
        <v>#REF!</v>
      </c>
      <c r="BI97" s="115" t="e">
        <f>#REF!</f>
        <v>#REF!</v>
      </c>
      <c r="BJ97" s="115" t="e">
        <f>#REF!</f>
        <v>#REF!</v>
      </c>
      <c r="BK97" s="115" t="e">
        <f>#REF!</f>
        <v>#REF!</v>
      </c>
      <c r="BL97" s="115" t="e">
        <f>#REF!</f>
        <v>#REF!</v>
      </c>
      <c r="BM97" s="115" t="e">
        <f>#REF!</f>
        <v>#REF!</v>
      </c>
      <c r="BN97" s="115" t="e">
        <f>#REF!</f>
        <v>#REF!</v>
      </c>
      <c r="BO97" s="115" t="e">
        <f>#REF!</f>
        <v>#REF!</v>
      </c>
      <c r="BP97" s="115" t="e">
        <f>#REF!</f>
        <v>#REF!</v>
      </c>
      <c r="BQ97" s="115" t="e">
        <f>#REF!</f>
        <v>#REF!</v>
      </c>
      <c r="BR97" s="115" t="e">
        <f>#REF!</f>
        <v>#REF!</v>
      </c>
      <c r="BS97" s="115"/>
      <c r="BT97" s="115"/>
      <c r="BU97" s="162">
        <f>AVERAGE(E97:AP97)</f>
        <v>16.976470588235294</v>
      </c>
    </row>
    <row r="98" spans="1:73" hidden="1" x14ac:dyDescent="0.2">
      <c r="A98" s="133" t="s">
        <v>160</v>
      </c>
      <c r="B98" s="125" t="s">
        <v>201</v>
      </c>
      <c r="C98" s="158"/>
      <c r="D98" s="161" t="s">
        <v>14</v>
      </c>
      <c r="E98" s="114"/>
      <c r="F98" s="114"/>
      <c r="G98" s="114"/>
      <c r="H98" s="114"/>
      <c r="I98" s="114">
        <v>2.85</v>
      </c>
      <c r="J98" s="114">
        <v>2.85</v>
      </c>
      <c r="K98" s="114">
        <v>2.85</v>
      </c>
      <c r="L98" s="114">
        <v>2.85</v>
      </c>
      <c r="M98" s="114">
        <v>2.85</v>
      </c>
      <c r="N98" s="114">
        <v>2.85</v>
      </c>
      <c r="O98" s="114">
        <v>2.85</v>
      </c>
      <c r="P98" s="114">
        <v>2.85</v>
      </c>
      <c r="Q98" s="114">
        <v>2.85</v>
      </c>
      <c r="R98" s="114">
        <v>2.85</v>
      </c>
      <c r="S98" s="114">
        <v>2.85</v>
      </c>
      <c r="T98" s="114">
        <v>2.85</v>
      </c>
      <c r="U98" s="114">
        <v>2.85</v>
      </c>
      <c r="V98" s="114">
        <v>2.85</v>
      </c>
      <c r="W98" s="114">
        <v>2.85</v>
      </c>
      <c r="X98" s="114">
        <v>2.85</v>
      </c>
      <c r="Y98" s="114">
        <v>2.85</v>
      </c>
      <c r="Z98" s="114">
        <v>2.85</v>
      </c>
      <c r="AA98" s="114">
        <v>2.85</v>
      </c>
      <c r="AB98" s="114">
        <v>2.85</v>
      </c>
      <c r="AC98" s="114">
        <v>2.85</v>
      </c>
      <c r="AD98" s="114">
        <v>2.85</v>
      </c>
      <c r="AE98" s="114">
        <v>2.85</v>
      </c>
      <c r="AF98" s="114">
        <v>2.85</v>
      </c>
      <c r="AG98" s="114">
        <v>2.85</v>
      </c>
      <c r="AH98" s="114">
        <v>2.85</v>
      </c>
      <c r="AI98" s="114">
        <v>2.85</v>
      </c>
      <c r="AJ98" s="114">
        <v>2.85</v>
      </c>
      <c r="AK98" s="114">
        <v>2.85</v>
      </c>
      <c r="AL98" s="114">
        <v>2.85</v>
      </c>
      <c r="AM98" s="114">
        <v>2.85</v>
      </c>
      <c r="AN98" s="115">
        <v>2.85</v>
      </c>
      <c r="AO98" s="115">
        <v>2.85</v>
      </c>
      <c r="AP98" s="115">
        <v>2.85</v>
      </c>
      <c r="AQ98" s="115">
        <v>2.85</v>
      </c>
      <c r="AR98" s="115">
        <v>2.85</v>
      </c>
      <c r="AS98" s="115">
        <v>2.85</v>
      </c>
      <c r="AT98" s="115">
        <v>2.85</v>
      </c>
      <c r="AU98" s="115">
        <v>2.85</v>
      </c>
      <c r="AV98" s="115">
        <v>2.85</v>
      </c>
      <c r="AW98" s="115">
        <v>2.85</v>
      </c>
      <c r="AX98" s="115">
        <v>2.85</v>
      </c>
      <c r="AY98" s="115">
        <v>2.85</v>
      </c>
      <c r="AZ98" s="115">
        <v>2.85</v>
      </c>
      <c r="BA98" s="115">
        <v>2.85</v>
      </c>
      <c r="BB98" s="115">
        <v>2.85</v>
      </c>
      <c r="BC98" s="115">
        <v>2.85</v>
      </c>
      <c r="BD98" s="115">
        <v>2.85</v>
      </c>
      <c r="BE98" s="115">
        <v>2.85</v>
      </c>
      <c r="BF98" s="115">
        <v>2.85</v>
      </c>
      <c r="BG98" s="115">
        <v>2.85</v>
      </c>
      <c r="BH98" s="115">
        <v>2.85</v>
      </c>
      <c r="BI98" s="115">
        <v>2.85</v>
      </c>
      <c r="BJ98" s="115">
        <v>2.85</v>
      </c>
      <c r="BK98" s="115">
        <v>2.85</v>
      </c>
      <c r="BL98" s="115">
        <v>2.85</v>
      </c>
      <c r="BM98" s="115">
        <v>2.85</v>
      </c>
      <c r="BN98" s="115">
        <v>2.85</v>
      </c>
      <c r="BO98" s="115">
        <v>2.85</v>
      </c>
      <c r="BP98" s="115">
        <v>2.85</v>
      </c>
      <c r="BQ98" s="115">
        <v>2.85</v>
      </c>
      <c r="BR98" s="115">
        <v>2.85</v>
      </c>
      <c r="BS98" s="115"/>
      <c r="BT98" s="115"/>
      <c r="BU98" s="162">
        <f>AVERAGE(E98:AL98)</f>
        <v>2.8499999999999996</v>
      </c>
    </row>
    <row r="99" spans="1:73" hidden="1" x14ac:dyDescent="0.2">
      <c r="A99" s="133" t="s">
        <v>163</v>
      </c>
      <c r="B99" s="125" t="s">
        <v>202</v>
      </c>
      <c r="C99" s="158"/>
      <c r="D99" s="161" t="s">
        <v>203</v>
      </c>
      <c r="E99" s="95"/>
      <c r="F99" s="95"/>
      <c r="G99" s="95"/>
      <c r="H99" s="95"/>
      <c r="I99" s="95" t="e">
        <f>#REF!</f>
        <v>#REF!</v>
      </c>
      <c r="J99" s="95" t="e">
        <f>#REF!</f>
        <v>#REF!</v>
      </c>
      <c r="K99" s="95" t="e">
        <f>#REF!</f>
        <v>#REF!</v>
      </c>
      <c r="L99" s="95" t="e">
        <f>#REF!</f>
        <v>#REF!</v>
      </c>
      <c r="M99" s="95" t="e">
        <f>#REF!</f>
        <v>#REF!</v>
      </c>
      <c r="N99" s="95" t="e">
        <f>#REF!</f>
        <v>#REF!</v>
      </c>
      <c r="O99" s="95" t="e">
        <f>#REF!</f>
        <v>#REF!</v>
      </c>
      <c r="P99" s="95" t="e">
        <f>#REF!</f>
        <v>#REF!</v>
      </c>
      <c r="Q99" s="95" t="e">
        <f>#REF!</f>
        <v>#REF!</v>
      </c>
      <c r="R99" s="95" t="e">
        <f>#REF!</f>
        <v>#REF!</v>
      </c>
      <c r="S99" s="95" t="e">
        <f>#REF!</f>
        <v>#REF!</v>
      </c>
      <c r="T99" s="95" t="e">
        <f>#REF!</f>
        <v>#REF!</v>
      </c>
      <c r="U99" s="95" t="e">
        <f>#REF!</f>
        <v>#REF!</v>
      </c>
      <c r="V99" s="95" t="e">
        <f>#REF!</f>
        <v>#REF!</v>
      </c>
      <c r="W99" s="95" t="e">
        <f>#REF!</f>
        <v>#REF!</v>
      </c>
      <c r="X99" s="95" t="e">
        <f>#REF!</f>
        <v>#REF!</v>
      </c>
      <c r="Y99" s="95" t="e">
        <f>#REF!</f>
        <v>#REF!</v>
      </c>
      <c r="Z99" s="95" t="e">
        <f>#REF!</f>
        <v>#REF!</v>
      </c>
      <c r="AA99" s="95" t="e">
        <f>#REF!</f>
        <v>#REF!</v>
      </c>
      <c r="AB99" s="95" t="e">
        <f>#REF!</f>
        <v>#REF!</v>
      </c>
      <c r="AC99" s="95" t="e">
        <f>#REF!</f>
        <v>#REF!</v>
      </c>
      <c r="AD99" s="95" t="e">
        <f>#REF!</f>
        <v>#REF!</v>
      </c>
      <c r="AE99" s="95" t="e">
        <f>#REF!</f>
        <v>#REF!</v>
      </c>
      <c r="AF99" s="95" t="e">
        <f>#REF!</f>
        <v>#REF!</v>
      </c>
      <c r="AG99" s="95" t="e">
        <f>#REF!</f>
        <v>#REF!</v>
      </c>
      <c r="AH99" s="95" t="e">
        <f>#REF!</f>
        <v>#REF!</v>
      </c>
      <c r="AI99" s="95" t="e">
        <f>#REF!</f>
        <v>#REF!</v>
      </c>
      <c r="AJ99" s="95" t="e">
        <f>#REF!</f>
        <v>#REF!</v>
      </c>
      <c r="AK99" s="95" t="e">
        <f>#REF!</f>
        <v>#REF!</v>
      </c>
      <c r="AL99" s="95" t="e">
        <f>#REF!</f>
        <v>#REF!</v>
      </c>
      <c r="AM99" s="95" t="e">
        <f>#REF!</f>
        <v>#REF!</v>
      </c>
      <c r="AN99" s="95" t="e">
        <f>#REF!</f>
        <v>#REF!</v>
      </c>
      <c r="AO99" s="96" t="e">
        <f>#REF!</f>
        <v>#REF!</v>
      </c>
      <c r="AP99" s="96" t="e">
        <f>#REF!</f>
        <v>#REF!</v>
      </c>
      <c r="AQ99" s="96" t="e">
        <f>#REF!</f>
        <v>#REF!</v>
      </c>
      <c r="AR99" s="96" t="e">
        <f>#REF!</f>
        <v>#REF!</v>
      </c>
      <c r="AS99" s="96" t="e">
        <f>#REF!</f>
        <v>#REF!</v>
      </c>
      <c r="AT99" s="96" t="e">
        <f>#REF!</f>
        <v>#REF!</v>
      </c>
      <c r="AU99" s="96" t="e">
        <f>#REF!</f>
        <v>#REF!</v>
      </c>
      <c r="AV99" s="96" t="e">
        <f>#REF!</f>
        <v>#REF!</v>
      </c>
      <c r="AW99" s="96" t="e">
        <f>#REF!</f>
        <v>#REF!</v>
      </c>
      <c r="AX99" s="96" t="e">
        <f>#REF!</f>
        <v>#REF!</v>
      </c>
      <c r="AY99" s="96" t="e">
        <f>#REF!</f>
        <v>#REF!</v>
      </c>
      <c r="AZ99" s="96" t="e">
        <f>#REF!</f>
        <v>#REF!</v>
      </c>
      <c r="BA99" s="96" t="e">
        <f>#REF!</f>
        <v>#REF!</v>
      </c>
      <c r="BB99" s="96" t="e">
        <f>#REF!</f>
        <v>#REF!</v>
      </c>
      <c r="BC99" s="96" t="e">
        <f>#REF!</f>
        <v>#REF!</v>
      </c>
      <c r="BD99" s="96" t="e">
        <f>#REF!</f>
        <v>#REF!</v>
      </c>
      <c r="BE99" s="96" t="e">
        <f>#REF!</f>
        <v>#REF!</v>
      </c>
      <c r="BF99" s="96" t="e">
        <f>#REF!</f>
        <v>#REF!</v>
      </c>
      <c r="BG99" s="96" t="e">
        <f>#REF!</f>
        <v>#REF!</v>
      </c>
      <c r="BH99" s="96" t="e">
        <f>#REF!</f>
        <v>#REF!</v>
      </c>
      <c r="BI99" s="96" t="e">
        <f>#REF!</f>
        <v>#REF!</v>
      </c>
      <c r="BJ99" s="96" t="e">
        <f>#REF!</f>
        <v>#REF!</v>
      </c>
      <c r="BK99" s="96" t="e">
        <f>#REF!</f>
        <v>#REF!</v>
      </c>
      <c r="BL99" s="96" t="e">
        <f>#REF!</f>
        <v>#REF!</v>
      </c>
      <c r="BM99" s="96" t="e">
        <f>#REF!</f>
        <v>#REF!</v>
      </c>
      <c r="BN99" s="96" t="e">
        <f>#REF!</f>
        <v>#REF!</v>
      </c>
      <c r="BO99" s="96" t="e">
        <f>#REF!</f>
        <v>#REF!</v>
      </c>
      <c r="BP99" s="96" t="e">
        <f>#REF!</f>
        <v>#REF!</v>
      </c>
      <c r="BQ99" s="96" t="e">
        <f>#REF!</f>
        <v>#REF!</v>
      </c>
      <c r="BR99" s="96" t="e">
        <f>#REF!</f>
        <v>#REF!</v>
      </c>
      <c r="BS99" s="96"/>
      <c r="BT99" s="96"/>
      <c r="BU99" s="162" t="e">
        <f>AVERAGE(E99:AP99)</f>
        <v>#REF!</v>
      </c>
    </row>
    <row r="100" spans="1:73" hidden="1" x14ac:dyDescent="0.2">
      <c r="A100" s="133" t="s">
        <v>166</v>
      </c>
      <c r="B100" s="125" t="s">
        <v>204</v>
      </c>
      <c r="C100" s="158"/>
      <c r="D100" s="161" t="s">
        <v>16</v>
      </c>
      <c r="E100" s="114"/>
      <c r="F100" s="114"/>
      <c r="G100" s="114"/>
      <c r="H100" s="114"/>
      <c r="I100" s="114">
        <f t="shared" ref="I100:BR100" si="36">+I92</f>
        <v>1.6</v>
      </c>
      <c r="J100" s="114">
        <f t="shared" si="36"/>
        <v>3.5</v>
      </c>
      <c r="K100" s="114">
        <f t="shared" si="36"/>
        <v>12</v>
      </c>
      <c r="L100" s="114">
        <f t="shared" ref="L100:AK100" si="37">+L92</f>
        <v>26.5</v>
      </c>
      <c r="M100" s="114">
        <f t="shared" si="37"/>
        <v>26.5</v>
      </c>
      <c r="N100" s="114">
        <f t="shared" si="37"/>
        <v>26.5</v>
      </c>
      <c r="O100" s="114">
        <f t="shared" si="37"/>
        <v>26.5</v>
      </c>
      <c r="P100" s="114">
        <f t="shared" si="37"/>
        <v>26.5</v>
      </c>
      <c r="Q100" s="114">
        <f t="shared" si="37"/>
        <v>26.5</v>
      </c>
      <c r="R100" s="114">
        <f t="shared" si="37"/>
        <v>26.5</v>
      </c>
      <c r="S100" s="114">
        <f t="shared" si="37"/>
        <v>26.5</v>
      </c>
      <c r="T100" s="114">
        <f t="shared" si="37"/>
        <v>26.5</v>
      </c>
      <c r="U100" s="114">
        <f t="shared" si="37"/>
        <v>26.5</v>
      </c>
      <c r="V100" s="114">
        <f t="shared" si="37"/>
        <v>26.5</v>
      </c>
      <c r="W100" s="114">
        <f t="shared" si="37"/>
        <v>26.5</v>
      </c>
      <c r="X100" s="114">
        <f t="shared" si="37"/>
        <v>26.5</v>
      </c>
      <c r="Y100" s="114">
        <f t="shared" si="37"/>
        <v>26.5</v>
      </c>
      <c r="Z100" s="114">
        <f t="shared" si="37"/>
        <v>26.5</v>
      </c>
      <c r="AA100" s="114">
        <f t="shared" si="37"/>
        <v>26.5</v>
      </c>
      <c r="AB100" s="114">
        <f t="shared" si="37"/>
        <v>26.5</v>
      </c>
      <c r="AC100" s="114">
        <f t="shared" si="37"/>
        <v>26.5</v>
      </c>
      <c r="AD100" s="114">
        <f t="shared" si="37"/>
        <v>26.5</v>
      </c>
      <c r="AE100" s="114">
        <f t="shared" si="37"/>
        <v>26.5</v>
      </c>
      <c r="AF100" s="114">
        <f t="shared" si="37"/>
        <v>26.5</v>
      </c>
      <c r="AG100" s="114">
        <f t="shared" si="37"/>
        <v>26.5</v>
      </c>
      <c r="AH100" s="114">
        <f t="shared" si="37"/>
        <v>26.5</v>
      </c>
      <c r="AI100" s="114">
        <f t="shared" si="37"/>
        <v>26.5</v>
      </c>
      <c r="AJ100" s="114">
        <f t="shared" ref="AJ100" si="38">+AJ92</f>
        <v>26.5</v>
      </c>
      <c r="AK100" s="114">
        <f t="shared" si="37"/>
        <v>26.5</v>
      </c>
      <c r="AL100" s="114">
        <f t="shared" si="36"/>
        <v>12</v>
      </c>
      <c r="AM100" s="114">
        <f t="shared" si="36"/>
        <v>17.5</v>
      </c>
      <c r="AN100" s="114">
        <f t="shared" si="36"/>
        <v>26</v>
      </c>
      <c r="AO100" s="114">
        <f t="shared" si="36"/>
        <v>35</v>
      </c>
      <c r="AP100" s="114">
        <f t="shared" si="36"/>
        <v>20.5</v>
      </c>
      <c r="AQ100" s="114">
        <f t="shared" si="36"/>
        <v>32.5</v>
      </c>
      <c r="AR100" s="114">
        <f t="shared" si="36"/>
        <v>47</v>
      </c>
      <c r="AS100" s="114">
        <f t="shared" si="36"/>
        <v>53</v>
      </c>
      <c r="AT100" s="114">
        <f t="shared" si="36"/>
        <v>53</v>
      </c>
      <c r="AU100" s="114">
        <f t="shared" si="36"/>
        <v>53</v>
      </c>
      <c r="AV100" s="114">
        <f t="shared" si="36"/>
        <v>53</v>
      </c>
      <c r="AW100" s="114">
        <f t="shared" si="36"/>
        <v>53</v>
      </c>
      <c r="AX100" s="114">
        <f t="shared" si="36"/>
        <v>53</v>
      </c>
      <c r="AY100" s="114">
        <f t="shared" si="36"/>
        <v>53</v>
      </c>
      <c r="AZ100" s="114">
        <f t="shared" si="36"/>
        <v>53</v>
      </c>
      <c r="BA100" s="114">
        <f t="shared" si="36"/>
        <v>53</v>
      </c>
      <c r="BB100" s="114">
        <f t="shared" si="36"/>
        <v>53</v>
      </c>
      <c r="BC100" s="114">
        <f t="shared" si="36"/>
        <v>53</v>
      </c>
      <c r="BD100" s="114">
        <f t="shared" si="36"/>
        <v>53</v>
      </c>
      <c r="BE100" s="114">
        <f t="shared" si="36"/>
        <v>53</v>
      </c>
      <c r="BF100" s="114">
        <f t="shared" si="36"/>
        <v>53</v>
      </c>
      <c r="BG100" s="114">
        <f t="shared" si="36"/>
        <v>53</v>
      </c>
      <c r="BH100" s="114">
        <f t="shared" si="36"/>
        <v>53</v>
      </c>
      <c r="BI100" s="114">
        <f t="shared" si="36"/>
        <v>53</v>
      </c>
      <c r="BJ100" s="114">
        <f t="shared" si="36"/>
        <v>53</v>
      </c>
      <c r="BK100" s="114">
        <f t="shared" si="36"/>
        <v>53</v>
      </c>
      <c r="BL100" s="114">
        <f t="shared" si="36"/>
        <v>53</v>
      </c>
      <c r="BM100" s="114">
        <f t="shared" si="36"/>
        <v>53</v>
      </c>
      <c r="BN100" s="114">
        <f t="shared" si="36"/>
        <v>53</v>
      </c>
      <c r="BO100" s="114">
        <f t="shared" si="36"/>
        <v>53</v>
      </c>
      <c r="BP100" s="114">
        <f t="shared" si="36"/>
        <v>53</v>
      </c>
      <c r="BQ100" s="114">
        <f t="shared" si="36"/>
        <v>53</v>
      </c>
      <c r="BR100" s="114">
        <f t="shared" si="36"/>
        <v>53</v>
      </c>
      <c r="BS100" s="115"/>
      <c r="BT100" s="115"/>
      <c r="BU100" s="162">
        <f>SUM(E100:AP100)</f>
        <v>817.1</v>
      </c>
    </row>
    <row r="101" spans="1:73" hidden="1" x14ac:dyDescent="0.2">
      <c r="A101" s="133" t="s">
        <v>179</v>
      </c>
      <c r="B101" s="125" t="s">
        <v>205</v>
      </c>
      <c r="C101" s="158"/>
      <c r="D101" s="161" t="s">
        <v>206</v>
      </c>
      <c r="E101" s="95">
        <v>24</v>
      </c>
      <c r="F101" s="95">
        <v>24</v>
      </c>
      <c r="G101" s="95">
        <v>24</v>
      </c>
      <c r="H101" s="95"/>
      <c r="I101" s="95">
        <v>24</v>
      </c>
      <c r="J101" s="95">
        <v>24</v>
      </c>
      <c r="K101" s="95">
        <v>24</v>
      </c>
      <c r="L101" s="95">
        <v>24</v>
      </c>
      <c r="M101" s="95">
        <v>24</v>
      </c>
      <c r="N101" s="95">
        <v>24</v>
      </c>
      <c r="O101" s="95">
        <v>24</v>
      </c>
      <c r="P101" s="95">
        <v>24</v>
      </c>
      <c r="Q101" s="95">
        <v>24</v>
      </c>
      <c r="R101" s="95">
        <v>24</v>
      </c>
      <c r="S101" s="95">
        <v>24</v>
      </c>
      <c r="T101" s="95">
        <v>24</v>
      </c>
      <c r="U101" s="95">
        <v>24</v>
      </c>
      <c r="V101" s="95">
        <v>24</v>
      </c>
      <c r="W101" s="95">
        <v>24</v>
      </c>
      <c r="X101" s="95">
        <v>24</v>
      </c>
      <c r="Y101" s="95">
        <v>24</v>
      </c>
      <c r="Z101" s="95">
        <v>24</v>
      </c>
      <c r="AA101" s="95">
        <v>24</v>
      </c>
      <c r="AB101" s="95">
        <v>24</v>
      </c>
      <c r="AC101" s="95">
        <v>24</v>
      </c>
      <c r="AD101" s="95">
        <v>24</v>
      </c>
      <c r="AE101" s="95">
        <v>24</v>
      </c>
      <c r="AF101" s="95">
        <v>24</v>
      </c>
      <c r="AG101" s="95">
        <v>24</v>
      </c>
      <c r="AH101" s="95">
        <v>24</v>
      </c>
      <c r="AI101" s="95">
        <v>24</v>
      </c>
      <c r="AJ101" s="95">
        <v>24</v>
      </c>
      <c r="AK101" s="95">
        <v>24</v>
      </c>
      <c r="AL101" s="95">
        <v>24</v>
      </c>
      <c r="AM101" s="95">
        <v>24</v>
      </c>
      <c r="AN101" s="95">
        <v>24</v>
      </c>
      <c r="AO101" s="95">
        <v>24</v>
      </c>
      <c r="AP101" s="95">
        <v>24</v>
      </c>
      <c r="AQ101" s="95">
        <v>24</v>
      </c>
      <c r="AR101" s="95">
        <v>24</v>
      </c>
      <c r="AS101" s="95">
        <v>24</v>
      </c>
      <c r="AT101" s="95">
        <v>24</v>
      </c>
      <c r="AU101" s="95">
        <v>24</v>
      </c>
      <c r="AV101" s="95">
        <v>24</v>
      </c>
      <c r="AW101" s="95">
        <v>24</v>
      </c>
      <c r="AX101" s="95">
        <v>24</v>
      </c>
      <c r="AY101" s="95">
        <v>24</v>
      </c>
      <c r="AZ101" s="95">
        <v>24</v>
      </c>
      <c r="BA101" s="95">
        <v>24</v>
      </c>
      <c r="BB101" s="95">
        <v>24</v>
      </c>
      <c r="BC101" s="95">
        <v>24</v>
      </c>
      <c r="BD101" s="95">
        <v>24</v>
      </c>
      <c r="BE101" s="95">
        <v>24</v>
      </c>
      <c r="BF101" s="95">
        <v>24</v>
      </c>
      <c r="BG101" s="95">
        <v>24</v>
      </c>
      <c r="BH101" s="95">
        <v>24</v>
      </c>
      <c r="BI101" s="95">
        <v>24</v>
      </c>
      <c r="BJ101" s="95">
        <v>24</v>
      </c>
      <c r="BK101" s="95">
        <v>24</v>
      </c>
      <c r="BL101" s="95">
        <v>24</v>
      </c>
      <c r="BM101" s="95">
        <v>24</v>
      </c>
      <c r="BN101" s="95">
        <v>24</v>
      </c>
      <c r="BO101" s="95">
        <v>24</v>
      </c>
      <c r="BP101" s="95">
        <v>24</v>
      </c>
      <c r="BQ101" s="95">
        <v>24</v>
      </c>
      <c r="BR101" s="95">
        <v>24</v>
      </c>
      <c r="BS101" s="96"/>
      <c r="BT101" s="96"/>
      <c r="BU101" s="162">
        <f>SUM(E101:AP101)</f>
        <v>888</v>
      </c>
    </row>
    <row r="102" spans="1:73" hidden="1" x14ac:dyDescent="0.2">
      <c r="A102" s="133" t="s">
        <v>181</v>
      </c>
      <c r="B102" s="125" t="s">
        <v>207</v>
      </c>
      <c r="C102" s="158"/>
      <c r="D102" s="161" t="s">
        <v>206</v>
      </c>
      <c r="E102" s="114">
        <f t="shared" ref="E102:BR102" si="39">E62</f>
        <v>0</v>
      </c>
      <c r="F102" s="95">
        <f t="shared" si="39"/>
        <v>0</v>
      </c>
      <c r="G102" s="95">
        <f t="shared" si="39"/>
        <v>0</v>
      </c>
      <c r="H102" s="95"/>
      <c r="I102" s="114" t="e">
        <f t="shared" si="39"/>
        <v>#REF!</v>
      </c>
      <c r="J102" s="114" t="e">
        <f t="shared" si="39"/>
        <v>#REF!</v>
      </c>
      <c r="K102" s="114" t="e">
        <f t="shared" si="39"/>
        <v>#REF!</v>
      </c>
      <c r="L102" s="114" t="e">
        <f t="shared" ref="L102:AK102" si="40">L62</f>
        <v>#REF!</v>
      </c>
      <c r="M102" s="114" t="e">
        <f t="shared" si="40"/>
        <v>#REF!</v>
      </c>
      <c r="N102" s="114" t="e">
        <f t="shared" si="40"/>
        <v>#REF!</v>
      </c>
      <c r="O102" s="114" t="e">
        <f t="shared" si="40"/>
        <v>#REF!</v>
      </c>
      <c r="P102" s="114" t="e">
        <f t="shared" si="40"/>
        <v>#REF!</v>
      </c>
      <c r="Q102" s="114" t="e">
        <f t="shared" si="40"/>
        <v>#REF!</v>
      </c>
      <c r="R102" s="114" t="e">
        <f t="shared" si="40"/>
        <v>#REF!</v>
      </c>
      <c r="S102" s="114" t="e">
        <f t="shared" si="40"/>
        <v>#REF!</v>
      </c>
      <c r="T102" s="114" t="e">
        <f t="shared" si="40"/>
        <v>#REF!</v>
      </c>
      <c r="U102" s="114" t="e">
        <f t="shared" si="40"/>
        <v>#REF!</v>
      </c>
      <c r="V102" s="114" t="e">
        <f t="shared" si="40"/>
        <v>#REF!</v>
      </c>
      <c r="W102" s="114" t="e">
        <f t="shared" si="40"/>
        <v>#REF!</v>
      </c>
      <c r="X102" s="114" t="e">
        <f t="shared" si="40"/>
        <v>#REF!</v>
      </c>
      <c r="Y102" s="114" t="e">
        <f t="shared" si="40"/>
        <v>#REF!</v>
      </c>
      <c r="Z102" s="114" t="e">
        <f t="shared" si="40"/>
        <v>#REF!</v>
      </c>
      <c r="AA102" s="114" t="e">
        <f t="shared" si="40"/>
        <v>#REF!</v>
      </c>
      <c r="AB102" s="114" t="e">
        <f t="shared" si="40"/>
        <v>#REF!</v>
      </c>
      <c r="AC102" s="114" t="e">
        <f t="shared" si="40"/>
        <v>#REF!</v>
      </c>
      <c r="AD102" s="114" t="e">
        <f t="shared" si="40"/>
        <v>#REF!</v>
      </c>
      <c r="AE102" s="114" t="e">
        <f t="shared" si="40"/>
        <v>#REF!</v>
      </c>
      <c r="AF102" s="114" t="e">
        <f t="shared" si="40"/>
        <v>#REF!</v>
      </c>
      <c r="AG102" s="114" t="e">
        <f t="shared" si="40"/>
        <v>#REF!</v>
      </c>
      <c r="AH102" s="114" t="e">
        <f t="shared" si="40"/>
        <v>#REF!</v>
      </c>
      <c r="AI102" s="114" t="e">
        <f t="shared" si="40"/>
        <v>#REF!</v>
      </c>
      <c r="AJ102" s="114" t="e">
        <f t="shared" ref="AJ102" si="41">AJ62</f>
        <v>#REF!</v>
      </c>
      <c r="AK102" s="114" t="e">
        <f t="shared" si="40"/>
        <v>#REF!</v>
      </c>
      <c r="AL102" s="114" t="e">
        <f t="shared" si="39"/>
        <v>#REF!</v>
      </c>
      <c r="AM102" s="114" t="e">
        <f t="shared" si="39"/>
        <v>#REF!</v>
      </c>
      <c r="AN102" s="114" t="e">
        <f t="shared" si="39"/>
        <v>#REF!</v>
      </c>
      <c r="AO102" s="114" t="e">
        <f t="shared" si="39"/>
        <v>#REF!</v>
      </c>
      <c r="AP102" s="114" t="e">
        <f t="shared" si="39"/>
        <v>#REF!</v>
      </c>
      <c r="AQ102" s="114" t="e">
        <f t="shared" si="39"/>
        <v>#REF!</v>
      </c>
      <c r="AR102" s="114" t="e">
        <f t="shared" si="39"/>
        <v>#REF!</v>
      </c>
      <c r="AS102" s="114" t="e">
        <f t="shared" si="39"/>
        <v>#REF!</v>
      </c>
      <c r="AT102" s="114" t="e">
        <f t="shared" si="39"/>
        <v>#REF!</v>
      </c>
      <c r="AU102" s="114" t="e">
        <f t="shared" si="39"/>
        <v>#REF!</v>
      </c>
      <c r="AV102" s="114" t="e">
        <f t="shared" si="39"/>
        <v>#REF!</v>
      </c>
      <c r="AW102" s="114" t="e">
        <f t="shared" si="39"/>
        <v>#REF!</v>
      </c>
      <c r="AX102" s="114" t="e">
        <f t="shared" si="39"/>
        <v>#REF!</v>
      </c>
      <c r="AY102" s="114" t="e">
        <f t="shared" si="39"/>
        <v>#REF!</v>
      </c>
      <c r="AZ102" s="114" t="e">
        <f t="shared" si="39"/>
        <v>#REF!</v>
      </c>
      <c r="BA102" s="114" t="e">
        <f t="shared" si="39"/>
        <v>#REF!</v>
      </c>
      <c r="BB102" s="114" t="e">
        <f t="shared" si="39"/>
        <v>#REF!</v>
      </c>
      <c r="BC102" s="114" t="e">
        <f t="shared" si="39"/>
        <v>#REF!</v>
      </c>
      <c r="BD102" s="114" t="e">
        <f t="shared" si="39"/>
        <v>#REF!</v>
      </c>
      <c r="BE102" s="114" t="e">
        <f t="shared" si="39"/>
        <v>#REF!</v>
      </c>
      <c r="BF102" s="114" t="e">
        <f t="shared" si="39"/>
        <v>#REF!</v>
      </c>
      <c r="BG102" s="114" t="e">
        <f t="shared" si="39"/>
        <v>#REF!</v>
      </c>
      <c r="BH102" s="114" t="e">
        <f t="shared" si="39"/>
        <v>#REF!</v>
      </c>
      <c r="BI102" s="114" t="e">
        <f t="shared" si="39"/>
        <v>#REF!</v>
      </c>
      <c r="BJ102" s="114">
        <f t="shared" si="39"/>
        <v>2</v>
      </c>
      <c r="BK102" s="114">
        <f t="shared" si="39"/>
        <v>2</v>
      </c>
      <c r="BL102" s="114">
        <f t="shared" si="39"/>
        <v>2</v>
      </c>
      <c r="BM102" s="114">
        <f t="shared" si="39"/>
        <v>2</v>
      </c>
      <c r="BN102" s="114">
        <f t="shared" si="39"/>
        <v>2</v>
      </c>
      <c r="BO102" s="114">
        <f t="shared" si="39"/>
        <v>2</v>
      </c>
      <c r="BP102" s="114">
        <f t="shared" si="39"/>
        <v>2</v>
      </c>
      <c r="BQ102" s="114">
        <f t="shared" si="39"/>
        <v>2</v>
      </c>
      <c r="BR102" s="114">
        <f t="shared" si="39"/>
        <v>2</v>
      </c>
      <c r="BS102" s="115"/>
      <c r="BT102" s="115"/>
      <c r="BU102" s="162" t="e">
        <f>SUM(E102:AP102)</f>
        <v>#REF!</v>
      </c>
    </row>
    <row r="103" spans="1:73" hidden="1" x14ac:dyDescent="0.2">
      <c r="A103" s="133" t="s">
        <v>183</v>
      </c>
      <c r="B103" s="125" t="s">
        <v>208</v>
      </c>
      <c r="C103" s="158"/>
      <c r="D103" s="161" t="s">
        <v>206</v>
      </c>
      <c r="E103" s="95">
        <v>0</v>
      </c>
      <c r="F103" s="95">
        <v>0</v>
      </c>
      <c r="G103" s="95">
        <v>0</v>
      </c>
      <c r="H103" s="95"/>
      <c r="I103" s="95">
        <v>0</v>
      </c>
      <c r="J103" s="95">
        <v>0</v>
      </c>
      <c r="K103" s="95">
        <v>0</v>
      </c>
      <c r="L103" s="95">
        <v>0</v>
      </c>
      <c r="M103" s="95">
        <v>0</v>
      </c>
      <c r="N103" s="95">
        <v>0</v>
      </c>
      <c r="O103" s="95">
        <v>0</v>
      </c>
      <c r="P103" s="95">
        <v>0</v>
      </c>
      <c r="Q103" s="95">
        <v>0</v>
      </c>
      <c r="R103" s="95">
        <v>0</v>
      </c>
      <c r="S103" s="95">
        <v>0</v>
      </c>
      <c r="T103" s="95">
        <v>0</v>
      </c>
      <c r="U103" s="95">
        <v>0</v>
      </c>
      <c r="V103" s="95">
        <v>0</v>
      </c>
      <c r="W103" s="95">
        <v>0</v>
      </c>
      <c r="X103" s="95">
        <v>0</v>
      </c>
      <c r="Y103" s="95">
        <v>0</v>
      </c>
      <c r="Z103" s="95">
        <v>0</v>
      </c>
      <c r="AA103" s="95">
        <v>0</v>
      </c>
      <c r="AB103" s="95">
        <v>0</v>
      </c>
      <c r="AC103" s="95">
        <v>0</v>
      </c>
      <c r="AD103" s="95">
        <v>0</v>
      </c>
      <c r="AE103" s="95">
        <v>0</v>
      </c>
      <c r="AF103" s="95">
        <v>0</v>
      </c>
      <c r="AG103" s="95">
        <v>0</v>
      </c>
      <c r="AH103" s="95">
        <v>0</v>
      </c>
      <c r="AI103" s="95">
        <v>0</v>
      </c>
      <c r="AJ103" s="95">
        <v>0</v>
      </c>
      <c r="AK103" s="95">
        <v>0</v>
      </c>
      <c r="AL103" s="95">
        <v>0</v>
      </c>
      <c r="AM103" s="95">
        <v>0</v>
      </c>
      <c r="AN103" s="95">
        <v>0</v>
      </c>
      <c r="AO103" s="96">
        <v>0</v>
      </c>
      <c r="AP103" s="96">
        <v>0</v>
      </c>
      <c r="AQ103" s="96">
        <v>0</v>
      </c>
      <c r="AR103" s="96">
        <v>0</v>
      </c>
      <c r="AS103" s="96">
        <v>0</v>
      </c>
      <c r="AT103" s="96">
        <v>0</v>
      </c>
      <c r="AU103" s="96">
        <v>0</v>
      </c>
      <c r="AV103" s="96">
        <v>0</v>
      </c>
      <c r="AW103" s="96">
        <v>0</v>
      </c>
      <c r="AX103" s="96">
        <v>0</v>
      </c>
      <c r="AY103" s="96">
        <v>0</v>
      </c>
      <c r="AZ103" s="96">
        <v>0</v>
      </c>
      <c r="BA103" s="96">
        <v>0</v>
      </c>
      <c r="BB103" s="96">
        <v>0</v>
      </c>
      <c r="BC103" s="96">
        <v>0</v>
      </c>
      <c r="BD103" s="96">
        <v>0</v>
      </c>
      <c r="BE103" s="96">
        <v>0</v>
      </c>
      <c r="BF103" s="96">
        <v>0</v>
      </c>
      <c r="BG103" s="96">
        <v>0</v>
      </c>
      <c r="BH103" s="96">
        <v>0</v>
      </c>
      <c r="BI103" s="96">
        <v>0</v>
      </c>
      <c r="BJ103" s="96">
        <v>0</v>
      </c>
      <c r="BK103" s="96">
        <v>0</v>
      </c>
      <c r="BL103" s="96">
        <v>0</v>
      </c>
      <c r="BM103" s="96">
        <v>0</v>
      </c>
      <c r="BN103" s="96">
        <v>0</v>
      </c>
      <c r="BO103" s="96">
        <v>0</v>
      </c>
      <c r="BP103" s="96">
        <v>0</v>
      </c>
      <c r="BQ103" s="96">
        <v>0</v>
      </c>
      <c r="BR103" s="96">
        <v>0</v>
      </c>
      <c r="BS103" s="96"/>
      <c r="BT103" s="96"/>
      <c r="BU103" s="162">
        <f>SUM(E103:AP103)</f>
        <v>0</v>
      </c>
    </row>
    <row r="104" spans="1:73" hidden="1" x14ac:dyDescent="0.2">
      <c r="A104" s="133"/>
      <c r="B104" s="125"/>
      <c r="C104" s="158"/>
      <c r="D104" s="161"/>
      <c r="E104" s="114"/>
      <c r="F104" s="161"/>
      <c r="G104" s="114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  <c r="BN104" s="130"/>
      <c r="BO104" s="130"/>
      <c r="BP104" s="130"/>
      <c r="BQ104" s="130"/>
      <c r="BR104" s="130"/>
      <c r="BS104" s="130"/>
      <c r="BT104" s="130"/>
      <c r="BU104" s="162"/>
    </row>
    <row r="105" spans="1:73" hidden="1" x14ac:dyDescent="0.2">
      <c r="A105" s="133" t="s">
        <v>209</v>
      </c>
      <c r="B105" s="125" t="s">
        <v>210</v>
      </c>
      <c r="C105" s="158"/>
      <c r="D105" s="161" t="s">
        <v>211</v>
      </c>
      <c r="E105" s="95">
        <f>E97*E98*E99*60/1000000</f>
        <v>0</v>
      </c>
      <c r="F105" s="95">
        <f>F97*F98*F99*60/1000000</f>
        <v>0</v>
      </c>
      <c r="G105" s="95">
        <f>G97*G98*G99*60/1000000</f>
        <v>0</v>
      </c>
      <c r="H105" s="95"/>
      <c r="I105" s="95" t="e">
        <f>I97*I98*I99*60/1000000</f>
        <v>#REF!</v>
      </c>
      <c r="J105" s="95" t="e">
        <f t="shared" ref="J105:BR105" si="42">J97*J98*J99*60/1000000</f>
        <v>#REF!</v>
      </c>
      <c r="K105" s="95" t="e">
        <f t="shared" si="42"/>
        <v>#REF!</v>
      </c>
      <c r="L105" s="95" t="e">
        <f t="shared" ref="L105:AK105" si="43">L97*L98*L99*60/1000000</f>
        <v>#REF!</v>
      </c>
      <c r="M105" s="95" t="e">
        <f t="shared" si="43"/>
        <v>#REF!</v>
      </c>
      <c r="N105" s="95" t="e">
        <f t="shared" si="43"/>
        <v>#REF!</v>
      </c>
      <c r="O105" s="95" t="e">
        <f t="shared" si="43"/>
        <v>#REF!</v>
      </c>
      <c r="P105" s="95" t="e">
        <f t="shared" si="43"/>
        <v>#REF!</v>
      </c>
      <c r="Q105" s="95" t="e">
        <f t="shared" si="43"/>
        <v>#REF!</v>
      </c>
      <c r="R105" s="95" t="e">
        <f t="shared" si="43"/>
        <v>#REF!</v>
      </c>
      <c r="S105" s="95" t="e">
        <f t="shared" si="43"/>
        <v>#REF!</v>
      </c>
      <c r="T105" s="95" t="e">
        <f t="shared" si="43"/>
        <v>#REF!</v>
      </c>
      <c r="U105" s="95" t="e">
        <f t="shared" si="43"/>
        <v>#REF!</v>
      </c>
      <c r="V105" s="95" t="e">
        <f t="shared" si="43"/>
        <v>#REF!</v>
      </c>
      <c r="W105" s="95" t="e">
        <f t="shared" si="43"/>
        <v>#REF!</v>
      </c>
      <c r="X105" s="95" t="e">
        <f t="shared" si="43"/>
        <v>#REF!</v>
      </c>
      <c r="Y105" s="95" t="e">
        <f t="shared" si="43"/>
        <v>#REF!</v>
      </c>
      <c r="Z105" s="95" t="e">
        <f t="shared" si="43"/>
        <v>#REF!</v>
      </c>
      <c r="AA105" s="95" t="e">
        <f t="shared" si="43"/>
        <v>#REF!</v>
      </c>
      <c r="AB105" s="95" t="e">
        <f t="shared" si="43"/>
        <v>#REF!</v>
      </c>
      <c r="AC105" s="95" t="e">
        <f t="shared" si="43"/>
        <v>#REF!</v>
      </c>
      <c r="AD105" s="95" t="e">
        <f t="shared" si="43"/>
        <v>#REF!</v>
      </c>
      <c r="AE105" s="95" t="e">
        <f t="shared" si="43"/>
        <v>#REF!</v>
      </c>
      <c r="AF105" s="95" t="e">
        <f t="shared" si="43"/>
        <v>#REF!</v>
      </c>
      <c r="AG105" s="95" t="e">
        <f t="shared" si="43"/>
        <v>#REF!</v>
      </c>
      <c r="AH105" s="95" t="e">
        <f t="shared" si="43"/>
        <v>#REF!</v>
      </c>
      <c r="AI105" s="95" t="e">
        <f t="shared" si="43"/>
        <v>#REF!</v>
      </c>
      <c r="AJ105" s="95" t="e">
        <f t="shared" ref="AJ105" si="44">AJ97*AJ98*AJ99*60/1000000</f>
        <v>#REF!</v>
      </c>
      <c r="AK105" s="95" t="e">
        <f t="shared" si="43"/>
        <v>#REF!</v>
      </c>
      <c r="AL105" s="95" t="e">
        <f t="shared" si="42"/>
        <v>#REF!</v>
      </c>
      <c r="AM105" s="95" t="e">
        <f t="shared" si="42"/>
        <v>#REF!</v>
      </c>
      <c r="AN105" s="95" t="e">
        <f t="shared" si="42"/>
        <v>#REF!</v>
      </c>
      <c r="AO105" s="95" t="e">
        <f t="shared" si="42"/>
        <v>#REF!</v>
      </c>
      <c r="AP105" s="95" t="e">
        <f t="shared" si="42"/>
        <v>#REF!</v>
      </c>
      <c r="AQ105" s="95" t="e">
        <f t="shared" si="42"/>
        <v>#REF!</v>
      </c>
      <c r="AR105" s="95" t="e">
        <f t="shared" si="42"/>
        <v>#REF!</v>
      </c>
      <c r="AS105" s="95" t="e">
        <f t="shared" si="42"/>
        <v>#REF!</v>
      </c>
      <c r="AT105" s="95" t="e">
        <f t="shared" si="42"/>
        <v>#REF!</v>
      </c>
      <c r="AU105" s="95" t="e">
        <f t="shared" si="42"/>
        <v>#REF!</v>
      </c>
      <c r="AV105" s="95" t="e">
        <f t="shared" si="42"/>
        <v>#REF!</v>
      </c>
      <c r="AW105" s="95" t="e">
        <f t="shared" si="42"/>
        <v>#REF!</v>
      </c>
      <c r="AX105" s="95" t="e">
        <f t="shared" si="42"/>
        <v>#REF!</v>
      </c>
      <c r="AY105" s="95" t="e">
        <f t="shared" si="42"/>
        <v>#REF!</v>
      </c>
      <c r="AZ105" s="95" t="e">
        <f t="shared" si="42"/>
        <v>#REF!</v>
      </c>
      <c r="BA105" s="95" t="e">
        <f t="shared" si="42"/>
        <v>#REF!</v>
      </c>
      <c r="BB105" s="95" t="e">
        <f t="shared" si="42"/>
        <v>#REF!</v>
      </c>
      <c r="BC105" s="95" t="e">
        <f t="shared" si="42"/>
        <v>#REF!</v>
      </c>
      <c r="BD105" s="95" t="e">
        <f t="shared" si="42"/>
        <v>#REF!</v>
      </c>
      <c r="BE105" s="95" t="e">
        <f t="shared" si="42"/>
        <v>#REF!</v>
      </c>
      <c r="BF105" s="95" t="e">
        <f t="shared" si="42"/>
        <v>#REF!</v>
      </c>
      <c r="BG105" s="95" t="e">
        <f t="shared" si="42"/>
        <v>#REF!</v>
      </c>
      <c r="BH105" s="95" t="e">
        <f t="shared" si="42"/>
        <v>#REF!</v>
      </c>
      <c r="BI105" s="95" t="e">
        <f t="shared" si="42"/>
        <v>#REF!</v>
      </c>
      <c r="BJ105" s="95" t="e">
        <f t="shared" si="42"/>
        <v>#REF!</v>
      </c>
      <c r="BK105" s="95" t="e">
        <f t="shared" si="42"/>
        <v>#REF!</v>
      </c>
      <c r="BL105" s="95" t="e">
        <f t="shared" si="42"/>
        <v>#REF!</v>
      </c>
      <c r="BM105" s="95" t="e">
        <f t="shared" si="42"/>
        <v>#REF!</v>
      </c>
      <c r="BN105" s="95" t="e">
        <f t="shared" si="42"/>
        <v>#REF!</v>
      </c>
      <c r="BO105" s="95" t="e">
        <f t="shared" si="42"/>
        <v>#REF!</v>
      </c>
      <c r="BP105" s="95" t="e">
        <f t="shared" si="42"/>
        <v>#REF!</v>
      </c>
      <c r="BQ105" s="95" t="e">
        <f t="shared" si="42"/>
        <v>#REF!</v>
      </c>
      <c r="BR105" s="95" t="e">
        <f t="shared" si="42"/>
        <v>#REF!</v>
      </c>
      <c r="BS105" s="96"/>
      <c r="BT105" s="96"/>
      <c r="BU105" s="162" t="e">
        <f>BU97*BU98*BU99*60/1000000</f>
        <v>#REF!</v>
      </c>
    </row>
    <row r="106" spans="1:73" hidden="1" x14ac:dyDescent="0.2">
      <c r="A106" s="133" t="s">
        <v>212</v>
      </c>
      <c r="B106" s="125" t="s">
        <v>213</v>
      </c>
      <c r="C106" s="158"/>
      <c r="D106" s="161" t="s">
        <v>214</v>
      </c>
      <c r="E106" s="95" t="e">
        <f t="shared" ref="E106:BU106" si="45">1/E105</f>
        <v>#DIV/0!</v>
      </c>
      <c r="F106" s="95" t="e">
        <f t="shared" si="45"/>
        <v>#DIV/0!</v>
      </c>
      <c r="G106" s="95" t="e">
        <f t="shared" si="45"/>
        <v>#DIV/0!</v>
      </c>
      <c r="H106" s="95"/>
      <c r="I106" s="95" t="e">
        <f t="shared" si="45"/>
        <v>#REF!</v>
      </c>
      <c r="J106" s="95" t="e">
        <f t="shared" si="45"/>
        <v>#REF!</v>
      </c>
      <c r="K106" s="95" t="e">
        <f t="shared" si="45"/>
        <v>#REF!</v>
      </c>
      <c r="L106" s="95" t="e">
        <f t="shared" ref="L106:AK106" si="46">1/L105</f>
        <v>#REF!</v>
      </c>
      <c r="M106" s="95" t="e">
        <f t="shared" si="46"/>
        <v>#REF!</v>
      </c>
      <c r="N106" s="95" t="e">
        <f t="shared" si="46"/>
        <v>#REF!</v>
      </c>
      <c r="O106" s="95" t="e">
        <f t="shared" si="46"/>
        <v>#REF!</v>
      </c>
      <c r="P106" s="95" t="e">
        <f t="shared" si="46"/>
        <v>#REF!</v>
      </c>
      <c r="Q106" s="95" t="e">
        <f t="shared" si="46"/>
        <v>#REF!</v>
      </c>
      <c r="R106" s="95" t="e">
        <f t="shared" si="46"/>
        <v>#REF!</v>
      </c>
      <c r="S106" s="95" t="e">
        <f t="shared" si="46"/>
        <v>#REF!</v>
      </c>
      <c r="T106" s="95" t="e">
        <f t="shared" si="46"/>
        <v>#REF!</v>
      </c>
      <c r="U106" s="95" t="e">
        <f t="shared" si="46"/>
        <v>#REF!</v>
      </c>
      <c r="V106" s="95" t="e">
        <f t="shared" si="46"/>
        <v>#REF!</v>
      </c>
      <c r="W106" s="95" t="e">
        <f t="shared" si="46"/>
        <v>#REF!</v>
      </c>
      <c r="X106" s="95" t="e">
        <f t="shared" si="46"/>
        <v>#REF!</v>
      </c>
      <c r="Y106" s="95" t="e">
        <f t="shared" si="46"/>
        <v>#REF!</v>
      </c>
      <c r="Z106" s="95" t="e">
        <f t="shared" si="46"/>
        <v>#REF!</v>
      </c>
      <c r="AA106" s="95" t="e">
        <f t="shared" si="46"/>
        <v>#REF!</v>
      </c>
      <c r="AB106" s="95" t="e">
        <f t="shared" si="46"/>
        <v>#REF!</v>
      </c>
      <c r="AC106" s="95" t="e">
        <f t="shared" si="46"/>
        <v>#REF!</v>
      </c>
      <c r="AD106" s="95" t="e">
        <f t="shared" si="46"/>
        <v>#REF!</v>
      </c>
      <c r="AE106" s="95" t="e">
        <f t="shared" si="46"/>
        <v>#REF!</v>
      </c>
      <c r="AF106" s="95" t="e">
        <f t="shared" si="46"/>
        <v>#REF!</v>
      </c>
      <c r="AG106" s="95" t="e">
        <f t="shared" si="46"/>
        <v>#REF!</v>
      </c>
      <c r="AH106" s="95" t="e">
        <f t="shared" si="46"/>
        <v>#REF!</v>
      </c>
      <c r="AI106" s="95" t="e">
        <f t="shared" si="46"/>
        <v>#REF!</v>
      </c>
      <c r="AJ106" s="95" t="e">
        <f t="shared" ref="AJ106" si="47">1/AJ105</f>
        <v>#REF!</v>
      </c>
      <c r="AK106" s="95" t="e">
        <f t="shared" si="46"/>
        <v>#REF!</v>
      </c>
      <c r="AL106" s="95" t="e">
        <f t="shared" si="45"/>
        <v>#REF!</v>
      </c>
      <c r="AM106" s="95" t="e">
        <f t="shared" si="45"/>
        <v>#REF!</v>
      </c>
      <c r="AN106" s="95" t="e">
        <f t="shared" si="45"/>
        <v>#REF!</v>
      </c>
      <c r="AO106" s="95" t="e">
        <f t="shared" si="45"/>
        <v>#REF!</v>
      </c>
      <c r="AP106" s="95" t="e">
        <f t="shared" si="45"/>
        <v>#REF!</v>
      </c>
      <c r="AQ106" s="95" t="e">
        <f t="shared" si="45"/>
        <v>#REF!</v>
      </c>
      <c r="AR106" s="95" t="e">
        <f t="shared" si="45"/>
        <v>#REF!</v>
      </c>
      <c r="AS106" s="95" t="e">
        <f t="shared" si="45"/>
        <v>#REF!</v>
      </c>
      <c r="AT106" s="95" t="e">
        <f t="shared" si="45"/>
        <v>#REF!</v>
      </c>
      <c r="AU106" s="95" t="e">
        <f t="shared" si="45"/>
        <v>#REF!</v>
      </c>
      <c r="AV106" s="95" t="e">
        <f t="shared" si="45"/>
        <v>#REF!</v>
      </c>
      <c r="AW106" s="95" t="e">
        <f t="shared" si="45"/>
        <v>#REF!</v>
      </c>
      <c r="AX106" s="95" t="e">
        <f t="shared" si="45"/>
        <v>#REF!</v>
      </c>
      <c r="AY106" s="95" t="e">
        <f t="shared" si="45"/>
        <v>#REF!</v>
      </c>
      <c r="AZ106" s="95" t="e">
        <f t="shared" si="45"/>
        <v>#REF!</v>
      </c>
      <c r="BA106" s="95" t="e">
        <f t="shared" si="45"/>
        <v>#REF!</v>
      </c>
      <c r="BB106" s="95" t="e">
        <f t="shared" si="45"/>
        <v>#REF!</v>
      </c>
      <c r="BC106" s="95" t="e">
        <f t="shared" si="45"/>
        <v>#REF!</v>
      </c>
      <c r="BD106" s="95" t="e">
        <f t="shared" si="45"/>
        <v>#REF!</v>
      </c>
      <c r="BE106" s="95" t="e">
        <f t="shared" si="45"/>
        <v>#REF!</v>
      </c>
      <c r="BF106" s="95" t="e">
        <f t="shared" si="45"/>
        <v>#REF!</v>
      </c>
      <c r="BG106" s="95" t="e">
        <f t="shared" si="45"/>
        <v>#REF!</v>
      </c>
      <c r="BH106" s="95" t="e">
        <f t="shared" si="45"/>
        <v>#REF!</v>
      </c>
      <c r="BI106" s="95" t="e">
        <f t="shared" si="45"/>
        <v>#REF!</v>
      </c>
      <c r="BJ106" s="95" t="e">
        <f t="shared" si="45"/>
        <v>#REF!</v>
      </c>
      <c r="BK106" s="95" t="e">
        <f t="shared" si="45"/>
        <v>#REF!</v>
      </c>
      <c r="BL106" s="95" t="e">
        <f t="shared" si="45"/>
        <v>#REF!</v>
      </c>
      <c r="BM106" s="95" t="e">
        <f t="shared" si="45"/>
        <v>#REF!</v>
      </c>
      <c r="BN106" s="95" t="e">
        <f t="shared" si="45"/>
        <v>#REF!</v>
      </c>
      <c r="BO106" s="95" t="e">
        <f t="shared" si="45"/>
        <v>#REF!</v>
      </c>
      <c r="BP106" s="95" t="e">
        <f t="shared" si="45"/>
        <v>#REF!</v>
      </c>
      <c r="BQ106" s="95" t="e">
        <f t="shared" si="45"/>
        <v>#REF!</v>
      </c>
      <c r="BR106" s="95" t="e">
        <f t="shared" si="45"/>
        <v>#REF!</v>
      </c>
      <c r="BS106" s="96"/>
      <c r="BT106" s="96"/>
      <c r="BU106" s="162" t="e">
        <f t="shared" si="45"/>
        <v>#REF!</v>
      </c>
    </row>
    <row r="107" spans="1:73" hidden="1" x14ac:dyDescent="0.2">
      <c r="A107" s="133" t="s">
        <v>215</v>
      </c>
      <c r="B107" s="125" t="s">
        <v>216</v>
      </c>
      <c r="C107" s="158"/>
      <c r="D107" s="161" t="s">
        <v>206</v>
      </c>
      <c r="E107" s="95">
        <f t="shared" ref="E107:BU107" si="48">E101-E103</f>
        <v>24</v>
      </c>
      <c r="F107" s="95">
        <f t="shared" si="48"/>
        <v>24</v>
      </c>
      <c r="G107" s="95">
        <f t="shared" si="48"/>
        <v>24</v>
      </c>
      <c r="H107" s="95"/>
      <c r="I107" s="95">
        <f t="shared" si="48"/>
        <v>24</v>
      </c>
      <c r="J107" s="95">
        <f t="shared" si="48"/>
        <v>24</v>
      </c>
      <c r="K107" s="95">
        <f t="shared" si="48"/>
        <v>24</v>
      </c>
      <c r="L107" s="95">
        <f t="shared" ref="L107:AK107" si="49">L101-L103</f>
        <v>24</v>
      </c>
      <c r="M107" s="95">
        <f t="shared" si="49"/>
        <v>24</v>
      </c>
      <c r="N107" s="95">
        <f t="shared" si="49"/>
        <v>24</v>
      </c>
      <c r="O107" s="95">
        <f t="shared" si="49"/>
        <v>24</v>
      </c>
      <c r="P107" s="95">
        <f t="shared" si="49"/>
        <v>24</v>
      </c>
      <c r="Q107" s="95">
        <f t="shared" si="49"/>
        <v>24</v>
      </c>
      <c r="R107" s="95">
        <f t="shared" si="49"/>
        <v>24</v>
      </c>
      <c r="S107" s="95">
        <f t="shared" si="49"/>
        <v>24</v>
      </c>
      <c r="T107" s="95">
        <f t="shared" si="49"/>
        <v>24</v>
      </c>
      <c r="U107" s="95">
        <f t="shared" si="49"/>
        <v>24</v>
      </c>
      <c r="V107" s="95">
        <f t="shared" si="49"/>
        <v>24</v>
      </c>
      <c r="W107" s="95">
        <f t="shared" si="49"/>
        <v>24</v>
      </c>
      <c r="X107" s="95">
        <f t="shared" si="49"/>
        <v>24</v>
      </c>
      <c r="Y107" s="95">
        <f t="shared" si="49"/>
        <v>24</v>
      </c>
      <c r="Z107" s="95">
        <f t="shared" si="49"/>
        <v>24</v>
      </c>
      <c r="AA107" s="95">
        <f t="shared" si="49"/>
        <v>24</v>
      </c>
      <c r="AB107" s="95">
        <f t="shared" si="49"/>
        <v>24</v>
      </c>
      <c r="AC107" s="95">
        <f t="shared" si="49"/>
        <v>24</v>
      </c>
      <c r="AD107" s="95">
        <f t="shared" si="49"/>
        <v>24</v>
      </c>
      <c r="AE107" s="95">
        <f t="shared" si="49"/>
        <v>24</v>
      </c>
      <c r="AF107" s="95">
        <f t="shared" si="49"/>
        <v>24</v>
      </c>
      <c r="AG107" s="95">
        <f t="shared" si="49"/>
        <v>24</v>
      </c>
      <c r="AH107" s="95">
        <f t="shared" si="49"/>
        <v>24</v>
      </c>
      <c r="AI107" s="95">
        <f t="shared" si="49"/>
        <v>24</v>
      </c>
      <c r="AJ107" s="95">
        <f t="shared" ref="AJ107" si="50">AJ101-AJ103</f>
        <v>24</v>
      </c>
      <c r="AK107" s="95">
        <f t="shared" si="49"/>
        <v>24</v>
      </c>
      <c r="AL107" s="95">
        <f t="shared" si="48"/>
        <v>24</v>
      </c>
      <c r="AM107" s="95">
        <f t="shared" si="48"/>
        <v>24</v>
      </c>
      <c r="AN107" s="95">
        <f t="shared" si="48"/>
        <v>24</v>
      </c>
      <c r="AO107" s="95">
        <f t="shared" si="48"/>
        <v>24</v>
      </c>
      <c r="AP107" s="95">
        <f t="shared" si="48"/>
        <v>24</v>
      </c>
      <c r="AQ107" s="95">
        <f t="shared" si="48"/>
        <v>24</v>
      </c>
      <c r="AR107" s="95">
        <f t="shared" si="48"/>
        <v>24</v>
      </c>
      <c r="AS107" s="95">
        <f t="shared" si="48"/>
        <v>24</v>
      </c>
      <c r="AT107" s="95">
        <f t="shared" si="48"/>
        <v>24</v>
      </c>
      <c r="AU107" s="95">
        <f t="shared" si="48"/>
        <v>24</v>
      </c>
      <c r="AV107" s="95">
        <f t="shared" si="48"/>
        <v>24</v>
      </c>
      <c r="AW107" s="95">
        <f t="shared" si="48"/>
        <v>24</v>
      </c>
      <c r="AX107" s="95">
        <f t="shared" si="48"/>
        <v>24</v>
      </c>
      <c r="AY107" s="95">
        <f t="shared" si="48"/>
        <v>24</v>
      </c>
      <c r="AZ107" s="95">
        <f t="shared" si="48"/>
        <v>24</v>
      </c>
      <c r="BA107" s="95">
        <f t="shared" si="48"/>
        <v>24</v>
      </c>
      <c r="BB107" s="95">
        <f t="shared" si="48"/>
        <v>24</v>
      </c>
      <c r="BC107" s="95">
        <f t="shared" si="48"/>
        <v>24</v>
      </c>
      <c r="BD107" s="95">
        <f t="shared" si="48"/>
        <v>24</v>
      </c>
      <c r="BE107" s="95">
        <f t="shared" si="48"/>
        <v>24</v>
      </c>
      <c r="BF107" s="95">
        <f t="shared" si="48"/>
        <v>24</v>
      </c>
      <c r="BG107" s="95">
        <f t="shared" si="48"/>
        <v>24</v>
      </c>
      <c r="BH107" s="95">
        <f t="shared" si="48"/>
        <v>24</v>
      </c>
      <c r="BI107" s="95">
        <f t="shared" si="48"/>
        <v>24</v>
      </c>
      <c r="BJ107" s="95">
        <f t="shared" si="48"/>
        <v>24</v>
      </c>
      <c r="BK107" s="95">
        <f t="shared" si="48"/>
        <v>24</v>
      </c>
      <c r="BL107" s="95">
        <f t="shared" si="48"/>
        <v>24</v>
      </c>
      <c r="BM107" s="95">
        <f t="shared" si="48"/>
        <v>24</v>
      </c>
      <c r="BN107" s="95">
        <f t="shared" si="48"/>
        <v>24</v>
      </c>
      <c r="BO107" s="95">
        <f t="shared" si="48"/>
        <v>24</v>
      </c>
      <c r="BP107" s="95">
        <f t="shared" si="48"/>
        <v>24</v>
      </c>
      <c r="BQ107" s="95">
        <f t="shared" si="48"/>
        <v>24</v>
      </c>
      <c r="BR107" s="95">
        <f t="shared" si="48"/>
        <v>24</v>
      </c>
      <c r="BS107" s="96"/>
      <c r="BT107" s="96"/>
      <c r="BU107" s="162">
        <f t="shared" si="48"/>
        <v>888</v>
      </c>
    </row>
    <row r="108" spans="1:73" hidden="1" x14ac:dyDescent="0.2">
      <c r="A108" s="133" t="s">
        <v>217</v>
      </c>
      <c r="B108" s="125" t="s">
        <v>218</v>
      </c>
      <c r="C108" s="158"/>
      <c r="D108" s="161" t="s">
        <v>206</v>
      </c>
      <c r="E108" s="95">
        <f t="shared" ref="E108:BU108" si="51">E101-E102</f>
        <v>24</v>
      </c>
      <c r="F108" s="95">
        <f t="shared" si="51"/>
        <v>24</v>
      </c>
      <c r="G108" s="95">
        <f t="shared" si="51"/>
        <v>24</v>
      </c>
      <c r="H108" s="95"/>
      <c r="I108" s="95" t="e">
        <f t="shared" si="51"/>
        <v>#REF!</v>
      </c>
      <c r="J108" s="95" t="e">
        <f t="shared" si="51"/>
        <v>#REF!</v>
      </c>
      <c r="K108" s="95" t="e">
        <f t="shared" si="51"/>
        <v>#REF!</v>
      </c>
      <c r="L108" s="95" t="e">
        <f t="shared" ref="L108:AK108" si="52">L101-L102</f>
        <v>#REF!</v>
      </c>
      <c r="M108" s="95" t="e">
        <f t="shared" si="52"/>
        <v>#REF!</v>
      </c>
      <c r="N108" s="95" t="e">
        <f t="shared" si="52"/>
        <v>#REF!</v>
      </c>
      <c r="O108" s="95" t="e">
        <f t="shared" si="52"/>
        <v>#REF!</v>
      </c>
      <c r="P108" s="95" t="e">
        <f t="shared" si="52"/>
        <v>#REF!</v>
      </c>
      <c r="Q108" s="95" t="e">
        <f t="shared" si="52"/>
        <v>#REF!</v>
      </c>
      <c r="R108" s="95" t="e">
        <f t="shared" si="52"/>
        <v>#REF!</v>
      </c>
      <c r="S108" s="95" t="e">
        <f t="shared" si="52"/>
        <v>#REF!</v>
      </c>
      <c r="T108" s="95" t="e">
        <f t="shared" si="52"/>
        <v>#REF!</v>
      </c>
      <c r="U108" s="95" t="e">
        <f t="shared" si="52"/>
        <v>#REF!</v>
      </c>
      <c r="V108" s="95" t="e">
        <f t="shared" si="52"/>
        <v>#REF!</v>
      </c>
      <c r="W108" s="95" t="e">
        <f t="shared" si="52"/>
        <v>#REF!</v>
      </c>
      <c r="X108" s="95" t="e">
        <f t="shared" si="52"/>
        <v>#REF!</v>
      </c>
      <c r="Y108" s="95" t="e">
        <f t="shared" si="52"/>
        <v>#REF!</v>
      </c>
      <c r="Z108" s="95" t="e">
        <f t="shared" si="52"/>
        <v>#REF!</v>
      </c>
      <c r="AA108" s="95" t="e">
        <f t="shared" si="52"/>
        <v>#REF!</v>
      </c>
      <c r="AB108" s="95" t="e">
        <f t="shared" si="52"/>
        <v>#REF!</v>
      </c>
      <c r="AC108" s="95" t="e">
        <f t="shared" si="52"/>
        <v>#REF!</v>
      </c>
      <c r="AD108" s="95" t="e">
        <f t="shared" si="52"/>
        <v>#REF!</v>
      </c>
      <c r="AE108" s="95" t="e">
        <f t="shared" si="52"/>
        <v>#REF!</v>
      </c>
      <c r="AF108" s="95" t="e">
        <f t="shared" si="52"/>
        <v>#REF!</v>
      </c>
      <c r="AG108" s="95" t="e">
        <f t="shared" si="52"/>
        <v>#REF!</v>
      </c>
      <c r="AH108" s="95" t="e">
        <f t="shared" si="52"/>
        <v>#REF!</v>
      </c>
      <c r="AI108" s="95" t="e">
        <f t="shared" si="52"/>
        <v>#REF!</v>
      </c>
      <c r="AJ108" s="95" t="e">
        <f t="shared" ref="AJ108" si="53">AJ101-AJ102</f>
        <v>#REF!</v>
      </c>
      <c r="AK108" s="95" t="e">
        <f t="shared" si="52"/>
        <v>#REF!</v>
      </c>
      <c r="AL108" s="95" t="e">
        <f t="shared" si="51"/>
        <v>#REF!</v>
      </c>
      <c r="AM108" s="95" t="e">
        <f t="shared" si="51"/>
        <v>#REF!</v>
      </c>
      <c r="AN108" s="95" t="e">
        <f t="shared" si="51"/>
        <v>#REF!</v>
      </c>
      <c r="AO108" s="95" t="e">
        <f t="shared" si="51"/>
        <v>#REF!</v>
      </c>
      <c r="AP108" s="95" t="e">
        <f t="shared" si="51"/>
        <v>#REF!</v>
      </c>
      <c r="AQ108" s="95" t="e">
        <f t="shared" si="51"/>
        <v>#REF!</v>
      </c>
      <c r="AR108" s="95" t="e">
        <f t="shared" si="51"/>
        <v>#REF!</v>
      </c>
      <c r="AS108" s="95" t="e">
        <f t="shared" si="51"/>
        <v>#REF!</v>
      </c>
      <c r="AT108" s="95" t="e">
        <f t="shared" si="51"/>
        <v>#REF!</v>
      </c>
      <c r="AU108" s="95" t="e">
        <f t="shared" si="51"/>
        <v>#REF!</v>
      </c>
      <c r="AV108" s="95" t="e">
        <f t="shared" si="51"/>
        <v>#REF!</v>
      </c>
      <c r="AW108" s="95" t="e">
        <f t="shared" si="51"/>
        <v>#REF!</v>
      </c>
      <c r="AX108" s="95" t="e">
        <f t="shared" si="51"/>
        <v>#REF!</v>
      </c>
      <c r="AY108" s="95" t="e">
        <f t="shared" si="51"/>
        <v>#REF!</v>
      </c>
      <c r="AZ108" s="95" t="e">
        <f t="shared" si="51"/>
        <v>#REF!</v>
      </c>
      <c r="BA108" s="95" t="e">
        <f t="shared" si="51"/>
        <v>#REF!</v>
      </c>
      <c r="BB108" s="95" t="e">
        <f t="shared" si="51"/>
        <v>#REF!</v>
      </c>
      <c r="BC108" s="95" t="e">
        <f t="shared" si="51"/>
        <v>#REF!</v>
      </c>
      <c r="BD108" s="95" t="e">
        <f t="shared" si="51"/>
        <v>#REF!</v>
      </c>
      <c r="BE108" s="95" t="e">
        <f t="shared" si="51"/>
        <v>#REF!</v>
      </c>
      <c r="BF108" s="95" t="e">
        <f t="shared" si="51"/>
        <v>#REF!</v>
      </c>
      <c r="BG108" s="95" t="e">
        <f t="shared" si="51"/>
        <v>#REF!</v>
      </c>
      <c r="BH108" s="95" t="e">
        <f t="shared" si="51"/>
        <v>#REF!</v>
      </c>
      <c r="BI108" s="95" t="e">
        <f t="shared" si="51"/>
        <v>#REF!</v>
      </c>
      <c r="BJ108" s="95">
        <f t="shared" si="51"/>
        <v>22</v>
      </c>
      <c r="BK108" s="95">
        <f t="shared" si="51"/>
        <v>22</v>
      </c>
      <c r="BL108" s="95">
        <f t="shared" si="51"/>
        <v>22</v>
      </c>
      <c r="BM108" s="95">
        <f t="shared" si="51"/>
        <v>22</v>
      </c>
      <c r="BN108" s="95">
        <f t="shared" si="51"/>
        <v>22</v>
      </c>
      <c r="BO108" s="95">
        <f t="shared" si="51"/>
        <v>22</v>
      </c>
      <c r="BP108" s="95">
        <f t="shared" si="51"/>
        <v>22</v>
      </c>
      <c r="BQ108" s="95">
        <f t="shared" si="51"/>
        <v>22</v>
      </c>
      <c r="BR108" s="95">
        <f t="shared" si="51"/>
        <v>22</v>
      </c>
      <c r="BS108" s="96"/>
      <c r="BT108" s="96"/>
      <c r="BU108" s="162" t="e">
        <f t="shared" si="51"/>
        <v>#REF!</v>
      </c>
    </row>
    <row r="109" spans="1:73" hidden="1" x14ac:dyDescent="0.2">
      <c r="A109" s="133" t="s">
        <v>219</v>
      </c>
      <c r="B109" s="125" t="s">
        <v>220</v>
      </c>
      <c r="C109" s="158"/>
      <c r="D109" s="161"/>
      <c r="E109" s="95">
        <f t="shared" ref="E109:BU109" si="54">E108/E107</f>
        <v>1</v>
      </c>
      <c r="F109" s="95">
        <f t="shared" si="54"/>
        <v>1</v>
      </c>
      <c r="G109" s="95">
        <f t="shared" si="54"/>
        <v>1</v>
      </c>
      <c r="H109" s="95"/>
      <c r="I109" s="95" t="e">
        <f t="shared" si="54"/>
        <v>#REF!</v>
      </c>
      <c r="J109" s="95" t="e">
        <f t="shared" si="54"/>
        <v>#REF!</v>
      </c>
      <c r="K109" s="95" t="e">
        <f t="shared" si="54"/>
        <v>#REF!</v>
      </c>
      <c r="L109" s="95" t="e">
        <f t="shared" ref="L109:AK109" si="55">L108/L107</f>
        <v>#REF!</v>
      </c>
      <c r="M109" s="95" t="e">
        <f t="shared" si="55"/>
        <v>#REF!</v>
      </c>
      <c r="N109" s="95" t="e">
        <f t="shared" si="55"/>
        <v>#REF!</v>
      </c>
      <c r="O109" s="95" t="e">
        <f t="shared" si="55"/>
        <v>#REF!</v>
      </c>
      <c r="P109" s="95" t="e">
        <f t="shared" si="55"/>
        <v>#REF!</v>
      </c>
      <c r="Q109" s="95" t="e">
        <f t="shared" si="55"/>
        <v>#REF!</v>
      </c>
      <c r="R109" s="95" t="e">
        <f t="shared" si="55"/>
        <v>#REF!</v>
      </c>
      <c r="S109" s="95" t="e">
        <f t="shared" si="55"/>
        <v>#REF!</v>
      </c>
      <c r="T109" s="95" t="e">
        <f t="shared" si="55"/>
        <v>#REF!</v>
      </c>
      <c r="U109" s="95" t="e">
        <f t="shared" si="55"/>
        <v>#REF!</v>
      </c>
      <c r="V109" s="95" t="e">
        <f t="shared" si="55"/>
        <v>#REF!</v>
      </c>
      <c r="W109" s="95" t="e">
        <f t="shared" si="55"/>
        <v>#REF!</v>
      </c>
      <c r="X109" s="95" t="e">
        <f t="shared" si="55"/>
        <v>#REF!</v>
      </c>
      <c r="Y109" s="95" t="e">
        <f t="shared" si="55"/>
        <v>#REF!</v>
      </c>
      <c r="Z109" s="95" t="e">
        <f t="shared" si="55"/>
        <v>#REF!</v>
      </c>
      <c r="AA109" s="95" t="e">
        <f t="shared" si="55"/>
        <v>#REF!</v>
      </c>
      <c r="AB109" s="95" t="e">
        <f t="shared" si="55"/>
        <v>#REF!</v>
      </c>
      <c r="AC109" s="95" t="e">
        <f t="shared" si="55"/>
        <v>#REF!</v>
      </c>
      <c r="AD109" s="95" t="e">
        <f t="shared" si="55"/>
        <v>#REF!</v>
      </c>
      <c r="AE109" s="95" t="e">
        <f t="shared" si="55"/>
        <v>#REF!</v>
      </c>
      <c r="AF109" s="95" t="e">
        <f t="shared" si="55"/>
        <v>#REF!</v>
      </c>
      <c r="AG109" s="95" t="e">
        <f t="shared" si="55"/>
        <v>#REF!</v>
      </c>
      <c r="AH109" s="95" t="e">
        <f t="shared" si="55"/>
        <v>#REF!</v>
      </c>
      <c r="AI109" s="95" t="e">
        <f t="shared" si="55"/>
        <v>#REF!</v>
      </c>
      <c r="AJ109" s="95" t="e">
        <f t="shared" ref="AJ109" si="56">AJ108/AJ107</f>
        <v>#REF!</v>
      </c>
      <c r="AK109" s="95" t="e">
        <f t="shared" si="55"/>
        <v>#REF!</v>
      </c>
      <c r="AL109" s="95" t="e">
        <f t="shared" si="54"/>
        <v>#REF!</v>
      </c>
      <c r="AM109" s="95" t="e">
        <f t="shared" si="54"/>
        <v>#REF!</v>
      </c>
      <c r="AN109" s="95" t="e">
        <f t="shared" si="54"/>
        <v>#REF!</v>
      </c>
      <c r="AO109" s="95" t="e">
        <f t="shared" si="54"/>
        <v>#REF!</v>
      </c>
      <c r="AP109" s="95" t="e">
        <f t="shared" si="54"/>
        <v>#REF!</v>
      </c>
      <c r="AQ109" s="95" t="e">
        <f t="shared" si="54"/>
        <v>#REF!</v>
      </c>
      <c r="AR109" s="95" t="e">
        <f t="shared" si="54"/>
        <v>#REF!</v>
      </c>
      <c r="AS109" s="95" t="e">
        <f t="shared" si="54"/>
        <v>#REF!</v>
      </c>
      <c r="AT109" s="95" t="e">
        <f t="shared" si="54"/>
        <v>#REF!</v>
      </c>
      <c r="AU109" s="95" t="e">
        <f t="shared" si="54"/>
        <v>#REF!</v>
      </c>
      <c r="AV109" s="95" t="e">
        <f t="shared" si="54"/>
        <v>#REF!</v>
      </c>
      <c r="AW109" s="95" t="e">
        <f t="shared" si="54"/>
        <v>#REF!</v>
      </c>
      <c r="AX109" s="95" t="e">
        <f t="shared" si="54"/>
        <v>#REF!</v>
      </c>
      <c r="AY109" s="95" t="e">
        <f t="shared" si="54"/>
        <v>#REF!</v>
      </c>
      <c r="AZ109" s="95" t="e">
        <f t="shared" si="54"/>
        <v>#REF!</v>
      </c>
      <c r="BA109" s="95" t="e">
        <f t="shared" si="54"/>
        <v>#REF!</v>
      </c>
      <c r="BB109" s="95" t="e">
        <f t="shared" si="54"/>
        <v>#REF!</v>
      </c>
      <c r="BC109" s="95" t="e">
        <f t="shared" si="54"/>
        <v>#REF!</v>
      </c>
      <c r="BD109" s="95" t="e">
        <f t="shared" si="54"/>
        <v>#REF!</v>
      </c>
      <c r="BE109" s="95" t="e">
        <f t="shared" si="54"/>
        <v>#REF!</v>
      </c>
      <c r="BF109" s="95" t="e">
        <f t="shared" si="54"/>
        <v>#REF!</v>
      </c>
      <c r="BG109" s="95" t="e">
        <f t="shared" si="54"/>
        <v>#REF!</v>
      </c>
      <c r="BH109" s="95" t="e">
        <f t="shared" si="54"/>
        <v>#REF!</v>
      </c>
      <c r="BI109" s="95" t="e">
        <f t="shared" si="54"/>
        <v>#REF!</v>
      </c>
      <c r="BJ109" s="95">
        <f t="shared" si="54"/>
        <v>0.91666666666666663</v>
      </c>
      <c r="BK109" s="95">
        <f t="shared" si="54"/>
        <v>0.91666666666666663</v>
      </c>
      <c r="BL109" s="95">
        <f t="shared" si="54"/>
        <v>0.91666666666666663</v>
      </c>
      <c r="BM109" s="95">
        <f t="shared" si="54"/>
        <v>0.91666666666666663</v>
      </c>
      <c r="BN109" s="95">
        <f t="shared" si="54"/>
        <v>0.91666666666666663</v>
      </c>
      <c r="BO109" s="95">
        <f t="shared" si="54"/>
        <v>0.91666666666666663</v>
      </c>
      <c r="BP109" s="95">
        <f t="shared" si="54"/>
        <v>0.91666666666666663</v>
      </c>
      <c r="BQ109" s="95">
        <f t="shared" si="54"/>
        <v>0.91666666666666663</v>
      </c>
      <c r="BR109" s="95">
        <f t="shared" si="54"/>
        <v>0.91666666666666663</v>
      </c>
      <c r="BS109" s="96"/>
      <c r="BT109" s="96"/>
      <c r="BU109" s="162" t="e">
        <f t="shared" si="54"/>
        <v>#REF!</v>
      </c>
    </row>
    <row r="110" spans="1:73" hidden="1" x14ac:dyDescent="0.2">
      <c r="A110" s="133" t="s">
        <v>14</v>
      </c>
      <c r="B110" s="125" t="s">
        <v>221</v>
      </c>
      <c r="C110" s="158"/>
      <c r="D110" s="161"/>
      <c r="E110" s="95" t="e">
        <f t="shared" ref="E110:BU110" si="57">E106*E100/E108</f>
        <v>#DIV/0!</v>
      </c>
      <c r="F110" s="95" t="e">
        <f t="shared" si="57"/>
        <v>#DIV/0!</v>
      </c>
      <c r="G110" s="95" t="e">
        <f t="shared" si="57"/>
        <v>#DIV/0!</v>
      </c>
      <c r="H110" s="95"/>
      <c r="I110" s="95" t="e">
        <f t="shared" si="57"/>
        <v>#REF!</v>
      </c>
      <c r="J110" s="95" t="e">
        <f t="shared" si="57"/>
        <v>#REF!</v>
      </c>
      <c r="K110" s="95" t="e">
        <f t="shared" si="57"/>
        <v>#REF!</v>
      </c>
      <c r="L110" s="95" t="e">
        <f t="shared" ref="L110:AK110" si="58">L106*L100/L108</f>
        <v>#REF!</v>
      </c>
      <c r="M110" s="95" t="e">
        <f t="shared" si="58"/>
        <v>#REF!</v>
      </c>
      <c r="N110" s="95" t="e">
        <f t="shared" si="58"/>
        <v>#REF!</v>
      </c>
      <c r="O110" s="95" t="e">
        <f t="shared" si="58"/>
        <v>#REF!</v>
      </c>
      <c r="P110" s="95" t="e">
        <f t="shared" si="58"/>
        <v>#REF!</v>
      </c>
      <c r="Q110" s="95" t="e">
        <f t="shared" si="58"/>
        <v>#REF!</v>
      </c>
      <c r="R110" s="95" t="e">
        <f t="shared" si="58"/>
        <v>#REF!</v>
      </c>
      <c r="S110" s="95" t="e">
        <f t="shared" si="58"/>
        <v>#REF!</v>
      </c>
      <c r="T110" s="95" t="e">
        <f t="shared" si="58"/>
        <v>#REF!</v>
      </c>
      <c r="U110" s="95" t="e">
        <f t="shared" si="58"/>
        <v>#REF!</v>
      </c>
      <c r="V110" s="95" t="e">
        <f t="shared" si="58"/>
        <v>#REF!</v>
      </c>
      <c r="W110" s="95" t="e">
        <f t="shared" si="58"/>
        <v>#REF!</v>
      </c>
      <c r="X110" s="95" t="e">
        <f t="shared" si="58"/>
        <v>#REF!</v>
      </c>
      <c r="Y110" s="95" t="e">
        <f t="shared" si="58"/>
        <v>#REF!</v>
      </c>
      <c r="Z110" s="95" t="e">
        <f t="shared" si="58"/>
        <v>#REF!</v>
      </c>
      <c r="AA110" s="95" t="e">
        <f t="shared" si="58"/>
        <v>#REF!</v>
      </c>
      <c r="AB110" s="95" t="e">
        <f t="shared" si="58"/>
        <v>#REF!</v>
      </c>
      <c r="AC110" s="95" t="e">
        <f t="shared" si="58"/>
        <v>#REF!</v>
      </c>
      <c r="AD110" s="95" t="e">
        <f t="shared" si="58"/>
        <v>#REF!</v>
      </c>
      <c r="AE110" s="95" t="e">
        <f t="shared" si="58"/>
        <v>#REF!</v>
      </c>
      <c r="AF110" s="95" t="e">
        <f t="shared" si="58"/>
        <v>#REF!</v>
      </c>
      <c r="AG110" s="95" t="e">
        <f t="shared" si="58"/>
        <v>#REF!</v>
      </c>
      <c r="AH110" s="95" t="e">
        <f t="shared" si="58"/>
        <v>#REF!</v>
      </c>
      <c r="AI110" s="95" t="e">
        <f t="shared" si="58"/>
        <v>#REF!</v>
      </c>
      <c r="AJ110" s="95" t="e">
        <f t="shared" ref="AJ110" si="59">AJ106*AJ100/AJ108</f>
        <v>#REF!</v>
      </c>
      <c r="AK110" s="95" t="e">
        <f t="shared" si="58"/>
        <v>#REF!</v>
      </c>
      <c r="AL110" s="95" t="e">
        <f t="shared" si="57"/>
        <v>#REF!</v>
      </c>
      <c r="AM110" s="95" t="e">
        <f t="shared" si="57"/>
        <v>#REF!</v>
      </c>
      <c r="AN110" s="95" t="e">
        <f t="shared" si="57"/>
        <v>#REF!</v>
      </c>
      <c r="AO110" s="95" t="e">
        <f t="shared" si="57"/>
        <v>#REF!</v>
      </c>
      <c r="AP110" s="95" t="e">
        <f t="shared" si="57"/>
        <v>#REF!</v>
      </c>
      <c r="AQ110" s="95" t="e">
        <f t="shared" si="57"/>
        <v>#REF!</v>
      </c>
      <c r="AR110" s="95" t="e">
        <f t="shared" si="57"/>
        <v>#REF!</v>
      </c>
      <c r="AS110" s="95" t="e">
        <f t="shared" si="57"/>
        <v>#REF!</v>
      </c>
      <c r="AT110" s="95" t="e">
        <f t="shared" si="57"/>
        <v>#REF!</v>
      </c>
      <c r="AU110" s="95" t="e">
        <f t="shared" si="57"/>
        <v>#REF!</v>
      </c>
      <c r="AV110" s="95" t="e">
        <f t="shared" si="57"/>
        <v>#REF!</v>
      </c>
      <c r="AW110" s="95" t="e">
        <f t="shared" si="57"/>
        <v>#REF!</v>
      </c>
      <c r="AX110" s="95" t="e">
        <f t="shared" si="57"/>
        <v>#REF!</v>
      </c>
      <c r="AY110" s="95" t="e">
        <f t="shared" si="57"/>
        <v>#REF!</v>
      </c>
      <c r="AZ110" s="95" t="e">
        <f t="shared" si="57"/>
        <v>#REF!</v>
      </c>
      <c r="BA110" s="95" t="e">
        <f t="shared" si="57"/>
        <v>#REF!</v>
      </c>
      <c r="BB110" s="95" t="e">
        <f t="shared" si="57"/>
        <v>#REF!</v>
      </c>
      <c r="BC110" s="95" t="e">
        <f t="shared" si="57"/>
        <v>#REF!</v>
      </c>
      <c r="BD110" s="95" t="e">
        <f t="shared" si="57"/>
        <v>#REF!</v>
      </c>
      <c r="BE110" s="95" t="e">
        <f t="shared" si="57"/>
        <v>#REF!</v>
      </c>
      <c r="BF110" s="95" t="e">
        <f t="shared" si="57"/>
        <v>#REF!</v>
      </c>
      <c r="BG110" s="95" t="e">
        <f t="shared" si="57"/>
        <v>#REF!</v>
      </c>
      <c r="BH110" s="95" t="e">
        <f t="shared" si="57"/>
        <v>#REF!</v>
      </c>
      <c r="BI110" s="95" t="e">
        <f t="shared" si="57"/>
        <v>#REF!</v>
      </c>
      <c r="BJ110" s="95" t="e">
        <f t="shared" si="57"/>
        <v>#REF!</v>
      </c>
      <c r="BK110" s="95" t="e">
        <f t="shared" si="57"/>
        <v>#REF!</v>
      </c>
      <c r="BL110" s="95" t="e">
        <f t="shared" si="57"/>
        <v>#REF!</v>
      </c>
      <c r="BM110" s="95" t="e">
        <f t="shared" si="57"/>
        <v>#REF!</v>
      </c>
      <c r="BN110" s="95" t="e">
        <f t="shared" si="57"/>
        <v>#REF!</v>
      </c>
      <c r="BO110" s="95" t="e">
        <f t="shared" si="57"/>
        <v>#REF!</v>
      </c>
      <c r="BP110" s="95" t="e">
        <f t="shared" si="57"/>
        <v>#REF!</v>
      </c>
      <c r="BQ110" s="95" t="e">
        <f t="shared" si="57"/>
        <v>#REF!</v>
      </c>
      <c r="BR110" s="95" t="e">
        <f t="shared" si="57"/>
        <v>#REF!</v>
      </c>
      <c r="BS110" s="96"/>
      <c r="BT110" s="96"/>
      <c r="BU110" s="162" t="e">
        <f t="shared" si="57"/>
        <v>#REF!</v>
      </c>
    </row>
    <row r="111" spans="1:73" ht="21" hidden="1" thickBot="1" x14ac:dyDescent="0.25">
      <c r="A111" s="163"/>
      <c r="B111" s="141" t="s">
        <v>222</v>
      </c>
      <c r="C111" s="142"/>
      <c r="D111" s="143" t="s">
        <v>173</v>
      </c>
      <c r="E111" s="164" t="e">
        <f t="shared" ref="E111:BU111" si="60">E110*E109*100</f>
        <v>#DIV/0!</v>
      </c>
      <c r="F111" s="164" t="e">
        <f t="shared" si="60"/>
        <v>#DIV/0!</v>
      </c>
      <c r="G111" s="164" t="e">
        <f t="shared" si="60"/>
        <v>#DIV/0!</v>
      </c>
      <c r="H111" s="164">
        <f t="shared" si="60"/>
        <v>0</v>
      </c>
      <c r="I111" s="164" t="e">
        <f t="shared" si="60"/>
        <v>#REF!</v>
      </c>
      <c r="J111" s="164" t="e">
        <f t="shared" si="60"/>
        <v>#REF!</v>
      </c>
      <c r="K111" s="164" t="e">
        <f t="shared" si="60"/>
        <v>#REF!</v>
      </c>
      <c r="L111" s="164" t="e">
        <f t="shared" ref="L111:AK111" si="61">L110*L109*100</f>
        <v>#REF!</v>
      </c>
      <c r="M111" s="164" t="e">
        <f t="shared" si="61"/>
        <v>#REF!</v>
      </c>
      <c r="N111" s="164" t="e">
        <f t="shared" si="61"/>
        <v>#REF!</v>
      </c>
      <c r="O111" s="164" t="e">
        <f t="shared" si="61"/>
        <v>#REF!</v>
      </c>
      <c r="P111" s="164" t="e">
        <f t="shared" si="61"/>
        <v>#REF!</v>
      </c>
      <c r="Q111" s="164" t="e">
        <f t="shared" si="61"/>
        <v>#REF!</v>
      </c>
      <c r="R111" s="164" t="e">
        <f t="shared" si="61"/>
        <v>#REF!</v>
      </c>
      <c r="S111" s="164" t="e">
        <f t="shared" si="61"/>
        <v>#REF!</v>
      </c>
      <c r="T111" s="164" t="e">
        <f t="shared" si="61"/>
        <v>#REF!</v>
      </c>
      <c r="U111" s="164" t="e">
        <f t="shared" si="61"/>
        <v>#REF!</v>
      </c>
      <c r="V111" s="164" t="e">
        <f t="shared" si="61"/>
        <v>#REF!</v>
      </c>
      <c r="W111" s="164" t="e">
        <f t="shared" si="61"/>
        <v>#REF!</v>
      </c>
      <c r="X111" s="164" t="e">
        <f t="shared" si="61"/>
        <v>#REF!</v>
      </c>
      <c r="Y111" s="164" t="e">
        <f t="shared" si="61"/>
        <v>#REF!</v>
      </c>
      <c r="Z111" s="164" t="e">
        <f t="shared" si="61"/>
        <v>#REF!</v>
      </c>
      <c r="AA111" s="164" t="e">
        <f t="shared" si="61"/>
        <v>#REF!</v>
      </c>
      <c r="AB111" s="164" t="e">
        <f t="shared" si="61"/>
        <v>#REF!</v>
      </c>
      <c r="AC111" s="164" t="e">
        <f t="shared" si="61"/>
        <v>#REF!</v>
      </c>
      <c r="AD111" s="164" t="e">
        <f t="shared" si="61"/>
        <v>#REF!</v>
      </c>
      <c r="AE111" s="164" t="e">
        <f t="shared" si="61"/>
        <v>#REF!</v>
      </c>
      <c r="AF111" s="164" t="e">
        <f t="shared" si="61"/>
        <v>#REF!</v>
      </c>
      <c r="AG111" s="164" t="e">
        <f t="shared" si="61"/>
        <v>#REF!</v>
      </c>
      <c r="AH111" s="164" t="e">
        <f t="shared" si="61"/>
        <v>#REF!</v>
      </c>
      <c r="AI111" s="164" t="e">
        <f t="shared" si="61"/>
        <v>#REF!</v>
      </c>
      <c r="AJ111" s="164" t="e">
        <f t="shared" ref="AJ111" si="62">AJ110*AJ109*100</f>
        <v>#REF!</v>
      </c>
      <c r="AK111" s="164" t="e">
        <f t="shared" si="61"/>
        <v>#REF!</v>
      </c>
      <c r="AL111" s="164" t="e">
        <f t="shared" si="60"/>
        <v>#REF!</v>
      </c>
      <c r="AM111" s="164" t="e">
        <f t="shared" si="60"/>
        <v>#REF!</v>
      </c>
      <c r="AN111" s="164" t="e">
        <f t="shared" si="60"/>
        <v>#REF!</v>
      </c>
      <c r="AO111" s="164" t="e">
        <f t="shared" si="60"/>
        <v>#REF!</v>
      </c>
      <c r="AP111" s="164" t="e">
        <f t="shared" si="60"/>
        <v>#REF!</v>
      </c>
      <c r="AQ111" s="164" t="e">
        <f t="shared" si="60"/>
        <v>#REF!</v>
      </c>
      <c r="AR111" s="164" t="e">
        <f t="shared" si="60"/>
        <v>#REF!</v>
      </c>
      <c r="AS111" s="164" t="e">
        <f t="shared" si="60"/>
        <v>#REF!</v>
      </c>
      <c r="AT111" s="164" t="e">
        <f t="shared" si="60"/>
        <v>#REF!</v>
      </c>
      <c r="AU111" s="164" t="e">
        <f t="shared" si="60"/>
        <v>#REF!</v>
      </c>
      <c r="AV111" s="164" t="e">
        <f t="shared" si="60"/>
        <v>#REF!</v>
      </c>
      <c r="AW111" s="164" t="e">
        <f t="shared" si="60"/>
        <v>#REF!</v>
      </c>
      <c r="AX111" s="164" t="e">
        <f t="shared" si="60"/>
        <v>#REF!</v>
      </c>
      <c r="AY111" s="164" t="e">
        <f t="shared" si="60"/>
        <v>#REF!</v>
      </c>
      <c r="AZ111" s="164" t="e">
        <f t="shared" si="60"/>
        <v>#REF!</v>
      </c>
      <c r="BA111" s="164" t="e">
        <f t="shared" si="60"/>
        <v>#REF!</v>
      </c>
      <c r="BB111" s="164" t="e">
        <f t="shared" si="60"/>
        <v>#REF!</v>
      </c>
      <c r="BC111" s="164" t="e">
        <f t="shared" si="60"/>
        <v>#REF!</v>
      </c>
      <c r="BD111" s="164" t="e">
        <f t="shared" si="60"/>
        <v>#REF!</v>
      </c>
      <c r="BE111" s="164" t="e">
        <f t="shared" si="60"/>
        <v>#REF!</v>
      </c>
      <c r="BF111" s="164" t="e">
        <f t="shared" si="60"/>
        <v>#REF!</v>
      </c>
      <c r="BG111" s="164" t="e">
        <f t="shared" si="60"/>
        <v>#REF!</v>
      </c>
      <c r="BH111" s="164" t="e">
        <f t="shared" si="60"/>
        <v>#REF!</v>
      </c>
      <c r="BI111" s="164" t="e">
        <f t="shared" si="60"/>
        <v>#REF!</v>
      </c>
      <c r="BJ111" s="164" t="e">
        <f t="shared" si="60"/>
        <v>#REF!</v>
      </c>
      <c r="BK111" s="164" t="e">
        <f t="shared" si="60"/>
        <v>#REF!</v>
      </c>
      <c r="BL111" s="164" t="e">
        <f t="shared" si="60"/>
        <v>#REF!</v>
      </c>
      <c r="BM111" s="164" t="e">
        <f t="shared" si="60"/>
        <v>#REF!</v>
      </c>
      <c r="BN111" s="164" t="e">
        <f t="shared" si="60"/>
        <v>#REF!</v>
      </c>
      <c r="BO111" s="164" t="e">
        <f t="shared" si="60"/>
        <v>#REF!</v>
      </c>
      <c r="BP111" s="164" t="e">
        <f t="shared" si="60"/>
        <v>#REF!</v>
      </c>
      <c r="BQ111" s="164" t="e">
        <f t="shared" si="60"/>
        <v>#REF!</v>
      </c>
      <c r="BR111" s="164" t="e">
        <f t="shared" si="60"/>
        <v>#REF!</v>
      </c>
      <c r="BS111" s="165"/>
      <c r="BT111" s="165"/>
      <c r="BU111" s="146" t="e">
        <f t="shared" si="60"/>
        <v>#REF!</v>
      </c>
    </row>
    <row r="112" spans="1:73" x14ac:dyDescent="0.2">
      <c r="A112" s="148"/>
      <c r="B112" s="148"/>
      <c r="C112" s="149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  <c r="AC112" s="148"/>
      <c r="AD112" s="148"/>
      <c r="AE112" s="148"/>
      <c r="AF112" s="148"/>
      <c r="AG112" s="148"/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66"/>
      <c r="AT112" s="166"/>
      <c r="AU112" s="166"/>
      <c r="AV112" s="166"/>
      <c r="AW112" s="166"/>
      <c r="AX112" s="166"/>
      <c r="AY112" s="166"/>
      <c r="AZ112" s="166"/>
      <c r="BA112" s="166"/>
      <c r="BB112" s="166"/>
      <c r="BC112" s="166"/>
      <c r="BD112" s="166"/>
      <c r="BE112" s="166"/>
      <c r="BF112" s="166"/>
      <c r="BG112" s="166"/>
      <c r="BH112" s="166"/>
      <c r="BI112" s="166"/>
      <c r="BJ112" s="166"/>
      <c r="BK112" s="166"/>
      <c r="BL112" s="166"/>
      <c r="BM112" s="166"/>
      <c r="BN112" s="166"/>
      <c r="BO112" s="166"/>
      <c r="BP112" s="166"/>
      <c r="BQ112" s="166"/>
      <c r="BR112" s="166"/>
      <c r="BS112" s="166"/>
      <c r="BT112" s="166"/>
      <c r="BU112" s="148"/>
    </row>
    <row r="113" spans="1:73" x14ac:dyDescent="0.2">
      <c r="A113" s="148"/>
      <c r="B113" s="148"/>
      <c r="C113" s="149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  <c r="AC113" s="148"/>
      <c r="AD113" s="148"/>
      <c r="AE113" s="148"/>
      <c r="AF113" s="148"/>
      <c r="AG113" s="148"/>
      <c r="AH113" s="148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66"/>
      <c r="AT113" s="166"/>
      <c r="AU113" s="166"/>
      <c r="AV113" s="166"/>
      <c r="AW113" s="166"/>
      <c r="AX113" s="166"/>
      <c r="AY113" s="166"/>
      <c r="AZ113" s="166"/>
      <c r="BA113" s="166"/>
      <c r="BB113" s="166"/>
      <c r="BC113" s="166"/>
      <c r="BD113" s="166"/>
      <c r="BE113" s="166"/>
      <c r="BF113" s="166"/>
      <c r="BG113" s="166"/>
      <c r="BH113" s="166"/>
      <c r="BI113" s="166"/>
      <c r="BJ113" s="166"/>
      <c r="BK113" s="166"/>
      <c r="BL113" s="166"/>
      <c r="BM113" s="166"/>
      <c r="BN113" s="166"/>
      <c r="BO113" s="166"/>
      <c r="BP113" s="166"/>
      <c r="BQ113" s="166"/>
      <c r="BR113" s="166"/>
      <c r="BS113" s="166"/>
      <c r="BT113" s="166"/>
      <c r="BU113" s="148"/>
    </row>
    <row r="114" spans="1:73" ht="26.25" customHeight="1" x14ac:dyDescent="0.2">
      <c r="A114" s="148"/>
      <c r="B114" s="148"/>
      <c r="C114" s="149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  <c r="AC114" s="148"/>
      <c r="AD114" s="148"/>
      <c r="AE114" s="148"/>
      <c r="AF114" s="148"/>
      <c r="AG114" s="148"/>
      <c r="AH114" s="148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  <c r="BI114" s="148"/>
      <c r="BJ114" s="148"/>
      <c r="BK114" s="148"/>
      <c r="BL114" s="148"/>
      <c r="BM114" s="148"/>
      <c r="BN114" s="148"/>
      <c r="BO114" s="148"/>
      <c r="BP114" s="148"/>
      <c r="BQ114" s="148"/>
      <c r="BR114" s="148"/>
      <c r="BS114" s="148"/>
      <c r="BT114" s="148"/>
      <c r="BU114" s="166"/>
    </row>
    <row r="115" spans="1:73" ht="15.75" customHeight="1" x14ac:dyDescent="0.2">
      <c r="A115" s="148"/>
      <c r="B115" s="148"/>
      <c r="C115" s="149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  <c r="AC115" s="148"/>
      <c r="AD115" s="148"/>
      <c r="AE115" s="148"/>
      <c r="AF115" s="148"/>
      <c r="AG115" s="148"/>
      <c r="AH115" s="148"/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  <c r="BI115" s="148"/>
      <c r="BJ115" s="148"/>
      <c r="BK115" s="148"/>
      <c r="BL115" s="148"/>
      <c r="BM115" s="148"/>
      <c r="BN115" s="148"/>
      <c r="BO115" s="148"/>
      <c r="BP115" s="148"/>
      <c r="BQ115" s="148"/>
      <c r="BR115" s="148"/>
      <c r="BS115" s="148"/>
      <c r="BT115" s="148"/>
      <c r="BU115" s="166"/>
    </row>
    <row r="116" spans="1:73" x14ac:dyDescent="0.2">
      <c r="A116" s="148"/>
      <c r="B116" s="148" t="s">
        <v>150</v>
      </c>
      <c r="C116" s="149"/>
      <c r="D116" s="148" t="s">
        <v>16</v>
      </c>
      <c r="E116" s="148"/>
      <c r="F116" s="148"/>
      <c r="G116" s="148">
        <v>127.3</v>
      </c>
      <c r="H116" s="148">
        <v>140.4</v>
      </c>
      <c r="I116" s="148">
        <v>145</v>
      </c>
      <c r="J116" s="148">
        <v>115.8</v>
      </c>
      <c r="K116" s="148">
        <v>114</v>
      </c>
      <c r="L116" s="148">
        <v>114.2</v>
      </c>
      <c r="M116" s="148">
        <v>129.6</v>
      </c>
      <c r="N116" s="148">
        <v>142.1</v>
      </c>
      <c r="O116" s="148">
        <v>142.9</v>
      </c>
      <c r="P116" s="148">
        <v>141.1</v>
      </c>
      <c r="Q116" s="148">
        <v>139.30000000000001</v>
      </c>
      <c r="R116" s="148">
        <v>128</v>
      </c>
      <c r="S116" s="148">
        <v>135.6</v>
      </c>
      <c r="T116" s="148">
        <v>116.2</v>
      </c>
      <c r="U116" s="148">
        <v>143.19999999999999</v>
      </c>
      <c r="V116" s="148">
        <v>139</v>
      </c>
      <c r="W116" s="148">
        <v>138.5</v>
      </c>
      <c r="X116" s="148">
        <v>122.8</v>
      </c>
      <c r="Y116" s="148">
        <v>112.9</v>
      </c>
      <c r="Z116" s="148">
        <v>68.3</v>
      </c>
      <c r="AA116" s="148">
        <v>111.4</v>
      </c>
      <c r="AB116" s="148">
        <v>129.30000000000001</v>
      </c>
      <c r="AC116" s="148">
        <v>138.80000000000001</v>
      </c>
      <c r="AD116" s="148">
        <v>135.6</v>
      </c>
      <c r="AE116" s="148">
        <v>140.19999999999999</v>
      </c>
      <c r="AF116" s="148">
        <v>134.30000000000001</v>
      </c>
      <c r="AG116" s="148">
        <v>129.80000000000001</v>
      </c>
      <c r="AH116" s="148">
        <v>139.1</v>
      </c>
      <c r="AI116" s="148">
        <v>138.5</v>
      </c>
      <c r="AJ116" s="148">
        <v>138.80000000000001</v>
      </c>
      <c r="AK116" s="148">
        <v>137.9</v>
      </c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66"/>
    </row>
    <row r="117" spans="1:73" x14ac:dyDescent="0.2">
      <c r="A117" s="148"/>
      <c r="B117" s="148" t="s">
        <v>274</v>
      </c>
      <c r="C117" s="149"/>
      <c r="D117" s="148" t="s">
        <v>275</v>
      </c>
      <c r="E117" s="148"/>
      <c r="F117" s="148"/>
      <c r="G117" s="148">
        <v>7846.5</v>
      </c>
      <c r="H117" s="148">
        <v>6067.7</v>
      </c>
      <c r="I117" s="148">
        <v>8372.2999999999993</v>
      </c>
      <c r="J117" s="148">
        <v>6292.7</v>
      </c>
      <c r="K117" s="148">
        <v>6313.1</v>
      </c>
      <c r="L117" s="148">
        <v>6265.6</v>
      </c>
      <c r="M117" s="148">
        <v>6438.3</v>
      </c>
      <c r="N117" s="148">
        <v>5788.3</v>
      </c>
      <c r="O117" s="148">
        <v>6961.1</v>
      </c>
      <c r="P117" s="148">
        <v>7359.5</v>
      </c>
      <c r="Q117" s="148">
        <v>8731</v>
      </c>
      <c r="R117" s="148">
        <v>6789.1</v>
      </c>
      <c r="S117" s="148">
        <v>7123.5</v>
      </c>
      <c r="T117" s="148">
        <v>5735.9</v>
      </c>
      <c r="U117" s="148">
        <v>9075.5</v>
      </c>
      <c r="V117" s="148">
        <v>9315.2000000000007</v>
      </c>
      <c r="W117" s="148">
        <v>8027.6</v>
      </c>
      <c r="X117" s="148">
        <v>7094</v>
      </c>
      <c r="Y117" s="148">
        <v>5880.6</v>
      </c>
      <c r="Z117" s="148">
        <v>3788.7</v>
      </c>
      <c r="AA117" s="148">
        <v>6088.5</v>
      </c>
      <c r="AB117" s="148">
        <v>8047</v>
      </c>
      <c r="AC117" s="148">
        <v>7374.1</v>
      </c>
      <c r="AD117" s="148">
        <v>8156.7</v>
      </c>
      <c r="AE117" s="148">
        <v>9388.4</v>
      </c>
      <c r="AF117" s="148">
        <v>8337.7000000000007</v>
      </c>
      <c r="AG117" s="148">
        <v>8047.1</v>
      </c>
      <c r="AH117" s="148">
        <v>9169</v>
      </c>
      <c r="AI117" s="148">
        <v>9536.1</v>
      </c>
      <c r="AJ117" s="148">
        <v>9364.4</v>
      </c>
      <c r="AK117" s="148">
        <v>9266</v>
      </c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66"/>
    </row>
    <row r="118" spans="1:73" x14ac:dyDescent="0.2">
      <c r="A118" s="148"/>
      <c r="B118" s="148" t="s">
        <v>276</v>
      </c>
      <c r="C118" s="149"/>
      <c r="D118" s="148" t="s">
        <v>275</v>
      </c>
      <c r="E118" s="148"/>
      <c r="F118" s="148"/>
      <c r="G118" s="148">
        <v>0</v>
      </c>
      <c r="H118" s="148">
        <v>0</v>
      </c>
      <c r="I118" s="148">
        <v>5.8</v>
      </c>
      <c r="J118" s="148">
        <v>0</v>
      </c>
      <c r="K118" s="148">
        <v>0</v>
      </c>
      <c r="L118" s="148">
        <v>0</v>
      </c>
      <c r="M118" s="148">
        <v>0</v>
      </c>
      <c r="N118" s="148">
        <v>0</v>
      </c>
      <c r="O118" s="148">
        <v>0</v>
      </c>
      <c r="P118" s="148">
        <v>0</v>
      </c>
      <c r="Q118" s="148">
        <v>0</v>
      </c>
      <c r="R118" s="148">
        <v>0</v>
      </c>
      <c r="S118" s="148">
        <v>0</v>
      </c>
      <c r="T118" s="148">
        <v>0</v>
      </c>
      <c r="U118" s="148">
        <v>0</v>
      </c>
      <c r="V118" s="148">
        <v>0</v>
      </c>
      <c r="W118" s="148">
        <v>0</v>
      </c>
      <c r="X118" s="148">
        <v>0</v>
      </c>
      <c r="Y118" s="148">
        <v>0</v>
      </c>
      <c r="Z118" s="148">
        <v>0</v>
      </c>
      <c r="AA118" s="148">
        <v>0</v>
      </c>
      <c r="AB118" s="148">
        <v>0</v>
      </c>
      <c r="AC118" s="148">
        <v>0</v>
      </c>
      <c r="AD118" s="148">
        <v>0</v>
      </c>
      <c r="AE118" s="148">
        <v>25</v>
      </c>
      <c r="AF118" s="148">
        <v>0</v>
      </c>
      <c r="AG118" s="148">
        <v>0</v>
      </c>
      <c r="AH118" s="148">
        <v>0</v>
      </c>
      <c r="AI118" s="148">
        <v>0</v>
      </c>
      <c r="AJ118" s="148">
        <v>0</v>
      </c>
      <c r="AK118" s="148">
        <v>0</v>
      </c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66"/>
    </row>
    <row r="119" spans="1:73" x14ac:dyDescent="0.2">
      <c r="A119" s="148"/>
      <c r="B119" s="148" t="s">
        <v>277</v>
      </c>
      <c r="C119" s="149"/>
      <c r="D119" s="148" t="s">
        <v>153</v>
      </c>
      <c r="E119" s="148"/>
      <c r="F119" s="148"/>
      <c r="G119" s="148">
        <v>657</v>
      </c>
      <c r="H119" s="148">
        <v>583</v>
      </c>
      <c r="I119" s="148">
        <v>531</v>
      </c>
      <c r="J119" s="148">
        <v>492</v>
      </c>
      <c r="K119" s="148">
        <v>496</v>
      </c>
      <c r="L119" s="148">
        <v>501</v>
      </c>
      <c r="M119" s="148">
        <v>517</v>
      </c>
      <c r="N119" s="148">
        <v>502</v>
      </c>
      <c r="O119" s="148">
        <v>516</v>
      </c>
      <c r="P119" s="148">
        <v>587</v>
      </c>
      <c r="Q119" s="148">
        <v>512</v>
      </c>
      <c r="R119" s="148">
        <v>888</v>
      </c>
      <c r="S119" s="148">
        <v>520</v>
      </c>
      <c r="T119" s="148">
        <v>478</v>
      </c>
      <c r="U119" s="148">
        <v>494</v>
      </c>
      <c r="V119" s="148">
        <v>526</v>
      </c>
      <c r="W119" s="148">
        <v>529</v>
      </c>
      <c r="X119" s="148">
        <v>673</v>
      </c>
      <c r="Y119" s="148">
        <v>563</v>
      </c>
      <c r="Z119" s="148">
        <v>595</v>
      </c>
      <c r="AA119" s="148">
        <v>637</v>
      </c>
      <c r="AB119" s="148">
        <v>494</v>
      </c>
      <c r="AC119" s="148">
        <v>563</v>
      </c>
      <c r="AD119" s="148">
        <v>615</v>
      </c>
      <c r="AE119" s="148">
        <v>553</v>
      </c>
      <c r="AF119" s="148">
        <v>680</v>
      </c>
      <c r="AG119" s="148">
        <v>391</v>
      </c>
      <c r="AH119" s="148">
        <v>288</v>
      </c>
      <c r="AI119" s="148">
        <v>237</v>
      </c>
      <c r="AJ119" s="148">
        <v>280</v>
      </c>
      <c r="AK119" s="148">
        <v>321</v>
      </c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66"/>
    </row>
    <row r="120" spans="1:73" x14ac:dyDescent="0.2">
      <c r="A120" s="148"/>
      <c r="B120" s="148" t="s">
        <v>278</v>
      </c>
      <c r="C120" s="149"/>
      <c r="D120" s="148" t="s">
        <v>153</v>
      </c>
      <c r="E120" s="148"/>
      <c r="F120" s="148"/>
      <c r="G120" s="148">
        <v>114</v>
      </c>
      <c r="H120" s="148">
        <v>123</v>
      </c>
      <c r="I120" s="148">
        <v>129</v>
      </c>
      <c r="J120" s="148">
        <v>171</v>
      </c>
      <c r="K120" s="148">
        <v>162</v>
      </c>
      <c r="L120" s="148">
        <v>148</v>
      </c>
      <c r="M120" s="148">
        <v>139</v>
      </c>
      <c r="N120" s="148">
        <v>192</v>
      </c>
      <c r="O120" s="148">
        <v>110</v>
      </c>
      <c r="P120" s="148">
        <v>151</v>
      </c>
      <c r="Q120" s="148">
        <v>166</v>
      </c>
      <c r="R120" s="148">
        <v>160</v>
      </c>
      <c r="S120" s="148">
        <v>191</v>
      </c>
      <c r="T120" s="148">
        <v>247</v>
      </c>
      <c r="U120" s="148">
        <v>241</v>
      </c>
      <c r="V120" s="148">
        <v>174</v>
      </c>
      <c r="W120" s="148">
        <v>163</v>
      </c>
      <c r="X120" s="148">
        <v>148</v>
      </c>
      <c r="Y120" s="148">
        <v>149</v>
      </c>
      <c r="Z120" s="148">
        <v>88</v>
      </c>
      <c r="AA120" s="148">
        <v>202</v>
      </c>
      <c r="AB120" s="148">
        <v>234</v>
      </c>
      <c r="AC120" s="148">
        <v>161</v>
      </c>
      <c r="AD120" s="148">
        <v>138</v>
      </c>
      <c r="AE120" s="148">
        <v>172</v>
      </c>
      <c r="AF120" s="148">
        <v>180</v>
      </c>
      <c r="AG120" s="148">
        <v>447</v>
      </c>
      <c r="AH120" s="148">
        <v>478</v>
      </c>
      <c r="AI120" s="148">
        <v>524</v>
      </c>
      <c r="AJ120" s="148">
        <v>476</v>
      </c>
      <c r="AK120" s="148">
        <v>450</v>
      </c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66"/>
    </row>
    <row r="121" spans="1:73" x14ac:dyDescent="0.2">
      <c r="A121" s="148"/>
      <c r="B121" s="148" t="s">
        <v>279</v>
      </c>
      <c r="C121" s="149"/>
      <c r="D121" s="148" t="s">
        <v>101</v>
      </c>
      <c r="E121" s="148"/>
      <c r="F121" s="148"/>
      <c r="G121" s="148">
        <v>89501</v>
      </c>
      <c r="H121" s="148">
        <v>91703</v>
      </c>
      <c r="I121" s="148">
        <v>94001</v>
      </c>
      <c r="J121" s="148">
        <v>88060</v>
      </c>
      <c r="K121" s="148">
        <v>90470</v>
      </c>
      <c r="L121" s="148">
        <v>87115</v>
      </c>
      <c r="M121" s="148">
        <v>96045</v>
      </c>
      <c r="N121" s="148">
        <v>100480</v>
      </c>
      <c r="O121" s="148">
        <v>97358</v>
      </c>
      <c r="P121" s="148">
        <v>96476</v>
      </c>
      <c r="Q121" s="148">
        <v>95797</v>
      </c>
      <c r="R121" s="148">
        <v>91259</v>
      </c>
      <c r="S121" s="148">
        <v>93270</v>
      </c>
      <c r="T121" s="148">
        <v>88952</v>
      </c>
      <c r="U121" s="148">
        <v>96037</v>
      </c>
      <c r="V121" s="148">
        <v>95963</v>
      </c>
      <c r="W121" s="148">
        <v>98835</v>
      </c>
      <c r="X121" s="148">
        <v>82555</v>
      </c>
      <c r="Y121" s="148">
        <v>87468</v>
      </c>
      <c r="Z121" s="148">
        <v>58456</v>
      </c>
      <c r="AA121" s="148">
        <v>85622</v>
      </c>
      <c r="AB121" s="148">
        <v>93935</v>
      </c>
      <c r="AC121" s="148">
        <v>97452</v>
      </c>
      <c r="AD121" s="148">
        <v>93691</v>
      </c>
      <c r="AE121" s="148">
        <v>92006</v>
      </c>
      <c r="AF121" s="148">
        <v>92093</v>
      </c>
      <c r="AG121" s="148">
        <v>89241</v>
      </c>
      <c r="AH121" s="148">
        <v>89315</v>
      </c>
      <c r="AI121" s="148">
        <v>90073</v>
      </c>
      <c r="AJ121" s="148">
        <v>92424</v>
      </c>
      <c r="AK121" s="148">
        <v>89616</v>
      </c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66"/>
    </row>
    <row r="122" spans="1:73" x14ac:dyDescent="0.2">
      <c r="A122" s="148"/>
      <c r="B122" s="148" t="s">
        <v>280</v>
      </c>
      <c r="C122" s="149"/>
      <c r="D122" s="148" t="s">
        <v>101</v>
      </c>
      <c r="E122" s="148"/>
      <c r="F122" s="148"/>
      <c r="G122" s="148">
        <v>8149</v>
      </c>
      <c r="H122" s="148">
        <v>7297</v>
      </c>
      <c r="I122" s="148">
        <v>8599</v>
      </c>
      <c r="J122" s="148">
        <v>7790</v>
      </c>
      <c r="K122" s="148">
        <v>8080</v>
      </c>
      <c r="L122" s="148">
        <v>8285</v>
      </c>
      <c r="M122" s="148">
        <v>8355</v>
      </c>
      <c r="N122" s="148">
        <v>7970</v>
      </c>
      <c r="O122" s="148">
        <v>7942</v>
      </c>
      <c r="P122" s="148">
        <v>8374</v>
      </c>
      <c r="Q122" s="148">
        <v>9053</v>
      </c>
      <c r="R122" s="148">
        <v>9091</v>
      </c>
      <c r="S122" s="148">
        <v>8880</v>
      </c>
      <c r="T122" s="148">
        <v>8248</v>
      </c>
      <c r="U122" s="148">
        <v>9263</v>
      </c>
      <c r="V122" s="148">
        <v>8887</v>
      </c>
      <c r="W122" s="148">
        <v>8715</v>
      </c>
      <c r="X122" s="148">
        <v>9245</v>
      </c>
      <c r="Y122" s="148">
        <v>8832</v>
      </c>
      <c r="Z122" s="148">
        <v>8144</v>
      </c>
      <c r="AA122" s="148">
        <v>8878</v>
      </c>
      <c r="AB122" s="148">
        <v>9565</v>
      </c>
      <c r="AC122" s="148">
        <v>9648</v>
      </c>
      <c r="AD122" s="148">
        <v>9359</v>
      </c>
      <c r="AE122" s="148">
        <v>9244</v>
      </c>
      <c r="AF122" s="148">
        <v>9157</v>
      </c>
      <c r="AG122" s="148">
        <v>9309</v>
      </c>
      <c r="AH122" s="148">
        <v>8510</v>
      </c>
      <c r="AI122" s="148">
        <v>8986</v>
      </c>
      <c r="AJ122" s="148">
        <v>8929</v>
      </c>
      <c r="AK122" s="148">
        <v>8421</v>
      </c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66"/>
    </row>
    <row r="123" spans="1:73" x14ac:dyDescent="0.2">
      <c r="A123" s="148"/>
      <c r="B123" s="148"/>
      <c r="C123" s="149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  <c r="AC123" s="148"/>
      <c r="AD123" s="148"/>
      <c r="AE123" s="148"/>
      <c r="AF123" s="148"/>
      <c r="AG123" s="148"/>
      <c r="AH123" s="148"/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66"/>
    </row>
    <row r="124" spans="1:73" ht="20.25" customHeight="1" x14ac:dyDescent="0.2">
      <c r="A124" s="148"/>
      <c r="B124" s="148"/>
      <c r="C124" s="149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  <c r="AC124" s="148"/>
      <c r="AD124" s="148"/>
      <c r="AE124" s="148"/>
      <c r="AF124" s="148"/>
      <c r="AG124" s="148"/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66"/>
    </row>
  </sheetData>
  <mergeCells count="9">
    <mergeCell ref="I85:AL85"/>
    <mergeCell ref="I3:BU3"/>
    <mergeCell ref="H19:AO19"/>
    <mergeCell ref="C57:BU58"/>
    <mergeCell ref="C64:BU64"/>
    <mergeCell ref="D77:BU77"/>
    <mergeCell ref="I79:AL79"/>
    <mergeCell ref="D50:BU50"/>
    <mergeCell ref="A54:BU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01-08-2025</vt:lpstr>
      <vt:lpstr>02-08-2025</vt:lpstr>
      <vt:lpstr>03-08-2025</vt:lpstr>
      <vt:lpstr>04-08-2025</vt:lpstr>
      <vt:lpstr>05-08-2025</vt:lpstr>
      <vt:lpstr>06-08-2025</vt:lpstr>
      <vt:lpstr>07-08-2025</vt:lpstr>
      <vt:lpstr>08-08-2025</vt:lpstr>
      <vt:lpstr>09-08-2025</vt:lpstr>
      <vt:lpstr>10-08-2025</vt:lpstr>
      <vt:lpstr>11-08-2025</vt:lpstr>
      <vt:lpstr>12-08-2025</vt:lpstr>
      <vt:lpstr>13-08-2025</vt:lpstr>
      <vt:lpstr>14-08-2025</vt:lpstr>
      <vt:lpstr>15-08-2025</vt:lpstr>
      <vt:lpstr>16-08-2025</vt:lpstr>
      <vt:lpstr>17-08-2025</vt:lpstr>
      <vt:lpstr>18-08-2025</vt:lpstr>
      <vt:lpstr>19-08-2025</vt:lpstr>
      <vt:lpstr>20-08-2025</vt:lpstr>
      <vt:lpstr>21-08-2025</vt:lpstr>
      <vt:lpstr>22-08-2025</vt:lpstr>
      <vt:lpstr>23-08-2025</vt:lpstr>
      <vt:lpstr>24-08-2025</vt:lpstr>
      <vt:lpstr>25-08-2025</vt:lpstr>
      <vt:lpstr>26-08-2025</vt:lpstr>
      <vt:lpstr>27-08-2025</vt:lpstr>
      <vt:lpstr>28-08-2025</vt:lpstr>
      <vt:lpstr>29-08-2025</vt:lpstr>
      <vt:lpstr>30-08-2025</vt:lpstr>
      <vt:lpstr>31-08-2025</vt:lpstr>
      <vt:lpstr>Pulp &amp; Chemical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Ravi Arora</cp:lastModifiedBy>
  <dcterms:created xsi:type="dcterms:W3CDTF">2025-04-02T05:06:05Z</dcterms:created>
  <dcterms:modified xsi:type="dcterms:W3CDTF">2026-02-27T16:13:18Z</dcterms:modified>
</cp:coreProperties>
</file>