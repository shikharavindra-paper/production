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ravindra/Desktop/production /"/>
    </mc:Choice>
  </mc:AlternateContent>
  <xr:revisionPtr revIDLastSave="0" documentId="13_ncr:1_{0A88D78D-EBE8-2D4E-B492-E5A161678AB0}" xr6:coauthVersionLast="47" xr6:coauthVersionMax="47" xr10:uidLastSave="{00000000-0000-0000-0000-000000000000}"/>
  <bookViews>
    <workbookView xWindow="0" yWindow="520" windowWidth="20480" windowHeight="12800" firstSheet="1" activeTab="10" xr2:uid="{00000000-000D-0000-FFFF-FFFF00000000}"/>
  </bookViews>
  <sheets>
    <sheet name="01-01-2025" sheetId="224" r:id="rId1"/>
    <sheet name="02-01-2025" sheetId="225" r:id="rId2"/>
    <sheet name="03-01-2025" sheetId="226" r:id="rId3"/>
    <sheet name="04-01-2025" sheetId="227" r:id="rId4"/>
    <sheet name="05-01-2025" sheetId="228" r:id="rId5"/>
    <sheet name="06-01-2025" sheetId="229" r:id="rId6"/>
    <sheet name="07-01-2025" sheetId="230" r:id="rId7"/>
    <sheet name="08-01-2025" sheetId="231" r:id="rId8"/>
    <sheet name="09-01-2025" sheetId="232" r:id="rId9"/>
    <sheet name="10-01-2025" sheetId="233" r:id="rId10"/>
    <sheet name="11-01-2025" sheetId="234" r:id="rId11"/>
    <sheet name="12-01-2025" sheetId="235" r:id="rId12"/>
    <sheet name="13-01-2025" sheetId="236" r:id="rId13"/>
    <sheet name="14-01-2025" sheetId="237" r:id="rId14"/>
    <sheet name="15-01-2025" sheetId="238" r:id="rId15"/>
    <sheet name="16-01-2025" sheetId="239" r:id="rId16"/>
    <sheet name="17-01-2025" sheetId="240" r:id="rId17"/>
    <sheet name="18-01-2025" sheetId="241" r:id="rId18"/>
    <sheet name="19-01-2025" sheetId="242" r:id="rId19"/>
    <sheet name="20-01-2025" sheetId="243" r:id="rId20"/>
    <sheet name="21-01-2025" sheetId="244" r:id="rId21"/>
    <sheet name="22-01-2025" sheetId="246" r:id="rId22"/>
    <sheet name="23-01-2025" sheetId="247" r:id="rId23"/>
    <sheet name="24-01-2025" sheetId="248" r:id="rId24"/>
    <sheet name="25-01-2025" sheetId="249" r:id="rId25"/>
    <sheet name="26-01-2025" sheetId="245" r:id="rId26"/>
    <sheet name="27-01-2025" sheetId="250" r:id="rId27"/>
    <sheet name="28-01-2025" sheetId="251" r:id="rId28"/>
    <sheet name="29-01-2025" sheetId="252" r:id="rId29"/>
    <sheet name="30-01-2025" sheetId="253" r:id="rId30"/>
    <sheet name="31-01-2025" sheetId="254" r:id="rId31"/>
    <sheet name="PULP &amp; CHEMICAL REPORT" sheetId="41" r:id="rId32"/>
  </sheets>
  <definedNames>
    <definedName name="_xlnm._FilterDatabase" localSheetId="31" hidden="1">'PULP &amp; CHEMICAL REPORT'!$A$2:$AJ$37</definedName>
    <definedName name="_xlnm.Print_Area" localSheetId="31">'PULP &amp; CHEMICAL REPORT'!$A$1:$AI$36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54" l="1"/>
  <c r="G13" i="254"/>
  <c r="F22" i="254"/>
  <c r="H12" i="254"/>
  <c r="G12" i="254"/>
  <c r="H11" i="254"/>
  <c r="G11" i="254"/>
  <c r="H10" i="254"/>
  <c r="G10" i="254"/>
  <c r="H9" i="254"/>
  <c r="G9" i="254"/>
  <c r="H22" i="254" l="1"/>
  <c r="G22" i="254"/>
  <c r="AI12" i="41" l="1"/>
  <c r="F22" i="253"/>
  <c r="H12" i="253"/>
  <c r="G12" i="253"/>
  <c r="H11" i="253"/>
  <c r="G11" i="253"/>
  <c r="H10" i="253"/>
  <c r="G10" i="253"/>
  <c r="H9" i="253"/>
  <c r="G9" i="253"/>
  <c r="H22" i="253" l="1"/>
  <c r="G22" i="253"/>
  <c r="F22" i="252"/>
  <c r="H12" i="252"/>
  <c r="G12" i="252"/>
  <c r="H11" i="252"/>
  <c r="G11" i="252"/>
  <c r="H10" i="252"/>
  <c r="G10" i="252"/>
  <c r="H9" i="252"/>
  <c r="G9" i="252"/>
  <c r="H22" i="252" l="1"/>
  <c r="G22" i="252"/>
  <c r="H12" i="251"/>
  <c r="H13" i="251"/>
  <c r="G12" i="251"/>
  <c r="G13" i="251"/>
  <c r="F22" i="251"/>
  <c r="H11" i="251"/>
  <c r="G11" i="251"/>
  <c r="H10" i="251"/>
  <c r="G10" i="251"/>
  <c r="H9" i="251"/>
  <c r="G9" i="251"/>
  <c r="G22" i="251" l="1"/>
  <c r="H22" i="251"/>
  <c r="F22" i="250"/>
  <c r="H11" i="250"/>
  <c r="G11" i="250"/>
  <c r="H10" i="250"/>
  <c r="G10" i="250"/>
  <c r="H9" i="250"/>
  <c r="G9" i="250"/>
  <c r="G22" i="250" l="1"/>
  <c r="H22" i="250"/>
  <c r="F22" i="245"/>
  <c r="H22" i="245" s="1"/>
  <c r="H12" i="245"/>
  <c r="G12" i="245"/>
  <c r="H11" i="245"/>
  <c r="G11" i="245"/>
  <c r="H10" i="245"/>
  <c r="G10" i="245"/>
  <c r="H9" i="245"/>
  <c r="G9" i="245"/>
  <c r="G22" i="245" l="1"/>
  <c r="AB13" i="41"/>
  <c r="H13" i="249"/>
  <c r="G13" i="249"/>
  <c r="F22" i="249"/>
  <c r="H12" i="249"/>
  <c r="G12" i="249"/>
  <c r="H11" i="249"/>
  <c r="G11" i="249"/>
  <c r="H10" i="249"/>
  <c r="G10" i="249"/>
  <c r="H9" i="249"/>
  <c r="G9" i="249"/>
  <c r="F22" i="248"/>
  <c r="H12" i="248"/>
  <c r="G12" i="248"/>
  <c r="H11" i="248"/>
  <c r="G11" i="248"/>
  <c r="H10" i="248"/>
  <c r="G10" i="248"/>
  <c r="H9" i="248"/>
  <c r="G9" i="248"/>
  <c r="G22" i="248" s="1"/>
  <c r="AA13" i="41"/>
  <c r="H14" i="247"/>
  <c r="H15" i="247"/>
  <c r="G14" i="247"/>
  <c r="G15" i="247"/>
  <c r="F22" i="247"/>
  <c r="H13" i="247"/>
  <c r="G13" i="247"/>
  <c r="H12" i="247"/>
  <c r="G12" i="247"/>
  <c r="H11" i="247"/>
  <c r="G11" i="247"/>
  <c r="H10" i="247"/>
  <c r="G10" i="247"/>
  <c r="H9" i="247"/>
  <c r="G9" i="247"/>
  <c r="Z13" i="41"/>
  <c r="AI22" i="41"/>
  <c r="AI20" i="41"/>
  <c r="F22" i="246"/>
  <c r="H13" i="246"/>
  <c r="G13" i="246"/>
  <c r="H12" i="246"/>
  <c r="G12" i="246"/>
  <c r="H11" i="246"/>
  <c r="G11" i="246"/>
  <c r="H10" i="246"/>
  <c r="G10" i="246"/>
  <c r="H9" i="246"/>
  <c r="G9" i="246"/>
  <c r="Y13" i="41"/>
  <c r="H15" i="244"/>
  <c r="G15" i="244"/>
  <c r="F22" i="244"/>
  <c r="H14" i="244"/>
  <c r="G14" i="244"/>
  <c r="H13" i="244"/>
  <c r="G13" i="244"/>
  <c r="H12" i="244"/>
  <c r="G12" i="244"/>
  <c r="H11" i="244"/>
  <c r="G11" i="244"/>
  <c r="H10" i="244"/>
  <c r="G10" i="244"/>
  <c r="H9" i="244"/>
  <c r="G9" i="244"/>
  <c r="X13" i="41"/>
  <c r="W13" i="41"/>
  <c r="H14" i="243"/>
  <c r="G14" i="243"/>
  <c r="F22" i="243"/>
  <c r="H13" i="243"/>
  <c r="G13" i="243"/>
  <c r="H12" i="243"/>
  <c r="G12" i="243"/>
  <c r="H11" i="243"/>
  <c r="G11" i="243"/>
  <c r="H10" i="243"/>
  <c r="G10" i="243"/>
  <c r="H9" i="243"/>
  <c r="G9" i="243"/>
  <c r="H22" i="249" l="1"/>
  <c r="G22" i="249"/>
  <c r="H22" i="248"/>
  <c r="H22" i="247"/>
  <c r="G22" i="247"/>
  <c r="G22" i="246"/>
  <c r="H22" i="246"/>
  <c r="H22" i="244"/>
  <c r="G22" i="244"/>
  <c r="H22" i="243"/>
  <c r="G22" i="243"/>
  <c r="F22" i="242"/>
  <c r="H13" i="242"/>
  <c r="G13" i="242"/>
  <c r="H12" i="242"/>
  <c r="G12" i="242"/>
  <c r="H11" i="242"/>
  <c r="G11" i="242"/>
  <c r="H10" i="242"/>
  <c r="G10" i="242"/>
  <c r="H9" i="242"/>
  <c r="G9" i="242"/>
  <c r="V13" i="41"/>
  <c r="G22" i="242" l="1"/>
  <c r="H22" i="242"/>
  <c r="U13" i="41"/>
  <c r="AI11" i="41"/>
  <c r="H14" i="241"/>
  <c r="H15" i="241"/>
  <c r="H16" i="241"/>
  <c r="H17" i="241"/>
  <c r="H18" i="241"/>
  <c r="G14" i="241"/>
  <c r="G15" i="241"/>
  <c r="G16" i="241"/>
  <c r="G17" i="241"/>
  <c r="G18" i="241"/>
  <c r="F22" i="241"/>
  <c r="H13" i="241"/>
  <c r="G13" i="241"/>
  <c r="H12" i="241"/>
  <c r="G12" i="241"/>
  <c r="H11" i="241"/>
  <c r="G11" i="241"/>
  <c r="H10" i="241"/>
  <c r="G10" i="241"/>
  <c r="H9" i="241"/>
  <c r="G9" i="241"/>
  <c r="G22" i="241" s="1"/>
  <c r="T13" i="41"/>
  <c r="F22" i="240"/>
  <c r="H13" i="240"/>
  <c r="G13" i="240"/>
  <c r="H12" i="240"/>
  <c r="G12" i="240"/>
  <c r="H11" i="240"/>
  <c r="G11" i="240"/>
  <c r="H10" i="240"/>
  <c r="G10" i="240"/>
  <c r="H9" i="240"/>
  <c r="G9" i="240"/>
  <c r="H22" i="241" l="1"/>
  <c r="H22" i="240"/>
  <c r="G22" i="240"/>
  <c r="S13" i="41"/>
  <c r="F22" i="239"/>
  <c r="H14" i="239"/>
  <c r="G14" i="239"/>
  <c r="H13" i="239"/>
  <c r="G13" i="239"/>
  <c r="H12" i="239"/>
  <c r="G12" i="239"/>
  <c r="H11" i="239"/>
  <c r="G11" i="239"/>
  <c r="H10" i="239"/>
  <c r="G10" i="239"/>
  <c r="H9" i="239"/>
  <c r="G9" i="239"/>
  <c r="G22" i="239" l="1"/>
  <c r="H22" i="239"/>
  <c r="H13" i="238"/>
  <c r="H14" i="238"/>
  <c r="H15" i="238"/>
  <c r="H16" i="238"/>
  <c r="H17" i="238"/>
  <c r="H18" i="238"/>
  <c r="G13" i="238"/>
  <c r="G14" i="238"/>
  <c r="G15" i="238"/>
  <c r="G16" i="238"/>
  <c r="G17" i="238"/>
  <c r="G18" i="238"/>
  <c r="F22" i="238"/>
  <c r="H12" i="238"/>
  <c r="G12" i="238"/>
  <c r="H11" i="238"/>
  <c r="G11" i="238"/>
  <c r="H10" i="238"/>
  <c r="G10" i="238"/>
  <c r="H9" i="238"/>
  <c r="G9" i="238"/>
  <c r="R13" i="41"/>
  <c r="Q13" i="41"/>
  <c r="H12" i="237"/>
  <c r="G12" i="237"/>
  <c r="F22" i="237"/>
  <c r="H11" i="237"/>
  <c r="G11" i="237"/>
  <c r="H10" i="237"/>
  <c r="G10" i="237"/>
  <c r="H9" i="237"/>
  <c r="G9" i="237"/>
  <c r="H22" i="238" l="1"/>
  <c r="G22" i="238"/>
  <c r="H22" i="237"/>
  <c r="G22" i="237"/>
  <c r="P13" i="41"/>
  <c r="F22" i="236"/>
  <c r="H11" i="236"/>
  <c r="G11" i="236"/>
  <c r="H10" i="236"/>
  <c r="G10" i="236"/>
  <c r="H9" i="236"/>
  <c r="G9" i="236"/>
  <c r="G22" i="236" l="1"/>
  <c r="H22" i="236"/>
  <c r="H12" i="235"/>
  <c r="G12" i="235"/>
  <c r="F22" i="235"/>
  <c r="H11" i="235"/>
  <c r="G11" i="235"/>
  <c r="H10" i="235"/>
  <c r="G10" i="235"/>
  <c r="H9" i="235"/>
  <c r="G9" i="235"/>
  <c r="O13" i="41"/>
  <c r="H22" i="235" l="1"/>
  <c r="G22" i="235"/>
  <c r="H10" i="234"/>
  <c r="H11" i="234"/>
  <c r="G10" i="234"/>
  <c r="G11" i="234"/>
  <c r="F22" i="234"/>
  <c r="H9" i="234"/>
  <c r="G9" i="234"/>
  <c r="N13" i="41"/>
  <c r="F22" i="233"/>
  <c r="H9" i="233"/>
  <c r="G9" i="233"/>
  <c r="M13" i="41"/>
  <c r="L13" i="41"/>
  <c r="F22" i="232"/>
  <c r="H11" i="232"/>
  <c r="G11" i="232"/>
  <c r="H10" i="232"/>
  <c r="G10" i="232"/>
  <c r="H9" i="232"/>
  <c r="G9" i="232"/>
  <c r="H22" i="234" l="1"/>
  <c r="G22" i="234"/>
  <c r="G22" i="233"/>
  <c r="H22" i="233"/>
  <c r="G22" i="232"/>
  <c r="H22" i="232"/>
  <c r="K13" i="41"/>
  <c r="F22" i="231" l="1"/>
  <c r="H14" i="231"/>
  <c r="G14" i="231"/>
  <c r="H13" i="231"/>
  <c r="G13" i="231"/>
  <c r="H12" i="231"/>
  <c r="G12" i="231"/>
  <c r="H11" i="231"/>
  <c r="G11" i="231"/>
  <c r="H10" i="231"/>
  <c r="G10" i="231"/>
  <c r="H9" i="231"/>
  <c r="G9" i="231"/>
  <c r="G22" i="231" l="1"/>
  <c r="H22" i="231"/>
  <c r="F22" i="230"/>
  <c r="H16" i="230"/>
  <c r="G16" i="230"/>
  <c r="H15" i="230"/>
  <c r="G15" i="230"/>
  <c r="H14" i="230"/>
  <c r="G14" i="230"/>
  <c r="H13" i="230"/>
  <c r="G13" i="230"/>
  <c r="H12" i="230"/>
  <c r="G12" i="230"/>
  <c r="H11" i="230"/>
  <c r="G11" i="230"/>
  <c r="H10" i="230"/>
  <c r="G10" i="230"/>
  <c r="H9" i="230"/>
  <c r="G9" i="230"/>
  <c r="J13" i="41"/>
  <c r="H22" i="230" l="1"/>
  <c r="G22" i="230"/>
  <c r="H14" i="229"/>
  <c r="H15" i="229"/>
  <c r="H16" i="229"/>
  <c r="H17" i="229"/>
  <c r="G14" i="229"/>
  <c r="G15" i="229"/>
  <c r="G16" i="229"/>
  <c r="G17" i="229"/>
  <c r="F22" i="229"/>
  <c r="H13" i="229"/>
  <c r="G13" i="229"/>
  <c r="H12" i="229"/>
  <c r="G12" i="229"/>
  <c r="H11" i="229"/>
  <c r="G11" i="229"/>
  <c r="H10" i="229"/>
  <c r="G10" i="229"/>
  <c r="H9" i="229"/>
  <c r="G9" i="229"/>
  <c r="I13" i="41"/>
  <c r="H22" i="229" l="1"/>
  <c r="G22" i="229"/>
  <c r="H13" i="41"/>
  <c r="H13" i="228"/>
  <c r="G13" i="228"/>
  <c r="F22" i="228"/>
  <c r="H12" i="228"/>
  <c r="G12" i="228"/>
  <c r="H11" i="228"/>
  <c r="G11" i="228"/>
  <c r="H10" i="228"/>
  <c r="G10" i="228"/>
  <c r="H9" i="228"/>
  <c r="G9" i="228"/>
  <c r="H22" i="228" l="1"/>
  <c r="G22" i="228"/>
  <c r="G13" i="41"/>
  <c r="F22" i="227"/>
  <c r="H12" i="227"/>
  <c r="G12" i="227"/>
  <c r="H11" i="227"/>
  <c r="G11" i="227"/>
  <c r="H10" i="227"/>
  <c r="G10" i="227"/>
  <c r="H9" i="227"/>
  <c r="G9" i="227"/>
  <c r="F13" i="41"/>
  <c r="H14" i="226"/>
  <c r="H15" i="226"/>
  <c r="H16" i="226"/>
  <c r="H17" i="226"/>
  <c r="H18" i="226"/>
  <c r="G14" i="226"/>
  <c r="G15" i="226"/>
  <c r="G16" i="226"/>
  <c r="G17" i="226"/>
  <c r="G18" i="226"/>
  <c r="F22" i="226"/>
  <c r="H13" i="226"/>
  <c r="G13" i="226"/>
  <c r="H12" i="226"/>
  <c r="G12" i="226"/>
  <c r="H11" i="226"/>
  <c r="G11" i="226"/>
  <c r="H10" i="226"/>
  <c r="G10" i="226"/>
  <c r="H9" i="226"/>
  <c r="G9" i="226"/>
  <c r="H22" i="227" l="1"/>
  <c r="G22" i="227"/>
  <c r="H22" i="226"/>
  <c r="G22" i="226"/>
  <c r="F22" i="225"/>
  <c r="H13" i="225"/>
  <c r="G13" i="225"/>
  <c r="H12" i="225"/>
  <c r="G12" i="225"/>
  <c r="H11" i="225"/>
  <c r="G11" i="225"/>
  <c r="H10" i="225"/>
  <c r="G10" i="225"/>
  <c r="H9" i="225"/>
  <c r="G9" i="225"/>
  <c r="G22" i="225" l="1"/>
  <c r="H22" i="225"/>
  <c r="H11" i="224"/>
  <c r="H12" i="224"/>
  <c r="H13" i="224"/>
  <c r="H14" i="224"/>
  <c r="G11" i="224"/>
  <c r="G12" i="224"/>
  <c r="G13" i="224"/>
  <c r="G14" i="224"/>
  <c r="AG36" i="41" l="1"/>
  <c r="AG13" i="41"/>
  <c r="AF36" i="41"/>
  <c r="AF13" i="41"/>
  <c r="AH13" i="41" l="1"/>
  <c r="AH36" i="41"/>
  <c r="AE36" i="41"/>
  <c r="AE13" i="41"/>
  <c r="AD36" i="41" l="1"/>
  <c r="AD13" i="41"/>
  <c r="AC36" i="41" l="1"/>
  <c r="AC13" i="41"/>
  <c r="AB36" i="41"/>
  <c r="E13" i="41"/>
  <c r="D13" i="41"/>
  <c r="AA36" i="41"/>
  <c r="Z36" i="41"/>
  <c r="Y36" i="41"/>
  <c r="X36" i="41"/>
  <c r="W36" i="41"/>
  <c r="V36" i="41"/>
  <c r="U36" i="41"/>
  <c r="T36" i="41"/>
  <c r="S36" i="41"/>
  <c r="R36" i="41"/>
  <c r="Q36" i="41"/>
  <c r="AI5" i="41" l="1"/>
  <c r="AI6" i="41"/>
  <c r="AI7" i="41"/>
  <c r="AI9" i="41"/>
  <c r="AI10" i="41"/>
  <c r="AI14" i="41"/>
  <c r="AI15" i="41"/>
  <c r="AI16" i="41"/>
  <c r="AI17" i="41"/>
  <c r="AI18" i="41"/>
  <c r="AI19" i="41"/>
  <c r="AI21" i="41"/>
  <c r="AI23" i="41"/>
  <c r="AI24" i="41"/>
  <c r="AI25" i="41"/>
  <c r="AI26" i="41"/>
  <c r="AI27" i="41"/>
  <c r="AI28" i="41"/>
  <c r="AI29" i="41"/>
  <c r="AI30" i="41"/>
  <c r="AI31" i="41"/>
  <c r="AI32" i="41"/>
  <c r="AI33" i="41"/>
  <c r="AI35" i="41"/>
  <c r="AI4" i="41"/>
  <c r="F22" i="224" l="1"/>
  <c r="H10" i="224"/>
  <c r="G10" i="224"/>
  <c r="H9" i="224"/>
  <c r="G9" i="224"/>
  <c r="E36" i="41"/>
  <c r="D36" i="41"/>
  <c r="P36" i="41"/>
  <c r="H22" i="224" l="1"/>
  <c r="G22" i="224"/>
  <c r="AI13" i="41" l="1"/>
  <c r="N36" i="41" l="1"/>
  <c r="O36" i="41" l="1"/>
  <c r="L36" i="41" l="1"/>
  <c r="M36" i="41"/>
  <c r="K36" i="41" l="1"/>
  <c r="J36" i="41" l="1"/>
  <c r="I36" i="41"/>
  <c r="H36" i="41" l="1"/>
  <c r="G36" i="41"/>
  <c r="F36" i="41"/>
  <c r="AI36" i="41" l="1"/>
</calcChain>
</file>

<file path=xl/sharedStrings.xml><?xml version="1.0" encoding="utf-8"?>
<sst xmlns="http://schemas.openxmlformats.org/spreadsheetml/2006/main" count="3646" uniqueCount="250">
  <si>
    <t>MT</t>
  </si>
  <si>
    <t xml:space="preserve"> </t>
  </si>
  <si>
    <t>HRS</t>
  </si>
  <si>
    <t>Avg. Gsm</t>
  </si>
  <si>
    <t>m</t>
  </si>
  <si>
    <t>Date:</t>
  </si>
  <si>
    <t>S.N.</t>
  </si>
  <si>
    <t>QUALITY</t>
  </si>
  <si>
    <t>GSM</t>
  </si>
  <si>
    <t>M/C DECKLE</t>
  </si>
  <si>
    <t>M/C Reel SPEED</t>
  </si>
  <si>
    <t>M/C PROD.</t>
  </si>
  <si>
    <t>Avg. speed</t>
  </si>
  <si>
    <t>Production Loss Details</t>
  </si>
  <si>
    <t>REMARKS</t>
  </si>
  <si>
    <t>MPM</t>
  </si>
  <si>
    <t>Dept.</t>
  </si>
  <si>
    <t>Time loss,    Hrs.   Min.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</si>
  <si>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</si>
  <si>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</si>
  <si>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</si>
  <si>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</si>
  <si>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</si>
  <si>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</si>
  <si>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</si>
  <si>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</si>
  <si>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yankee doctor blade change</t>
  </si>
  <si>
    <t>Grade change</t>
  </si>
  <si>
    <t>Fan pump tripped</t>
  </si>
  <si>
    <t>Power fluctuation/tripped</t>
  </si>
  <si>
    <t>Wire &amp; felt cleaning</t>
  </si>
  <si>
    <t>Felt change</t>
  </si>
  <si>
    <t>Wire change</t>
  </si>
  <si>
    <t>CNG changwe over</t>
  </si>
  <si>
    <t>paper feeding airshower nozzle jammed</t>
  </si>
  <si>
    <t>dcs communication failed</t>
  </si>
  <si>
    <t>Particulars</t>
  </si>
  <si>
    <t>Date</t>
  </si>
  <si>
    <t>Todate consumption</t>
  </si>
  <si>
    <t>A</t>
  </si>
  <si>
    <t>RAW MATERIAL</t>
  </si>
  <si>
    <t>Unit</t>
  </si>
  <si>
    <t>Total Pulp</t>
  </si>
  <si>
    <t>B</t>
  </si>
  <si>
    <t>Kg.</t>
  </si>
  <si>
    <t>C</t>
  </si>
  <si>
    <t>D</t>
  </si>
  <si>
    <t>MACHINE PRODUCTION</t>
  </si>
  <si>
    <t>Steam consumption</t>
  </si>
  <si>
    <t>Water consumption</t>
  </si>
  <si>
    <t>m3</t>
  </si>
  <si>
    <t>NT-17-J</t>
  </si>
  <si>
    <t>KT-34-J</t>
  </si>
  <si>
    <t>KT-40-J</t>
  </si>
  <si>
    <t>KT-42-J</t>
  </si>
  <si>
    <t>KT-38-J</t>
  </si>
  <si>
    <t>KT-32-J</t>
  </si>
  <si>
    <t>KT-22-J</t>
  </si>
  <si>
    <t>TT-18-J</t>
  </si>
  <si>
    <t>TT-17-J</t>
  </si>
  <si>
    <t>TT-15-J</t>
  </si>
  <si>
    <t>NT-18-J</t>
  </si>
  <si>
    <t>NT-16-J</t>
  </si>
  <si>
    <t>NT-15-J</t>
  </si>
  <si>
    <t>NT-14-J</t>
  </si>
  <si>
    <t>FT-12.5-J</t>
  </si>
  <si>
    <t>MR-17-J</t>
  </si>
  <si>
    <t>KT-24-J</t>
  </si>
  <si>
    <t>KT-30-J</t>
  </si>
  <si>
    <t>NT-20-J</t>
  </si>
  <si>
    <t>MR-18-J</t>
  </si>
  <si>
    <t>MR-19-J</t>
  </si>
  <si>
    <t>NT-19-J</t>
  </si>
  <si>
    <t>KT-26-J</t>
  </si>
  <si>
    <t>TC-32-J</t>
  </si>
  <si>
    <t>TT-15.5-J</t>
  </si>
  <si>
    <t>TT-16-J</t>
  </si>
  <si>
    <t>CT-16-J</t>
  </si>
  <si>
    <t>KT-19-J</t>
  </si>
  <si>
    <t>TC-40-J</t>
  </si>
  <si>
    <t>ET-17-J</t>
  </si>
  <si>
    <t>EN-15-J</t>
  </si>
  <si>
    <t>ET-15-J</t>
  </si>
  <si>
    <t>KT-20-J</t>
  </si>
  <si>
    <t>EN-17-J</t>
  </si>
  <si>
    <t>EN-16-J</t>
  </si>
  <si>
    <t>ET-16-J</t>
  </si>
  <si>
    <t>ET-18-J</t>
  </si>
  <si>
    <t>TT-14-J</t>
  </si>
  <si>
    <t>FT-13-J</t>
  </si>
  <si>
    <t>FT-13.5-J</t>
  </si>
  <si>
    <t>KT-35-J</t>
  </si>
  <si>
    <t>EN-18-J</t>
  </si>
  <si>
    <t>FT-14-J</t>
  </si>
  <si>
    <t>KT-17-J</t>
  </si>
  <si>
    <t>KT-18-J</t>
  </si>
  <si>
    <t>KT-36-J</t>
  </si>
  <si>
    <t>TC-35-J</t>
  </si>
  <si>
    <t>TC-37-J</t>
  </si>
  <si>
    <t>TC-38-J</t>
  </si>
  <si>
    <t>TC-42-J</t>
  </si>
  <si>
    <t>TT-16.5-J</t>
  </si>
  <si>
    <t xml:space="preserve">  </t>
  </si>
  <si>
    <t>MR-20-J</t>
  </si>
  <si>
    <t>TT-21-J</t>
  </si>
  <si>
    <t>CSTT-23-J</t>
  </si>
  <si>
    <t>MR-15-J</t>
  </si>
  <si>
    <t>Kyemene 777LX (WSR)</t>
  </si>
  <si>
    <t>SOFTING AGENT - PROSOFT TQ 1182</t>
  </si>
  <si>
    <t>Rezosol 1400 ( Yankee Release)</t>
  </si>
  <si>
    <t>Creptrol A9915 (Yankee coating)</t>
  </si>
  <si>
    <t>Rezosol M278 (MAP)</t>
  </si>
  <si>
    <t>Hercobond 2515AP (DSR)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</si>
  <si>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</si>
  <si>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</si>
  <si>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</si>
  <si>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</si>
  <si>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</si>
  <si>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</si>
  <si>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</si>
  <si>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</si>
  <si>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Praestaret OMA 2520 (Anionic Flocculant)</t>
  </si>
  <si>
    <t>Catiofast 160 (Coagulant)</t>
  </si>
  <si>
    <t>Imported Softwood Pulp SODRA (AD)</t>
  </si>
  <si>
    <t>Kybreak 505 (Repulping Aid)</t>
  </si>
  <si>
    <t>Imported Hardwood Pulp CMPC (AD)Domestic</t>
  </si>
  <si>
    <t>GAYATRISHALTI TISSUE PRIVATE LIMITED</t>
  </si>
  <si>
    <t>DAILY PRODUCTION REPORT OF TISSUE</t>
  </si>
  <si>
    <t>Solenise Chemicals</t>
  </si>
  <si>
    <t>Imported Hardwood Pulp Acacia (AD)April</t>
  </si>
  <si>
    <t>Imported Hardwood Pulp Acacia (AD)Exman</t>
  </si>
  <si>
    <t>Process</t>
  </si>
  <si>
    <t>Yankee doctor blade change</t>
  </si>
  <si>
    <t>Imported Softwood Pulp Mercer(AD)</t>
  </si>
  <si>
    <t>Sheet break</t>
  </si>
  <si>
    <t>Imported Softwood Pulp Laja (AD)</t>
  </si>
  <si>
    <t>Others</t>
  </si>
  <si>
    <t>NT</t>
  </si>
  <si>
    <t>FT</t>
  </si>
  <si>
    <t>Wet strength white Tissue</t>
  </si>
  <si>
    <t>Imported Hardwood Pulp Baycel</t>
  </si>
  <si>
    <t>Spool jammed in pope reel railing</t>
  </si>
  <si>
    <t>TOWEL</t>
  </si>
  <si>
    <t>TT</t>
  </si>
  <si>
    <t>Mechanical</t>
  </si>
  <si>
    <t>Sheet stablizer air pipe remove</t>
  </si>
  <si>
    <t>KT</t>
  </si>
  <si>
    <t>Felt carried the stock ,Uhle box jammed</t>
  </si>
  <si>
    <t>machine stopped</t>
  </si>
  <si>
    <t>Steam</t>
  </si>
  <si>
    <t>Steam pressure dropped</t>
  </si>
  <si>
    <t xml:space="preserve">Machine stopped due to Felt group fast stop </t>
  </si>
  <si>
    <t>alarm</t>
  </si>
  <si>
    <t>Power</t>
  </si>
  <si>
    <t xml:space="preserve">Machine tripped twice due to power </t>
  </si>
  <si>
    <t>fluctuation</t>
  </si>
  <si>
    <t>Toscotec</t>
  </si>
  <si>
    <t>Machine start delay due to Next press</t>
  </si>
  <si>
    <t>belt stretcher problem</t>
  </si>
  <si>
    <t>Other</t>
  </si>
  <si>
    <t xml:space="preserve">Stock off due to low flow of vacuum </t>
  </si>
  <si>
    <t>sealing water</t>
  </si>
  <si>
    <t>System wash up</t>
  </si>
  <si>
    <t>Felt and wire cleaning and yankee</t>
  </si>
  <si>
    <t>mapping</t>
  </si>
  <si>
    <t>ID fan bearing change</t>
  </si>
  <si>
    <t>Maintainance</t>
  </si>
  <si>
    <t>Next press hydraulic oil hose change</t>
  </si>
  <si>
    <t>Instruments</t>
  </si>
  <si>
    <t>Pope reel sequence inturuption</t>
  </si>
  <si>
    <t>Felt carried the stock, Uhle box jammed</t>
  </si>
  <si>
    <t>Pope reel hydraulic low oil level</t>
  </si>
  <si>
    <t>false alarm</t>
  </si>
  <si>
    <t>Planned shut for boiler maintainance job</t>
  </si>
  <si>
    <t>Dctor blade change</t>
  </si>
  <si>
    <t>Grade Change</t>
  </si>
  <si>
    <t>Clothing change</t>
  </si>
  <si>
    <t>Felt &amp; Wire change</t>
  </si>
  <si>
    <t>Felt &amp; Wire cleaning due to sheet dropping</t>
  </si>
  <si>
    <t>Forming roll cover plate mechanical adjustment</t>
  </si>
  <si>
    <t>Machine stopped due to Vacuum sealing</t>
  </si>
  <si>
    <t>low flow</t>
  </si>
  <si>
    <t>Machine shut for forming roll covering</t>
  </si>
  <si>
    <t>plate adjustment</t>
  </si>
  <si>
    <t>Pope reel sequence not running</t>
  </si>
  <si>
    <t>All machine showers signal failure due to</t>
  </si>
  <si>
    <t>VB5001 Panel problem</t>
  </si>
  <si>
    <t>Maintanance</t>
  </si>
  <si>
    <t>Main fresh water pump flow issue tiwce</t>
  </si>
  <si>
    <t>Machine tripped due to power fluctuation</t>
  </si>
  <si>
    <t>Stock off due to paper stuck in the hood</t>
  </si>
  <si>
    <t>16/01/2025</t>
  </si>
  <si>
    <t>Electrical</t>
  </si>
  <si>
    <t>Machine speed loss due to Rewinder 1</t>
  </si>
  <si>
    <t>unwinder 3 drive fault( Rewinder stopped)</t>
  </si>
  <si>
    <t xml:space="preserve">Machine stopped twice due to vacuum </t>
  </si>
  <si>
    <t>sealing low flow</t>
  </si>
  <si>
    <t>Stock opff due to UTM pulper pump</t>
  </si>
  <si>
    <t>poor lifting</t>
  </si>
  <si>
    <t>17/01/2025</t>
  </si>
  <si>
    <t xml:space="preserve">Stock off due to Spool jammed in pope </t>
  </si>
  <si>
    <t>reel railing</t>
  </si>
  <si>
    <t>Stock off due to Felt carried the stock</t>
  </si>
  <si>
    <t>Imported Softwood Pulp Pacifico (AD)</t>
  </si>
  <si>
    <t>Lowering arm not coming in lower position</t>
  </si>
  <si>
    <t>19/01/2025</t>
  </si>
  <si>
    <t>20/01/2025</t>
  </si>
  <si>
    <t>21/01/2025</t>
  </si>
  <si>
    <t>sheet break</t>
  </si>
  <si>
    <t>Creaping doctor holder checked by BTG</t>
  </si>
  <si>
    <t>22/01/2025</t>
  </si>
  <si>
    <t>Felt &amp; Wire cleaning done</t>
  </si>
  <si>
    <t>Creptrol 3718 (Yankee coating)</t>
  </si>
  <si>
    <t>Rezosol 150 (Yankee Release)</t>
  </si>
  <si>
    <t>23/01/2025</t>
  </si>
  <si>
    <t xml:space="preserve">Stock off due to paper stuck in wet end </t>
  </si>
  <si>
    <t>hood</t>
  </si>
  <si>
    <t>24/01/2025</t>
  </si>
  <si>
    <t>Sticky &amp; system cleaning done</t>
  </si>
  <si>
    <t xml:space="preserve">Yankee doctor blade adjustment and </t>
  </si>
  <si>
    <t>yankee mapping</t>
  </si>
  <si>
    <t>25/01/2025</t>
  </si>
  <si>
    <t>Machine speed slow due to Rewinder 2</t>
  </si>
  <si>
    <t>drive fault issue and HMI switch fault</t>
  </si>
  <si>
    <t>drive fault issue .</t>
  </si>
  <si>
    <t>26/01/2025</t>
  </si>
  <si>
    <t>Sticky and systm cleaning</t>
  </si>
  <si>
    <t>27/01/2025</t>
  </si>
  <si>
    <t>Doctor blade change</t>
  </si>
  <si>
    <t>28/01/2025</t>
  </si>
  <si>
    <t>Sticky &amp; system cleaning</t>
  </si>
  <si>
    <t>29/01/2025</t>
  </si>
  <si>
    <t>Yankee &amp; Hood gap adjustment</t>
  </si>
  <si>
    <t>30/01/2025</t>
  </si>
  <si>
    <t>System cleaning</t>
  </si>
  <si>
    <t>Sticky &amp; System cleaning</t>
  </si>
  <si>
    <t>Machenical</t>
  </si>
  <si>
    <t>Forming roll doctor blade was not getting loaded</t>
  </si>
  <si>
    <t>Main fresh water pump not lifting the flow</t>
  </si>
  <si>
    <t>Felt carried the stock</t>
  </si>
  <si>
    <t>Stock off due to UTM pulper level high</t>
  </si>
  <si>
    <t>Pope reel sequence stopped</t>
  </si>
  <si>
    <t>Natural Gas consumption (Tissue Machine)</t>
  </si>
  <si>
    <t>Natural Gas consumption (Boiler)</t>
  </si>
  <si>
    <t>SCM</t>
  </si>
  <si>
    <t>Power (MACHINE)</t>
  </si>
  <si>
    <t>Power (BOILER+ETP)</t>
  </si>
  <si>
    <t>DAILY REPORT  Month (January-2025)</t>
  </si>
  <si>
    <t>FINISHED PRODUCTION TO WARE HOUSE</t>
  </si>
  <si>
    <t>UTILITY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</si>
</sst>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h:mm;@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Times New Roman"/>
      <family val="1"/>
    </font>
    <font>
      <b/>
      <sz val="16"/>
      <name val="Times New Roman"/>
      <family val="1"/>
    </font>
    <font>
      <sz val="16"/>
      <color rgb="FFFF0000"/>
      <name val="Times New Roman"/>
      <family val="1"/>
    </font>
    <font>
      <b/>
      <u/>
      <sz val="18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u/>
      <sz val="2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indexed="64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medium">
        <color indexed="64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indexed="64"/>
      </right>
      <top/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11" fillId="0" borderId="0"/>
    <xf numFmtId="0" fontId="1" fillId="0" borderId="0"/>
    <xf numFmtId="0" fontId="11" fillId="0" borderId="0"/>
    <xf numFmtId="0" fontId="1" fillId="0" borderId="0"/>
  </cellStyleXfs>
  <cellXfs count="357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7" fillId="0" borderId="7" xfId="0" applyFont="1" applyBorder="1"/>
    <xf numFmtId="2" fontId="7" fillId="0" borderId="1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2" fontId="9" fillId="0" borderId="1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9" fillId="0" borderId="1" xfId="0" applyFont="1" applyBorder="1"/>
    <xf numFmtId="164" fontId="7" fillId="0" borderId="1" xfId="0" applyNumberFormat="1" applyFont="1" applyBorder="1" applyAlignment="1">
      <alignment horizontal="center"/>
    </xf>
    <xf numFmtId="0" fontId="7" fillId="0" borderId="10" xfId="0" applyFont="1" applyBorder="1"/>
    <xf numFmtId="2" fontId="7" fillId="0" borderId="10" xfId="0" applyNumberFormat="1" applyFont="1" applyBorder="1" applyAlignment="1">
      <alignment horizontal="center"/>
    </xf>
    <xf numFmtId="0" fontId="9" fillId="0" borderId="10" xfId="0" applyFont="1" applyBorder="1"/>
    <xf numFmtId="0" fontId="7" fillId="0" borderId="6" xfId="0" applyFont="1" applyBorder="1" applyAlignment="1">
      <alignment vertical="center" wrapText="1"/>
    </xf>
    <xf numFmtId="0" fontId="7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165" fontId="4" fillId="6" borderId="1" xfId="0" applyNumberFormat="1" applyFont="1" applyFill="1" applyBorder="1" applyAlignment="1">
      <alignment horizontal="center" vertical="center"/>
    </xf>
    <xf numFmtId="165" fontId="4" fillId="7" borderId="14" xfId="0" applyNumberFormat="1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center"/>
    </xf>
    <xf numFmtId="0" fontId="10" fillId="5" borderId="2" xfId="0" applyFont="1" applyFill="1" applyBorder="1"/>
    <xf numFmtId="164" fontId="3" fillId="0" borderId="2" xfId="0" applyNumberFormat="1" applyFont="1" applyBorder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0" fontId="10" fillId="5" borderId="1" xfId="0" applyFont="1" applyFill="1" applyBorder="1"/>
    <xf numFmtId="0" fontId="10" fillId="5" borderId="15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vertical="center"/>
    </xf>
    <xf numFmtId="0" fontId="6" fillId="0" borderId="18" xfId="0" applyFont="1" applyBorder="1"/>
    <xf numFmtId="0" fontId="6" fillId="0" borderId="19" xfId="0" applyFont="1" applyBorder="1"/>
    <xf numFmtId="0" fontId="6" fillId="0" borderId="20" xfId="0" applyFont="1" applyBorder="1"/>
    <xf numFmtId="0" fontId="7" fillId="0" borderId="1" xfId="2" applyFont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6" fontId="7" fillId="0" borderId="1" xfId="2" applyNumberFormat="1" applyFont="1" applyBorder="1" applyAlignment="1">
      <alignment horizontal="center"/>
    </xf>
    <xf numFmtId="0" fontId="7" fillId="0" borderId="2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2" fontId="7" fillId="0" borderId="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right"/>
    </xf>
    <xf numFmtId="1" fontId="9" fillId="0" borderId="8" xfId="0" applyNumberFormat="1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7" fillId="0" borderId="1" xfId="2" applyFont="1" applyBorder="1"/>
    <xf numFmtId="0" fontId="7" fillId="0" borderId="22" xfId="2" applyFont="1" applyBorder="1" applyAlignment="1">
      <alignment horizontal="center" vertical="center"/>
    </xf>
    <xf numFmtId="166" fontId="7" fillId="0" borderId="22" xfId="2" applyNumberFormat="1" applyFont="1" applyBorder="1" applyAlignment="1">
      <alignment horizontal="center" vertical="center"/>
    </xf>
    <xf numFmtId="0" fontId="7" fillId="0" borderId="23" xfId="2" applyFont="1" applyBorder="1" applyAlignment="1">
      <alignment vertical="center"/>
    </xf>
    <xf numFmtId="166" fontId="7" fillId="0" borderId="21" xfId="2" applyNumberFormat="1" applyFont="1" applyBorder="1" applyAlignment="1">
      <alignment horizontal="center" vertical="center"/>
    </xf>
    <xf numFmtId="0" fontId="7" fillId="0" borderId="24" xfId="2" applyFont="1" applyBorder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2" fillId="0" borderId="0" xfId="0" applyFont="1" applyAlignment="1">
      <alignment horizontal="right"/>
    </xf>
    <xf numFmtId="14" fontId="12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25" xfId="2" applyFont="1" applyBorder="1" applyAlignment="1">
      <alignment horizontal="center" vertical="center"/>
    </xf>
    <xf numFmtId="0" fontId="13" fillId="0" borderId="26" xfId="2" applyFont="1" applyBorder="1" applyAlignment="1">
      <alignment horizontal="center" vertical="center" wrapText="1"/>
    </xf>
    <xf numFmtId="164" fontId="13" fillId="0" borderId="8" xfId="2" applyNumberFormat="1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164" fontId="13" fillId="0" borderId="29" xfId="2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0" fontId="13" fillId="0" borderId="32" xfId="2" applyFont="1" applyBorder="1" applyAlignment="1">
      <alignment horizontal="center" vertical="center"/>
    </xf>
    <xf numFmtId="166" fontId="13" fillId="0" borderId="32" xfId="2" applyNumberFormat="1" applyFont="1" applyBorder="1" applyAlignment="1">
      <alignment horizontal="center" vertical="center"/>
    </xf>
    <xf numFmtId="0" fontId="13" fillId="0" borderId="33" xfId="2" applyFont="1" applyBorder="1" applyAlignment="1">
      <alignment vertical="center"/>
    </xf>
    <xf numFmtId="0" fontId="13" fillId="0" borderId="27" xfId="2" applyFont="1" applyBorder="1" applyAlignment="1">
      <alignment horizontal="center" vertical="center" wrapText="1"/>
    </xf>
    <xf numFmtId="0" fontId="13" fillId="0" borderId="28" xfId="2" applyFont="1" applyBorder="1" applyAlignment="1">
      <alignment horizontal="center" vertical="center" wrapText="1"/>
    </xf>
    <xf numFmtId="164" fontId="13" fillId="0" borderId="1" xfId="2" applyNumberFormat="1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164" fontId="13" fillId="0" borderId="30" xfId="2" applyNumberFormat="1" applyFont="1" applyBorder="1" applyAlignment="1">
      <alignment horizontal="center" vertical="center" wrapText="1"/>
    </xf>
    <xf numFmtId="0" fontId="13" fillId="0" borderId="21" xfId="2" applyFont="1" applyBorder="1" applyAlignment="1">
      <alignment horizontal="center" vertical="center"/>
    </xf>
    <xf numFmtId="166" fontId="13" fillId="0" borderId="21" xfId="2" applyNumberFormat="1" applyFont="1" applyBorder="1" applyAlignment="1">
      <alignment horizontal="center" vertical="center"/>
    </xf>
    <xf numFmtId="0" fontId="13" fillId="0" borderId="24" xfId="2" applyFont="1" applyBorder="1" applyAlignment="1">
      <alignment vertical="center"/>
    </xf>
    <xf numFmtId="164" fontId="13" fillId="0" borderId="11" xfId="2" applyNumberFormat="1" applyFont="1" applyBorder="1" applyAlignment="1">
      <alignment horizontal="center" vertical="center" wrapText="1"/>
    </xf>
    <xf numFmtId="164" fontId="13" fillId="0" borderId="26" xfId="2" applyNumberFormat="1" applyFont="1" applyBorder="1" applyAlignment="1">
      <alignment horizontal="center" vertical="center" wrapText="1"/>
    </xf>
    <xf numFmtId="164" fontId="13" fillId="0" borderId="28" xfId="2" applyNumberFormat="1" applyFont="1" applyBorder="1" applyAlignment="1">
      <alignment horizontal="center" vertical="center" wrapText="1"/>
    </xf>
    <xf numFmtId="164" fontId="13" fillId="0" borderId="31" xfId="2" applyNumberFormat="1" applyFont="1" applyBorder="1" applyAlignment="1">
      <alignment horizontal="center" vertical="center" wrapText="1"/>
    </xf>
    <xf numFmtId="0" fontId="13" fillId="0" borderId="1" xfId="2" applyFont="1" applyBorder="1"/>
    <xf numFmtId="166" fontId="13" fillId="0" borderId="1" xfId="2" applyNumberFormat="1" applyFont="1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0" borderId="7" xfId="0" applyFont="1" applyBorder="1"/>
    <xf numFmtId="0" fontId="13" fillId="0" borderId="8" xfId="0" applyFont="1" applyBorder="1"/>
    <xf numFmtId="2" fontId="13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 vertical="center" wrapText="1"/>
    </xf>
    <xf numFmtId="2" fontId="12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/>
    </xf>
    <xf numFmtId="2" fontId="13" fillId="0" borderId="7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2" fontId="12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2" fillId="0" borderId="1" xfId="0" applyFont="1" applyBorder="1"/>
    <xf numFmtId="0" fontId="13" fillId="0" borderId="10" xfId="0" applyFont="1" applyBorder="1"/>
    <xf numFmtId="0" fontId="13" fillId="0" borderId="9" xfId="0" applyFont="1" applyBorder="1"/>
    <xf numFmtId="0" fontId="12" fillId="0" borderId="10" xfId="0" applyFont="1" applyBorder="1" applyAlignment="1">
      <alignment horizontal="right"/>
    </xf>
    <xf numFmtId="2" fontId="13" fillId="0" borderId="10" xfId="0" applyNumberFormat="1" applyFont="1" applyBorder="1" applyAlignment="1">
      <alignment horizontal="center"/>
    </xf>
    <xf numFmtId="0" fontId="12" fillId="0" borderId="10" xfId="0" applyFont="1" applyBorder="1"/>
    <xf numFmtId="0" fontId="13" fillId="0" borderId="6" xfId="0" applyFont="1" applyBorder="1" applyAlignment="1">
      <alignment vertical="center" wrapText="1"/>
    </xf>
    <xf numFmtId="0" fontId="13" fillId="0" borderId="0" xfId="0" applyFont="1" applyAlignment="1">
      <alignment horizontal="left"/>
    </xf>
    <xf numFmtId="0" fontId="15" fillId="0" borderId="25" xfId="2" applyFont="1" applyBorder="1" applyAlignment="1">
      <alignment horizontal="center" vertical="center"/>
    </xf>
    <xf numFmtId="0" fontId="15" fillId="0" borderId="26" xfId="2" applyFont="1" applyBorder="1" applyAlignment="1">
      <alignment horizontal="center" vertical="center" wrapText="1"/>
    </xf>
    <xf numFmtId="164" fontId="15" fillId="0" borderId="8" xfId="2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8" xfId="2" applyFont="1" applyBorder="1" applyAlignment="1">
      <alignment horizontal="center" vertical="center" wrapText="1"/>
    </xf>
    <xf numFmtId="164" fontId="15" fillId="0" borderId="29" xfId="2" applyNumberFormat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5" fillId="0" borderId="32" xfId="2" applyFont="1" applyBorder="1" applyAlignment="1">
      <alignment horizontal="center" vertical="center"/>
    </xf>
    <xf numFmtId="166" fontId="15" fillId="0" borderId="32" xfId="2" applyNumberFormat="1" applyFont="1" applyBorder="1" applyAlignment="1">
      <alignment horizontal="center" vertical="center"/>
    </xf>
    <xf numFmtId="0" fontId="15" fillId="0" borderId="33" xfId="2" applyFont="1" applyBorder="1" applyAlignment="1">
      <alignment vertical="center"/>
    </xf>
    <xf numFmtId="0" fontId="15" fillId="0" borderId="27" xfId="2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164" fontId="15" fillId="0" borderId="1" xfId="2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164" fontId="15" fillId="0" borderId="30" xfId="2" applyNumberFormat="1" applyFont="1" applyBorder="1" applyAlignment="1">
      <alignment horizontal="center" vertical="center" wrapText="1"/>
    </xf>
    <xf numFmtId="0" fontId="15" fillId="0" borderId="21" xfId="2" applyFont="1" applyBorder="1" applyAlignment="1">
      <alignment horizontal="center" vertical="center"/>
    </xf>
    <xf numFmtId="166" fontId="15" fillId="0" borderId="21" xfId="2" applyNumberFormat="1" applyFont="1" applyBorder="1" applyAlignment="1">
      <alignment horizontal="center" vertical="center"/>
    </xf>
    <xf numFmtId="0" fontId="15" fillId="0" borderId="24" xfId="2" applyFont="1" applyBorder="1" applyAlignment="1">
      <alignment vertical="center"/>
    </xf>
    <xf numFmtId="164" fontId="15" fillId="0" borderId="11" xfId="2" applyNumberFormat="1" applyFont="1" applyBorder="1" applyAlignment="1">
      <alignment horizontal="center" vertical="center" wrapText="1"/>
    </xf>
    <xf numFmtId="164" fontId="15" fillId="0" borderId="26" xfId="2" applyNumberFormat="1" applyFont="1" applyBorder="1" applyAlignment="1">
      <alignment horizontal="center" vertical="center" wrapText="1"/>
    </xf>
    <xf numFmtId="164" fontId="15" fillId="0" borderId="28" xfId="2" applyNumberFormat="1" applyFont="1" applyBorder="1" applyAlignment="1">
      <alignment horizontal="center" vertical="center" wrapText="1"/>
    </xf>
    <xf numFmtId="164" fontId="15" fillId="0" borderId="31" xfId="2" applyNumberFormat="1" applyFont="1" applyBorder="1" applyAlignment="1">
      <alignment horizontal="center" vertical="center" wrapText="1"/>
    </xf>
    <xf numFmtId="0" fontId="15" fillId="0" borderId="35" xfId="2" applyFont="1" applyBorder="1" applyAlignment="1">
      <alignment horizontal="center" vertical="center"/>
    </xf>
    <xf numFmtId="166" fontId="15" fillId="0" borderId="35" xfId="2" applyNumberFormat="1" applyFont="1" applyBorder="1" applyAlignment="1">
      <alignment horizontal="center" vertical="center"/>
    </xf>
    <xf numFmtId="0" fontId="15" fillId="0" borderId="39" xfId="2" applyFont="1" applyBorder="1" applyAlignment="1">
      <alignment vertical="center"/>
    </xf>
    <xf numFmtId="0" fontId="15" fillId="0" borderId="34" xfId="2" applyFont="1" applyBorder="1" applyAlignment="1">
      <alignment horizontal="center" vertical="center" wrapText="1"/>
    </xf>
    <xf numFmtId="164" fontId="15" fillId="0" borderId="36" xfId="2" applyNumberFormat="1" applyFont="1" applyBorder="1" applyAlignment="1">
      <alignment horizontal="center" vertical="center" wrapText="1"/>
    </xf>
    <xf numFmtId="164" fontId="15" fillId="0" borderId="38" xfId="2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/>
    <xf numFmtId="0" fontId="15" fillId="0" borderId="13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0" fontId="15" fillId="0" borderId="37" xfId="2" applyFont="1" applyBorder="1" applyAlignment="1">
      <alignment horizontal="center" vertical="center" wrapText="1"/>
    </xf>
    <xf numFmtId="0" fontId="15" fillId="0" borderId="3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0" fontId="16" fillId="0" borderId="27" xfId="2" applyFont="1" applyBorder="1" applyAlignment="1">
      <alignment horizontal="center" vertical="center" wrapText="1"/>
    </xf>
    <xf numFmtId="0" fontId="16" fillId="0" borderId="21" xfId="2" applyFont="1" applyBorder="1" applyAlignment="1">
      <alignment horizontal="center" vertical="center"/>
    </xf>
    <xf numFmtId="164" fontId="16" fillId="0" borderId="28" xfId="2" applyNumberFormat="1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164" fontId="16" fillId="0" borderId="31" xfId="2" applyNumberFormat="1" applyFont="1" applyBorder="1" applyAlignment="1">
      <alignment horizontal="center" vertical="center" wrapText="1"/>
    </xf>
    <xf numFmtId="0" fontId="16" fillId="0" borderId="34" xfId="2" applyFont="1" applyBorder="1" applyAlignment="1">
      <alignment horizontal="center" vertical="center" wrapText="1"/>
    </xf>
    <xf numFmtId="0" fontId="16" fillId="0" borderId="35" xfId="2" applyFont="1" applyBorder="1" applyAlignment="1">
      <alignment horizontal="center" vertical="center"/>
    </xf>
    <xf numFmtId="164" fontId="16" fillId="0" borderId="36" xfId="2" applyNumberFormat="1" applyFont="1" applyBorder="1" applyAlignment="1">
      <alignment horizontal="center" vertical="center" wrapText="1"/>
    </xf>
    <xf numFmtId="164" fontId="16" fillId="0" borderId="38" xfId="2" applyNumberFormat="1" applyFont="1" applyBorder="1" applyAlignment="1">
      <alignment horizontal="center" vertical="center" wrapText="1"/>
    </xf>
    <xf numFmtId="0" fontId="16" fillId="0" borderId="13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/>
    </xf>
    <xf numFmtId="164" fontId="16" fillId="0" borderId="1" xfId="2" applyNumberFormat="1" applyFont="1" applyBorder="1" applyAlignment="1">
      <alignment horizontal="center" vertical="center" wrapText="1"/>
    </xf>
    <xf numFmtId="0" fontId="16" fillId="0" borderId="8" xfId="2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/>
    <xf numFmtId="0" fontId="16" fillId="0" borderId="37" xfId="2" applyFont="1" applyBorder="1" applyAlignment="1">
      <alignment horizontal="center" vertical="center" wrapText="1"/>
    </xf>
    <xf numFmtId="0" fontId="16" fillId="0" borderId="3" xfId="2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 wrapText="1"/>
    </xf>
    <xf numFmtId="164" fontId="16" fillId="0" borderId="3" xfId="2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6" fillId="0" borderId="25" xfId="2" applyFont="1" applyBorder="1" applyAlignment="1">
      <alignment horizontal="center" vertical="center"/>
    </xf>
    <xf numFmtId="0" fontId="16" fillId="0" borderId="26" xfId="2" applyFont="1" applyBorder="1" applyAlignment="1">
      <alignment horizontal="center" vertical="center" wrapText="1"/>
    </xf>
    <xf numFmtId="164" fontId="16" fillId="0" borderId="8" xfId="2" applyNumberFormat="1" applyFont="1" applyBorder="1" applyAlignment="1">
      <alignment horizontal="center" vertical="center" wrapText="1"/>
    </xf>
    <xf numFmtId="164" fontId="16" fillId="0" borderId="29" xfId="2" applyNumberFormat="1" applyFont="1" applyBorder="1" applyAlignment="1">
      <alignment horizontal="center" vertical="center" wrapText="1"/>
    </xf>
    <xf numFmtId="0" fontId="16" fillId="0" borderId="32" xfId="2" applyFont="1" applyBorder="1" applyAlignment="1">
      <alignment horizontal="center" vertical="center"/>
    </xf>
    <xf numFmtId="166" fontId="16" fillId="0" borderId="32" xfId="2" applyNumberFormat="1" applyFont="1" applyBorder="1" applyAlignment="1">
      <alignment horizontal="center" vertical="center"/>
    </xf>
    <xf numFmtId="0" fontId="16" fillId="0" borderId="33" xfId="2" applyFont="1" applyBorder="1" applyAlignment="1">
      <alignment vertical="center"/>
    </xf>
    <xf numFmtId="0" fontId="16" fillId="0" borderId="28" xfId="2" applyFont="1" applyBorder="1" applyAlignment="1">
      <alignment horizontal="center" vertical="center" wrapText="1"/>
    </xf>
    <xf numFmtId="164" fontId="16" fillId="0" borderId="30" xfId="2" applyNumberFormat="1" applyFont="1" applyBorder="1" applyAlignment="1">
      <alignment horizontal="center" vertical="center" wrapText="1"/>
    </xf>
    <xf numFmtId="166" fontId="16" fillId="0" borderId="21" xfId="2" applyNumberFormat="1" applyFont="1" applyBorder="1" applyAlignment="1">
      <alignment horizontal="center" vertical="center"/>
    </xf>
    <xf numFmtId="0" fontId="16" fillId="0" borderId="24" xfId="2" applyFont="1" applyBorder="1" applyAlignment="1">
      <alignment vertical="center"/>
    </xf>
    <xf numFmtId="164" fontId="16" fillId="0" borderId="11" xfId="2" applyNumberFormat="1" applyFont="1" applyBorder="1" applyAlignment="1">
      <alignment horizontal="center" vertical="center" wrapText="1"/>
    </xf>
    <xf numFmtId="164" fontId="16" fillId="0" borderId="26" xfId="2" applyNumberFormat="1" applyFont="1" applyBorder="1" applyAlignment="1">
      <alignment horizontal="center" vertical="center" wrapText="1"/>
    </xf>
    <xf numFmtId="166" fontId="16" fillId="0" borderId="35" xfId="2" applyNumberFormat="1" applyFont="1" applyBorder="1" applyAlignment="1">
      <alignment horizontal="center" vertical="center"/>
    </xf>
    <xf numFmtId="0" fontId="16" fillId="0" borderId="39" xfId="2" applyFont="1" applyBorder="1" applyAlignment="1">
      <alignment vertical="center"/>
    </xf>
    <xf numFmtId="0" fontId="16" fillId="0" borderId="1" xfId="2" applyFont="1" applyBorder="1" applyAlignment="1">
      <alignment horizontal="center"/>
    </xf>
    <xf numFmtId="166" fontId="16" fillId="0" borderId="1" xfId="2" applyNumberFormat="1" applyFont="1" applyBorder="1" applyAlignment="1">
      <alignment horizontal="center" vertical="center"/>
    </xf>
    <xf numFmtId="0" fontId="16" fillId="0" borderId="14" xfId="2" applyFont="1" applyBorder="1"/>
    <xf numFmtId="0" fontId="13" fillId="0" borderId="35" xfId="2" applyFont="1" applyBorder="1" applyAlignment="1">
      <alignment horizontal="center" vertical="center"/>
    </xf>
    <xf numFmtId="166" fontId="13" fillId="0" borderId="35" xfId="2" applyNumberFormat="1" applyFont="1" applyBorder="1" applyAlignment="1">
      <alignment horizontal="center" vertical="center"/>
    </xf>
    <xf numFmtId="0" fontId="13" fillId="0" borderId="39" xfId="2" applyFont="1" applyBorder="1" applyAlignment="1">
      <alignment vertical="center"/>
    </xf>
    <xf numFmtId="0" fontId="13" fillId="0" borderId="34" xfId="2" applyFont="1" applyBorder="1" applyAlignment="1">
      <alignment horizontal="center" vertical="center" wrapText="1"/>
    </xf>
    <xf numFmtId="164" fontId="13" fillId="0" borderId="36" xfId="2" applyNumberFormat="1" applyFont="1" applyBorder="1" applyAlignment="1">
      <alignment horizontal="center" vertical="center" wrapText="1"/>
    </xf>
    <xf numFmtId="164" fontId="13" fillId="0" borderId="38" xfId="2" applyNumberFormat="1" applyFont="1" applyBorder="1" applyAlignment="1">
      <alignment horizontal="center" vertical="center" wrapText="1"/>
    </xf>
    <xf numFmtId="0" fontId="13" fillId="0" borderId="13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/>
    </xf>
    <xf numFmtId="166" fontId="13" fillId="0" borderId="1" xfId="2" applyNumberFormat="1" applyFont="1" applyBorder="1" applyAlignment="1">
      <alignment horizontal="center" vertical="center"/>
    </xf>
    <xf numFmtId="0" fontId="13" fillId="0" borderId="14" xfId="2" applyFont="1" applyBorder="1"/>
    <xf numFmtId="0" fontId="13" fillId="0" borderId="37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/>
    </xf>
    <xf numFmtId="0" fontId="13" fillId="0" borderId="3" xfId="2" applyFont="1" applyBorder="1" applyAlignment="1">
      <alignment horizontal="center" vertical="center" wrapText="1"/>
    </xf>
    <xf numFmtId="164" fontId="13" fillId="0" borderId="3" xfId="2" applyNumberFormat="1" applyFont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horizontal="right"/>
    </xf>
    <xf numFmtId="14" fontId="17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1" fontId="18" fillId="0" borderId="1" xfId="0" applyNumberFormat="1" applyFont="1" applyBorder="1" applyAlignment="1">
      <alignment horizontal="center" vertical="center" wrapText="1"/>
    </xf>
    <xf numFmtId="0" fontId="18" fillId="0" borderId="13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/>
    </xf>
    <xf numFmtId="164" fontId="18" fillId="0" borderId="1" xfId="2" applyNumberFormat="1" applyFont="1" applyBorder="1" applyAlignment="1">
      <alignment horizontal="center" vertical="center" wrapText="1"/>
    </xf>
    <xf numFmtId="0" fontId="18" fillId="0" borderId="8" xfId="2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/>
    </xf>
    <xf numFmtId="166" fontId="18" fillId="0" borderId="1" xfId="2" applyNumberFormat="1" applyFont="1" applyBorder="1" applyAlignment="1">
      <alignment horizontal="center" vertical="center"/>
    </xf>
    <xf numFmtId="0" fontId="18" fillId="0" borderId="14" xfId="2" applyFont="1" applyBorder="1"/>
    <xf numFmtId="0" fontId="18" fillId="0" borderId="1" xfId="2" applyFont="1" applyBorder="1" applyAlignment="1">
      <alignment horizontal="center" vertical="center" wrapText="1"/>
    </xf>
    <xf numFmtId="0" fontId="18" fillId="0" borderId="37" xfId="2" applyFont="1" applyBorder="1" applyAlignment="1">
      <alignment horizontal="center" vertical="center" wrapText="1"/>
    </xf>
    <xf numFmtId="0" fontId="18" fillId="0" borderId="3" xfId="2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 wrapText="1"/>
    </xf>
    <xf numFmtId="164" fontId="18" fillId="0" borderId="3" xfId="2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/>
    </xf>
    <xf numFmtId="0" fontId="18" fillId="0" borderId="7" xfId="0" applyFont="1" applyBorder="1"/>
    <xf numFmtId="0" fontId="18" fillId="0" borderId="8" xfId="0" applyFont="1" applyBorder="1"/>
    <xf numFmtId="2" fontId="18" fillId="0" borderId="8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164" fontId="17" fillId="0" borderId="8" xfId="0" applyNumberFormat="1" applyFont="1" applyBorder="1" applyAlignment="1">
      <alignment horizontal="center"/>
    </xf>
    <xf numFmtId="1" fontId="17" fillId="0" borderId="8" xfId="0" applyNumberFormat="1" applyFont="1" applyBorder="1" applyAlignment="1">
      <alignment horizontal="center" vertical="center" wrapText="1"/>
    </xf>
    <xf numFmtId="2" fontId="17" fillId="0" borderId="8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/>
    </xf>
    <xf numFmtId="2" fontId="18" fillId="0" borderId="7" xfId="0" applyNumberFormat="1" applyFont="1" applyBorder="1" applyAlignment="1">
      <alignment horizontal="center"/>
    </xf>
    <xf numFmtId="16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left"/>
    </xf>
    <xf numFmtId="2" fontId="17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7" fillId="0" borderId="1" xfId="0" applyFont="1" applyBorder="1"/>
    <xf numFmtId="0" fontId="18" fillId="0" borderId="10" xfId="0" applyFont="1" applyBorder="1"/>
    <xf numFmtId="0" fontId="18" fillId="0" borderId="9" xfId="0" applyFont="1" applyBorder="1"/>
    <xf numFmtId="0" fontId="17" fillId="0" borderId="10" xfId="0" applyFont="1" applyBorder="1" applyAlignment="1">
      <alignment horizontal="right"/>
    </xf>
    <xf numFmtId="2" fontId="18" fillId="0" borderId="10" xfId="0" applyNumberFormat="1" applyFont="1" applyBorder="1" applyAlignment="1">
      <alignment horizontal="center"/>
    </xf>
    <xf numFmtId="0" fontId="17" fillId="0" borderId="10" xfId="0" applyFont="1" applyBorder="1"/>
    <xf numFmtId="0" fontId="18" fillId="0" borderId="6" xfId="0" applyFont="1" applyBorder="1" applyAlignment="1">
      <alignment vertical="center" wrapText="1"/>
    </xf>
    <xf numFmtId="0" fontId="18" fillId="0" borderId="0" xfId="0" applyFont="1" applyAlignment="1">
      <alignment horizontal="left"/>
    </xf>
    <xf numFmtId="0" fontId="18" fillId="0" borderId="25" xfId="2" applyFont="1" applyBorder="1" applyAlignment="1">
      <alignment horizontal="center" vertical="center"/>
    </xf>
    <xf numFmtId="0" fontId="18" fillId="0" borderId="26" xfId="2" applyFont="1" applyBorder="1" applyAlignment="1">
      <alignment horizontal="center" vertical="center" wrapText="1"/>
    </xf>
    <xf numFmtId="164" fontId="18" fillId="0" borderId="8" xfId="2" applyNumberFormat="1" applyFont="1" applyBorder="1" applyAlignment="1">
      <alignment horizontal="center" vertical="center" wrapText="1"/>
    </xf>
    <xf numFmtId="164" fontId="18" fillId="0" borderId="29" xfId="2" applyNumberFormat="1" applyFont="1" applyBorder="1" applyAlignment="1">
      <alignment horizontal="center" vertical="center" wrapText="1"/>
    </xf>
    <xf numFmtId="0" fontId="18" fillId="0" borderId="32" xfId="2" applyFont="1" applyBorder="1" applyAlignment="1">
      <alignment horizontal="center" vertical="center"/>
    </xf>
    <xf numFmtId="166" fontId="18" fillId="0" borderId="32" xfId="2" applyNumberFormat="1" applyFont="1" applyBorder="1" applyAlignment="1">
      <alignment horizontal="center" vertical="center"/>
    </xf>
    <xf numFmtId="0" fontId="18" fillId="0" borderId="33" xfId="2" applyFont="1" applyBorder="1" applyAlignment="1">
      <alignment vertical="center"/>
    </xf>
    <xf numFmtId="0" fontId="18" fillId="0" borderId="27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164" fontId="18" fillId="0" borderId="30" xfId="2" applyNumberFormat="1" applyFont="1" applyBorder="1" applyAlignment="1">
      <alignment horizontal="center" vertical="center" wrapText="1"/>
    </xf>
    <xf numFmtId="0" fontId="18" fillId="0" borderId="21" xfId="2" applyFont="1" applyBorder="1" applyAlignment="1">
      <alignment horizontal="center" vertical="center"/>
    </xf>
    <xf numFmtId="166" fontId="18" fillId="0" borderId="21" xfId="2" applyNumberFormat="1" applyFont="1" applyBorder="1" applyAlignment="1">
      <alignment horizontal="center" vertical="center"/>
    </xf>
    <xf numFmtId="0" fontId="18" fillId="0" borderId="24" xfId="2" applyFont="1" applyBorder="1" applyAlignment="1">
      <alignment vertical="center"/>
    </xf>
    <xf numFmtId="164" fontId="18" fillId="0" borderId="11" xfId="2" applyNumberFormat="1" applyFont="1" applyBorder="1" applyAlignment="1">
      <alignment horizontal="center" vertical="center" wrapText="1"/>
    </xf>
    <xf numFmtId="164" fontId="18" fillId="0" borderId="26" xfId="2" applyNumberFormat="1" applyFont="1" applyBorder="1" applyAlignment="1">
      <alignment horizontal="center" vertical="center" wrapText="1"/>
    </xf>
    <xf numFmtId="164" fontId="18" fillId="0" borderId="28" xfId="2" applyNumberFormat="1" applyFont="1" applyBorder="1" applyAlignment="1">
      <alignment horizontal="center" vertical="center" wrapText="1"/>
    </xf>
    <xf numFmtId="164" fontId="18" fillId="0" borderId="31" xfId="2" applyNumberFormat="1" applyFont="1" applyBorder="1" applyAlignment="1">
      <alignment horizontal="center" vertical="center" wrapText="1"/>
    </xf>
    <xf numFmtId="0" fontId="18" fillId="0" borderId="35" xfId="2" applyFont="1" applyBorder="1" applyAlignment="1">
      <alignment horizontal="center" vertical="center"/>
    </xf>
    <xf numFmtId="166" fontId="18" fillId="0" borderId="35" xfId="2" applyNumberFormat="1" applyFont="1" applyBorder="1" applyAlignment="1">
      <alignment horizontal="center" vertical="center"/>
    </xf>
    <xf numFmtId="0" fontId="18" fillId="0" borderId="39" xfId="2" applyFont="1" applyBorder="1" applyAlignment="1">
      <alignment vertical="center"/>
    </xf>
    <xf numFmtId="0" fontId="18" fillId="0" borderId="34" xfId="2" applyFont="1" applyBorder="1" applyAlignment="1">
      <alignment horizontal="center" vertical="center" wrapText="1"/>
    </xf>
    <xf numFmtId="164" fontId="18" fillId="0" borderId="36" xfId="2" applyNumberFormat="1" applyFont="1" applyBorder="1" applyAlignment="1">
      <alignment horizontal="center" vertical="center" wrapText="1"/>
    </xf>
    <xf numFmtId="164" fontId="18" fillId="0" borderId="38" xfId="2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/>
    </xf>
    <xf numFmtId="166" fontId="15" fillId="0" borderId="1" xfId="2" applyNumberFormat="1" applyFont="1" applyBorder="1" applyAlignment="1">
      <alignment horizontal="center" vertical="center"/>
    </xf>
    <xf numFmtId="0" fontId="15" fillId="0" borderId="14" xfId="2" applyFont="1" applyBorder="1"/>
    <xf numFmtId="0" fontId="3" fillId="3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4" fillId="6" borderId="40" xfId="0" applyFont="1" applyFill="1" applyBorder="1"/>
    <xf numFmtId="0" fontId="20" fillId="8" borderId="41" xfId="0" applyFont="1" applyFill="1" applyBorder="1"/>
    <xf numFmtId="0" fontId="3" fillId="0" borderId="1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164" fontId="3" fillId="0" borderId="2" xfId="0" applyNumberFormat="1" applyFont="1" applyFill="1" applyBorder="1" applyAlignment="1">
      <alignment horizontal="center"/>
    </xf>
    <xf numFmtId="165" fontId="4" fillId="0" borderId="14" xfId="0" applyNumberFormat="1" applyFont="1" applyFill="1" applyBorder="1" applyAlignment="1">
      <alignment horizontal="center" vertical="center"/>
    </xf>
    <xf numFmtId="0" fontId="3" fillId="0" borderId="0" xfId="0" applyFont="1" applyFill="1"/>
    <xf numFmtId="0" fontId="5" fillId="0" borderId="0" xfId="0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5" xr:uid="{447BF3C0-45C6-4799-87A6-E5372FB82479}"/>
    <cellStyle name="Normal 3" xfId="4" xr:uid="{37AF12E4-87F8-4F33-B814-393EC32EA1A7}"/>
    <cellStyle name="Normal 4" xfId="2" xr:uid="{638E90D9-1CCA-41BF-B1E9-C971D077DBB5}"/>
    <cellStyle name="Normal 5" xfId="3" xr:uid="{D22FDA42-3B61-4296-B763-86CA3A54C87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F53FE-305A-41C6-B0C7-E0D847802E0C}">
  <dimension ref="A1:K85"/>
  <sheetViews>
    <sheetView topLeftCell="H1" workbookViewId="0">
      <selection activeCell="N18" sqref="N18"/>
    </sheetView>
  </sheetViews>
  <sheetFormatPr baseColWidth="10" defaultColWidth="9.1640625" defaultRowHeight="13" x14ac:dyDescent="0.15"/>
  <cols>
    <col min="1" max="1" width="5.1640625" style="7" customWidth="1"/>
    <col min="2" max="2" width="22.5" style="7" customWidth="1"/>
    <col min="3" max="3" width="6.1640625" style="7" customWidth="1"/>
    <col min="4" max="4" width="12.5" style="7" bestFit="1" customWidth="1"/>
    <col min="5" max="5" width="9.83203125" style="7" customWidth="1"/>
    <col min="6" max="6" width="9.1640625" style="7"/>
    <col min="7" max="7" width="8.6640625" style="7" customWidth="1"/>
    <col min="8" max="8" width="9.33203125" style="7" bestFit="1" customWidth="1"/>
    <col min="9" max="9" width="17.83203125" style="7" bestFit="1" customWidth="1"/>
    <col min="10" max="10" width="10.1640625" style="7" bestFit="1" customWidth="1"/>
    <col min="11" max="11" width="49.6640625" style="7" bestFit="1" customWidth="1"/>
    <col min="12" max="16384" width="9.1640625" style="7"/>
  </cols>
  <sheetData>
    <row r="1" spans="1:11" x14ac:dyDescent="0.15">
      <c r="A1" s="10" t="s">
        <v>126</v>
      </c>
      <c r="I1" s="8"/>
    </row>
    <row r="2" spans="1:11" x14ac:dyDescent="0.15">
      <c r="J2" s="9"/>
    </row>
    <row r="3" spans="1:11" x14ac:dyDescent="0.15">
      <c r="A3" s="8" t="s">
        <v>127</v>
      </c>
      <c r="I3" s="10"/>
      <c r="J3" s="10"/>
    </row>
    <row r="4" spans="1:11" x14ac:dyDescent="0.15">
      <c r="A4" s="8"/>
      <c r="I4" s="9" t="s">
        <v>5</v>
      </c>
      <c r="J4" s="49">
        <v>45658</v>
      </c>
    </row>
    <row r="5" spans="1:11" x14ac:dyDescent="0.15">
      <c r="J5" s="7" t="s">
        <v>1</v>
      </c>
    </row>
    <row r="6" spans="1:11" ht="28" x14ac:dyDescent="0.15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2" t="s">
        <v>12</v>
      </c>
      <c r="H6" s="12" t="s">
        <v>3</v>
      </c>
      <c r="I6" s="12" t="s">
        <v>13</v>
      </c>
      <c r="J6" s="13"/>
      <c r="K6" s="11" t="s">
        <v>14</v>
      </c>
    </row>
    <row r="7" spans="1:11" ht="28" x14ac:dyDescent="0.15">
      <c r="A7" s="12"/>
      <c r="B7" s="48"/>
      <c r="C7" s="11"/>
      <c r="D7" s="11" t="s">
        <v>4</v>
      </c>
      <c r="E7" s="11" t="s">
        <v>15</v>
      </c>
      <c r="F7" s="14" t="s">
        <v>0</v>
      </c>
      <c r="G7" s="14" t="s">
        <v>15</v>
      </c>
      <c r="H7" s="14" t="s">
        <v>102</v>
      </c>
      <c r="I7" s="11" t="s">
        <v>16</v>
      </c>
      <c r="J7" s="14" t="s">
        <v>17</v>
      </c>
      <c r="K7" s="14"/>
    </row>
    <row r="8" spans="1:11" ht="14" thickBot="1" x14ac:dyDescent="0.2">
      <c r="A8" s="68"/>
      <c r="B8" s="67"/>
      <c r="C8" s="70"/>
      <c r="D8" s="67"/>
      <c r="E8" s="67"/>
      <c r="F8" s="68"/>
      <c r="G8" s="68"/>
      <c r="H8" s="68"/>
      <c r="I8" s="68"/>
      <c r="J8" s="69"/>
      <c r="K8" s="68"/>
    </row>
    <row r="9" spans="1:11" ht="14" x14ac:dyDescent="0.15">
      <c r="A9" s="74">
        <v>1</v>
      </c>
      <c r="B9" s="65" t="s">
        <v>137</v>
      </c>
      <c r="C9" s="66">
        <v>15</v>
      </c>
      <c r="D9" s="67">
        <v>2.85</v>
      </c>
      <c r="E9" s="65">
        <v>1435</v>
      </c>
      <c r="F9" s="66">
        <v>3</v>
      </c>
      <c r="G9" s="71">
        <f>E9*F9</f>
        <v>4305</v>
      </c>
      <c r="H9" s="70">
        <f>F9*C9</f>
        <v>45</v>
      </c>
      <c r="I9" s="84" t="s">
        <v>131</v>
      </c>
      <c r="J9" s="85">
        <v>2.4305555555555556E-2</v>
      </c>
      <c r="K9" s="86" t="s">
        <v>132</v>
      </c>
    </row>
    <row r="10" spans="1:11" ht="14" x14ac:dyDescent="0.15">
      <c r="A10" s="65">
        <v>2</v>
      </c>
      <c r="B10" s="65" t="s">
        <v>138</v>
      </c>
      <c r="C10" s="66">
        <v>12.5</v>
      </c>
      <c r="D10" s="67">
        <v>2.85</v>
      </c>
      <c r="E10" s="65">
        <v>1377</v>
      </c>
      <c r="F10" s="66">
        <v>7</v>
      </c>
      <c r="G10" s="71">
        <f>E10*F10</f>
        <v>9639</v>
      </c>
      <c r="H10" s="70">
        <f>F10*C10</f>
        <v>87.5</v>
      </c>
      <c r="I10" s="73" t="s">
        <v>27</v>
      </c>
      <c r="J10" s="87">
        <v>2.4305555555555556E-2</v>
      </c>
      <c r="K10" s="88" t="s">
        <v>27</v>
      </c>
    </row>
    <row r="11" spans="1:11" ht="14" x14ac:dyDescent="0.15">
      <c r="A11" s="65">
        <v>3</v>
      </c>
      <c r="B11" s="65" t="s">
        <v>137</v>
      </c>
      <c r="C11" s="66">
        <v>17</v>
      </c>
      <c r="D11" s="67">
        <v>2.85</v>
      </c>
      <c r="E11" s="65">
        <v>1435</v>
      </c>
      <c r="F11" s="66">
        <v>10</v>
      </c>
      <c r="G11" s="71">
        <f t="shared" ref="G11:G14" si="0">E11*F11</f>
        <v>14350</v>
      </c>
      <c r="H11" s="70">
        <f t="shared" ref="H11:H14" si="1">F11*C11</f>
        <v>170</v>
      </c>
      <c r="I11" s="73" t="s">
        <v>134</v>
      </c>
      <c r="J11" s="87">
        <v>1.7361111111111112E-2</v>
      </c>
      <c r="K11" s="88" t="s">
        <v>134</v>
      </c>
    </row>
    <row r="12" spans="1:11" x14ac:dyDescent="0.15">
      <c r="A12" s="65">
        <v>4</v>
      </c>
      <c r="B12" s="74" t="s">
        <v>137</v>
      </c>
      <c r="C12" s="66">
        <v>16</v>
      </c>
      <c r="D12" s="67">
        <v>2.85</v>
      </c>
      <c r="E12" s="65">
        <v>1435</v>
      </c>
      <c r="F12" s="66">
        <v>9</v>
      </c>
      <c r="G12" s="71">
        <f t="shared" si="0"/>
        <v>12915</v>
      </c>
      <c r="H12" s="70">
        <f t="shared" si="1"/>
        <v>144</v>
      </c>
      <c r="I12" s="73" t="s">
        <v>136</v>
      </c>
      <c r="J12" s="87">
        <v>1.3888888888888888E-2</v>
      </c>
      <c r="K12" s="88" t="s">
        <v>141</v>
      </c>
    </row>
    <row r="13" spans="1:11" x14ac:dyDescent="0.15">
      <c r="A13" s="65">
        <v>5</v>
      </c>
      <c r="B13" s="74" t="s">
        <v>142</v>
      </c>
      <c r="C13" s="66">
        <v>16</v>
      </c>
      <c r="D13" s="67">
        <v>2.85</v>
      </c>
      <c r="E13" s="65">
        <v>1435</v>
      </c>
      <c r="F13" s="66">
        <v>3.5</v>
      </c>
      <c r="G13" s="71">
        <f t="shared" si="0"/>
        <v>5022.5</v>
      </c>
      <c r="H13" s="70">
        <f t="shared" si="1"/>
        <v>56</v>
      </c>
      <c r="I13" s="83"/>
      <c r="J13" s="72"/>
      <c r="K13" s="83"/>
    </row>
    <row r="14" spans="1:11" x14ac:dyDescent="0.15">
      <c r="A14" s="65">
        <v>6</v>
      </c>
      <c r="B14" s="74" t="s">
        <v>142</v>
      </c>
      <c r="C14" s="66">
        <v>17</v>
      </c>
      <c r="D14" s="67">
        <v>2.85</v>
      </c>
      <c r="E14" s="65">
        <v>1189</v>
      </c>
      <c r="F14" s="66">
        <v>39.5</v>
      </c>
      <c r="G14" s="71">
        <f t="shared" si="0"/>
        <v>46965.5</v>
      </c>
      <c r="H14" s="70">
        <f t="shared" si="1"/>
        <v>671.5</v>
      </c>
      <c r="I14" s="67"/>
      <c r="J14" s="79"/>
      <c r="K14" s="68"/>
    </row>
    <row r="15" spans="1:11" x14ac:dyDescent="0.15">
      <c r="A15" s="67"/>
      <c r="B15" s="67"/>
      <c r="C15" s="70"/>
      <c r="D15" s="67"/>
      <c r="E15" s="67"/>
      <c r="F15" s="70"/>
      <c r="G15" s="71"/>
      <c r="H15" s="70"/>
      <c r="I15" s="69"/>
      <c r="J15" s="19"/>
      <c r="K15" s="68"/>
    </row>
    <row r="16" spans="1:11" x14ac:dyDescent="0.15">
      <c r="A16" s="67"/>
      <c r="B16" s="68"/>
      <c r="C16" s="70"/>
      <c r="D16" s="67"/>
      <c r="E16" s="67"/>
      <c r="F16" s="70"/>
      <c r="G16" s="71"/>
      <c r="H16" s="70"/>
      <c r="I16" s="67"/>
      <c r="J16" s="79"/>
      <c r="K16" s="68"/>
    </row>
    <row r="17" spans="1:11" x14ac:dyDescent="0.15">
      <c r="A17" s="67"/>
      <c r="B17" s="68"/>
      <c r="C17" s="70"/>
      <c r="D17" s="67"/>
      <c r="E17" s="67"/>
      <c r="F17" s="70"/>
      <c r="G17" s="71"/>
      <c r="H17" s="70"/>
      <c r="I17" s="67"/>
      <c r="J17" s="79"/>
      <c r="K17" s="68"/>
    </row>
    <row r="18" spans="1:11" x14ac:dyDescent="0.15">
      <c r="A18" s="67"/>
      <c r="B18" s="68"/>
      <c r="C18" s="70"/>
      <c r="D18" s="67"/>
      <c r="E18" s="67"/>
      <c r="F18" s="70"/>
      <c r="G18" s="71"/>
      <c r="H18" s="70"/>
      <c r="I18" s="68"/>
      <c r="J18" s="69"/>
      <c r="K18" s="68"/>
    </row>
    <row r="19" spans="1:11" x14ac:dyDescent="0.15">
      <c r="A19" s="67"/>
      <c r="B19" s="68"/>
      <c r="C19" s="70"/>
      <c r="D19" s="79"/>
      <c r="E19" s="67"/>
      <c r="F19" s="70"/>
      <c r="G19" s="71"/>
      <c r="H19" s="70"/>
      <c r="I19" s="68"/>
      <c r="J19" s="69"/>
      <c r="K19" s="68"/>
    </row>
    <row r="20" spans="1:11" x14ac:dyDescent="0.15">
      <c r="A20" s="67"/>
      <c r="B20" s="68"/>
      <c r="C20" s="70"/>
      <c r="D20" s="79"/>
      <c r="E20" s="67"/>
      <c r="F20" s="70"/>
      <c r="G20" s="71"/>
      <c r="H20" s="70"/>
      <c r="I20" s="68"/>
      <c r="J20" s="69"/>
      <c r="K20" s="68"/>
    </row>
    <row r="21" spans="1:11" x14ac:dyDescent="0.15">
      <c r="A21" s="67"/>
      <c r="B21" s="68"/>
      <c r="C21" s="27"/>
      <c r="D21" s="67"/>
      <c r="E21" s="69"/>
      <c r="F21" s="27"/>
      <c r="G21" s="71"/>
      <c r="H21" s="70"/>
      <c r="I21" s="68"/>
      <c r="J21" s="69"/>
      <c r="K21" s="68"/>
    </row>
    <row r="22" spans="1:11" x14ac:dyDescent="0.15">
      <c r="A22" s="18"/>
      <c r="B22" s="16"/>
      <c r="C22" s="75"/>
      <c r="D22" s="75"/>
      <c r="E22" s="76" t="s">
        <v>18</v>
      </c>
      <c r="F22" s="77">
        <f>SUM(F9:F21)</f>
        <v>72</v>
      </c>
      <c r="G22" s="81">
        <f>SUM(G9:G21)/F22</f>
        <v>1294.4027777777778</v>
      </c>
      <c r="H22" s="82">
        <f>SUM(H9:H21)/F22</f>
        <v>16.305555555555557</v>
      </c>
      <c r="I22" s="78" t="s">
        <v>19</v>
      </c>
      <c r="J22" s="20">
        <v>1.55</v>
      </c>
      <c r="K22" s="16"/>
    </row>
    <row r="23" spans="1:11" x14ac:dyDescent="0.15">
      <c r="E23" s="21"/>
      <c r="F23" s="22"/>
      <c r="I23" s="23" t="s">
        <v>20</v>
      </c>
      <c r="J23" s="24">
        <v>1.92</v>
      </c>
    </row>
    <row r="24" spans="1:11" x14ac:dyDescent="0.15">
      <c r="A24" s="10"/>
      <c r="I24" s="15"/>
      <c r="J24" s="25"/>
    </row>
    <row r="25" spans="1:11" x14ac:dyDescent="0.15">
      <c r="A25" s="26" t="s">
        <v>21</v>
      </c>
      <c r="B25" s="26"/>
      <c r="C25" s="26"/>
      <c r="D25" s="27"/>
      <c r="H25" s="9" t="s">
        <v>22</v>
      </c>
      <c r="I25" s="9"/>
      <c r="J25" s="21">
        <v>72</v>
      </c>
      <c r="K25" s="10" t="s">
        <v>0</v>
      </c>
    </row>
    <row r="26" spans="1:11" x14ac:dyDescent="0.15">
      <c r="A26" s="26" t="s">
        <v>23</v>
      </c>
      <c r="B26" s="26"/>
      <c r="C26" s="26"/>
      <c r="D26" s="27"/>
      <c r="H26" s="9" t="s">
        <v>24</v>
      </c>
      <c r="I26" s="9"/>
      <c r="J26" s="21">
        <v>72</v>
      </c>
      <c r="K26" s="10" t="s">
        <v>0</v>
      </c>
    </row>
    <row r="27" spans="1:11" ht="14" thickBot="1" x14ac:dyDescent="0.2">
      <c r="A27" s="28"/>
      <c r="B27" s="28"/>
      <c r="C27" s="28"/>
      <c r="D27" s="28"/>
      <c r="E27" s="17"/>
      <c r="F27" s="17"/>
      <c r="G27" s="28"/>
      <c r="H27" s="80" t="s">
        <v>25</v>
      </c>
      <c r="I27" s="80"/>
      <c r="J27" s="29">
        <v>1.92</v>
      </c>
      <c r="K27" s="30" t="s">
        <v>2</v>
      </c>
    </row>
    <row r="28" spans="1:11" x14ac:dyDescent="0.15">
      <c r="J28" s="7" t="s">
        <v>1</v>
      </c>
    </row>
    <row r="29" spans="1:11" hidden="1" x14ac:dyDescent="0.15">
      <c r="K29" s="7" t="s">
        <v>103</v>
      </c>
    </row>
    <row r="30" spans="1:11" hidden="1" x14ac:dyDescent="0.15">
      <c r="K30" s="7" t="s">
        <v>77</v>
      </c>
    </row>
    <row r="31" spans="1:11" hidden="1" x14ac:dyDescent="0.15">
      <c r="K31" s="7" t="s">
        <v>81</v>
      </c>
    </row>
    <row r="32" spans="1:11" hidden="1" x14ac:dyDescent="0.15">
      <c r="K32" s="7" t="s">
        <v>85</v>
      </c>
    </row>
    <row r="33" spans="9:11" hidden="1" x14ac:dyDescent="0.15">
      <c r="K33" s="7" t="s">
        <v>84</v>
      </c>
    </row>
    <row r="34" spans="9:11" hidden="1" x14ac:dyDescent="0.15">
      <c r="K34" s="7" t="s">
        <v>92</v>
      </c>
    </row>
    <row r="35" spans="9:11" hidden="1" x14ac:dyDescent="0.15">
      <c r="K35" s="7" t="s">
        <v>82</v>
      </c>
    </row>
    <row r="36" spans="9:11" hidden="1" x14ac:dyDescent="0.15">
      <c r="K36" s="7" t="s">
        <v>86</v>
      </c>
    </row>
    <row r="37" spans="9:11" hidden="1" x14ac:dyDescent="0.15">
      <c r="K37" s="7" t="s">
        <v>80</v>
      </c>
    </row>
    <row r="38" spans="9:11" hidden="1" x14ac:dyDescent="0.15">
      <c r="K38" s="7" t="s">
        <v>87</v>
      </c>
    </row>
    <row r="39" spans="9:11" hidden="1" x14ac:dyDescent="0.15">
      <c r="K39" s="7" t="s">
        <v>65</v>
      </c>
    </row>
    <row r="40" spans="9:11" hidden="1" x14ac:dyDescent="0.15">
      <c r="K40" s="7" t="s">
        <v>89</v>
      </c>
    </row>
    <row r="41" spans="9:11" ht="28" hidden="1" x14ac:dyDescent="0.15">
      <c r="I41" s="31" t="s">
        <v>26</v>
      </c>
      <c r="K41" s="7" t="s">
        <v>90</v>
      </c>
    </row>
    <row r="42" spans="9:11" ht="14" hidden="1" x14ac:dyDescent="0.15">
      <c r="I42" s="31" t="s">
        <v>27</v>
      </c>
      <c r="K42" s="7" t="s">
        <v>93</v>
      </c>
    </row>
    <row r="43" spans="9:11" hidden="1" x14ac:dyDescent="0.15">
      <c r="I43" s="32" t="s">
        <v>28</v>
      </c>
      <c r="K43" s="7" t="s">
        <v>104</v>
      </c>
    </row>
    <row r="44" spans="9:11" hidden="1" x14ac:dyDescent="0.15">
      <c r="I44" s="7" t="s">
        <v>29</v>
      </c>
      <c r="K44" s="7" t="s">
        <v>94</v>
      </c>
    </row>
    <row r="45" spans="9:11" hidden="1" x14ac:dyDescent="0.15">
      <c r="I45" s="7" t="s">
        <v>30</v>
      </c>
      <c r="K45" s="7" t="s">
        <v>95</v>
      </c>
    </row>
    <row r="46" spans="9:11" hidden="1" x14ac:dyDescent="0.15">
      <c r="I46" s="7" t="s">
        <v>34</v>
      </c>
      <c r="K46" s="7" t="s">
        <v>78</v>
      </c>
    </row>
    <row r="47" spans="9:11" hidden="1" x14ac:dyDescent="0.15">
      <c r="I47" s="7" t="s">
        <v>35</v>
      </c>
      <c r="K47" s="7" t="s">
        <v>83</v>
      </c>
    </row>
    <row r="48" spans="9:11" hidden="1" x14ac:dyDescent="0.15">
      <c r="I48" s="7" t="s">
        <v>31</v>
      </c>
      <c r="K48" s="7" t="s">
        <v>57</v>
      </c>
    </row>
    <row r="49" spans="9:11" hidden="1" x14ac:dyDescent="0.15">
      <c r="I49" s="7" t="s">
        <v>32</v>
      </c>
      <c r="K49" s="7" t="s">
        <v>67</v>
      </c>
    </row>
    <row r="50" spans="9:11" hidden="1" x14ac:dyDescent="0.15">
      <c r="I50" s="7" t="s">
        <v>33</v>
      </c>
      <c r="K50" s="7" t="s">
        <v>73</v>
      </c>
    </row>
    <row r="51" spans="9:11" hidden="1" x14ac:dyDescent="0.15">
      <c r="K51" s="7" t="s">
        <v>68</v>
      </c>
    </row>
    <row r="52" spans="9:11" hidden="1" x14ac:dyDescent="0.15">
      <c r="K52" s="7" t="s">
        <v>56</v>
      </c>
    </row>
    <row r="53" spans="9:11" hidden="1" x14ac:dyDescent="0.15">
      <c r="K53" s="7" t="s">
        <v>52</v>
      </c>
    </row>
    <row r="54" spans="9:11" hidden="1" x14ac:dyDescent="0.15">
      <c r="K54" s="7" t="s">
        <v>91</v>
      </c>
    </row>
    <row r="55" spans="9:11" hidden="1" x14ac:dyDescent="0.15">
      <c r="K55" s="7" t="s">
        <v>96</v>
      </c>
    </row>
    <row r="56" spans="9:11" hidden="1" x14ac:dyDescent="0.15">
      <c r="K56" s="7" t="s">
        <v>105</v>
      </c>
    </row>
    <row r="57" spans="9:11" hidden="1" x14ac:dyDescent="0.15">
      <c r="K57" s="7" t="s">
        <v>55</v>
      </c>
    </row>
    <row r="58" spans="9:11" hidden="1" x14ac:dyDescent="0.15">
      <c r="K58" s="7" t="s">
        <v>53</v>
      </c>
    </row>
    <row r="59" spans="9:11" hidden="1" x14ac:dyDescent="0.15">
      <c r="K59" s="7" t="s">
        <v>54</v>
      </c>
    </row>
    <row r="60" spans="9:11" hidden="1" x14ac:dyDescent="0.15">
      <c r="K60" s="7" t="s">
        <v>66</v>
      </c>
    </row>
    <row r="61" spans="9:11" hidden="1" x14ac:dyDescent="0.15">
      <c r="K61" s="7" t="s">
        <v>70</v>
      </c>
    </row>
    <row r="62" spans="9:11" hidden="1" x14ac:dyDescent="0.15">
      <c r="K62" s="7" t="s">
        <v>71</v>
      </c>
    </row>
    <row r="63" spans="9:11" hidden="1" x14ac:dyDescent="0.15">
      <c r="K63" s="7" t="s">
        <v>105</v>
      </c>
    </row>
    <row r="64" spans="9:11" hidden="1" x14ac:dyDescent="0.15">
      <c r="K64" s="7" t="s">
        <v>64</v>
      </c>
    </row>
    <row r="65" spans="11:11" hidden="1" x14ac:dyDescent="0.15">
      <c r="K65" s="7" t="s">
        <v>63</v>
      </c>
    </row>
    <row r="66" spans="11:11" hidden="1" x14ac:dyDescent="0.15">
      <c r="K66" s="7" t="s">
        <v>62</v>
      </c>
    </row>
    <row r="67" spans="11:11" hidden="1" x14ac:dyDescent="0.15">
      <c r="K67" s="7" t="s">
        <v>51</v>
      </c>
    </row>
    <row r="68" spans="11:11" hidden="1" x14ac:dyDescent="0.15">
      <c r="K68" s="7" t="s">
        <v>61</v>
      </c>
    </row>
    <row r="69" spans="11:11" hidden="1" x14ac:dyDescent="0.15">
      <c r="K69" s="7" t="s">
        <v>72</v>
      </c>
    </row>
    <row r="70" spans="11:11" hidden="1" x14ac:dyDescent="0.15">
      <c r="K70" s="7" t="s">
        <v>69</v>
      </c>
    </row>
    <row r="71" spans="11:11" hidden="1" x14ac:dyDescent="0.15">
      <c r="K71" s="7" t="s">
        <v>106</v>
      </c>
    </row>
    <row r="72" spans="11:11" hidden="1" x14ac:dyDescent="0.15">
      <c r="K72" s="7" t="s">
        <v>74</v>
      </c>
    </row>
    <row r="73" spans="11:11" hidden="1" x14ac:dyDescent="0.15">
      <c r="K73" s="7" t="s">
        <v>97</v>
      </c>
    </row>
    <row r="74" spans="11:11" hidden="1" x14ac:dyDescent="0.15">
      <c r="K74" s="7" t="s">
        <v>98</v>
      </c>
    </row>
    <row r="75" spans="11:11" hidden="1" x14ac:dyDescent="0.15">
      <c r="K75" s="7" t="s">
        <v>99</v>
      </c>
    </row>
    <row r="76" spans="11:11" hidden="1" x14ac:dyDescent="0.15">
      <c r="K76" s="7" t="s">
        <v>79</v>
      </c>
    </row>
    <row r="77" spans="11:11" hidden="1" x14ac:dyDescent="0.15">
      <c r="K77" s="7" t="s">
        <v>100</v>
      </c>
    </row>
    <row r="78" spans="11:11" hidden="1" x14ac:dyDescent="0.15">
      <c r="K78" s="7" t="s">
        <v>88</v>
      </c>
    </row>
    <row r="79" spans="11:11" hidden="1" x14ac:dyDescent="0.15">
      <c r="K79" s="7" t="s">
        <v>60</v>
      </c>
    </row>
    <row r="80" spans="11:11" hidden="1" x14ac:dyDescent="0.15">
      <c r="K80" s="7" t="s">
        <v>75</v>
      </c>
    </row>
    <row r="81" spans="11:11" hidden="1" x14ac:dyDescent="0.15">
      <c r="K81" s="7" t="s">
        <v>76</v>
      </c>
    </row>
    <row r="82" spans="11:11" hidden="1" x14ac:dyDescent="0.15">
      <c r="K82" s="7" t="s">
        <v>101</v>
      </c>
    </row>
    <row r="83" spans="11:11" hidden="1" x14ac:dyDescent="0.15">
      <c r="K83" s="7" t="s">
        <v>59</v>
      </c>
    </row>
    <row r="84" spans="11:11" hidden="1" x14ac:dyDescent="0.15">
      <c r="K84" s="7" t="s">
        <v>58</v>
      </c>
    </row>
    <row r="85" spans="11:11" hidden="1" x14ac:dyDescent="0.15">
      <c r="K85" s="7" t="s">
        <v>104</v>
      </c>
    </row>
  </sheetData>
  <dataValidations count="3">
    <dataValidation type="list" allowBlank="1" showInputMessage="1" showErrorMessage="1" sqref="B16:B19" xr:uid="{D5250846-2AF0-4A63-8133-75017F8609ED}">
      <formula1>$K$29:$K$85</formula1>
    </dataValidation>
    <dataValidation type="list" allowBlank="1" showInputMessage="1" showErrorMessage="1" sqref="B20:B21" xr:uid="{3BD01A48-E499-435A-876E-9AC1E17C7F84}">
      <formula1>$K$29:$K$40</formula1>
    </dataValidation>
    <dataValidation type="list" allowBlank="1" showInputMessage="1" showErrorMessage="1" sqref="I50 K15:K21" xr:uid="{E280D365-9CF7-4C8F-9D82-57D95A28D657}">
      <formula1>$I$41:$I$50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F91BE-BE99-418B-8A62-42071CA37739}">
  <dimension ref="A1:K85"/>
  <sheetViews>
    <sheetView topLeftCell="B1" workbookViewId="0">
      <selection activeCell="A7"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1640625" style="90"/>
    <col min="7" max="7" width="8.6640625" style="90" customWidth="1"/>
    <col min="8" max="8" width="9.33203125" style="90" bestFit="1" customWidth="1"/>
    <col min="9" max="9" width="17.83203125" style="90" bestFit="1" customWidth="1"/>
    <col min="10" max="10" width="10.16406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45689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5" x14ac:dyDescent="0.15">
      <c r="A9" s="103">
        <v>1</v>
      </c>
      <c r="B9" s="104" t="s">
        <v>142</v>
      </c>
      <c r="C9" s="105">
        <v>17</v>
      </c>
      <c r="D9" s="100">
        <v>2.85</v>
      </c>
      <c r="E9" s="106">
        <v>1433</v>
      </c>
      <c r="F9" s="107">
        <v>34.5</v>
      </c>
      <c r="G9" s="108">
        <f>E9*F9</f>
        <v>49438.5</v>
      </c>
      <c r="H9" s="101">
        <f>F9*C9</f>
        <v>586.5</v>
      </c>
      <c r="I9" s="109" t="s">
        <v>131</v>
      </c>
      <c r="J9" s="110">
        <v>2.0833333333333332E-2</v>
      </c>
      <c r="K9" s="111" t="s">
        <v>132</v>
      </c>
    </row>
    <row r="10" spans="1:11" ht="15" x14ac:dyDescent="0.15">
      <c r="A10" s="112">
        <v>2</v>
      </c>
      <c r="B10" s="113" t="s">
        <v>142</v>
      </c>
      <c r="C10" s="114">
        <v>15.8</v>
      </c>
      <c r="D10" s="100">
        <v>2.85</v>
      </c>
      <c r="E10" s="115">
        <v>1433</v>
      </c>
      <c r="F10" s="116">
        <v>16</v>
      </c>
      <c r="G10" s="108">
        <f>E10*F10</f>
        <v>22928</v>
      </c>
      <c r="H10" s="101">
        <f>F10*C10</f>
        <v>252.8</v>
      </c>
      <c r="I10" s="117" t="s">
        <v>27</v>
      </c>
      <c r="J10" s="118">
        <v>2.0833333333333332E-2</v>
      </c>
      <c r="K10" s="119" t="s">
        <v>27</v>
      </c>
    </row>
    <row r="11" spans="1:11" ht="15" x14ac:dyDescent="0.15">
      <c r="A11" s="112">
        <v>3</v>
      </c>
      <c r="B11" s="113" t="s">
        <v>137</v>
      </c>
      <c r="C11" s="114">
        <v>15</v>
      </c>
      <c r="D11" s="100">
        <v>2.85</v>
      </c>
      <c r="E11" s="115">
        <v>1476</v>
      </c>
      <c r="F11" s="120">
        <v>21.5</v>
      </c>
      <c r="G11" s="108">
        <f t="shared" ref="G11:G13" si="0">E11*F11</f>
        <v>31734</v>
      </c>
      <c r="H11" s="101">
        <f t="shared" ref="H11:H13" si="1">F11*C11</f>
        <v>322.5</v>
      </c>
      <c r="I11" s="117" t="s">
        <v>134</v>
      </c>
      <c r="J11" s="118">
        <v>1.3888888888888888E-2</v>
      </c>
      <c r="K11" s="119" t="s">
        <v>134</v>
      </c>
    </row>
    <row r="12" spans="1:11" x14ac:dyDescent="0.15">
      <c r="A12" s="112">
        <v>4</v>
      </c>
      <c r="B12" s="117" t="s">
        <v>138</v>
      </c>
      <c r="C12" s="121">
        <v>12.5</v>
      </c>
      <c r="D12" s="100">
        <v>2.85</v>
      </c>
      <c r="E12" s="106">
        <v>1458</v>
      </c>
      <c r="F12" s="107">
        <v>13.5</v>
      </c>
      <c r="G12" s="108">
        <f t="shared" si="0"/>
        <v>19683</v>
      </c>
      <c r="H12" s="101">
        <f t="shared" si="1"/>
        <v>168.75</v>
      </c>
      <c r="I12" s="117" t="s">
        <v>144</v>
      </c>
      <c r="J12" s="118">
        <v>1.3888888888888888E-2</v>
      </c>
      <c r="K12" s="119" t="s">
        <v>145</v>
      </c>
    </row>
    <row r="13" spans="1:11" x14ac:dyDescent="0.15">
      <c r="A13" s="112">
        <v>5</v>
      </c>
      <c r="B13" s="117" t="s">
        <v>143</v>
      </c>
      <c r="C13" s="122">
        <v>15</v>
      </c>
      <c r="D13" s="100">
        <v>2.85</v>
      </c>
      <c r="E13" s="115">
        <v>1476</v>
      </c>
      <c r="F13" s="123">
        <v>1.5</v>
      </c>
      <c r="G13" s="108">
        <f t="shared" si="0"/>
        <v>2214</v>
      </c>
      <c r="H13" s="101">
        <f t="shared" si="1"/>
        <v>22.5</v>
      </c>
      <c r="I13" s="124"/>
      <c r="J13" s="125"/>
      <c r="K13" s="124"/>
    </row>
    <row r="14" spans="1:11" x14ac:dyDescent="0.15">
      <c r="A14" s="115"/>
      <c r="B14" s="126"/>
      <c r="C14" s="114"/>
      <c r="D14" s="100"/>
      <c r="E14" s="115"/>
      <c r="F14" s="114"/>
      <c r="G14" s="108"/>
      <c r="H14" s="101"/>
      <c r="I14" s="100"/>
      <c r="J14" s="127"/>
      <c r="K14" s="99"/>
    </row>
    <row r="15" spans="1:11" x14ac:dyDescent="0.15">
      <c r="A15" s="100"/>
      <c r="B15" s="100"/>
      <c r="C15" s="101"/>
      <c r="D15" s="100"/>
      <c r="E15" s="100"/>
      <c r="F15" s="101"/>
      <c r="G15" s="108"/>
      <c r="H15" s="101"/>
      <c r="I15" s="102"/>
      <c r="J15" s="128"/>
      <c r="K15" s="99"/>
    </row>
    <row r="16" spans="1:11" x14ac:dyDescent="0.15">
      <c r="A16" s="100"/>
      <c r="B16" s="99"/>
      <c r="C16" s="101"/>
      <c r="D16" s="100"/>
      <c r="E16" s="100"/>
      <c r="F16" s="101"/>
      <c r="G16" s="108"/>
      <c r="H16" s="101"/>
      <c r="I16" s="100"/>
      <c r="J16" s="127"/>
      <c r="K16" s="99"/>
    </row>
    <row r="17" spans="1:11" x14ac:dyDescent="0.15">
      <c r="A17" s="100"/>
      <c r="B17" s="99"/>
      <c r="C17" s="101"/>
      <c r="D17" s="100"/>
      <c r="E17" s="100"/>
      <c r="F17" s="101"/>
      <c r="G17" s="108"/>
      <c r="H17" s="101"/>
      <c r="I17" s="100"/>
      <c r="J17" s="127"/>
      <c r="K17" s="99"/>
    </row>
    <row r="18" spans="1:11" x14ac:dyDescent="0.15">
      <c r="A18" s="100"/>
      <c r="B18" s="99"/>
      <c r="C18" s="101"/>
      <c r="D18" s="100"/>
      <c r="E18" s="100"/>
      <c r="F18" s="101"/>
      <c r="G18" s="108"/>
      <c r="H18" s="101"/>
      <c r="I18" s="99"/>
      <c r="J18" s="102"/>
      <c r="K18" s="9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87</v>
      </c>
      <c r="G22" s="135">
        <f>SUM(G9:G21)/F22</f>
        <v>1448.2471264367816</v>
      </c>
      <c r="H22" s="136">
        <f>SUM(H9:H21)/F22</f>
        <v>15.552298850574712</v>
      </c>
      <c r="I22" s="137" t="s">
        <v>19</v>
      </c>
      <c r="J22" s="138">
        <v>1.4</v>
      </c>
      <c r="K22" s="131"/>
    </row>
    <row r="23" spans="1:11" x14ac:dyDescent="0.15">
      <c r="E23" s="139"/>
      <c r="F23" s="140"/>
      <c r="I23" s="141" t="s">
        <v>20</v>
      </c>
      <c r="J23" s="142">
        <v>1.67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87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159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3.58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C9CF6B0E-7009-4ED8-8BF0-8A7884085231}">
      <formula1>$I$41:$I$50</formula1>
    </dataValidation>
    <dataValidation type="list" allowBlank="1" showInputMessage="1" showErrorMessage="1" sqref="B20:B21" xr:uid="{12F582BA-ABFC-43C6-AEE7-D1D20B164728}">
      <formula1>$K$29:$K$40</formula1>
    </dataValidation>
    <dataValidation type="list" allowBlank="1" showInputMessage="1" showErrorMessage="1" sqref="B16:B19" xr:uid="{A1875D1D-6088-4844-9B55-5107C711B4AD}">
      <formula1>$K$29:$K$85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C2AB-B97E-40C3-B684-5F7673016F64}">
  <dimension ref="A1:K85"/>
  <sheetViews>
    <sheetView topLeftCell="B1"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1640625" style="90"/>
    <col min="7" max="7" width="8.6640625" style="90" customWidth="1"/>
    <col min="8" max="8" width="9.33203125" style="90" bestFit="1" customWidth="1"/>
    <col min="9" max="9" width="17.83203125" style="90" bestFit="1" customWidth="1"/>
    <col min="10" max="10" width="10.16406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45717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7" x14ac:dyDescent="0.15">
      <c r="A9" s="153">
        <v>1</v>
      </c>
      <c r="B9" s="154" t="s">
        <v>143</v>
      </c>
      <c r="C9" s="155">
        <v>15</v>
      </c>
      <c r="D9" s="156">
        <v>2.85</v>
      </c>
      <c r="E9" s="157">
        <v>1435</v>
      </c>
      <c r="F9" s="158">
        <v>11</v>
      </c>
      <c r="G9" s="159">
        <f>E9*F9</f>
        <v>15785</v>
      </c>
      <c r="H9" s="160">
        <f>F9*C9</f>
        <v>165</v>
      </c>
      <c r="I9" s="161" t="s">
        <v>131</v>
      </c>
      <c r="J9" s="162">
        <v>2.0833333333333332E-2</v>
      </c>
      <c r="K9" s="163" t="s">
        <v>132</v>
      </c>
    </row>
    <row r="10" spans="1:11" ht="17" x14ac:dyDescent="0.15">
      <c r="A10" s="164">
        <v>2</v>
      </c>
      <c r="B10" s="165" t="s">
        <v>137</v>
      </c>
      <c r="C10" s="166">
        <v>15</v>
      </c>
      <c r="D10" s="156">
        <v>2.85</v>
      </c>
      <c r="E10" s="167">
        <v>1476</v>
      </c>
      <c r="F10" s="168">
        <v>9.5</v>
      </c>
      <c r="G10" s="159">
        <f>E10*F10</f>
        <v>14022</v>
      </c>
      <c r="H10" s="160">
        <f>F10*C10</f>
        <v>142.5</v>
      </c>
      <c r="I10" s="169" t="s">
        <v>27</v>
      </c>
      <c r="J10" s="170">
        <v>7.2916666666666671E-2</v>
      </c>
      <c r="K10" s="171" t="s">
        <v>27</v>
      </c>
    </row>
    <row r="11" spans="1:11" ht="17" x14ac:dyDescent="0.15">
      <c r="A11" s="164">
        <v>3</v>
      </c>
      <c r="B11" s="165" t="s">
        <v>137</v>
      </c>
      <c r="C11" s="166">
        <v>17</v>
      </c>
      <c r="D11" s="156">
        <v>2.85</v>
      </c>
      <c r="E11" s="167">
        <v>1435</v>
      </c>
      <c r="F11" s="172">
        <v>10</v>
      </c>
      <c r="G11" s="159">
        <f t="shared" ref="G11:G13" si="0">E11*F11</f>
        <v>14350</v>
      </c>
      <c r="H11" s="160">
        <f t="shared" ref="H11:H13" si="1">F11*C11</f>
        <v>170</v>
      </c>
      <c r="I11" s="169" t="s">
        <v>136</v>
      </c>
      <c r="J11" s="170">
        <v>6.5972222222222224E-2</v>
      </c>
      <c r="K11" s="171" t="s">
        <v>147</v>
      </c>
    </row>
    <row r="12" spans="1:11" ht="16" x14ac:dyDescent="0.15">
      <c r="A12" s="164">
        <v>4</v>
      </c>
      <c r="B12" s="169" t="s">
        <v>146</v>
      </c>
      <c r="C12" s="173">
        <v>22</v>
      </c>
      <c r="D12" s="156">
        <v>2.85</v>
      </c>
      <c r="E12" s="157">
        <v>1087</v>
      </c>
      <c r="F12" s="158">
        <v>3.5</v>
      </c>
      <c r="G12" s="159">
        <f t="shared" si="0"/>
        <v>3804.5</v>
      </c>
      <c r="H12" s="160">
        <f t="shared" si="1"/>
        <v>77</v>
      </c>
      <c r="I12" s="169"/>
      <c r="J12" s="170"/>
      <c r="K12" s="171" t="s">
        <v>148</v>
      </c>
    </row>
    <row r="13" spans="1:11" ht="16" x14ac:dyDescent="0.15">
      <c r="A13" s="164">
        <v>5</v>
      </c>
      <c r="B13" s="169" t="s">
        <v>146</v>
      </c>
      <c r="C13" s="174">
        <v>28</v>
      </c>
      <c r="D13" s="156">
        <v>2.85</v>
      </c>
      <c r="E13" s="167">
        <v>880</v>
      </c>
      <c r="F13" s="175">
        <v>2</v>
      </c>
      <c r="G13" s="159">
        <f t="shared" si="0"/>
        <v>1760</v>
      </c>
      <c r="H13" s="160">
        <f t="shared" si="1"/>
        <v>56</v>
      </c>
      <c r="I13" s="176" t="s">
        <v>149</v>
      </c>
      <c r="J13" s="177">
        <v>1.3888888888888888E-2</v>
      </c>
      <c r="K13" s="178" t="s">
        <v>150</v>
      </c>
    </row>
    <row r="14" spans="1:11" ht="16" x14ac:dyDescent="0.2">
      <c r="A14" s="179">
        <v>6</v>
      </c>
      <c r="B14" s="176" t="s">
        <v>146</v>
      </c>
      <c r="C14" s="180">
        <v>30</v>
      </c>
      <c r="D14" s="156">
        <v>2.85</v>
      </c>
      <c r="E14" s="167">
        <v>880</v>
      </c>
      <c r="F14" s="181">
        <v>6.5</v>
      </c>
      <c r="G14" s="159">
        <f>E14*F14</f>
        <v>5720</v>
      </c>
      <c r="H14" s="160">
        <f>F14*C14</f>
        <v>195</v>
      </c>
      <c r="I14" s="156"/>
      <c r="J14" s="182"/>
      <c r="K14" s="183"/>
    </row>
    <row r="15" spans="1:11" ht="16" x14ac:dyDescent="0.2">
      <c r="A15" s="184">
        <v>7</v>
      </c>
      <c r="B15" s="185" t="s">
        <v>146</v>
      </c>
      <c r="C15" s="166">
        <v>32</v>
      </c>
      <c r="D15" s="156">
        <v>2.85</v>
      </c>
      <c r="E15" s="157">
        <v>826</v>
      </c>
      <c r="F15" s="166">
        <v>4.5</v>
      </c>
      <c r="G15" s="159">
        <f>E15*F15</f>
        <v>3717</v>
      </c>
      <c r="H15" s="160">
        <f>F15*C15</f>
        <v>144</v>
      </c>
      <c r="I15" s="186"/>
      <c r="J15" s="187"/>
      <c r="K15" s="183"/>
    </row>
    <row r="16" spans="1:11" ht="16" x14ac:dyDescent="0.2">
      <c r="A16" s="184">
        <v>8</v>
      </c>
      <c r="B16" s="185" t="s">
        <v>146</v>
      </c>
      <c r="C16" s="166">
        <v>33</v>
      </c>
      <c r="D16" s="156">
        <v>2.85</v>
      </c>
      <c r="E16" s="167">
        <v>792</v>
      </c>
      <c r="F16" s="166">
        <v>2.5</v>
      </c>
      <c r="G16" s="159">
        <f t="shared" ref="G16:G18" si="2">E16*F16</f>
        <v>1980</v>
      </c>
      <c r="H16" s="160">
        <f t="shared" ref="H16:H18" si="3">F16*C16</f>
        <v>82.5</v>
      </c>
      <c r="I16" s="156"/>
      <c r="J16" s="182"/>
      <c r="K16" s="183"/>
    </row>
    <row r="17" spans="1:11" ht="16" x14ac:dyDescent="0.2">
      <c r="A17" s="184">
        <v>9</v>
      </c>
      <c r="B17" s="185" t="s">
        <v>146</v>
      </c>
      <c r="C17" s="166">
        <v>35</v>
      </c>
      <c r="D17" s="156">
        <v>2.85</v>
      </c>
      <c r="E17" s="167">
        <v>757</v>
      </c>
      <c r="F17" s="166">
        <v>3.5</v>
      </c>
      <c r="G17" s="159">
        <f t="shared" si="2"/>
        <v>2649.5</v>
      </c>
      <c r="H17" s="160">
        <f t="shared" si="3"/>
        <v>122.5</v>
      </c>
      <c r="I17" s="156"/>
      <c r="J17" s="182"/>
      <c r="K17" s="183"/>
    </row>
    <row r="18" spans="1:11" ht="16" x14ac:dyDescent="0.2">
      <c r="A18" s="188">
        <v>10</v>
      </c>
      <c r="B18" s="189" t="s">
        <v>146</v>
      </c>
      <c r="C18" s="166">
        <v>38</v>
      </c>
      <c r="D18" s="156">
        <v>2.85</v>
      </c>
      <c r="E18" s="190">
        <v>688</v>
      </c>
      <c r="F18" s="191">
        <v>29</v>
      </c>
      <c r="G18" s="159">
        <f t="shared" si="2"/>
        <v>19952</v>
      </c>
      <c r="H18" s="160">
        <f t="shared" si="3"/>
        <v>1102</v>
      </c>
      <c r="I18" s="183"/>
      <c r="J18" s="186"/>
      <c r="K18" s="183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82</v>
      </c>
      <c r="G22" s="135">
        <f>SUM(G9:G21)/F22</f>
        <v>1021.219512195122</v>
      </c>
      <c r="H22" s="136">
        <f>SUM(H9:H21)/F22</f>
        <v>27.51829268292683</v>
      </c>
      <c r="I22" s="137" t="s">
        <v>19</v>
      </c>
      <c r="J22" s="138">
        <v>4.0999999999999996</v>
      </c>
      <c r="K22" s="131"/>
    </row>
    <row r="23" spans="1:11" x14ac:dyDescent="0.15">
      <c r="E23" s="139"/>
      <c r="F23" s="140"/>
      <c r="I23" s="141" t="s">
        <v>20</v>
      </c>
      <c r="J23" s="142">
        <v>4.17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82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241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7.75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D24B8EF7-61DE-4EA0-9A23-8EBC82057876}">
      <formula1>$K$29:$K$85</formula1>
    </dataValidation>
    <dataValidation type="list" allowBlank="1" showInputMessage="1" showErrorMessage="1" sqref="B20:B21" xr:uid="{958C114D-74FA-4C96-95BE-0BBC609265FC}">
      <formula1>$K$29:$K$40</formula1>
    </dataValidation>
    <dataValidation type="list" allowBlank="1" showInputMessage="1" showErrorMessage="1" sqref="I50 K15:K21" xr:uid="{AC109436-A376-4569-B937-186DF644D149}">
      <formula1>$I$41:$I$50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D215-76E3-4792-98EE-DE2F0EB08594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45661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7" x14ac:dyDescent="0.15">
      <c r="A9" s="215">
        <v>1</v>
      </c>
      <c r="B9" s="216" t="s">
        <v>143</v>
      </c>
      <c r="C9" s="217">
        <v>15</v>
      </c>
      <c r="D9" s="192">
        <v>2.85</v>
      </c>
      <c r="E9" s="207">
        <v>1435</v>
      </c>
      <c r="F9" s="218">
        <v>9</v>
      </c>
      <c r="G9" s="193">
        <f>E9*F9</f>
        <v>12915</v>
      </c>
      <c r="H9" s="194">
        <f>F9*C9</f>
        <v>135</v>
      </c>
      <c r="I9" s="219" t="s">
        <v>131</v>
      </c>
      <c r="J9" s="220">
        <v>2.0833333333333332E-2</v>
      </c>
      <c r="K9" s="221" t="s">
        <v>132</v>
      </c>
    </row>
    <row r="10" spans="1:11" ht="17" x14ac:dyDescent="0.15">
      <c r="A10" s="195">
        <v>2</v>
      </c>
      <c r="B10" s="222" t="s">
        <v>137</v>
      </c>
      <c r="C10" s="206">
        <v>15</v>
      </c>
      <c r="D10" s="192">
        <v>2.85</v>
      </c>
      <c r="E10" s="198">
        <v>1435</v>
      </c>
      <c r="F10" s="223">
        <v>13.2</v>
      </c>
      <c r="G10" s="193">
        <f>E10*F10</f>
        <v>18942</v>
      </c>
      <c r="H10" s="194">
        <f>F10*C10</f>
        <v>198</v>
      </c>
      <c r="I10" s="196" t="s">
        <v>27</v>
      </c>
      <c r="J10" s="224">
        <v>4.8611111111111112E-2</v>
      </c>
      <c r="K10" s="225" t="s">
        <v>27</v>
      </c>
    </row>
    <row r="11" spans="1:11" ht="17" x14ac:dyDescent="0.15">
      <c r="A11" s="195">
        <v>3</v>
      </c>
      <c r="B11" s="222" t="s">
        <v>137</v>
      </c>
      <c r="C11" s="206">
        <v>17</v>
      </c>
      <c r="D11" s="192">
        <v>2.85</v>
      </c>
      <c r="E11" s="198">
        <v>1394</v>
      </c>
      <c r="F11" s="226">
        <v>9.4</v>
      </c>
      <c r="G11" s="193">
        <f t="shared" ref="G11:G12" si="0">E11*F11</f>
        <v>13103.6</v>
      </c>
      <c r="H11" s="194">
        <f t="shared" ref="H11:H12" si="1">F11*C11</f>
        <v>159.80000000000001</v>
      </c>
      <c r="I11" s="196" t="s">
        <v>136</v>
      </c>
      <c r="J11" s="224">
        <v>6.25E-2</v>
      </c>
      <c r="K11" s="225" t="s">
        <v>151</v>
      </c>
    </row>
    <row r="12" spans="1:11" ht="16" x14ac:dyDescent="0.15">
      <c r="A12" s="195">
        <v>4</v>
      </c>
      <c r="B12" s="196" t="s">
        <v>138</v>
      </c>
      <c r="C12" s="227">
        <v>12.5</v>
      </c>
      <c r="D12" s="192">
        <v>2.85</v>
      </c>
      <c r="E12" s="207">
        <v>1418</v>
      </c>
      <c r="F12" s="218">
        <v>33.4</v>
      </c>
      <c r="G12" s="193">
        <f t="shared" si="0"/>
        <v>47361.2</v>
      </c>
      <c r="H12" s="194">
        <f t="shared" si="1"/>
        <v>417.5</v>
      </c>
      <c r="I12" s="196"/>
      <c r="J12" s="224"/>
      <c r="K12" s="225" t="s">
        <v>152</v>
      </c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 t="s">
        <v>134</v>
      </c>
      <c r="J13" s="228">
        <v>6.9444444444444441E-3</v>
      </c>
      <c r="K13" s="229" t="s">
        <v>134</v>
      </c>
    </row>
    <row r="14" spans="1:11" ht="16" x14ac:dyDescent="0.15">
      <c r="A14" s="200"/>
      <c r="B14" s="201"/>
      <c r="C14" s="202"/>
      <c r="D14" s="192"/>
      <c r="E14" s="198"/>
      <c r="F14" s="203"/>
      <c r="G14" s="193"/>
      <c r="H14" s="194"/>
      <c r="I14" s="201" t="s">
        <v>153</v>
      </c>
      <c r="J14" s="228">
        <v>0.1076388888888889</v>
      </c>
      <c r="K14" s="229" t="s">
        <v>154</v>
      </c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32" t="s">
        <v>155</v>
      </c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192"/>
      <c r="J16" s="208"/>
      <c r="K16" s="209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192"/>
      <c r="J17" s="208"/>
      <c r="K17" s="209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65</v>
      </c>
      <c r="G22" s="135">
        <f>SUM(G9:G21)/F22</f>
        <v>1420.3353846153843</v>
      </c>
      <c r="H22" s="136">
        <f>SUM(H9:H21)/F22</f>
        <v>14.004615384615384</v>
      </c>
      <c r="I22" s="137" t="s">
        <v>19</v>
      </c>
      <c r="J22" s="138">
        <v>5.55</v>
      </c>
      <c r="K22" s="131"/>
    </row>
    <row r="23" spans="1:11" x14ac:dyDescent="0.15">
      <c r="E23" s="139"/>
      <c r="F23" s="140"/>
      <c r="I23" s="141" t="s">
        <v>20</v>
      </c>
      <c r="J23" s="142">
        <v>5.92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65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306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13.67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83A01DDB-8F21-4548-AA90-FF6373A4A031}">
      <formula1>$I$41:$I$50</formula1>
    </dataValidation>
    <dataValidation type="list" allowBlank="1" showInputMessage="1" showErrorMessage="1" sqref="B20:B21" xr:uid="{A849396E-E006-4096-B194-920C6C210349}">
      <formula1>$K$29:$K$40</formula1>
    </dataValidation>
    <dataValidation type="list" allowBlank="1" showInputMessage="1" showErrorMessage="1" sqref="B16:B19" xr:uid="{4BAE1D5F-2838-4C98-AD70-03BB0AD80583}">
      <formula1>$K$29:$K$85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7E48-4DD6-4DAB-B404-173C6742782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45778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7" x14ac:dyDescent="0.15">
      <c r="A9" s="215">
        <v>1</v>
      </c>
      <c r="B9" s="216" t="s">
        <v>137</v>
      </c>
      <c r="C9" s="217">
        <v>17</v>
      </c>
      <c r="D9" s="192">
        <v>2.85</v>
      </c>
      <c r="E9" s="207">
        <v>1394</v>
      </c>
      <c r="F9" s="218">
        <v>7.5</v>
      </c>
      <c r="G9" s="193">
        <f>E9*F9</f>
        <v>10455</v>
      </c>
      <c r="H9" s="194">
        <f>F9*C9</f>
        <v>127.5</v>
      </c>
      <c r="I9" s="219" t="s">
        <v>131</v>
      </c>
      <c r="J9" s="220">
        <v>2.0833333333333332E-2</v>
      </c>
      <c r="K9" s="221" t="s">
        <v>132</v>
      </c>
    </row>
    <row r="10" spans="1:11" ht="17" x14ac:dyDescent="0.15">
      <c r="A10" s="195">
        <v>2</v>
      </c>
      <c r="B10" s="222" t="s">
        <v>137</v>
      </c>
      <c r="C10" s="206">
        <v>14</v>
      </c>
      <c r="D10" s="192">
        <v>2.85</v>
      </c>
      <c r="E10" s="198">
        <v>1435</v>
      </c>
      <c r="F10" s="223">
        <v>12</v>
      </c>
      <c r="G10" s="193">
        <f>E10*F10</f>
        <v>17220</v>
      </c>
      <c r="H10" s="194">
        <f>F10*C10</f>
        <v>168</v>
      </c>
      <c r="I10" s="196" t="s">
        <v>27</v>
      </c>
      <c r="J10" s="224">
        <v>2.7777777777777776E-2</v>
      </c>
      <c r="K10" s="225" t="s">
        <v>27</v>
      </c>
    </row>
    <row r="11" spans="1:11" ht="17" x14ac:dyDescent="0.15">
      <c r="A11" s="195">
        <v>3</v>
      </c>
      <c r="B11" s="222" t="s">
        <v>142</v>
      </c>
      <c r="C11" s="206">
        <v>17</v>
      </c>
      <c r="D11" s="192">
        <v>2.85</v>
      </c>
      <c r="E11" s="198">
        <v>1394</v>
      </c>
      <c r="F11" s="226">
        <v>15</v>
      </c>
      <c r="G11" s="193">
        <f t="shared" ref="G11:G12" si="0">E11*F11</f>
        <v>20910</v>
      </c>
      <c r="H11" s="194">
        <f t="shared" ref="H11:H12" si="1">F11*C11</f>
        <v>255</v>
      </c>
      <c r="I11" s="196" t="s">
        <v>156</v>
      </c>
      <c r="J11" s="224">
        <v>0.16666666666666666</v>
      </c>
      <c r="K11" s="225" t="s">
        <v>157</v>
      </c>
    </row>
    <row r="12" spans="1:11" ht="16" x14ac:dyDescent="0.15">
      <c r="A12" s="195">
        <v>4</v>
      </c>
      <c r="B12" s="196" t="s">
        <v>138</v>
      </c>
      <c r="C12" s="227">
        <v>12.5</v>
      </c>
      <c r="D12" s="192">
        <v>2.85</v>
      </c>
      <c r="E12" s="207">
        <v>1435</v>
      </c>
      <c r="F12" s="218">
        <v>26</v>
      </c>
      <c r="G12" s="193">
        <f t="shared" si="0"/>
        <v>37310</v>
      </c>
      <c r="H12" s="194">
        <f t="shared" si="1"/>
        <v>325</v>
      </c>
      <c r="I12" s="196"/>
      <c r="J12" s="224"/>
      <c r="K12" s="225" t="s">
        <v>158</v>
      </c>
    </row>
    <row r="13" spans="1:11" ht="16" x14ac:dyDescent="0.15">
      <c r="A13" s="195">
        <v>5</v>
      </c>
      <c r="B13" s="196" t="s">
        <v>143</v>
      </c>
      <c r="C13" s="197">
        <v>15</v>
      </c>
      <c r="D13" s="192">
        <v>2.85</v>
      </c>
      <c r="E13" s="198">
        <v>1435</v>
      </c>
      <c r="F13" s="199">
        <v>6.5</v>
      </c>
      <c r="G13" s="193">
        <f>E13*F13</f>
        <v>9327.5</v>
      </c>
      <c r="H13" s="194">
        <f>F13*C13</f>
        <v>97.5</v>
      </c>
      <c r="I13" s="201"/>
      <c r="J13" s="228"/>
      <c r="K13" s="229"/>
    </row>
    <row r="14" spans="1:11" ht="16" x14ac:dyDescent="0.15">
      <c r="A14" s="200"/>
      <c r="B14" s="201"/>
      <c r="C14" s="202"/>
      <c r="D14" s="192"/>
      <c r="E14" s="198"/>
      <c r="F14" s="203"/>
      <c r="G14" s="193"/>
      <c r="H14" s="194"/>
      <c r="I14" s="201"/>
      <c r="J14" s="228"/>
      <c r="K14" s="229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32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192"/>
      <c r="J16" s="208"/>
      <c r="K16" s="209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192"/>
      <c r="J17" s="208"/>
      <c r="K17" s="209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67</v>
      </c>
      <c r="G22" s="135">
        <f>SUM(G9:G21)/F22</f>
        <v>1421.2313432835822</v>
      </c>
      <c r="H22" s="136">
        <f>SUM(H9:H21)/F22</f>
        <v>14.522388059701493</v>
      </c>
      <c r="I22" s="137" t="s">
        <v>19</v>
      </c>
      <c r="J22" s="138">
        <v>5.0999999999999996</v>
      </c>
      <c r="K22" s="131"/>
    </row>
    <row r="23" spans="1:11" x14ac:dyDescent="0.15">
      <c r="E23" s="139"/>
      <c r="F23" s="140"/>
      <c r="I23" s="141" t="s">
        <v>20</v>
      </c>
      <c r="J23" s="142">
        <v>5.17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67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373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18.829999999999998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8B28F694-FF33-460D-A8BD-7FE817F839F0}">
      <formula1>$K$29:$K$85</formula1>
    </dataValidation>
    <dataValidation type="list" allowBlank="1" showInputMessage="1" showErrorMessage="1" sqref="B20:B21" xr:uid="{A4F9E55B-16D9-429B-B67D-FC8B4B9700BA}">
      <formula1>$K$29:$K$40</formula1>
    </dataValidation>
    <dataValidation type="list" allowBlank="1" showInputMessage="1" showErrorMessage="1" sqref="I50 K15:K21" xr:uid="{AC1E67B2-5D98-45C6-BE9C-CD760D64B2D0}">
      <formula1>$I$41:$I$50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BACBB-39CF-49D6-B563-093DBE599C87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45809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7" x14ac:dyDescent="0.15">
      <c r="A9" s="215">
        <v>1</v>
      </c>
      <c r="B9" s="216" t="s">
        <v>137</v>
      </c>
      <c r="C9" s="217">
        <v>17</v>
      </c>
      <c r="D9" s="192">
        <v>2.85</v>
      </c>
      <c r="E9" s="207">
        <v>1435</v>
      </c>
      <c r="F9" s="218">
        <v>5</v>
      </c>
      <c r="G9" s="193">
        <f>E9*F9</f>
        <v>7175</v>
      </c>
      <c r="H9" s="194">
        <f>F9*C9</f>
        <v>85</v>
      </c>
      <c r="I9" s="219" t="s">
        <v>131</v>
      </c>
      <c r="J9" s="220">
        <v>2.4305555555555556E-2</v>
      </c>
      <c r="K9" s="221" t="s">
        <v>132</v>
      </c>
    </row>
    <row r="10" spans="1:11" ht="17" x14ac:dyDescent="0.15">
      <c r="A10" s="195">
        <v>2</v>
      </c>
      <c r="B10" s="222" t="s">
        <v>137</v>
      </c>
      <c r="C10" s="206">
        <v>16</v>
      </c>
      <c r="D10" s="192">
        <v>2.85</v>
      </c>
      <c r="E10" s="198">
        <v>1353</v>
      </c>
      <c r="F10" s="223">
        <v>10.3</v>
      </c>
      <c r="G10" s="193">
        <f>E10*F10</f>
        <v>13935.900000000001</v>
      </c>
      <c r="H10" s="194">
        <f>F10*C10</f>
        <v>164.8</v>
      </c>
      <c r="I10" s="196" t="s">
        <v>27</v>
      </c>
      <c r="J10" s="224">
        <v>2.7777777777777776E-2</v>
      </c>
      <c r="K10" s="225" t="s">
        <v>27</v>
      </c>
    </row>
    <row r="11" spans="1:11" ht="17" x14ac:dyDescent="0.15">
      <c r="A11" s="195">
        <v>3</v>
      </c>
      <c r="B11" s="222" t="s">
        <v>142</v>
      </c>
      <c r="C11" s="206">
        <v>17</v>
      </c>
      <c r="D11" s="192">
        <v>2.85</v>
      </c>
      <c r="E11" s="198">
        <v>1394</v>
      </c>
      <c r="F11" s="226">
        <v>23</v>
      </c>
      <c r="G11" s="193">
        <f t="shared" ref="G11:G12" si="0">E11*F11</f>
        <v>32062</v>
      </c>
      <c r="H11" s="194">
        <f t="shared" ref="H11:H12" si="1">F11*C11</f>
        <v>391</v>
      </c>
      <c r="I11" s="196" t="s">
        <v>159</v>
      </c>
      <c r="J11" s="224">
        <v>3.125E-2</v>
      </c>
      <c r="K11" s="225" t="s">
        <v>160</v>
      </c>
    </row>
    <row r="12" spans="1:11" ht="16" x14ac:dyDescent="0.15">
      <c r="A12" s="195">
        <v>4</v>
      </c>
      <c r="B12" s="196" t="s">
        <v>138</v>
      </c>
      <c r="C12" s="227">
        <v>12.5</v>
      </c>
      <c r="D12" s="192">
        <v>2.85</v>
      </c>
      <c r="E12" s="207">
        <v>1435</v>
      </c>
      <c r="F12" s="218">
        <v>16.3</v>
      </c>
      <c r="G12" s="193">
        <f t="shared" si="0"/>
        <v>23390.5</v>
      </c>
      <c r="H12" s="194">
        <f t="shared" si="1"/>
        <v>203.75</v>
      </c>
      <c r="I12" s="196"/>
      <c r="J12" s="224"/>
      <c r="K12" s="225" t="s">
        <v>161</v>
      </c>
    </row>
    <row r="13" spans="1:11" ht="16" x14ac:dyDescent="0.15">
      <c r="A13" s="195">
        <v>5</v>
      </c>
      <c r="B13" s="196" t="s">
        <v>143</v>
      </c>
      <c r="C13" s="197">
        <v>15</v>
      </c>
      <c r="D13" s="192">
        <v>2.85</v>
      </c>
      <c r="E13" s="198">
        <v>1312</v>
      </c>
      <c r="F13" s="199">
        <v>3.9</v>
      </c>
      <c r="G13" s="193">
        <f>E13*F13</f>
        <v>5116.8</v>
      </c>
      <c r="H13" s="194">
        <f>F13*C13</f>
        <v>58.5</v>
      </c>
      <c r="I13" s="201"/>
      <c r="J13" s="228"/>
      <c r="K13" s="229"/>
    </row>
    <row r="14" spans="1:11" ht="16" x14ac:dyDescent="0.15">
      <c r="A14" s="200">
        <v>6</v>
      </c>
      <c r="B14" s="201" t="s">
        <v>143</v>
      </c>
      <c r="C14" s="202">
        <v>15.5</v>
      </c>
      <c r="D14" s="192">
        <v>2.85</v>
      </c>
      <c r="E14" s="198">
        <v>1312</v>
      </c>
      <c r="F14" s="203">
        <v>3.9</v>
      </c>
      <c r="G14" s="193">
        <f>E14*F14</f>
        <v>5116.8</v>
      </c>
      <c r="H14" s="194">
        <f>F14*C14</f>
        <v>60.449999999999996</v>
      </c>
      <c r="I14" s="201"/>
      <c r="J14" s="228"/>
      <c r="K14" s="229"/>
    </row>
    <row r="15" spans="1:11" ht="16" x14ac:dyDescent="0.2">
      <c r="A15" s="204">
        <v>7</v>
      </c>
      <c r="B15" s="205" t="s">
        <v>138</v>
      </c>
      <c r="C15" s="206">
        <v>13.5</v>
      </c>
      <c r="D15" s="192">
        <v>2.85</v>
      </c>
      <c r="E15" s="207">
        <v>1435</v>
      </c>
      <c r="F15" s="206">
        <v>6.8</v>
      </c>
      <c r="G15" s="193">
        <f>E15*F15</f>
        <v>9758</v>
      </c>
      <c r="H15" s="194">
        <f>F15*C15</f>
        <v>91.8</v>
      </c>
      <c r="I15" s="230"/>
      <c r="J15" s="231"/>
      <c r="K15" s="232"/>
    </row>
    <row r="16" spans="1:11" ht="16" x14ac:dyDescent="0.2">
      <c r="A16" s="204">
        <v>8</v>
      </c>
      <c r="B16" s="205" t="s">
        <v>143</v>
      </c>
      <c r="C16" s="206">
        <v>17</v>
      </c>
      <c r="D16" s="192">
        <v>2.85</v>
      </c>
      <c r="E16" s="198">
        <v>1148</v>
      </c>
      <c r="F16" s="206">
        <v>3.4</v>
      </c>
      <c r="G16" s="193">
        <f t="shared" ref="G16:G17" si="2">E16*F16</f>
        <v>3903.2</v>
      </c>
      <c r="H16" s="194">
        <f t="shared" ref="H16:H17" si="3">F16*C16</f>
        <v>57.8</v>
      </c>
      <c r="I16" s="192"/>
      <c r="J16" s="208"/>
      <c r="K16" s="209"/>
    </row>
    <row r="17" spans="1:11" ht="16" x14ac:dyDescent="0.2">
      <c r="A17" s="204">
        <v>9</v>
      </c>
      <c r="B17" s="205" t="s">
        <v>143</v>
      </c>
      <c r="C17" s="206">
        <v>18</v>
      </c>
      <c r="D17" s="192">
        <v>2.85</v>
      </c>
      <c r="E17" s="198">
        <v>1148</v>
      </c>
      <c r="F17" s="206">
        <v>3.4</v>
      </c>
      <c r="G17" s="193">
        <f t="shared" si="2"/>
        <v>3903.2</v>
      </c>
      <c r="H17" s="194">
        <f t="shared" si="3"/>
        <v>61.199999999999996</v>
      </c>
      <c r="I17" s="192"/>
      <c r="J17" s="208"/>
      <c r="K17" s="209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76</v>
      </c>
      <c r="G22" s="135">
        <f>SUM(G9:G21)/F22</f>
        <v>1373.1763157894736</v>
      </c>
      <c r="H22" s="136">
        <f>SUM(H9:H21)/F22</f>
        <v>15.451315789473684</v>
      </c>
      <c r="I22" s="137" t="s">
        <v>19</v>
      </c>
      <c r="J22" s="138">
        <v>2</v>
      </c>
      <c r="K22" s="131"/>
    </row>
    <row r="23" spans="1:11" x14ac:dyDescent="0.15">
      <c r="E23" s="139"/>
      <c r="F23" s="140"/>
      <c r="I23" s="141" t="s">
        <v>20</v>
      </c>
      <c r="J23" s="142">
        <v>2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76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449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20.83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B0B5B68D-656C-496D-BD31-E943E011C871}">
      <formula1>$I$41:$I$50</formula1>
    </dataValidation>
    <dataValidation type="list" allowBlank="1" showInputMessage="1" showErrorMessage="1" sqref="B20:B21" xr:uid="{625019A2-2EB0-45CD-9427-4601E8FE38F7}">
      <formula1>$K$29:$K$40</formula1>
    </dataValidation>
    <dataValidation type="list" allowBlank="1" showInputMessage="1" showErrorMessage="1" sqref="B16:B19" xr:uid="{0DAB3BAE-F012-4992-A3E2-7669912E3C9C}">
      <formula1>$K$29:$K$85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3606-4E0C-435E-88FB-C1B63F703B51}">
  <dimension ref="A1:K85"/>
  <sheetViews>
    <sheetView topLeftCell="D3" workbookViewId="0">
      <selection activeCell="J4" sqref="J4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45839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5" x14ac:dyDescent="0.15">
      <c r="A9" s="103">
        <v>1</v>
      </c>
      <c r="B9" s="104" t="s">
        <v>137</v>
      </c>
      <c r="C9" s="105">
        <v>16</v>
      </c>
      <c r="D9" s="100">
        <v>2.85</v>
      </c>
      <c r="E9" s="106">
        <v>1353</v>
      </c>
      <c r="F9" s="107">
        <v>1.5</v>
      </c>
      <c r="G9" s="108">
        <f>E9*F9</f>
        <v>2029.5</v>
      </c>
      <c r="H9" s="101">
        <f>F9*C9</f>
        <v>24</v>
      </c>
      <c r="I9" s="109" t="s">
        <v>131</v>
      </c>
      <c r="J9" s="110">
        <v>2.0833333333333332E-2</v>
      </c>
      <c r="K9" s="111" t="s">
        <v>132</v>
      </c>
    </row>
    <row r="10" spans="1:11" ht="15" x14ac:dyDescent="0.15">
      <c r="A10" s="112">
        <v>2</v>
      </c>
      <c r="B10" s="113" t="s">
        <v>142</v>
      </c>
      <c r="C10" s="114">
        <v>18</v>
      </c>
      <c r="D10" s="100">
        <v>2.85</v>
      </c>
      <c r="E10" s="115">
        <v>1353</v>
      </c>
      <c r="F10" s="116">
        <v>16</v>
      </c>
      <c r="G10" s="108">
        <f>E10*F10</f>
        <v>21648</v>
      </c>
      <c r="H10" s="101">
        <f>F10*C10</f>
        <v>288</v>
      </c>
      <c r="I10" s="117" t="s">
        <v>27</v>
      </c>
      <c r="J10" s="118">
        <v>2.0833333333333332E-2</v>
      </c>
      <c r="K10" s="119" t="s">
        <v>27</v>
      </c>
    </row>
    <row r="11" spans="1:11" ht="15" x14ac:dyDescent="0.15">
      <c r="A11" s="112">
        <v>3</v>
      </c>
      <c r="B11" s="113" t="s">
        <v>146</v>
      </c>
      <c r="C11" s="114">
        <v>20</v>
      </c>
      <c r="D11" s="100">
        <v>2.85</v>
      </c>
      <c r="E11" s="115">
        <v>1328</v>
      </c>
      <c r="F11" s="120">
        <v>8</v>
      </c>
      <c r="G11" s="108">
        <f t="shared" ref="G11:G12" si="0">E11*F11</f>
        <v>10624</v>
      </c>
      <c r="H11" s="101">
        <f t="shared" ref="H11:H12" si="1">F11*C11</f>
        <v>160</v>
      </c>
      <c r="I11" s="117" t="s">
        <v>162</v>
      </c>
      <c r="J11" s="118">
        <v>4.1666666666666664E-2</v>
      </c>
      <c r="K11" s="119" t="s">
        <v>163</v>
      </c>
    </row>
    <row r="12" spans="1:11" x14ac:dyDescent="0.15">
      <c r="A12" s="112">
        <v>4</v>
      </c>
      <c r="B12" s="117" t="s">
        <v>137</v>
      </c>
      <c r="C12" s="121">
        <v>20</v>
      </c>
      <c r="D12" s="100">
        <v>2.85</v>
      </c>
      <c r="E12" s="106">
        <v>1328</v>
      </c>
      <c r="F12" s="107">
        <v>4</v>
      </c>
      <c r="G12" s="108">
        <f t="shared" si="0"/>
        <v>5312</v>
      </c>
      <c r="H12" s="101">
        <f t="shared" si="1"/>
        <v>80</v>
      </c>
      <c r="I12" s="117"/>
      <c r="J12" s="118"/>
      <c r="K12" s="119" t="s">
        <v>164</v>
      </c>
    </row>
    <row r="13" spans="1:11" x14ac:dyDescent="0.15">
      <c r="A13" s="112">
        <v>5</v>
      </c>
      <c r="B13" s="117" t="s">
        <v>146</v>
      </c>
      <c r="C13" s="122">
        <v>22</v>
      </c>
      <c r="D13" s="100">
        <v>2.85</v>
      </c>
      <c r="E13" s="115">
        <v>1190</v>
      </c>
      <c r="F13" s="123">
        <v>0.5</v>
      </c>
      <c r="G13" s="108">
        <f>E13*F13</f>
        <v>595</v>
      </c>
      <c r="H13" s="101">
        <f>F13*C13</f>
        <v>11</v>
      </c>
      <c r="I13" s="233" t="s">
        <v>134</v>
      </c>
      <c r="J13" s="234">
        <v>6.9444444444444441E-3</v>
      </c>
      <c r="K13" s="235" t="s">
        <v>134</v>
      </c>
    </row>
    <row r="14" spans="1:11" x14ac:dyDescent="0.15">
      <c r="A14" s="236">
        <v>6</v>
      </c>
      <c r="B14" s="233" t="s">
        <v>137</v>
      </c>
      <c r="C14" s="237">
        <v>17</v>
      </c>
      <c r="D14" s="100">
        <v>2.85</v>
      </c>
      <c r="E14" s="115">
        <v>1476</v>
      </c>
      <c r="F14" s="238">
        <v>4</v>
      </c>
      <c r="G14" s="108">
        <f>E14*F14</f>
        <v>5904</v>
      </c>
      <c r="H14" s="101">
        <f>F14*C14</f>
        <v>68</v>
      </c>
      <c r="I14" s="233" t="s">
        <v>149</v>
      </c>
      <c r="J14" s="234">
        <v>8.3333333333333329E-2</v>
      </c>
      <c r="K14" s="235" t="s">
        <v>165</v>
      </c>
    </row>
    <row r="15" spans="1:11" x14ac:dyDescent="0.15">
      <c r="A15" s="239">
        <v>7</v>
      </c>
      <c r="B15" s="126" t="s">
        <v>142</v>
      </c>
      <c r="C15" s="114">
        <v>17</v>
      </c>
      <c r="D15" s="100">
        <v>2.85</v>
      </c>
      <c r="E15" s="106">
        <v>1361</v>
      </c>
      <c r="F15" s="114">
        <v>16</v>
      </c>
      <c r="G15" s="108">
        <f>E15*F15</f>
        <v>21776</v>
      </c>
      <c r="H15" s="101">
        <f>F15*C15</f>
        <v>272</v>
      </c>
      <c r="I15" s="240" t="s">
        <v>166</v>
      </c>
      <c r="J15" s="241">
        <v>2.0833333333333332E-2</v>
      </c>
      <c r="K15" s="242" t="s">
        <v>167</v>
      </c>
    </row>
    <row r="16" spans="1:11" x14ac:dyDescent="0.15">
      <c r="A16" s="239">
        <v>8</v>
      </c>
      <c r="B16" s="126" t="s">
        <v>137</v>
      </c>
      <c r="C16" s="114">
        <v>15</v>
      </c>
      <c r="D16" s="100">
        <v>2.85</v>
      </c>
      <c r="E16" s="115">
        <v>1435</v>
      </c>
      <c r="F16" s="114">
        <v>21</v>
      </c>
      <c r="G16" s="108">
        <f t="shared" ref="G16" si="2">E16*F16</f>
        <v>30135</v>
      </c>
      <c r="H16" s="101">
        <f t="shared" ref="H16" si="3">F16*C16</f>
        <v>315</v>
      </c>
      <c r="I16" s="240" t="s">
        <v>168</v>
      </c>
      <c r="J16" s="241">
        <v>2.0833333333333332E-2</v>
      </c>
      <c r="K16" s="242" t="s">
        <v>167</v>
      </c>
    </row>
    <row r="17" spans="1:11" x14ac:dyDescent="0.15">
      <c r="A17" s="239"/>
      <c r="B17" s="126"/>
      <c r="C17" s="114"/>
      <c r="D17" s="100"/>
      <c r="E17" s="115"/>
      <c r="F17" s="114"/>
      <c r="G17" s="108"/>
      <c r="H17" s="101"/>
      <c r="I17" s="240" t="s">
        <v>168</v>
      </c>
      <c r="J17" s="241">
        <v>1.3888888888888888E-2</v>
      </c>
      <c r="K17" s="242" t="s">
        <v>169</v>
      </c>
    </row>
    <row r="18" spans="1:11" x14ac:dyDescent="0.15">
      <c r="A18" s="243"/>
      <c r="B18" s="244"/>
      <c r="C18" s="114"/>
      <c r="D18" s="100"/>
      <c r="E18" s="245"/>
      <c r="F18" s="246"/>
      <c r="G18" s="108"/>
      <c r="H18" s="101"/>
      <c r="I18" s="99"/>
      <c r="J18" s="102"/>
      <c r="K18" s="9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71</v>
      </c>
      <c r="G22" s="135">
        <f>SUM(G9:G21)/F22</f>
        <v>1380.6126760563379</v>
      </c>
      <c r="H22" s="136">
        <f>SUM(H9:H21)/F22</f>
        <v>17.154929577464788</v>
      </c>
      <c r="I22" s="137" t="s">
        <v>19</v>
      </c>
      <c r="J22" s="138">
        <v>5.3</v>
      </c>
      <c r="K22" s="131"/>
    </row>
    <row r="23" spans="1:11" x14ac:dyDescent="0.15">
      <c r="E23" s="139"/>
      <c r="F23" s="140"/>
      <c r="I23" s="141" t="s">
        <v>20</v>
      </c>
      <c r="J23" s="142">
        <v>5.5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71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520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26.33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83F2A584-9219-4A80-9467-8D23C906C621}">
      <formula1>$K$29:$K$85</formula1>
    </dataValidation>
    <dataValidation type="list" allowBlank="1" showInputMessage="1" showErrorMessage="1" sqref="B20:B21" xr:uid="{60963B8A-A001-4E72-994C-7B46F03ACEDA}">
      <formula1>$K$29:$K$40</formula1>
    </dataValidation>
    <dataValidation type="list" allowBlank="1" showInputMessage="1" showErrorMessage="1" sqref="I50 K15:K21" xr:uid="{129121FE-3DF2-48C2-B6FB-43349F0A68EC}">
      <formula1>$I$41:$I$50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5FAE3-CC7B-4AAC-8C04-57032E339C25}">
  <dimension ref="A1:K85"/>
  <sheetViews>
    <sheetView topLeftCell="B3" workbookViewId="0">
      <selection sqref="A1:XFD1048576"/>
    </sheetView>
  </sheetViews>
  <sheetFormatPr baseColWidth="10" defaultColWidth="9.1640625" defaultRowHeight="14" x14ac:dyDescent="0.15"/>
  <cols>
    <col min="1" max="1" width="5.1640625" style="248" customWidth="1"/>
    <col min="2" max="2" width="22.5" style="248" customWidth="1"/>
    <col min="3" max="3" width="6.1640625" style="248" customWidth="1"/>
    <col min="4" max="4" width="12.5" style="248" bestFit="1" customWidth="1"/>
    <col min="5" max="5" width="9.83203125" style="248" customWidth="1"/>
    <col min="6" max="6" width="9.33203125" style="248" bestFit="1" customWidth="1"/>
    <col min="7" max="7" width="8.6640625" style="248" customWidth="1"/>
    <col min="8" max="8" width="9.5" style="248" bestFit="1" customWidth="1"/>
    <col min="9" max="9" width="17.83203125" style="248" bestFit="1" customWidth="1"/>
    <col min="10" max="10" width="10.33203125" style="248" bestFit="1" customWidth="1"/>
    <col min="11" max="11" width="49.6640625" style="248" bestFit="1" customWidth="1"/>
    <col min="12" max="16384" width="9.1640625" style="248"/>
  </cols>
  <sheetData>
    <row r="1" spans="1:11" x14ac:dyDescent="0.15">
      <c r="A1" s="247" t="s">
        <v>126</v>
      </c>
      <c r="I1" s="249"/>
    </row>
    <row r="2" spans="1:11" x14ac:dyDescent="0.15">
      <c r="J2" s="250"/>
    </row>
    <row r="3" spans="1:11" x14ac:dyDescent="0.15">
      <c r="A3" s="249" t="s">
        <v>127</v>
      </c>
      <c r="I3" s="247"/>
      <c r="J3" s="247"/>
    </row>
    <row r="4" spans="1:11" x14ac:dyDescent="0.15">
      <c r="A4" s="249"/>
      <c r="I4" s="250" t="s">
        <v>5</v>
      </c>
      <c r="J4" s="251">
        <v>45870</v>
      </c>
    </row>
    <row r="5" spans="1:11" x14ac:dyDescent="0.15">
      <c r="J5" s="248" t="s">
        <v>1</v>
      </c>
    </row>
    <row r="6" spans="1:11" ht="30" x14ac:dyDescent="0.15">
      <c r="A6" s="252" t="s">
        <v>6</v>
      </c>
      <c r="B6" s="252" t="s">
        <v>7</v>
      </c>
      <c r="C6" s="252" t="s">
        <v>8</v>
      </c>
      <c r="D6" s="252" t="s">
        <v>9</v>
      </c>
      <c r="E6" s="252" t="s">
        <v>10</v>
      </c>
      <c r="F6" s="252" t="s">
        <v>11</v>
      </c>
      <c r="G6" s="253" t="s">
        <v>12</v>
      </c>
      <c r="H6" s="253" t="s">
        <v>3</v>
      </c>
      <c r="I6" s="253" t="s">
        <v>13</v>
      </c>
      <c r="J6" s="254"/>
      <c r="K6" s="252" t="s">
        <v>14</v>
      </c>
    </row>
    <row r="7" spans="1:11" ht="30" x14ac:dyDescent="0.15">
      <c r="A7" s="253"/>
      <c r="B7" s="255"/>
      <c r="C7" s="252"/>
      <c r="D7" s="252" t="s">
        <v>4</v>
      </c>
      <c r="E7" s="252" t="s">
        <v>15</v>
      </c>
      <c r="F7" s="256" t="s">
        <v>0</v>
      </c>
      <c r="G7" s="256" t="s">
        <v>15</v>
      </c>
      <c r="H7" s="256" t="s">
        <v>102</v>
      </c>
      <c r="I7" s="252" t="s">
        <v>16</v>
      </c>
      <c r="J7" s="256" t="s">
        <v>17</v>
      </c>
      <c r="K7" s="256"/>
    </row>
    <row r="8" spans="1:11" x14ac:dyDescent="0.15">
      <c r="A8" s="257"/>
      <c r="B8" s="258"/>
      <c r="C8" s="259"/>
      <c r="D8" s="258"/>
      <c r="E8" s="258"/>
      <c r="F8" s="257"/>
      <c r="G8" s="257"/>
      <c r="H8" s="257"/>
      <c r="I8" s="257"/>
      <c r="J8" s="260"/>
      <c r="K8" s="257"/>
    </row>
    <row r="9" spans="1:11" ht="15" x14ac:dyDescent="0.15">
      <c r="A9" s="299">
        <v>1</v>
      </c>
      <c r="B9" s="300" t="s">
        <v>137</v>
      </c>
      <c r="C9" s="301">
        <v>16</v>
      </c>
      <c r="D9" s="258">
        <v>2.85</v>
      </c>
      <c r="E9" s="265">
        <v>1435</v>
      </c>
      <c r="F9" s="302">
        <v>4</v>
      </c>
      <c r="G9" s="261">
        <f>E9*F9</f>
        <v>5740</v>
      </c>
      <c r="H9" s="259">
        <f>F9*C9</f>
        <v>64</v>
      </c>
      <c r="I9" s="303" t="s">
        <v>131</v>
      </c>
      <c r="J9" s="304">
        <v>2.4305555555555556E-2</v>
      </c>
      <c r="K9" s="305" t="s">
        <v>132</v>
      </c>
    </row>
    <row r="10" spans="1:11" ht="15" x14ac:dyDescent="0.15">
      <c r="A10" s="306">
        <v>2</v>
      </c>
      <c r="B10" s="307" t="s">
        <v>137</v>
      </c>
      <c r="C10" s="264">
        <v>15</v>
      </c>
      <c r="D10" s="258">
        <v>2.85</v>
      </c>
      <c r="E10" s="269">
        <v>1435</v>
      </c>
      <c r="F10" s="308">
        <v>20</v>
      </c>
      <c r="G10" s="261">
        <f>E10*F10</f>
        <v>28700</v>
      </c>
      <c r="H10" s="259">
        <f>F10*C10</f>
        <v>300</v>
      </c>
      <c r="I10" s="309" t="s">
        <v>27</v>
      </c>
      <c r="J10" s="310">
        <v>4.1666666666666664E-2</v>
      </c>
      <c r="K10" s="311" t="s">
        <v>27</v>
      </c>
    </row>
    <row r="11" spans="1:11" ht="15" x14ac:dyDescent="0.15">
      <c r="A11" s="306">
        <v>3</v>
      </c>
      <c r="B11" s="307" t="s">
        <v>146</v>
      </c>
      <c r="C11" s="264">
        <v>22</v>
      </c>
      <c r="D11" s="258">
        <v>2.85</v>
      </c>
      <c r="E11" s="269">
        <v>826</v>
      </c>
      <c r="F11" s="312">
        <v>6</v>
      </c>
      <c r="G11" s="261">
        <f t="shared" ref="G11:G12" si="0">E11*F11</f>
        <v>4956</v>
      </c>
      <c r="H11" s="259">
        <f t="shared" ref="H11:H12" si="1">F11*C11</f>
        <v>132</v>
      </c>
      <c r="I11" s="309" t="s">
        <v>136</v>
      </c>
      <c r="J11" s="310">
        <v>8.3333333333333329E-2</v>
      </c>
      <c r="K11" s="311" t="s">
        <v>170</v>
      </c>
    </row>
    <row r="12" spans="1:11" x14ac:dyDescent="0.15">
      <c r="A12" s="306">
        <v>4</v>
      </c>
      <c r="B12" s="309" t="s">
        <v>143</v>
      </c>
      <c r="C12" s="313">
        <v>17</v>
      </c>
      <c r="D12" s="258">
        <v>2.85</v>
      </c>
      <c r="E12" s="265">
        <v>1271</v>
      </c>
      <c r="F12" s="302">
        <v>18.8</v>
      </c>
      <c r="G12" s="261">
        <f t="shared" si="0"/>
        <v>23894.799999999999</v>
      </c>
      <c r="H12" s="259">
        <f t="shared" si="1"/>
        <v>319.60000000000002</v>
      </c>
      <c r="I12" s="309" t="s">
        <v>168</v>
      </c>
      <c r="J12" s="310">
        <v>4.1666666666666664E-2</v>
      </c>
      <c r="K12" s="311" t="s">
        <v>171</v>
      </c>
    </row>
    <row r="13" spans="1:11" x14ac:dyDescent="0.15">
      <c r="A13" s="306">
        <v>5</v>
      </c>
      <c r="B13" s="309" t="s">
        <v>143</v>
      </c>
      <c r="C13" s="314">
        <v>15</v>
      </c>
      <c r="D13" s="258">
        <v>2.85</v>
      </c>
      <c r="E13" s="269">
        <v>1394</v>
      </c>
      <c r="F13" s="315">
        <v>20.6</v>
      </c>
      <c r="G13" s="261">
        <f>E13*F13</f>
        <v>28716.400000000001</v>
      </c>
      <c r="H13" s="259">
        <f>F13*C13</f>
        <v>309</v>
      </c>
      <c r="I13" s="316"/>
      <c r="J13" s="317"/>
      <c r="K13" s="318" t="s">
        <v>172</v>
      </c>
    </row>
    <row r="14" spans="1:11" x14ac:dyDescent="0.15">
      <c r="A14" s="319">
        <v>6</v>
      </c>
      <c r="B14" s="316" t="s">
        <v>137</v>
      </c>
      <c r="C14" s="320">
        <v>14</v>
      </c>
      <c r="D14" s="258">
        <v>2.85</v>
      </c>
      <c r="E14" s="269">
        <v>1435</v>
      </c>
      <c r="F14" s="321">
        <v>0.6</v>
      </c>
      <c r="G14" s="261">
        <f>E14*F14</f>
        <v>861</v>
      </c>
      <c r="H14" s="259">
        <f>F14*C14</f>
        <v>8.4</v>
      </c>
      <c r="I14" s="316" t="s">
        <v>134</v>
      </c>
      <c r="J14" s="317">
        <v>6.9444444444444441E-3</v>
      </c>
      <c r="K14" s="318" t="s">
        <v>134</v>
      </c>
    </row>
    <row r="15" spans="1:11" x14ac:dyDescent="0.15">
      <c r="A15" s="262"/>
      <c r="B15" s="263"/>
      <c r="C15" s="264"/>
      <c r="D15" s="258"/>
      <c r="E15" s="265"/>
      <c r="F15" s="264"/>
      <c r="G15" s="261"/>
      <c r="H15" s="259"/>
      <c r="I15" s="266"/>
      <c r="J15" s="267"/>
      <c r="K15" s="268"/>
    </row>
    <row r="16" spans="1:11" x14ac:dyDescent="0.15">
      <c r="A16" s="262"/>
      <c r="B16" s="263"/>
      <c r="C16" s="264"/>
      <c r="D16" s="258"/>
      <c r="E16" s="269"/>
      <c r="F16" s="264"/>
      <c r="G16" s="261"/>
      <c r="H16" s="259"/>
      <c r="I16" s="266"/>
      <c r="J16" s="267"/>
      <c r="K16" s="268"/>
    </row>
    <row r="17" spans="1:11" x14ac:dyDescent="0.15">
      <c r="A17" s="262"/>
      <c r="B17" s="263"/>
      <c r="C17" s="264"/>
      <c r="D17" s="258"/>
      <c r="E17" s="269"/>
      <c r="F17" s="264"/>
      <c r="G17" s="261"/>
      <c r="H17" s="259"/>
      <c r="I17" s="266"/>
      <c r="J17" s="267"/>
      <c r="K17" s="268"/>
    </row>
    <row r="18" spans="1:11" x14ac:dyDescent="0.15">
      <c r="A18" s="270"/>
      <c r="B18" s="271"/>
      <c r="C18" s="264"/>
      <c r="D18" s="258"/>
      <c r="E18" s="272"/>
      <c r="F18" s="273"/>
      <c r="G18" s="261"/>
      <c r="H18" s="259"/>
      <c r="I18" s="257"/>
      <c r="J18" s="260"/>
      <c r="K18" s="257"/>
    </row>
    <row r="19" spans="1:11" x14ac:dyDescent="0.15">
      <c r="A19" s="258"/>
      <c r="B19" s="257"/>
      <c r="C19" s="259"/>
      <c r="D19" s="274"/>
      <c r="E19" s="258"/>
      <c r="F19" s="259"/>
      <c r="G19" s="261"/>
      <c r="H19" s="259"/>
      <c r="I19" s="257"/>
      <c r="J19" s="260"/>
      <c r="K19" s="257"/>
    </row>
    <row r="20" spans="1:11" x14ac:dyDescent="0.15">
      <c r="A20" s="258"/>
      <c r="B20" s="257"/>
      <c r="C20" s="259"/>
      <c r="D20" s="274"/>
      <c r="E20" s="258"/>
      <c r="F20" s="259"/>
      <c r="G20" s="261"/>
      <c r="H20" s="259"/>
      <c r="I20" s="257"/>
      <c r="J20" s="260"/>
      <c r="K20" s="257"/>
    </row>
    <row r="21" spans="1:11" x14ac:dyDescent="0.15">
      <c r="A21" s="258"/>
      <c r="B21" s="257"/>
      <c r="C21" s="275"/>
      <c r="D21" s="258"/>
      <c r="E21" s="260"/>
      <c r="F21" s="275"/>
      <c r="G21" s="261"/>
      <c r="H21" s="259"/>
      <c r="I21" s="257"/>
      <c r="J21" s="260"/>
      <c r="K21" s="257"/>
    </row>
    <row r="22" spans="1:11" x14ac:dyDescent="0.15">
      <c r="A22" s="276"/>
      <c r="B22" s="277"/>
      <c r="C22" s="278"/>
      <c r="D22" s="278"/>
      <c r="E22" s="279" t="s">
        <v>18</v>
      </c>
      <c r="F22" s="280">
        <f>SUM(F9:F21)</f>
        <v>70</v>
      </c>
      <c r="G22" s="281">
        <f>SUM(G9:G21)/F22</f>
        <v>1326.6885714285715</v>
      </c>
      <c r="H22" s="282">
        <f>SUM(H9:H21)/F22</f>
        <v>16.185714285714287</v>
      </c>
      <c r="I22" s="283" t="s">
        <v>19</v>
      </c>
      <c r="J22" s="284">
        <v>4.45</v>
      </c>
      <c r="K22" s="277"/>
    </row>
    <row r="23" spans="1:11" x14ac:dyDescent="0.15">
      <c r="E23" s="285"/>
      <c r="F23" s="286"/>
      <c r="I23" s="287" t="s">
        <v>20</v>
      </c>
      <c r="J23" s="288">
        <v>4.75</v>
      </c>
    </row>
    <row r="24" spans="1:11" x14ac:dyDescent="0.15">
      <c r="A24" s="247"/>
      <c r="I24" s="289"/>
      <c r="J24" s="290"/>
    </row>
    <row r="25" spans="1:11" x14ac:dyDescent="0.15">
      <c r="A25" s="291" t="s">
        <v>21</v>
      </c>
      <c r="B25" s="291"/>
      <c r="C25" s="291"/>
      <c r="D25" s="275"/>
      <c r="H25" s="250" t="s">
        <v>22</v>
      </c>
      <c r="I25" s="250"/>
      <c r="J25" s="285">
        <v>70</v>
      </c>
      <c r="K25" s="247" t="s">
        <v>0</v>
      </c>
    </row>
    <row r="26" spans="1:11" x14ac:dyDescent="0.15">
      <c r="A26" s="291" t="s">
        <v>23</v>
      </c>
      <c r="B26" s="291"/>
      <c r="C26" s="291"/>
      <c r="D26" s="275"/>
      <c r="H26" s="250" t="s">
        <v>24</v>
      </c>
      <c r="I26" s="250"/>
      <c r="J26" s="285">
        <v>590</v>
      </c>
      <c r="K26" s="247" t="s">
        <v>0</v>
      </c>
    </row>
    <row r="27" spans="1:11" ht="15" thickBot="1" x14ac:dyDescent="0.2">
      <c r="A27" s="292"/>
      <c r="B27" s="292"/>
      <c r="C27" s="292"/>
      <c r="D27" s="292"/>
      <c r="E27" s="293"/>
      <c r="F27" s="293"/>
      <c r="G27" s="292"/>
      <c r="H27" s="294" t="s">
        <v>25</v>
      </c>
      <c r="I27" s="294"/>
      <c r="J27" s="295">
        <v>31.08</v>
      </c>
      <c r="K27" s="296" t="s">
        <v>2</v>
      </c>
    </row>
    <row r="28" spans="1:11" x14ac:dyDescent="0.15">
      <c r="J28" s="248" t="s">
        <v>1</v>
      </c>
    </row>
    <row r="29" spans="1:11" hidden="1" x14ac:dyDescent="0.15">
      <c r="K29" s="248" t="s">
        <v>103</v>
      </c>
    </row>
    <row r="30" spans="1:11" hidden="1" x14ac:dyDescent="0.15">
      <c r="K30" s="248" t="s">
        <v>77</v>
      </c>
    </row>
    <row r="31" spans="1:11" hidden="1" x14ac:dyDescent="0.15">
      <c r="K31" s="248" t="s">
        <v>81</v>
      </c>
    </row>
    <row r="32" spans="1:11" hidden="1" x14ac:dyDescent="0.15">
      <c r="K32" s="248" t="s">
        <v>85</v>
      </c>
    </row>
    <row r="33" spans="9:11" hidden="1" x14ac:dyDescent="0.15">
      <c r="K33" s="248" t="s">
        <v>84</v>
      </c>
    </row>
    <row r="34" spans="9:11" hidden="1" x14ac:dyDescent="0.15">
      <c r="K34" s="248" t="s">
        <v>92</v>
      </c>
    </row>
    <row r="35" spans="9:11" hidden="1" x14ac:dyDescent="0.15">
      <c r="K35" s="248" t="s">
        <v>82</v>
      </c>
    </row>
    <row r="36" spans="9:11" hidden="1" x14ac:dyDescent="0.15">
      <c r="K36" s="248" t="s">
        <v>86</v>
      </c>
    </row>
    <row r="37" spans="9:11" hidden="1" x14ac:dyDescent="0.15">
      <c r="K37" s="248" t="s">
        <v>80</v>
      </c>
    </row>
    <row r="38" spans="9:11" hidden="1" x14ac:dyDescent="0.15">
      <c r="K38" s="248" t="s">
        <v>87</v>
      </c>
    </row>
    <row r="39" spans="9:11" hidden="1" x14ac:dyDescent="0.15">
      <c r="K39" s="248" t="s">
        <v>65</v>
      </c>
    </row>
    <row r="40" spans="9:11" hidden="1" x14ac:dyDescent="0.15">
      <c r="K40" s="248" t="s">
        <v>89</v>
      </c>
    </row>
    <row r="41" spans="9:11" ht="30" hidden="1" x14ac:dyDescent="0.15">
      <c r="I41" s="297" t="s">
        <v>26</v>
      </c>
      <c r="K41" s="248" t="s">
        <v>90</v>
      </c>
    </row>
    <row r="42" spans="9:11" ht="15" hidden="1" x14ac:dyDescent="0.15">
      <c r="I42" s="297" t="s">
        <v>27</v>
      </c>
      <c r="K42" s="248" t="s">
        <v>93</v>
      </c>
    </row>
    <row r="43" spans="9:11" hidden="1" x14ac:dyDescent="0.15">
      <c r="I43" s="298" t="s">
        <v>28</v>
      </c>
      <c r="K43" s="248" t="s">
        <v>104</v>
      </c>
    </row>
    <row r="44" spans="9:11" hidden="1" x14ac:dyDescent="0.15">
      <c r="I44" s="248" t="s">
        <v>29</v>
      </c>
      <c r="K44" s="248" t="s">
        <v>94</v>
      </c>
    </row>
    <row r="45" spans="9:11" hidden="1" x14ac:dyDescent="0.15">
      <c r="I45" s="248" t="s">
        <v>30</v>
      </c>
      <c r="K45" s="248" t="s">
        <v>95</v>
      </c>
    </row>
    <row r="46" spans="9:11" hidden="1" x14ac:dyDescent="0.15">
      <c r="I46" s="248" t="s">
        <v>34</v>
      </c>
      <c r="K46" s="248" t="s">
        <v>78</v>
      </c>
    </row>
    <row r="47" spans="9:11" hidden="1" x14ac:dyDescent="0.15">
      <c r="I47" s="248" t="s">
        <v>35</v>
      </c>
      <c r="K47" s="248" t="s">
        <v>83</v>
      </c>
    </row>
    <row r="48" spans="9:11" hidden="1" x14ac:dyDescent="0.15">
      <c r="I48" s="248" t="s">
        <v>31</v>
      </c>
      <c r="K48" s="248" t="s">
        <v>57</v>
      </c>
    </row>
    <row r="49" spans="9:11" hidden="1" x14ac:dyDescent="0.15">
      <c r="I49" s="248" t="s">
        <v>32</v>
      </c>
      <c r="K49" s="248" t="s">
        <v>67</v>
      </c>
    </row>
    <row r="50" spans="9:11" hidden="1" x14ac:dyDescent="0.15">
      <c r="I50" s="248" t="s">
        <v>33</v>
      </c>
      <c r="K50" s="248" t="s">
        <v>73</v>
      </c>
    </row>
    <row r="51" spans="9:11" hidden="1" x14ac:dyDescent="0.15">
      <c r="K51" s="248" t="s">
        <v>68</v>
      </c>
    </row>
    <row r="52" spans="9:11" hidden="1" x14ac:dyDescent="0.15">
      <c r="K52" s="248" t="s">
        <v>56</v>
      </c>
    </row>
    <row r="53" spans="9:11" hidden="1" x14ac:dyDescent="0.15">
      <c r="K53" s="248" t="s">
        <v>52</v>
      </c>
    </row>
    <row r="54" spans="9:11" hidden="1" x14ac:dyDescent="0.15">
      <c r="K54" s="248" t="s">
        <v>91</v>
      </c>
    </row>
    <row r="55" spans="9:11" hidden="1" x14ac:dyDescent="0.15">
      <c r="K55" s="248" t="s">
        <v>96</v>
      </c>
    </row>
    <row r="56" spans="9:11" hidden="1" x14ac:dyDescent="0.15">
      <c r="K56" s="248" t="s">
        <v>105</v>
      </c>
    </row>
    <row r="57" spans="9:11" hidden="1" x14ac:dyDescent="0.15">
      <c r="K57" s="248" t="s">
        <v>55</v>
      </c>
    </row>
    <row r="58" spans="9:11" hidden="1" x14ac:dyDescent="0.15">
      <c r="K58" s="248" t="s">
        <v>53</v>
      </c>
    </row>
    <row r="59" spans="9:11" hidden="1" x14ac:dyDescent="0.15">
      <c r="K59" s="248" t="s">
        <v>54</v>
      </c>
    </row>
    <row r="60" spans="9:11" hidden="1" x14ac:dyDescent="0.15">
      <c r="K60" s="248" t="s">
        <v>66</v>
      </c>
    </row>
    <row r="61" spans="9:11" hidden="1" x14ac:dyDescent="0.15">
      <c r="K61" s="248" t="s">
        <v>70</v>
      </c>
    </row>
    <row r="62" spans="9:11" hidden="1" x14ac:dyDescent="0.15">
      <c r="K62" s="248" t="s">
        <v>71</v>
      </c>
    </row>
    <row r="63" spans="9:11" hidden="1" x14ac:dyDescent="0.15">
      <c r="K63" s="248" t="s">
        <v>105</v>
      </c>
    </row>
    <row r="64" spans="9:11" hidden="1" x14ac:dyDescent="0.15">
      <c r="K64" s="248" t="s">
        <v>64</v>
      </c>
    </row>
    <row r="65" spans="11:11" hidden="1" x14ac:dyDescent="0.15">
      <c r="K65" s="248" t="s">
        <v>63</v>
      </c>
    </row>
    <row r="66" spans="11:11" hidden="1" x14ac:dyDescent="0.15">
      <c r="K66" s="248" t="s">
        <v>62</v>
      </c>
    </row>
    <row r="67" spans="11:11" hidden="1" x14ac:dyDescent="0.15">
      <c r="K67" s="248" t="s">
        <v>51</v>
      </c>
    </row>
    <row r="68" spans="11:11" hidden="1" x14ac:dyDescent="0.15">
      <c r="K68" s="248" t="s">
        <v>61</v>
      </c>
    </row>
    <row r="69" spans="11:11" hidden="1" x14ac:dyDescent="0.15">
      <c r="K69" s="248" t="s">
        <v>72</v>
      </c>
    </row>
    <row r="70" spans="11:11" hidden="1" x14ac:dyDescent="0.15">
      <c r="K70" s="248" t="s">
        <v>69</v>
      </c>
    </row>
    <row r="71" spans="11:11" hidden="1" x14ac:dyDescent="0.15">
      <c r="K71" s="248" t="s">
        <v>106</v>
      </c>
    </row>
    <row r="72" spans="11:11" hidden="1" x14ac:dyDescent="0.15">
      <c r="K72" s="248" t="s">
        <v>74</v>
      </c>
    </row>
    <row r="73" spans="11:11" hidden="1" x14ac:dyDescent="0.15">
      <c r="K73" s="248" t="s">
        <v>97</v>
      </c>
    </row>
    <row r="74" spans="11:11" hidden="1" x14ac:dyDescent="0.15">
      <c r="K74" s="248" t="s">
        <v>98</v>
      </c>
    </row>
    <row r="75" spans="11:11" hidden="1" x14ac:dyDescent="0.15">
      <c r="K75" s="248" t="s">
        <v>99</v>
      </c>
    </row>
    <row r="76" spans="11:11" hidden="1" x14ac:dyDescent="0.15">
      <c r="K76" s="248" t="s">
        <v>79</v>
      </c>
    </row>
    <row r="77" spans="11:11" hidden="1" x14ac:dyDescent="0.15">
      <c r="K77" s="248" t="s">
        <v>100</v>
      </c>
    </row>
    <row r="78" spans="11:11" hidden="1" x14ac:dyDescent="0.15">
      <c r="K78" s="248" t="s">
        <v>88</v>
      </c>
    </row>
    <row r="79" spans="11:11" hidden="1" x14ac:dyDescent="0.15">
      <c r="K79" s="248" t="s">
        <v>60</v>
      </c>
    </row>
    <row r="80" spans="11:11" hidden="1" x14ac:dyDescent="0.15">
      <c r="K80" s="248" t="s">
        <v>75</v>
      </c>
    </row>
    <row r="81" spans="11:11" hidden="1" x14ac:dyDescent="0.15">
      <c r="K81" s="248" t="s">
        <v>76</v>
      </c>
    </row>
    <row r="82" spans="11:11" hidden="1" x14ac:dyDescent="0.15">
      <c r="K82" s="248" t="s">
        <v>101</v>
      </c>
    </row>
    <row r="83" spans="11:11" hidden="1" x14ac:dyDescent="0.15">
      <c r="K83" s="248" t="s">
        <v>59</v>
      </c>
    </row>
    <row r="84" spans="11:11" hidden="1" x14ac:dyDescent="0.15">
      <c r="K84" s="248" t="s">
        <v>58</v>
      </c>
    </row>
    <row r="85" spans="11:11" hidden="1" x14ac:dyDescent="0.15">
      <c r="K85" s="248" t="s">
        <v>104</v>
      </c>
    </row>
  </sheetData>
  <dataValidations count="3">
    <dataValidation type="list" allowBlank="1" showInputMessage="1" showErrorMessage="1" sqref="I50 K15:K21" xr:uid="{0569FD07-4E34-4959-B693-A7A9C5A510D6}">
      <formula1>$I$41:$I$50</formula1>
    </dataValidation>
    <dataValidation type="list" allowBlank="1" showInputMessage="1" showErrorMessage="1" sqref="B20:B21" xr:uid="{9F155C65-45BD-4B4C-8BD1-3E00115D1C1A}">
      <formula1>$K$29:$K$40</formula1>
    </dataValidation>
    <dataValidation type="list" allowBlank="1" showInputMessage="1" showErrorMessage="1" sqref="B16:B19" xr:uid="{402A87FC-016D-4F15-A9F2-6C9F15FDF1FF}">
      <formula1>$K$29:$K$85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4CEA-F288-414D-B28D-8177F72CC87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48" customWidth="1"/>
    <col min="2" max="2" width="22.5" style="248" customWidth="1"/>
    <col min="3" max="3" width="6.1640625" style="248" customWidth="1"/>
    <col min="4" max="4" width="12.5" style="248" bestFit="1" customWidth="1"/>
    <col min="5" max="5" width="9.83203125" style="248" customWidth="1"/>
    <col min="6" max="6" width="9.33203125" style="248" bestFit="1" customWidth="1"/>
    <col min="7" max="7" width="8.6640625" style="248" customWidth="1"/>
    <col min="8" max="8" width="9.5" style="248" bestFit="1" customWidth="1"/>
    <col min="9" max="9" width="17.83203125" style="248" bestFit="1" customWidth="1"/>
    <col min="10" max="10" width="10.33203125" style="248" bestFit="1" customWidth="1"/>
    <col min="11" max="11" width="49.6640625" style="248" bestFit="1" customWidth="1"/>
    <col min="12" max="16384" width="9.1640625" style="248"/>
  </cols>
  <sheetData>
    <row r="1" spans="1:11" x14ac:dyDescent="0.15">
      <c r="A1" s="247" t="s">
        <v>126</v>
      </c>
      <c r="I1" s="249"/>
    </row>
    <row r="2" spans="1:11" x14ac:dyDescent="0.15">
      <c r="J2" s="250"/>
    </row>
    <row r="3" spans="1:11" x14ac:dyDescent="0.15">
      <c r="A3" s="249" t="s">
        <v>127</v>
      </c>
      <c r="I3" s="247"/>
      <c r="J3" s="247"/>
    </row>
    <row r="4" spans="1:11" x14ac:dyDescent="0.15">
      <c r="A4" s="249"/>
      <c r="I4" s="250" t="s">
        <v>5</v>
      </c>
      <c r="J4" s="251">
        <v>45901</v>
      </c>
    </row>
    <row r="5" spans="1:11" x14ac:dyDescent="0.15">
      <c r="J5" s="248" t="s">
        <v>1</v>
      </c>
    </row>
    <row r="6" spans="1:11" ht="30" x14ac:dyDescent="0.15">
      <c r="A6" s="252" t="s">
        <v>6</v>
      </c>
      <c r="B6" s="252" t="s">
        <v>7</v>
      </c>
      <c r="C6" s="252" t="s">
        <v>8</v>
      </c>
      <c r="D6" s="252" t="s">
        <v>9</v>
      </c>
      <c r="E6" s="252" t="s">
        <v>10</v>
      </c>
      <c r="F6" s="252" t="s">
        <v>11</v>
      </c>
      <c r="G6" s="253" t="s">
        <v>12</v>
      </c>
      <c r="H6" s="253" t="s">
        <v>3</v>
      </c>
      <c r="I6" s="253" t="s">
        <v>13</v>
      </c>
      <c r="J6" s="254"/>
      <c r="K6" s="252" t="s">
        <v>14</v>
      </c>
    </row>
    <row r="7" spans="1:11" ht="30" x14ac:dyDescent="0.15">
      <c r="A7" s="253"/>
      <c r="B7" s="255"/>
      <c r="C7" s="252"/>
      <c r="D7" s="252" t="s">
        <v>4</v>
      </c>
      <c r="E7" s="252" t="s">
        <v>15</v>
      </c>
      <c r="F7" s="256" t="s">
        <v>0</v>
      </c>
      <c r="G7" s="256" t="s">
        <v>15</v>
      </c>
      <c r="H7" s="256" t="s">
        <v>102</v>
      </c>
      <c r="I7" s="252" t="s">
        <v>16</v>
      </c>
      <c r="J7" s="256" t="s">
        <v>17</v>
      </c>
      <c r="K7" s="256"/>
    </row>
    <row r="8" spans="1:11" x14ac:dyDescent="0.15">
      <c r="A8" s="257"/>
      <c r="B8" s="258"/>
      <c r="C8" s="259"/>
      <c r="D8" s="258"/>
      <c r="E8" s="258"/>
      <c r="F8" s="257"/>
      <c r="G8" s="257"/>
      <c r="H8" s="257"/>
      <c r="I8" s="257"/>
      <c r="J8" s="260"/>
      <c r="K8" s="257"/>
    </row>
    <row r="9" spans="1:11" ht="15" x14ac:dyDescent="0.15">
      <c r="A9" s="299">
        <v>1</v>
      </c>
      <c r="B9" s="300" t="s">
        <v>137</v>
      </c>
      <c r="C9" s="301">
        <v>14</v>
      </c>
      <c r="D9" s="258">
        <v>2.85</v>
      </c>
      <c r="E9" s="265">
        <v>1435</v>
      </c>
      <c r="F9" s="302">
        <v>5.5</v>
      </c>
      <c r="G9" s="261">
        <f>E9*F9</f>
        <v>7892.5</v>
      </c>
      <c r="H9" s="259">
        <f>F9*C9</f>
        <v>77</v>
      </c>
      <c r="I9" s="303" t="s">
        <v>131</v>
      </c>
      <c r="J9" s="304">
        <v>1.3888888888888888E-2</v>
      </c>
      <c r="K9" s="305" t="s">
        <v>132</v>
      </c>
    </row>
    <row r="10" spans="1:11" ht="15" x14ac:dyDescent="0.15">
      <c r="A10" s="306">
        <v>2</v>
      </c>
      <c r="B10" s="307" t="s">
        <v>137</v>
      </c>
      <c r="C10" s="264">
        <v>15</v>
      </c>
      <c r="D10" s="258">
        <v>2.85</v>
      </c>
      <c r="E10" s="269">
        <v>1485</v>
      </c>
      <c r="F10" s="308">
        <v>38.5</v>
      </c>
      <c r="G10" s="261">
        <f>E10*F10</f>
        <v>57172.5</v>
      </c>
      <c r="H10" s="259">
        <f>F10*C10</f>
        <v>577.5</v>
      </c>
      <c r="I10" s="309" t="s">
        <v>27</v>
      </c>
      <c r="J10" s="310">
        <v>6.9444444444444441E-3</v>
      </c>
      <c r="K10" s="311" t="s">
        <v>27</v>
      </c>
    </row>
    <row r="11" spans="1:11" ht="15" x14ac:dyDescent="0.15">
      <c r="A11" s="306">
        <v>3</v>
      </c>
      <c r="B11" s="307" t="s">
        <v>137</v>
      </c>
      <c r="C11" s="264">
        <v>17</v>
      </c>
      <c r="D11" s="258">
        <v>2.85</v>
      </c>
      <c r="E11" s="269">
        <v>1435</v>
      </c>
      <c r="F11" s="312">
        <v>11</v>
      </c>
      <c r="G11" s="261">
        <f t="shared" ref="G11" si="0">E11*F11</f>
        <v>15785</v>
      </c>
      <c r="H11" s="259">
        <f t="shared" ref="H11" si="1">F11*C11</f>
        <v>187</v>
      </c>
      <c r="I11" s="316" t="s">
        <v>134</v>
      </c>
      <c r="J11" s="317">
        <v>1.7361111111111112E-2</v>
      </c>
      <c r="K11" s="318" t="s">
        <v>134</v>
      </c>
    </row>
    <row r="12" spans="1:11" x14ac:dyDescent="0.15">
      <c r="A12" s="306"/>
      <c r="B12" s="309"/>
      <c r="C12" s="313"/>
      <c r="D12" s="258"/>
      <c r="E12" s="265"/>
      <c r="F12" s="302"/>
      <c r="G12" s="261"/>
      <c r="H12" s="259"/>
      <c r="I12" s="309" t="s">
        <v>149</v>
      </c>
      <c r="J12" s="310">
        <v>0.33333333333333331</v>
      </c>
      <c r="K12" s="311" t="s">
        <v>173</v>
      </c>
    </row>
    <row r="13" spans="1:11" x14ac:dyDescent="0.15">
      <c r="A13" s="306"/>
      <c r="B13" s="309"/>
      <c r="C13" s="314"/>
      <c r="D13" s="258"/>
      <c r="E13" s="269"/>
      <c r="F13" s="315"/>
      <c r="G13" s="261"/>
      <c r="H13" s="259"/>
      <c r="I13" s="316"/>
      <c r="J13" s="317"/>
      <c r="K13" s="318"/>
    </row>
    <row r="14" spans="1:11" x14ac:dyDescent="0.15">
      <c r="A14" s="319"/>
      <c r="B14" s="316"/>
      <c r="C14" s="320"/>
      <c r="D14" s="258"/>
      <c r="E14" s="269"/>
      <c r="F14" s="321"/>
      <c r="G14" s="261"/>
      <c r="H14" s="259"/>
      <c r="I14" s="316"/>
      <c r="J14" s="317"/>
      <c r="K14" s="318"/>
    </row>
    <row r="15" spans="1:11" x14ac:dyDescent="0.15">
      <c r="A15" s="262"/>
      <c r="B15" s="263"/>
      <c r="C15" s="264"/>
      <c r="D15" s="258"/>
      <c r="E15" s="265"/>
      <c r="F15" s="264"/>
      <c r="G15" s="261"/>
      <c r="H15" s="259"/>
      <c r="I15" s="266"/>
      <c r="J15" s="267"/>
      <c r="K15" s="268"/>
    </row>
    <row r="16" spans="1:11" x14ac:dyDescent="0.15">
      <c r="A16" s="262"/>
      <c r="B16" s="263"/>
      <c r="C16" s="264"/>
      <c r="D16" s="258"/>
      <c r="E16" s="269"/>
      <c r="F16" s="264"/>
      <c r="G16" s="261"/>
      <c r="H16" s="259"/>
      <c r="I16" s="266"/>
      <c r="J16" s="267"/>
      <c r="K16" s="268"/>
    </row>
    <row r="17" spans="1:11" x14ac:dyDescent="0.15">
      <c r="A17" s="262"/>
      <c r="B17" s="263"/>
      <c r="C17" s="264"/>
      <c r="D17" s="258"/>
      <c r="E17" s="269"/>
      <c r="F17" s="264"/>
      <c r="G17" s="261"/>
      <c r="H17" s="259"/>
      <c r="I17" s="266"/>
      <c r="J17" s="267"/>
      <c r="K17" s="268"/>
    </row>
    <row r="18" spans="1:11" x14ac:dyDescent="0.15">
      <c r="A18" s="270"/>
      <c r="B18" s="271"/>
      <c r="C18" s="264"/>
      <c r="D18" s="258"/>
      <c r="E18" s="272"/>
      <c r="F18" s="273"/>
      <c r="G18" s="261"/>
      <c r="H18" s="259"/>
      <c r="I18" s="257"/>
      <c r="J18" s="260"/>
      <c r="K18" s="257"/>
    </row>
    <row r="19" spans="1:11" x14ac:dyDescent="0.15">
      <c r="A19" s="258"/>
      <c r="B19" s="257"/>
      <c r="C19" s="259"/>
      <c r="D19" s="274"/>
      <c r="E19" s="258"/>
      <c r="F19" s="259"/>
      <c r="G19" s="261"/>
      <c r="H19" s="259"/>
      <c r="I19" s="257"/>
      <c r="J19" s="260"/>
      <c r="K19" s="257"/>
    </row>
    <row r="20" spans="1:11" x14ac:dyDescent="0.15">
      <c r="A20" s="258"/>
      <c r="B20" s="257"/>
      <c r="C20" s="259"/>
      <c r="D20" s="274"/>
      <c r="E20" s="258"/>
      <c r="F20" s="259"/>
      <c r="G20" s="261"/>
      <c r="H20" s="259"/>
      <c r="I20" s="257"/>
      <c r="J20" s="260"/>
      <c r="K20" s="257"/>
    </row>
    <row r="21" spans="1:11" x14ac:dyDescent="0.15">
      <c r="A21" s="258"/>
      <c r="B21" s="257"/>
      <c r="C21" s="275"/>
      <c r="D21" s="258"/>
      <c r="E21" s="260"/>
      <c r="F21" s="275"/>
      <c r="G21" s="261"/>
      <c r="H21" s="259"/>
      <c r="I21" s="257"/>
      <c r="J21" s="260"/>
      <c r="K21" s="257"/>
    </row>
    <row r="22" spans="1:11" x14ac:dyDescent="0.15">
      <c r="A22" s="276"/>
      <c r="B22" s="277"/>
      <c r="C22" s="278"/>
      <c r="D22" s="278"/>
      <c r="E22" s="279" t="s">
        <v>18</v>
      </c>
      <c r="F22" s="280">
        <f>SUM(F9:F21)</f>
        <v>55</v>
      </c>
      <c r="G22" s="281">
        <f>SUM(G9:G21)/F22</f>
        <v>1470</v>
      </c>
      <c r="H22" s="282">
        <f>SUM(H9:H21)/F22</f>
        <v>15.3</v>
      </c>
      <c r="I22" s="283" t="s">
        <v>19</v>
      </c>
      <c r="J22" s="284">
        <v>8.5500000000000007</v>
      </c>
      <c r="K22" s="277"/>
    </row>
    <row r="23" spans="1:11" x14ac:dyDescent="0.15">
      <c r="E23" s="285"/>
      <c r="F23" s="286"/>
      <c r="I23" s="287" t="s">
        <v>20</v>
      </c>
      <c r="J23" s="288">
        <v>8.92</v>
      </c>
    </row>
    <row r="24" spans="1:11" x14ac:dyDescent="0.15">
      <c r="A24" s="247"/>
      <c r="I24" s="289"/>
      <c r="J24" s="290"/>
    </row>
    <row r="25" spans="1:11" x14ac:dyDescent="0.15">
      <c r="A25" s="291" t="s">
        <v>21</v>
      </c>
      <c r="B25" s="291"/>
      <c r="C25" s="291"/>
      <c r="D25" s="275"/>
      <c r="H25" s="250" t="s">
        <v>22</v>
      </c>
      <c r="I25" s="250"/>
      <c r="J25" s="285">
        <v>55</v>
      </c>
      <c r="K25" s="247" t="s">
        <v>0</v>
      </c>
    </row>
    <row r="26" spans="1:11" x14ac:dyDescent="0.15">
      <c r="A26" s="291" t="s">
        <v>23</v>
      </c>
      <c r="B26" s="291"/>
      <c r="C26" s="291"/>
      <c r="D26" s="275"/>
      <c r="H26" s="250" t="s">
        <v>24</v>
      </c>
      <c r="I26" s="250"/>
      <c r="J26" s="285">
        <v>645</v>
      </c>
      <c r="K26" s="247" t="s">
        <v>0</v>
      </c>
    </row>
    <row r="27" spans="1:11" ht="15" thickBot="1" x14ac:dyDescent="0.2">
      <c r="A27" s="292"/>
      <c r="B27" s="292"/>
      <c r="C27" s="292"/>
      <c r="D27" s="292"/>
      <c r="E27" s="293"/>
      <c r="F27" s="293"/>
      <c r="G27" s="292"/>
      <c r="H27" s="294" t="s">
        <v>25</v>
      </c>
      <c r="I27" s="294"/>
      <c r="J27" s="295">
        <v>40</v>
      </c>
      <c r="K27" s="296" t="s">
        <v>2</v>
      </c>
    </row>
    <row r="28" spans="1:11" x14ac:dyDescent="0.15">
      <c r="J28" s="248" t="s">
        <v>1</v>
      </c>
    </row>
    <row r="29" spans="1:11" hidden="1" x14ac:dyDescent="0.15">
      <c r="K29" s="248" t="s">
        <v>103</v>
      </c>
    </row>
    <row r="30" spans="1:11" hidden="1" x14ac:dyDescent="0.15">
      <c r="K30" s="248" t="s">
        <v>77</v>
      </c>
    </row>
    <row r="31" spans="1:11" hidden="1" x14ac:dyDescent="0.15">
      <c r="K31" s="248" t="s">
        <v>81</v>
      </c>
    </row>
    <row r="32" spans="1:11" hidden="1" x14ac:dyDescent="0.15">
      <c r="K32" s="248" t="s">
        <v>85</v>
      </c>
    </row>
    <row r="33" spans="9:11" hidden="1" x14ac:dyDescent="0.15">
      <c r="K33" s="248" t="s">
        <v>84</v>
      </c>
    </row>
    <row r="34" spans="9:11" hidden="1" x14ac:dyDescent="0.15">
      <c r="K34" s="248" t="s">
        <v>92</v>
      </c>
    </row>
    <row r="35" spans="9:11" hidden="1" x14ac:dyDescent="0.15">
      <c r="K35" s="248" t="s">
        <v>82</v>
      </c>
    </row>
    <row r="36" spans="9:11" hidden="1" x14ac:dyDescent="0.15">
      <c r="K36" s="248" t="s">
        <v>86</v>
      </c>
    </row>
    <row r="37" spans="9:11" hidden="1" x14ac:dyDescent="0.15">
      <c r="K37" s="248" t="s">
        <v>80</v>
      </c>
    </row>
    <row r="38" spans="9:11" hidden="1" x14ac:dyDescent="0.15">
      <c r="K38" s="248" t="s">
        <v>87</v>
      </c>
    </row>
    <row r="39" spans="9:11" hidden="1" x14ac:dyDescent="0.15">
      <c r="K39" s="248" t="s">
        <v>65</v>
      </c>
    </row>
    <row r="40" spans="9:11" hidden="1" x14ac:dyDescent="0.15">
      <c r="K40" s="248" t="s">
        <v>89</v>
      </c>
    </row>
    <row r="41" spans="9:11" ht="30" hidden="1" x14ac:dyDescent="0.15">
      <c r="I41" s="297" t="s">
        <v>26</v>
      </c>
      <c r="K41" s="248" t="s">
        <v>90</v>
      </c>
    </row>
    <row r="42" spans="9:11" ht="15" hidden="1" x14ac:dyDescent="0.15">
      <c r="I42" s="297" t="s">
        <v>27</v>
      </c>
      <c r="K42" s="248" t="s">
        <v>93</v>
      </c>
    </row>
    <row r="43" spans="9:11" hidden="1" x14ac:dyDescent="0.15">
      <c r="I43" s="298" t="s">
        <v>28</v>
      </c>
      <c r="K43" s="248" t="s">
        <v>104</v>
      </c>
    </row>
    <row r="44" spans="9:11" hidden="1" x14ac:dyDescent="0.15">
      <c r="I44" s="248" t="s">
        <v>29</v>
      </c>
      <c r="K44" s="248" t="s">
        <v>94</v>
      </c>
    </row>
    <row r="45" spans="9:11" hidden="1" x14ac:dyDescent="0.15">
      <c r="I45" s="248" t="s">
        <v>30</v>
      </c>
      <c r="K45" s="248" t="s">
        <v>95</v>
      </c>
    </row>
    <row r="46" spans="9:11" hidden="1" x14ac:dyDescent="0.15">
      <c r="I46" s="248" t="s">
        <v>34</v>
      </c>
      <c r="K46" s="248" t="s">
        <v>78</v>
      </c>
    </row>
    <row r="47" spans="9:11" hidden="1" x14ac:dyDescent="0.15">
      <c r="I47" s="248" t="s">
        <v>35</v>
      </c>
      <c r="K47" s="248" t="s">
        <v>83</v>
      </c>
    </row>
    <row r="48" spans="9:11" hidden="1" x14ac:dyDescent="0.15">
      <c r="I48" s="248" t="s">
        <v>31</v>
      </c>
      <c r="K48" s="248" t="s">
        <v>57</v>
      </c>
    </row>
    <row r="49" spans="9:11" hidden="1" x14ac:dyDescent="0.15">
      <c r="I49" s="248" t="s">
        <v>32</v>
      </c>
      <c r="K49" s="248" t="s">
        <v>67</v>
      </c>
    </row>
    <row r="50" spans="9:11" hidden="1" x14ac:dyDescent="0.15">
      <c r="I50" s="248" t="s">
        <v>33</v>
      </c>
      <c r="K50" s="248" t="s">
        <v>73</v>
      </c>
    </row>
    <row r="51" spans="9:11" hidden="1" x14ac:dyDescent="0.15">
      <c r="K51" s="248" t="s">
        <v>68</v>
      </c>
    </row>
    <row r="52" spans="9:11" hidden="1" x14ac:dyDescent="0.15">
      <c r="K52" s="248" t="s">
        <v>56</v>
      </c>
    </row>
    <row r="53" spans="9:11" hidden="1" x14ac:dyDescent="0.15">
      <c r="K53" s="248" t="s">
        <v>52</v>
      </c>
    </row>
    <row r="54" spans="9:11" hidden="1" x14ac:dyDescent="0.15">
      <c r="K54" s="248" t="s">
        <v>91</v>
      </c>
    </row>
    <row r="55" spans="9:11" hidden="1" x14ac:dyDescent="0.15">
      <c r="K55" s="248" t="s">
        <v>96</v>
      </c>
    </row>
    <row r="56" spans="9:11" hidden="1" x14ac:dyDescent="0.15">
      <c r="K56" s="248" t="s">
        <v>105</v>
      </c>
    </row>
    <row r="57" spans="9:11" hidden="1" x14ac:dyDescent="0.15">
      <c r="K57" s="248" t="s">
        <v>55</v>
      </c>
    </row>
    <row r="58" spans="9:11" hidden="1" x14ac:dyDescent="0.15">
      <c r="K58" s="248" t="s">
        <v>53</v>
      </c>
    </row>
    <row r="59" spans="9:11" hidden="1" x14ac:dyDescent="0.15">
      <c r="K59" s="248" t="s">
        <v>54</v>
      </c>
    </row>
    <row r="60" spans="9:11" hidden="1" x14ac:dyDescent="0.15">
      <c r="K60" s="248" t="s">
        <v>66</v>
      </c>
    </row>
    <row r="61" spans="9:11" hidden="1" x14ac:dyDescent="0.15">
      <c r="K61" s="248" t="s">
        <v>70</v>
      </c>
    </row>
    <row r="62" spans="9:11" hidden="1" x14ac:dyDescent="0.15">
      <c r="K62" s="248" t="s">
        <v>71</v>
      </c>
    </row>
    <row r="63" spans="9:11" hidden="1" x14ac:dyDescent="0.15">
      <c r="K63" s="248" t="s">
        <v>105</v>
      </c>
    </row>
    <row r="64" spans="9:11" hidden="1" x14ac:dyDescent="0.15">
      <c r="K64" s="248" t="s">
        <v>64</v>
      </c>
    </row>
    <row r="65" spans="11:11" hidden="1" x14ac:dyDescent="0.15">
      <c r="K65" s="248" t="s">
        <v>63</v>
      </c>
    </row>
    <row r="66" spans="11:11" hidden="1" x14ac:dyDescent="0.15">
      <c r="K66" s="248" t="s">
        <v>62</v>
      </c>
    </row>
    <row r="67" spans="11:11" hidden="1" x14ac:dyDescent="0.15">
      <c r="K67" s="248" t="s">
        <v>51</v>
      </c>
    </row>
    <row r="68" spans="11:11" hidden="1" x14ac:dyDescent="0.15">
      <c r="K68" s="248" t="s">
        <v>61</v>
      </c>
    </row>
    <row r="69" spans="11:11" hidden="1" x14ac:dyDescent="0.15">
      <c r="K69" s="248" t="s">
        <v>72</v>
      </c>
    </row>
    <row r="70" spans="11:11" hidden="1" x14ac:dyDescent="0.15">
      <c r="K70" s="248" t="s">
        <v>69</v>
      </c>
    </row>
    <row r="71" spans="11:11" hidden="1" x14ac:dyDescent="0.15">
      <c r="K71" s="248" t="s">
        <v>106</v>
      </c>
    </row>
    <row r="72" spans="11:11" hidden="1" x14ac:dyDescent="0.15">
      <c r="K72" s="248" t="s">
        <v>74</v>
      </c>
    </row>
    <row r="73" spans="11:11" hidden="1" x14ac:dyDescent="0.15">
      <c r="K73" s="248" t="s">
        <v>97</v>
      </c>
    </row>
    <row r="74" spans="11:11" hidden="1" x14ac:dyDescent="0.15">
      <c r="K74" s="248" t="s">
        <v>98</v>
      </c>
    </row>
    <row r="75" spans="11:11" hidden="1" x14ac:dyDescent="0.15">
      <c r="K75" s="248" t="s">
        <v>99</v>
      </c>
    </row>
    <row r="76" spans="11:11" hidden="1" x14ac:dyDescent="0.15">
      <c r="K76" s="248" t="s">
        <v>79</v>
      </c>
    </row>
    <row r="77" spans="11:11" hidden="1" x14ac:dyDescent="0.15">
      <c r="K77" s="248" t="s">
        <v>100</v>
      </c>
    </row>
    <row r="78" spans="11:11" hidden="1" x14ac:dyDescent="0.15">
      <c r="K78" s="248" t="s">
        <v>88</v>
      </c>
    </row>
    <row r="79" spans="11:11" hidden="1" x14ac:dyDescent="0.15">
      <c r="K79" s="248" t="s">
        <v>60</v>
      </c>
    </row>
    <row r="80" spans="11:11" hidden="1" x14ac:dyDescent="0.15">
      <c r="K80" s="248" t="s">
        <v>75</v>
      </c>
    </row>
    <row r="81" spans="11:11" hidden="1" x14ac:dyDescent="0.15">
      <c r="K81" s="248" t="s">
        <v>76</v>
      </c>
    </row>
    <row r="82" spans="11:11" hidden="1" x14ac:dyDescent="0.15">
      <c r="K82" s="248" t="s">
        <v>101</v>
      </c>
    </row>
    <row r="83" spans="11:11" hidden="1" x14ac:dyDescent="0.15">
      <c r="K83" s="248" t="s">
        <v>59</v>
      </c>
    </row>
    <row r="84" spans="11:11" hidden="1" x14ac:dyDescent="0.15">
      <c r="K84" s="248" t="s">
        <v>58</v>
      </c>
    </row>
    <row r="85" spans="11:11" hidden="1" x14ac:dyDescent="0.15">
      <c r="K85" s="248" t="s">
        <v>104</v>
      </c>
    </row>
  </sheetData>
  <dataValidations count="3">
    <dataValidation type="list" allowBlank="1" showInputMessage="1" showErrorMessage="1" sqref="B16:B19" xr:uid="{125710EA-F01E-4808-A8E0-973533A89B43}">
      <formula1>$K$29:$K$85</formula1>
    </dataValidation>
    <dataValidation type="list" allowBlank="1" showInputMessage="1" showErrorMessage="1" sqref="B20:B21" xr:uid="{FA7EB655-8FA8-473F-8B0A-19B23C85D1BF}">
      <formula1>$K$29:$K$40</formula1>
    </dataValidation>
    <dataValidation type="list" allowBlank="1" showInputMessage="1" showErrorMessage="1" sqref="I50 K15:K21" xr:uid="{7AFC1A84-273D-4B6C-9833-1BC74DB1C85E}">
      <formula1>$I$41:$I$50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28C4-CFA1-4853-914B-155959A21D58}">
  <dimension ref="A1:K85"/>
  <sheetViews>
    <sheetView workbookViewId="0">
      <selection activeCell="D23" sqref="D23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45667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5" x14ac:dyDescent="0.15">
      <c r="A9" s="103">
        <v>1</v>
      </c>
      <c r="B9" s="104" t="s">
        <v>137</v>
      </c>
      <c r="C9" s="105">
        <v>15</v>
      </c>
      <c r="D9" s="100">
        <v>2.85</v>
      </c>
      <c r="E9" s="106">
        <v>1476</v>
      </c>
      <c r="F9" s="107">
        <v>3</v>
      </c>
      <c r="G9" s="108">
        <f>E9*F9</f>
        <v>4428</v>
      </c>
      <c r="H9" s="101">
        <f>F9*C9</f>
        <v>45</v>
      </c>
      <c r="I9" s="117" t="s">
        <v>149</v>
      </c>
      <c r="J9" s="118">
        <v>23</v>
      </c>
      <c r="K9" s="119" t="s">
        <v>173</v>
      </c>
    </row>
    <row r="10" spans="1:11" x14ac:dyDescent="0.15">
      <c r="A10" s="112"/>
      <c r="B10" s="113"/>
      <c r="C10" s="114"/>
      <c r="D10" s="100"/>
      <c r="E10" s="115"/>
      <c r="F10" s="116"/>
      <c r="G10" s="108"/>
      <c r="H10" s="101"/>
      <c r="I10" s="117"/>
      <c r="J10" s="118"/>
      <c r="K10" s="119"/>
    </row>
    <row r="11" spans="1:11" x14ac:dyDescent="0.15">
      <c r="A11" s="112"/>
      <c r="B11" s="113"/>
      <c r="C11" s="114"/>
      <c r="D11" s="100"/>
      <c r="E11" s="115"/>
      <c r="F11" s="120"/>
      <c r="G11" s="108"/>
      <c r="H11" s="101"/>
      <c r="I11" s="233"/>
      <c r="J11" s="234"/>
      <c r="K11" s="235"/>
    </row>
    <row r="12" spans="1:11" x14ac:dyDescent="0.15">
      <c r="A12" s="112"/>
      <c r="B12" s="117"/>
      <c r="C12" s="121"/>
      <c r="D12" s="100"/>
      <c r="E12" s="106"/>
      <c r="F12" s="107"/>
      <c r="G12" s="108"/>
      <c r="H12" s="101"/>
      <c r="I12" s="117"/>
      <c r="J12" s="118"/>
      <c r="K12" s="119"/>
    </row>
    <row r="13" spans="1:11" x14ac:dyDescent="0.15">
      <c r="A13" s="112"/>
      <c r="B13" s="117"/>
      <c r="C13" s="122"/>
      <c r="D13" s="100"/>
      <c r="E13" s="115"/>
      <c r="F13" s="123"/>
      <c r="G13" s="108"/>
      <c r="H13" s="101"/>
      <c r="I13" s="233"/>
      <c r="J13" s="234"/>
      <c r="K13" s="235"/>
    </row>
    <row r="14" spans="1:11" x14ac:dyDescent="0.15">
      <c r="A14" s="236"/>
      <c r="B14" s="233"/>
      <c r="C14" s="237"/>
      <c r="D14" s="100"/>
      <c r="E14" s="115"/>
      <c r="F14" s="238"/>
      <c r="G14" s="108"/>
      <c r="H14" s="101"/>
      <c r="I14" s="233"/>
      <c r="J14" s="234"/>
      <c r="K14" s="235"/>
    </row>
    <row r="15" spans="1:11" x14ac:dyDescent="0.15">
      <c r="A15" s="239"/>
      <c r="B15" s="126"/>
      <c r="C15" s="114"/>
      <c r="D15" s="100"/>
      <c r="E15" s="106"/>
      <c r="F15" s="114"/>
      <c r="G15" s="108"/>
      <c r="H15" s="101"/>
      <c r="I15" s="240"/>
      <c r="J15" s="241"/>
      <c r="K15" s="242"/>
    </row>
    <row r="16" spans="1:11" x14ac:dyDescent="0.15">
      <c r="A16" s="239"/>
      <c r="B16" s="126"/>
      <c r="C16" s="114"/>
      <c r="D16" s="100"/>
      <c r="E16" s="115"/>
      <c r="F16" s="114"/>
      <c r="G16" s="108"/>
      <c r="H16" s="101"/>
      <c r="I16" s="240"/>
      <c r="J16" s="241"/>
      <c r="K16" s="242"/>
    </row>
    <row r="17" spans="1:11" x14ac:dyDescent="0.15">
      <c r="A17" s="239"/>
      <c r="B17" s="126"/>
      <c r="C17" s="114"/>
      <c r="D17" s="100"/>
      <c r="E17" s="115"/>
      <c r="F17" s="114"/>
      <c r="G17" s="108"/>
      <c r="H17" s="101"/>
      <c r="I17" s="240"/>
      <c r="J17" s="241"/>
      <c r="K17" s="242"/>
    </row>
    <row r="18" spans="1:11" x14ac:dyDescent="0.15">
      <c r="A18" s="243"/>
      <c r="B18" s="244"/>
      <c r="C18" s="114"/>
      <c r="D18" s="100"/>
      <c r="E18" s="245"/>
      <c r="F18" s="246"/>
      <c r="G18" s="108"/>
      <c r="H18" s="101"/>
      <c r="I18" s="99"/>
      <c r="J18" s="102"/>
      <c r="K18" s="9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3</v>
      </c>
      <c r="G22" s="135">
        <f>SUM(G9:G21)/F22</f>
        <v>1476</v>
      </c>
      <c r="H22" s="136">
        <f>SUM(H9:H21)/F22</f>
        <v>15</v>
      </c>
      <c r="I22" s="137" t="s">
        <v>19</v>
      </c>
      <c r="J22" s="138">
        <v>23</v>
      </c>
      <c r="K22" s="131"/>
    </row>
    <row r="23" spans="1:11" x14ac:dyDescent="0.15">
      <c r="E23" s="139"/>
      <c r="F23" s="140"/>
      <c r="I23" s="141" t="s">
        <v>20</v>
      </c>
      <c r="J23" s="142">
        <v>23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3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648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63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5F7BE8CA-7ADE-4392-9F12-E67095FA4D80}">
      <formula1>$I$41:$I$50</formula1>
    </dataValidation>
    <dataValidation type="list" allowBlank="1" showInputMessage="1" showErrorMessage="1" sqref="B20:B21" xr:uid="{094B081B-4ABB-4B75-AF28-7D93C5D456FE}">
      <formula1>$K$29:$K$40</formula1>
    </dataValidation>
    <dataValidation type="list" allowBlank="1" showInputMessage="1" showErrorMessage="1" sqref="B16:B19" xr:uid="{91530706-46F9-4F10-AA8C-DC5D03825687}">
      <formula1>$K$29:$K$85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C6090-AC5D-4BBA-A915-BB6241F407FB}">
  <dimension ref="A1:K85"/>
  <sheetViews>
    <sheetView tabSelected="1" zoomScale="119" zoomScaleNormal="119"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45668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7" x14ac:dyDescent="0.15">
      <c r="A9" s="215">
        <v>1</v>
      </c>
      <c r="B9" s="216" t="s">
        <v>137</v>
      </c>
      <c r="C9" s="217">
        <v>15</v>
      </c>
      <c r="D9" s="192">
        <v>2.85</v>
      </c>
      <c r="E9" s="207">
        <v>1485</v>
      </c>
      <c r="F9" s="218">
        <v>13</v>
      </c>
      <c r="G9" s="193">
        <f>E9*F9</f>
        <v>19305</v>
      </c>
      <c r="H9" s="194">
        <f>F9*C9</f>
        <v>195</v>
      </c>
      <c r="I9" s="196" t="s">
        <v>131</v>
      </c>
      <c r="J9" s="224">
        <v>1.3888888888888888E-2</v>
      </c>
      <c r="K9" s="225" t="s">
        <v>174</v>
      </c>
    </row>
    <row r="10" spans="1:11" ht="17" x14ac:dyDescent="0.15">
      <c r="A10" s="195">
        <v>2</v>
      </c>
      <c r="B10" s="222" t="s">
        <v>146</v>
      </c>
      <c r="C10" s="206">
        <v>22</v>
      </c>
      <c r="D10" s="192">
        <v>2.85</v>
      </c>
      <c r="E10" s="198">
        <v>1250</v>
      </c>
      <c r="F10" s="223">
        <v>10</v>
      </c>
      <c r="G10" s="193">
        <f t="shared" ref="G10:G11" si="0">E10*F10</f>
        <v>12500</v>
      </c>
      <c r="H10" s="194">
        <f t="shared" ref="H10:H11" si="1">F10*C10</f>
        <v>220</v>
      </c>
      <c r="I10" s="196" t="s">
        <v>27</v>
      </c>
      <c r="J10" s="224">
        <v>1.3888888888888888E-2</v>
      </c>
      <c r="K10" s="225" t="s">
        <v>175</v>
      </c>
    </row>
    <row r="11" spans="1:11" ht="17" x14ac:dyDescent="0.15">
      <c r="A11" s="195">
        <v>3</v>
      </c>
      <c r="B11" s="222" t="s">
        <v>143</v>
      </c>
      <c r="C11" s="206">
        <v>17</v>
      </c>
      <c r="D11" s="192">
        <v>2.85</v>
      </c>
      <c r="E11" s="198">
        <v>860</v>
      </c>
      <c r="F11" s="226">
        <v>13</v>
      </c>
      <c r="G11" s="193">
        <f t="shared" si="0"/>
        <v>11180</v>
      </c>
      <c r="H11" s="194">
        <f t="shared" si="1"/>
        <v>221</v>
      </c>
      <c r="I11" s="201" t="s">
        <v>176</v>
      </c>
      <c r="J11" s="228">
        <v>0.20833333333333334</v>
      </c>
      <c r="K11" s="229" t="s">
        <v>177</v>
      </c>
    </row>
    <row r="12" spans="1:11" ht="16" x14ac:dyDescent="0.15">
      <c r="A12" s="195"/>
      <c r="B12" s="196"/>
      <c r="C12" s="227"/>
      <c r="D12" s="192"/>
      <c r="E12" s="207"/>
      <c r="F12" s="218"/>
      <c r="G12" s="193"/>
      <c r="H12" s="194"/>
      <c r="I12" s="196" t="s">
        <v>162</v>
      </c>
      <c r="J12" s="224">
        <v>6.9444444444444448E-2</v>
      </c>
      <c r="K12" s="225" t="s">
        <v>178</v>
      </c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 t="s">
        <v>136</v>
      </c>
      <c r="J13" s="228">
        <v>0.24305555555555555</v>
      </c>
      <c r="K13" s="229" t="s">
        <v>179</v>
      </c>
    </row>
    <row r="14" spans="1:11" ht="16" x14ac:dyDescent="0.15">
      <c r="A14" s="200"/>
      <c r="B14" s="201"/>
      <c r="C14" s="202"/>
      <c r="D14" s="192"/>
      <c r="E14" s="198"/>
      <c r="F14" s="203"/>
      <c r="G14" s="193"/>
      <c r="H14" s="194"/>
      <c r="I14" s="201"/>
      <c r="J14" s="228"/>
      <c r="K14" s="229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32"/>
    </row>
    <row r="16" spans="1:11" x14ac:dyDescent="0.15">
      <c r="A16" s="239"/>
      <c r="B16" s="126"/>
      <c r="C16" s="114"/>
      <c r="D16" s="100"/>
      <c r="E16" s="115"/>
      <c r="F16" s="114"/>
      <c r="G16" s="108"/>
      <c r="H16" s="101"/>
      <c r="I16" s="240"/>
      <c r="J16" s="241"/>
      <c r="K16" s="242"/>
    </row>
    <row r="17" spans="1:11" x14ac:dyDescent="0.15">
      <c r="A17" s="239"/>
      <c r="B17" s="126"/>
      <c r="C17" s="114"/>
      <c r="D17" s="100"/>
      <c r="E17" s="115"/>
      <c r="F17" s="114"/>
      <c r="G17" s="108"/>
      <c r="H17" s="101"/>
      <c r="I17" s="240"/>
      <c r="J17" s="241"/>
      <c r="K17" s="242"/>
    </row>
    <row r="18" spans="1:11" x14ac:dyDescent="0.15">
      <c r="A18" s="243"/>
      <c r="B18" s="244"/>
      <c r="C18" s="114"/>
      <c r="D18" s="100"/>
      <c r="E18" s="245"/>
      <c r="F18" s="246"/>
      <c r="G18" s="108"/>
      <c r="H18" s="101"/>
      <c r="I18" s="99"/>
      <c r="J18" s="102"/>
      <c r="K18" s="9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36</v>
      </c>
      <c r="G22" s="135">
        <f>SUM(G9:G21)/F22</f>
        <v>1194.0277777777778</v>
      </c>
      <c r="H22" s="136">
        <f>SUM(H9:H21)/F22</f>
        <v>17.666666666666668</v>
      </c>
      <c r="I22" s="137" t="s">
        <v>19</v>
      </c>
      <c r="J22" s="138">
        <v>13.1</v>
      </c>
      <c r="K22" s="131"/>
    </row>
    <row r="23" spans="1:11" x14ac:dyDescent="0.15">
      <c r="E23" s="139"/>
      <c r="F23" s="140"/>
      <c r="I23" s="141" t="s">
        <v>20</v>
      </c>
      <c r="J23" s="142">
        <v>13.17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36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684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76.17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2B5922E2-209D-4838-864B-5AF3813576AA}">
      <formula1>$K$29:$K$85</formula1>
    </dataValidation>
    <dataValidation type="list" allowBlank="1" showInputMessage="1" showErrorMessage="1" sqref="B20:B21" xr:uid="{993DF348-738C-41AA-8200-EBFC5CF84DA7}">
      <formula1>$K$29:$K$40</formula1>
    </dataValidation>
    <dataValidation type="list" allowBlank="1" showInputMessage="1" showErrorMessage="1" sqref="I50 K15:K21" xr:uid="{301C2CE5-E601-4C86-B016-FFB131DE0CCF}">
      <formula1>$I$41:$I$50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43B9-B748-4E8F-9F18-7DBB031BF790}">
  <dimension ref="A1:K85"/>
  <sheetViews>
    <sheetView workbookViewId="0">
      <selection activeCell="I15" sqref="I15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45669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x14ac:dyDescent="0.15">
      <c r="A8" s="99"/>
      <c r="B8" s="100"/>
      <c r="C8" s="101"/>
      <c r="D8" s="100"/>
      <c r="E8" s="100"/>
      <c r="F8" s="99"/>
      <c r="G8" s="99"/>
      <c r="H8" s="99"/>
      <c r="I8" s="99"/>
      <c r="J8" s="102"/>
      <c r="K8" s="99"/>
    </row>
    <row r="9" spans="1:11" ht="15" x14ac:dyDescent="0.15">
      <c r="A9" s="103">
        <v>1</v>
      </c>
      <c r="B9" s="104" t="s">
        <v>143</v>
      </c>
      <c r="C9" s="105">
        <v>17</v>
      </c>
      <c r="D9" s="100">
        <v>2.85</v>
      </c>
      <c r="E9" s="106">
        <v>869</v>
      </c>
      <c r="F9" s="107">
        <v>2.1</v>
      </c>
      <c r="G9" s="108">
        <f>E9*F9</f>
        <v>1824.9</v>
      </c>
      <c r="H9" s="101">
        <f>F9*C9</f>
        <v>35.700000000000003</v>
      </c>
      <c r="I9" s="117" t="s">
        <v>131</v>
      </c>
      <c r="J9" s="118">
        <v>2.0833333333333332E-2</v>
      </c>
      <c r="K9" s="119" t="s">
        <v>174</v>
      </c>
    </row>
    <row r="10" spans="1:11" ht="15" x14ac:dyDescent="0.15">
      <c r="A10" s="112">
        <v>2</v>
      </c>
      <c r="B10" s="113" t="s">
        <v>143</v>
      </c>
      <c r="C10" s="114">
        <v>16</v>
      </c>
      <c r="D10" s="100">
        <v>2.85</v>
      </c>
      <c r="E10" s="115">
        <v>907</v>
      </c>
      <c r="F10" s="116">
        <v>3.6</v>
      </c>
      <c r="G10" s="108">
        <f t="shared" ref="G10:G11" si="0">E10*F10</f>
        <v>3265.2000000000003</v>
      </c>
      <c r="H10" s="101">
        <f t="shared" ref="H10:H11" si="1">F10*C10</f>
        <v>57.6</v>
      </c>
      <c r="I10" s="117" t="s">
        <v>27</v>
      </c>
      <c r="J10" s="118">
        <v>6.9444444444444441E-3</v>
      </c>
      <c r="K10" s="119" t="s">
        <v>175</v>
      </c>
    </row>
    <row r="11" spans="1:11" ht="15" x14ac:dyDescent="0.15">
      <c r="A11" s="112">
        <v>3</v>
      </c>
      <c r="B11" s="113" t="s">
        <v>143</v>
      </c>
      <c r="C11" s="114">
        <v>15.5</v>
      </c>
      <c r="D11" s="100">
        <v>2.85</v>
      </c>
      <c r="E11" s="115">
        <v>932</v>
      </c>
      <c r="F11" s="120">
        <v>6</v>
      </c>
      <c r="G11" s="108">
        <f t="shared" si="0"/>
        <v>5592</v>
      </c>
      <c r="H11" s="101">
        <f t="shared" si="1"/>
        <v>93</v>
      </c>
      <c r="I11" s="233" t="s">
        <v>159</v>
      </c>
      <c r="J11" s="234">
        <v>2.0833333333333332E-2</v>
      </c>
      <c r="K11" s="235" t="s">
        <v>180</v>
      </c>
    </row>
    <row r="12" spans="1:11" x14ac:dyDescent="0.15">
      <c r="A12" s="112">
        <v>4</v>
      </c>
      <c r="B12" s="117" t="s">
        <v>143</v>
      </c>
      <c r="C12" s="121">
        <v>15</v>
      </c>
      <c r="D12" s="100">
        <v>2.85</v>
      </c>
      <c r="E12" s="106">
        <v>1230</v>
      </c>
      <c r="F12" s="107">
        <v>40.299999999999997</v>
      </c>
      <c r="G12" s="108">
        <f>E12*F12</f>
        <v>49569</v>
      </c>
      <c r="H12" s="101">
        <f>F12*C12</f>
        <v>604.5</v>
      </c>
      <c r="I12" s="117"/>
      <c r="J12" s="118"/>
      <c r="K12" s="119" t="s">
        <v>181</v>
      </c>
    </row>
    <row r="13" spans="1:11" x14ac:dyDescent="0.15">
      <c r="A13" s="112"/>
      <c r="B13" s="117"/>
      <c r="C13" s="122"/>
      <c r="D13" s="100"/>
      <c r="E13" s="115"/>
      <c r="F13" s="123"/>
      <c r="G13" s="108"/>
      <c r="H13" s="101"/>
      <c r="I13" s="233" t="s">
        <v>159</v>
      </c>
      <c r="J13" s="234">
        <v>0.13541666666666666</v>
      </c>
      <c r="K13" s="235" t="s">
        <v>182</v>
      </c>
    </row>
    <row r="14" spans="1:11" x14ac:dyDescent="0.15">
      <c r="A14" s="236"/>
      <c r="B14" s="233"/>
      <c r="C14" s="237"/>
      <c r="D14" s="100"/>
      <c r="E14" s="115"/>
      <c r="F14" s="238"/>
      <c r="G14" s="108"/>
      <c r="H14" s="101"/>
      <c r="I14" s="233"/>
      <c r="J14" s="234"/>
      <c r="K14" s="235" t="s">
        <v>183</v>
      </c>
    </row>
    <row r="15" spans="1:11" x14ac:dyDescent="0.15">
      <c r="A15" s="239"/>
      <c r="B15" s="126"/>
      <c r="C15" s="114"/>
      <c r="D15" s="100"/>
      <c r="E15" s="106"/>
      <c r="F15" s="114"/>
      <c r="G15" s="108"/>
      <c r="H15" s="101"/>
      <c r="I15" s="240" t="s">
        <v>168</v>
      </c>
      <c r="J15" s="241">
        <v>4.8611111111111112E-2</v>
      </c>
      <c r="K15" s="242" t="s">
        <v>185</v>
      </c>
    </row>
    <row r="16" spans="1:11" x14ac:dyDescent="0.15">
      <c r="A16" s="239"/>
      <c r="B16" s="126"/>
      <c r="C16" s="114"/>
      <c r="D16" s="100"/>
      <c r="E16" s="115"/>
      <c r="F16" s="114"/>
      <c r="G16" s="108"/>
      <c r="H16" s="101"/>
      <c r="I16" s="240"/>
      <c r="J16" s="241"/>
      <c r="K16" s="242" t="s">
        <v>186</v>
      </c>
    </row>
    <row r="17" spans="1:11" x14ac:dyDescent="0.15">
      <c r="A17" s="239"/>
      <c r="B17" s="126"/>
      <c r="C17" s="114"/>
      <c r="D17" s="100"/>
      <c r="E17" s="115"/>
      <c r="F17" s="114"/>
      <c r="G17" s="108"/>
      <c r="H17" s="101"/>
      <c r="I17" s="240" t="s">
        <v>168</v>
      </c>
      <c r="J17" s="241">
        <v>1.0416666666666666E-2</v>
      </c>
      <c r="K17" s="242" t="s">
        <v>184</v>
      </c>
    </row>
    <row r="18" spans="1:11" x14ac:dyDescent="0.15">
      <c r="A18" s="243"/>
      <c r="B18" s="244"/>
      <c r="C18" s="114"/>
      <c r="D18" s="100"/>
      <c r="E18" s="245"/>
      <c r="F18" s="246"/>
      <c r="G18" s="108"/>
      <c r="H18" s="101"/>
      <c r="I18" s="99"/>
      <c r="J18" s="102"/>
      <c r="K18" s="9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52</v>
      </c>
      <c r="G22" s="135">
        <f>SUM(G9:G21)/F22</f>
        <v>1158.675</v>
      </c>
      <c r="H22" s="136">
        <f>SUM(H9:H21)/F22</f>
        <v>15.207692307692307</v>
      </c>
      <c r="I22" s="137" t="s">
        <v>19</v>
      </c>
      <c r="J22" s="138">
        <v>5.5</v>
      </c>
      <c r="K22" s="131"/>
    </row>
    <row r="23" spans="1:11" x14ac:dyDescent="0.15">
      <c r="E23" s="139"/>
      <c r="F23" s="140"/>
      <c r="I23" s="141" t="s">
        <v>20</v>
      </c>
      <c r="J23" s="142">
        <v>5.83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52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736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82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44492BF0-1D9B-4F56-8A52-8118B177E14B}">
      <formula1>$I$41:$I$50</formula1>
    </dataValidation>
    <dataValidation type="list" allowBlank="1" showInputMessage="1" showErrorMessage="1" sqref="B20:B21" xr:uid="{3777850C-4570-4E91-9ACC-A3D0D3DD2B97}">
      <formula1>$K$29:$K$40</formula1>
    </dataValidation>
    <dataValidation type="list" allowBlank="1" showInputMessage="1" showErrorMessage="1" sqref="B16:B19" xr:uid="{D27EC31B-7E1E-43C7-9860-5DF20CAD6147}">
      <formula1>$K$29:$K$85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994B-1329-40E0-BF7F-E71A816F88B5}">
  <dimension ref="A1:K85"/>
  <sheetViews>
    <sheetView workbookViewId="0">
      <selection activeCell="E7" sqref="E7"/>
    </sheetView>
  </sheetViews>
  <sheetFormatPr baseColWidth="10" defaultColWidth="9.1640625" defaultRowHeight="14" x14ac:dyDescent="0.15"/>
  <cols>
    <col min="1" max="1" width="5.1640625" style="248" customWidth="1"/>
    <col min="2" max="2" width="22.5" style="248" customWidth="1"/>
    <col min="3" max="3" width="6.1640625" style="248" customWidth="1"/>
    <col min="4" max="4" width="12.5" style="248" bestFit="1" customWidth="1"/>
    <col min="5" max="5" width="9.83203125" style="248" customWidth="1"/>
    <col min="6" max="6" width="9.33203125" style="248" bestFit="1" customWidth="1"/>
    <col min="7" max="7" width="8.6640625" style="248" customWidth="1"/>
    <col min="8" max="8" width="9.5" style="248" bestFit="1" customWidth="1"/>
    <col min="9" max="9" width="17.83203125" style="248" bestFit="1" customWidth="1"/>
    <col min="10" max="10" width="10.33203125" style="248" bestFit="1" customWidth="1"/>
    <col min="11" max="11" width="49.6640625" style="248" bestFit="1" customWidth="1"/>
    <col min="12" max="16384" width="9.1640625" style="248"/>
  </cols>
  <sheetData>
    <row r="1" spans="1:11" x14ac:dyDescent="0.15">
      <c r="A1" s="247" t="s">
        <v>126</v>
      </c>
      <c r="I1" s="249"/>
    </row>
    <row r="2" spans="1:11" x14ac:dyDescent="0.15">
      <c r="J2" s="250"/>
    </row>
    <row r="3" spans="1:11" x14ac:dyDescent="0.15">
      <c r="A3" s="249" t="s">
        <v>127</v>
      </c>
      <c r="I3" s="247"/>
      <c r="J3" s="247"/>
    </row>
    <row r="4" spans="1:11" x14ac:dyDescent="0.15">
      <c r="A4" s="249"/>
      <c r="I4" s="250" t="s">
        <v>5</v>
      </c>
      <c r="J4" s="251">
        <v>45670</v>
      </c>
    </row>
    <row r="5" spans="1:11" x14ac:dyDescent="0.15">
      <c r="J5" s="248" t="s">
        <v>1</v>
      </c>
    </row>
    <row r="6" spans="1:11" ht="30" x14ac:dyDescent="0.15">
      <c r="A6" s="252" t="s">
        <v>6</v>
      </c>
      <c r="B6" s="252" t="s">
        <v>7</v>
      </c>
      <c r="C6" s="252" t="s">
        <v>8</v>
      </c>
      <c r="D6" s="252" t="s">
        <v>9</v>
      </c>
      <c r="E6" s="252" t="s">
        <v>10</v>
      </c>
      <c r="F6" s="252" t="s">
        <v>11</v>
      </c>
      <c r="G6" s="253" t="s">
        <v>12</v>
      </c>
      <c r="H6" s="253" t="s">
        <v>3</v>
      </c>
      <c r="I6" s="253" t="s">
        <v>13</v>
      </c>
      <c r="J6" s="254"/>
      <c r="K6" s="252" t="s">
        <v>14</v>
      </c>
    </row>
    <row r="7" spans="1:11" ht="30" x14ac:dyDescent="0.15">
      <c r="A7" s="253"/>
      <c r="B7" s="255"/>
      <c r="C7" s="252"/>
      <c r="D7" s="252" t="s">
        <v>4</v>
      </c>
      <c r="E7" s="252" t="s">
        <v>15</v>
      </c>
      <c r="F7" s="256" t="s">
        <v>0</v>
      </c>
      <c r="G7" s="256" t="s">
        <v>15</v>
      </c>
      <c r="H7" s="256" t="s">
        <v>102</v>
      </c>
      <c r="I7" s="252" t="s">
        <v>16</v>
      </c>
      <c r="J7" s="256" t="s">
        <v>17</v>
      </c>
      <c r="K7" s="256"/>
    </row>
    <row r="8" spans="1:11" x14ac:dyDescent="0.15">
      <c r="A8" s="257"/>
      <c r="B8" s="258"/>
      <c r="C8" s="259"/>
      <c r="D8" s="258"/>
      <c r="E8" s="258"/>
      <c r="F8" s="257"/>
      <c r="G8" s="257"/>
      <c r="H8" s="257"/>
      <c r="I8" s="257"/>
      <c r="J8" s="260"/>
      <c r="K8" s="257"/>
    </row>
    <row r="9" spans="1:11" ht="15" x14ac:dyDescent="0.15">
      <c r="A9" s="299">
        <v>1</v>
      </c>
      <c r="B9" s="300" t="s">
        <v>143</v>
      </c>
      <c r="C9" s="301">
        <v>15</v>
      </c>
      <c r="D9" s="258">
        <v>2.85</v>
      </c>
      <c r="E9" s="265">
        <v>1230</v>
      </c>
      <c r="F9" s="302">
        <v>6.5</v>
      </c>
      <c r="G9" s="261">
        <f>E9*F9</f>
        <v>7995</v>
      </c>
      <c r="H9" s="259">
        <f>F9*C9</f>
        <v>97.5</v>
      </c>
      <c r="I9" s="309" t="s">
        <v>131</v>
      </c>
      <c r="J9" s="310">
        <v>2.0833333333333332E-2</v>
      </c>
      <c r="K9" s="311" t="s">
        <v>174</v>
      </c>
    </row>
    <row r="10" spans="1:11" ht="15" x14ac:dyDescent="0.15">
      <c r="A10" s="306">
        <v>2</v>
      </c>
      <c r="B10" s="307" t="s">
        <v>137</v>
      </c>
      <c r="C10" s="264">
        <v>15</v>
      </c>
      <c r="D10" s="258">
        <v>2.85</v>
      </c>
      <c r="E10" s="269">
        <v>1378</v>
      </c>
      <c r="F10" s="308">
        <v>24.7</v>
      </c>
      <c r="G10" s="261">
        <f t="shared" ref="G10:G11" si="0">E10*F10</f>
        <v>34036.6</v>
      </c>
      <c r="H10" s="259">
        <f t="shared" ref="H10:H11" si="1">F10*C10</f>
        <v>370.5</v>
      </c>
      <c r="I10" s="309" t="s">
        <v>27</v>
      </c>
      <c r="J10" s="310">
        <v>1.3888888888888888E-2</v>
      </c>
      <c r="K10" s="311" t="s">
        <v>175</v>
      </c>
    </row>
    <row r="11" spans="1:11" ht="15" x14ac:dyDescent="0.15">
      <c r="A11" s="306">
        <v>3</v>
      </c>
      <c r="B11" s="307" t="s">
        <v>137</v>
      </c>
      <c r="C11" s="264">
        <v>14</v>
      </c>
      <c r="D11" s="258">
        <v>2.85</v>
      </c>
      <c r="E11" s="269">
        <v>1370</v>
      </c>
      <c r="F11" s="312">
        <v>31.8</v>
      </c>
      <c r="G11" s="261">
        <f t="shared" si="0"/>
        <v>43566</v>
      </c>
      <c r="H11" s="259">
        <f t="shared" si="1"/>
        <v>445.2</v>
      </c>
      <c r="I11" s="316" t="s">
        <v>134</v>
      </c>
      <c r="J11" s="317">
        <v>6.9444444444444441E-3</v>
      </c>
      <c r="K11" s="318" t="s">
        <v>134</v>
      </c>
    </row>
    <row r="12" spans="1:11" x14ac:dyDescent="0.15">
      <c r="A12" s="306"/>
      <c r="B12" s="309"/>
      <c r="C12" s="313"/>
      <c r="D12" s="258"/>
      <c r="E12" s="265"/>
      <c r="F12" s="302"/>
      <c r="G12" s="261"/>
      <c r="H12" s="259"/>
      <c r="I12" s="309" t="s">
        <v>187</v>
      </c>
      <c r="J12" s="310">
        <v>8.3333333333333329E-2</v>
      </c>
      <c r="K12" s="311" t="s">
        <v>188</v>
      </c>
    </row>
    <row r="13" spans="1:11" x14ac:dyDescent="0.15">
      <c r="A13" s="306"/>
      <c r="B13" s="309"/>
      <c r="C13" s="314"/>
      <c r="D13" s="258"/>
      <c r="E13" s="269"/>
      <c r="F13" s="315"/>
      <c r="G13" s="261"/>
      <c r="H13" s="259"/>
      <c r="I13" s="316"/>
      <c r="J13" s="317"/>
      <c r="K13" s="318" t="s">
        <v>148</v>
      </c>
    </row>
    <row r="14" spans="1:11" x14ac:dyDescent="0.15">
      <c r="A14" s="319"/>
      <c r="B14" s="316"/>
      <c r="C14" s="320"/>
      <c r="D14" s="258"/>
      <c r="E14" s="269"/>
      <c r="F14" s="321"/>
      <c r="G14" s="261"/>
      <c r="H14" s="259"/>
      <c r="I14" s="316" t="s">
        <v>153</v>
      </c>
      <c r="J14" s="317">
        <v>4.8611111111111112E-2</v>
      </c>
      <c r="K14" s="318" t="s">
        <v>189</v>
      </c>
    </row>
    <row r="15" spans="1:11" x14ac:dyDescent="0.15">
      <c r="A15" s="262"/>
      <c r="B15" s="263"/>
      <c r="C15" s="264"/>
      <c r="D15" s="258"/>
      <c r="E15" s="265"/>
      <c r="F15" s="264"/>
      <c r="G15" s="261"/>
      <c r="H15" s="259"/>
      <c r="I15" s="266"/>
      <c r="J15" s="267"/>
      <c r="K15" s="268"/>
    </row>
    <row r="16" spans="1:11" x14ac:dyDescent="0.15">
      <c r="A16" s="262"/>
      <c r="B16" s="263"/>
      <c r="C16" s="264"/>
      <c r="D16" s="258"/>
      <c r="E16" s="269"/>
      <c r="F16" s="264"/>
      <c r="G16" s="261"/>
      <c r="H16" s="259"/>
      <c r="I16" s="266"/>
      <c r="J16" s="267"/>
      <c r="K16" s="268"/>
    </row>
    <row r="17" spans="1:11" x14ac:dyDescent="0.15">
      <c r="A17" s="262"/>
      <c r="B17" s="263"/>
      <c r="C17" s="264"/>
      <c r="D17" s="258"/>
      <c r="E17" s="269"/>
      <c r="F17" s="264"/>
      <c r="G17" s="261"/>
      <c r="H17" s="259"/>
      <c r="I17" s="266"/>
      <c r="J17" s="267"/>
      <c r="K17" s="268"/>
    </row>
    <row r="18" spans="1:11" x14ac:dyDescent="0.15">
      <c r="A18" s="270"/>
      <c r="B18" s="271"/>
      <c r="C18" s="264"/>
      <c r="D18" s="258"/>
      <c r="E18" s="272"/>
      <c r="F18" s="273"/>
      <c r="G18" s="261"/>
      <c r="H18" s="259"/>
      <c r="I18" s="257"/>
      <c r="J18" s="260"/>
      <c r="K18" s="257"/>
    </row>
    <row r="19" spans="1:11" x14ac:dyDescent="0.15">
      <c r="A19" s="258"/>
      <c r="B19" s="257"/>
      <c r="C19" s="259"/>
      <c r="D19" s="274"/>
      <c r="E19" s="258"/>
      <c r="F19" s="259"/>
      <c r="G19" s="261"/>
      <c r="H19" s="259"/>
      <c r="I19" s="257"/>
      <c r="J19" s="260"/>
      <c r="K19" s="257"/>
    </row>
    <row r="20" spans="1:11" x14ac:dyDescent="0.15">
      <c r="A20" s="258"/>
      <c r="B20" s="257"/>
      <c r="C20" s="259"/>
      <c r="D20" s="274"/>
      <c r="E20" s="258"/>
      <c r="F20" s="259"/>
      <c r="G20" s="261"/>
      <c r="H20" s="259"/>
      <c r="I20" s="257"/>
      <c r="J20" s="260"/>
      <c r="K20" s="257"/>
    </row>
    <row r="21" spans="1:11" x14ac:dyDescent="0.15">
      <c r="A21" s="258"/>
      <c r="B21" s="257"/>
      <c r="C21" s="275"/>
      <c r="D21" s="258"/>
      <c r="E21" s="260"/>
      <c r="F21" s="275"/>
      <c r="G21" s="261"/>
      <c r="H21" s="259"/>
      <c r="I21" s="257"/>
      <c r="J21" s="260"/>
      <c r="K21" s="257"/>
    </row>
    <row r="22" spans="1:11" x14ac:dyDescent="0.15">
      <c r="A22" s="276"/>
      <c r="B22" s="277"/>
      <c r="C22" s="278"/>
      <c r="D22" s="278"/>
      <c r="E22" s="279" t="s">
        <v>18</v>
      </c>
      <c r="F22" s="280">
        <f>SUM(F9:F21)</f>
        <v>63</v>
      </c>
      <c r="G22" s="281">
        <f>SUM(G9:G21)/F22</f>
        <v>1358.6920634920637</v>
      </c>
      <c r="H22" s="282">
        <f>SUM(H9:H21)/F22</f>
        <v>14.495238095238095</v>
      </c>
      <c r="I22" s="283" t="s">
        <v>19</v>
      </c>
      <c r="J22" s="284">
        <v>4.0999999999999996</v>
      </c>
      <c r="K22" s="277"/>
    </row>
    <row r="23" spans="1:11" x14ac:dyDescent="0.15">
      <c r="E23" s="285"/>
      <c r="F23" s="286"/>
      <c r="I23" s="287" t="s">
        <v>20</v>
      </c>
      <c r="J23" s="288">
        <v>4.17</v>
      </c>
    </row>
    <row r="24" spans="1:11" x14ac:dyDescent="0.15">
      <c r="A24" s="247"/>
      <c r="I24" s="289"/>
      <c r="J24" s="290"/>
    </row>
    <row r="25" spans="1:11" x14ac:dyDescent="0.15">
      <c r="A25" s="291" t="s">
        <v>21</v>
      </c>
      <c r="B25" s="291"/>
      <c r="C25" s="291"/>
      <c r="D25" s="275"/>
      <c r="H25" s="250" t="s">
        <v>22</v>
      </c>
      <c r="I25" s="250"/>
      <c r="J25" s="285">
        <v>63</v>
      </c>
      <c r="K25" s="247" t="s">
        <v>0</v>
      </c>
    </row>
    <row r="26" spans="1:11" x14ac:dyDescent="0.15">
      <c r="A26" s="291" t="s">
        <v>23</v>
      </c>
      <c r="B26" s="291"/>
      <c r="C26" s="291"/>
      <c r="D26" s="275"/>
      <c r="H26" s="250" t="s">
        <v>24</v>
      </c>
      <c r="I26" s="250"/>
      <c r="J26" s="285">
        <v>799</v>
      </c>
      <c r="K26" s="247" t="s">
        <v>0</v>
      </c>
    </row>
    <row r="27" spans="1:11" ht="15" thickBot="1" x14ac:dyDescent="0.2">
      <c r="A27" s="292"/>
      <c r="B27" s="292"/>
      <c r="C27" s="292"/>
      <c r="D27" s="292"/>
      <c r="E27" s="293"/>
      <c r="F27" s="293"/>
      <c r="G27" s="292"/>
      <c r="H27" s="294" t="s">
        <v>25</v>
      </c>
      <c r="I27" s="294"/>
      <c r="J27" s="295">
        <v>86.17</v>
      </c>
      <c r="K27" s="296" t="s">
        <v>2</v>
      </c>
    </row>
    <row r="28" spans="1:11" x14ac:dyDescent="0.15">
      <c r="J28" s="248" t="s">
        <v>1</v>
      </c>
    </row>
    <row r="29" spans="1:11" hidden="1" x14ac:dyDescent="0.15">
      <c r="K29" s="248" t="s">
        <v>103</v>
      </c>
    </row>
    <row r="30" spans="1:11" hidden="1" x14ac:dyDescent="0.15">
      <c r="K30" s="248" t="s">
        <v>77</v>
      </c>
    </row>
    <row r="31" spans="1:11" hidden="1" x14ac:dyDescent="0.15">
      <c r="K31" s="248" t="s">
        <v>81</v>
      </c>
    </row>
    <row r="32" spans="1:11" hidden="1" x14ac:dyDescent="0.15">
      <c r="K32" s="248" t="s">
        <v>85</v>
      </c>
    </row>
    <row r="33" spans="9:11" hidden="1" x14ac:dyDescent="0.15">
      <c r="K33" s="248" t="s">
        <v>84</v>
      </c>
    </row>
    <row r="34" spans="9:11" hidden="1" x14ac:dyDescent="0.15">
      <c r="K34" s="248" t="s">
        <v>92</v>
      </c>
    </row>
    <row r="35" spans="9:11" hidden="1" x14ac:dyDescent="0.15">
      <c r="K35" s="248" t="s">
        <v>82</v>
      </c>
    </row>
    <row r="36" spans="9:11" hidden="1" x14ac:dyDescent="0.15">
      <c r="K36" s="248" t="s">
        <v>86</v>
      </c>
    </row>
    <row r="37" spans="9:11" hidden="1" x14ac:dyDescent="0.15">
      <c r="K37" s="248" t="s">
        <v>80</v>
      </c>
    </row>
    <row r="38" spans="9:11" hidden="1" x14ac:dyDescent="0.15">
      <c r="K38" s="248" t="s">
        <v>87</v>
      </c>
    </row>
    <row r="39" spans="9:11" hidden="1" x14ac:dyDescent="0.15">
      <c r="K39" s="248" t="s">
        <v>65</v>
      </c>
    </row>
    <row r="40" spans="9:11" hidden="1" x14ac:dyDescent="0.15">
      <c r="K40" s="248" t="s">
        <v>89</v>
      </c>
    </row>
    <row r="41" spans="9:11" ht="30" hidden="1" x14ac:dyDescent="0.15">
      <c r="I41" s="297" t="s">
        <v>26</v>
      </c>
      <c r="K41" s="248" t="s">
        <v>90</v>
      </c>
    </row>
    <row r="42" spans="9:11" ht="15" hidden="1" x14ac:dyDescent="0.15">
      <c r="I42" s="297" t="s">
        <v>27</v>
      </c>
      <c r="K42" s="248" t="s">
        <v>93</v>
      </c>
    </row>
    <row r="43" spans="9:11" hidden="1" x14ac:dyDescent="0.15">
      <c r="I43" s="298" t="s">
        <v>28</v>
      </c>
      <c r="K43" s="248" t="s">
        <v>104</v>
      </c>
    </row>
    <row r="44" spans="9:11" hidden="1" x14ac:dyDescent="0.15">
      <c r="I44" s="248" t="s">
        <v>29</v>
      </c>
      <c r="K44" s="248" t="s">
        <v>94</v>
      </c>
    </row>
    <row r="45" spans="9:11" hidden="1" x14ac:dyDescent="0.15">
      <c r="I45" s="248" t="s">
        <v>30</v>
      </c>
      <c r="K45" s="248" t="s">
        <v>95</v>
      </c>
    </row>
    <row r="46" spans="9:11" hidden="1" x14ac:dyDescent="0.15">
      <c r="I46" s="248" t="s">
        <v>34</v>
      </c>
      <c r="K46" s="248" t="s">
        <v>78</v>
      </c>
    </row>
    <row r="47" spans="9:11" hidden="1" x14ac:dyDescent="0.15">
      <c r="I47" s="248" t="s">
        <v>35</v>
      </c>
      <c r="K47" s="248" t="s">
        <v>83</v>
      </c>
    </row>
    <row r="48" spans="9:11" hidden="1" x14ac:dyDescent="0.15">
      <c r="I48" s="248" t="s">
        <v>31</v>
      </c>
      <c r="K48" s="248" t="s">
        <v>57</v>
      </c>
    </row>
    <row r="49" spans="9:11" hidden="1" x14ac:dyDescent="0.15">
      <c r="I49" s="248" t="s">
        <v>32</v>
      </c>
      <c r="K49" s="248" t="s">
        <v>67</v>
      </c>
    </row>
    <row r="50" spans="9:11" hidden="1" x14ac:dyDescent="0.15">
      <c r="I50" s="248" t="s">
        <v>33</v>
      </c>
      <c r="K50" s="248" t="s">
        <v>73</v>
      </c>
    </row>
    <row r="51" spans="9:11" hidden="1" x14ac:dyDescent="0.15">
      <c r="K51" s="248" t="s">
        <v>68</v>
      </c>
    </row>
    <row r="52" spans="9:11" hidden="1" x14ac:dyDescent="0.15">
      <c r="K52" s="248" t="s">
        <v>56</v>
      </c>
    </row>
    <row r="53" spans="9:11" hidden="1" x14ac:dyDescent="0.15">
      <c r="K53" s="248" t="s">
        <v>52</v>
      </c>
    </row>
    <row r="54" spans="9:11" hidden="1" x14ac:dyDescent="0.15">
      <c r="K54" s="248" t="s">
        <v>91</v>
      </c>
    </row>
    <row r="55" spans="9:11" hidden="1" x14ac:dyDescent="0.15">
      <c r="K55" s="248" t="s">
        <v>96</v>
      </c>
    </row>
    <row r="56" spans="9:11" hidden="1" x14ac:dyDescent="0.15">
      <c r="K56" s="248" t="s">
        <v>105</v>
      </c>
    </row>
    <row r="57" spans="9:11" hidden="1" x14ac:dyDescent="0.15">
      <c r="K57" s="248" t="s">
        <v>55</v>
      </c>
    </row>
    <row r="58" spans="9:11" hidden="1" x14ac:dyDescent="0.15">
      <c r="K58" s="248" t="s">
        <v>53</v>
      </c>
    </row>
    <row r="59" spans="9:11" hidden="1" x14ac:dyDescent="0.15">
      <c r="K59" s="248" t="s">
        <v>54</v>
      </c>
    </row>
    <row r="60" spans="9:11" hidden="1" x14ac:dyDescent="0.15">
      <c r="K60" s="248" t="s">
        <v>66</v>
      </c>
    </row>
    <row r="61" spans="9:11" hidden="1" x14ac:dyDescent="0.15">
      <c r="K61" s="248" t="s">
        <v>70</v>
      </c>
    </row>
    <row r="62" spans="9:11" hidden="1" x14ac:dyDescent="0.15">
      <c r="K62" s="248" t="s">
        <v>71</v>
      </c>
    </row>
    <row r="63" spans="9:11" hidden="1" x14ac:dyDescent="0.15">
      <c r="K63" s="248" t="s">
        <v>105</v>
      </c>
    </row>
    <row r="64" spans="9:11" hidden="1" x14ac:dyDescent="0.15">
      <c r="K64" s="248" t="s">
        <v>64</v>
      </c>
    </row>
    <row r="65" spans="11:11" hidden="1" x14ac:dyDescent="0.15">
      <c r="K65" s="248" t="s">
        <v>63</v>
      </c>
    </row>
    <row r="66" spans="11:11" hidden="1" x14ac:dyDescent="0.15">
      <c r="K66" s="248" t="s">
        <v>62</v>
      </c>
    </row>
    <row r="67" spans="11:11" hidden="1" x14ac:dyDescent="0.15">
      <c r="K67" s="248" t="s">
        <v>51</v>
      </c>
    </row>
    <row r="68" spans="11:11" hidden="1" x14ac:dyDescent="0.15">
      <c r="K68" s="248" t="s">
        <v>61</v>
      </c>
    </row>
    <row r="69" spans="11:11" hidden="1" x14ac:dyDescent="0.15">
      <c r="K69" s="248" t="s">
        <v>72</v>
      </c>
    </row>
    <row r="70" spans="11:11" hidden="1" x14ac:dyDescent="0.15">
      <c r="K70" s="248" t="s">
        <v>69</v>
      </c>
    </row>
    <row r="71" spans="11:11" hidden="1" x14ac:dyDescent="0.15">
      <c r="K71" s="248" t="s">
        <v>106</v>
      </c>
    </row>
    <row r="72" spans="11:11" hidden="1" x14ac:dyDescent="0.15">
      <c r="K72" s="248" t="s">
        <v>74</v>
      </c>
    </row>
    <row r="73" spans="11:11" hidden="1" x14ac:dyDescent="0.15">
      <c r="K73" s="248" t="s">
        <v>97</v>
      </c>
    </row>
    <row r="74" spans="11:11" hidden="1" x14ac:dyDescent="0.15">
      <c r="K74" s="248" t="s">
        <v>98</v>
      </c>
    </row>
    <row r="75" spans="11:11" hidden="1" x14ac:dyDescent="0.15">
      <c r="K75" s="248" t="s">
        <v>99</v>
      </c>
    </row>
    <row r="76" spans="11:11" hidden="1" x14ac:dyDescent="0.15">
      <c r="K76" s="248" t="s">
        <v>79</v>
      </c>
    </row>
    <row r="77" spans="11:11" hidden="1" x14ac:dyDescent="0.15">
      <c r="K77" s="248" t="s">
        <v>100</v>
      </c>
    </row>
    <row r="78" spans="11:11" hidden="1" x14ac:dyDescent="0.15">
      <c r="K78" s="248" t="s">
        <v>88</v>
      </c>
    </row>
    <row r="79" spans="11:11" hidden="1" x14ac:dyDescent="0.15">
      <c r="K79" s="248" t="s">
        <v>60</v>
      </c>
    </row>
    <row r="80" spans="11:11" hidden="1" x14ac:dyDescent="0.15">
      <c r="K80" s="248" t="s">
        <v>75</v>
      </c>
    </row>
    <row r="81" spans="11:11" hidden="1" x14ac:dyDescent="0.15">
      <c r="K81" s="248" t="s">
        <v>76</v>
      </c>
    </row>
    <row r="82" spans="11:11" hidden="1" x14ac:dyDescent="0.15">
      <c r="K82" s="248" t="s">
        <v>101</v>
      </c>
    </row>
    <row r="83" spans="11:11" hidden="1" x14ac:dyDescent="0.15">
      <c r="K83" s="248" t="s">
        <v>59</v>
      </c>
    </row>
    <row r="84" spans="11:11" hidden="1" x14ac:dyDescent="0.15">
      <c r="K84" s="248" t="s">
        <v>58</v>
      </c>
    </row>
    <row r="85" spans="11:11" hidden="1" x14ac:dyDescent="0.15">
      <c r="K85" s="248" t="s">
        <v>104</v>
      </c>
    </row>
  </sheetData>
  <dataValidations count="3">
    <dataValidation type="list" allowBlank="1" showInputMessage="1" showErrorMessage="1" sqref="B16:B19" xr:uid="{D4AADA31-B9AA-48ED-A7F3-3D1E3A94D028}">
      <formula1>$K$29:$K$85</formula1>
    </dataValidation>
    <dataValidation type="list" allowBlank="1" showInputMessage="1" showErrorMessage="1" sqref="B20:B21" xr:uid="{C285B647-13F3-4E64-9E53-7C74453220F8}">
      <formula1>$K$29:$K$40</formula1>
    </dataValidation>
    <dataValidation type="list" allowBlank="1" showInputMessage="1" showErrorMessage="1" sqref="I50 K15:K21" xr:uid="{7B09921D-DBC7-4EF2-8C51-AB880D81FA4A}">
      <formula1>$I$41:$I$50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40A4-C5B0-49BF-8A6C-5BC884F84FAD}">
  <dimension ref="A1:K85"/>
  <sheetViews>
    <sheetView workbookViewId="0">
      <selection activeCell="F12" sqref="F12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45671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138</v>
      </c>
      <c r="C9" s="217">
        <v>12.5</v>
      </c>
      <c r="D9" s="192">
        <v>2.85</v>
      </c>
      <c r="E9" s="207">
        <v>1394</v>
      </c>
      <c r="F9" s="218">
        <v>23.1</v>
      </c>
      <c r="G9" s="193">
        <f>E9*F9</f>
        <v>32201.4</v>
      </c>
      <c r="H9" s="194">
        <f>F9*C9</f>
        <v>288.75</v>
      </c>
      <c r="I9" s="196" t="s">
        <v>131</v>
      </c>
      <c r="J9" s="224">
        <v>2.7777777777777776E-2</v>
      </c>
      <c r="K9" s="225" t="s">
        <v>174</v>
      </c>
    </row>
    <row r="10" spans="1:11" ht="17" x14ac:dyDescent="0.15">
      <c r="A10" s="195">
        <v>2</v>
      </c>
      <c r="B10" s="222" t="s">
        <v>138</v>
      </c>
      <c r="C10" s="206">
        <v>13.5</v>
      </c>
      <c r="D10" s="192">
        <v>2.85</v>
      </c>
      <c r="E10" s="198">
        <v>1394</v>
      </c>
      <c r="F10" s="223">
        <v>3.6</v>
      </c>
      <c r="G10" s="193">
        <f t="shared" ref="G10:G11" si="0">E10*F10</f>
        <v>5018.4000000000005</v>
      </c>
      <c r="H10" s="194">
        <f t="shared" ref="H10:H11" si="1">F10*C10</f>
        <v>48.6</v>
      </c>
      <c r="I10" s="196" t="s">
        <v>27</v>
      </c>
      <c r="J10" s="224">
        <v>2.7777777777777776E-2</v>
      </c>
      <c r="K10" s="225" t="s">
        <v>175</v>
      </c>
    </row>
    <row r="11" spans="1:11" ht="17" x14ac:dyDescent="0.15">
      <c r="A11" s="195">
        <v>3</v>
      </c>
      <c r="B11" s="222" t="s">
        <v>137</v>
      </c>
      <c r="C11" s="206">
        <v>15</v>
      </c>
      <c r="D11" s="192">
        <v>2.85</v>
      </c>
      <c r="E11" s="198">
        <v>1443</v>
      </c>
      <c r="F11" s="226">
        <v>37.700000000000003</v>
      </c>
      <c r="G11" s="193">
        <f t="shared" si="0"/>
        <v>54401.100000000006</v>
      </c>
      <c r="H11" s="194">
        <f t="shared" si="1"/>
        <v>565.5</v>
      </c>
      <c r="I11" s="201" t="s">
        <v>134</v>
      </c>
      <c r="J11" s="228">
        <v>4.5138888888888888E-2</v>
      </c>
      <c r="K11" s="229" t="s">
        <v>134</v>
      </c>
    </row>
    <row r="12" spans="1:11" ht="16" x14ac:dyDescent="0.15">
      <c r="A12" s="195">
        <v>4</v>
      </c>
      <c r="B12" s="196" t="s">
        <v>137</v>
      </c>
      <c r="C12" s="227">
        <v>16</v>
      </c>
      <c r="D12" s="192">
        <v>2.85</v>
      </c>
      <c r="E12" s="207">
        <v>1394</v>
      </c>
      <c r="F12" s="218">
        <v>3.6</v>
      </c>
      <c r="G12" s="193">
        <f>E12*F12</f>
        <v>5018.4000000000005</v>
      </c>
      <c r="H12" s="194">
        <f>F12*C12</f>
        <v>57.6</v>
      </c>
      <c r="I12" s="201" t="s">
        <v>153</v>
      </c>
      <c r="J12" s="228">
        <v>4.8611111111111112E-2</v>
      </c>
      <c r="K12" s="229" t="s">
        <v>189</v>
      </c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/>
      <c r="J13" s="228"/>
      <c r="K13" s="229"/>
    </row>
    <row r="14" spans="1:11" x14ac:dyDescent="0.15">
      <c r="A14" s="236"/>
      <c r="B14" s="233"/>
      <c r="C14" s="237"/>
      <c r="D14" s="100"/>
      <c r="E14" s="115"/>
      <c r="F14" s="238"/>
      <c r="G14" s="108"/>
      <c r="H14" s="101"/>
      <c r="I14" s="233"/>
      <c r="J14" s="234"/>
      <c r="K14" s="235"/>
    </row>
    <row r="15" spans="1:11" x14ac:dyDescent="0.15">
      <c r="A15" s="239"/>
      <c r="B15" s="126"/>
      <c r="C15" s="114"/>
      <c r="D15" s="100"/>
      <c r="E15" s="106"/>
      <c r="F15" s="114"/>
      <c r="G15" s="108"/>
      <c r="H15" s="101"/>
      <c r="I15" s="240"/>
      <c r="J15" s="241"/>
      <c r="K15" s="242"/>
    </row>
    <row r="16" spans="1:11" x14ac:dyDescent="0.15">
      <c r="A16" s="239"/>
      <c r="B16" s="126"/>
      <c r="C16" s="114"/>
      <c r="D16" s="100"/>
      <c r="E16" s="115"/>
      <c r="F16" s="114"/>
      <c r="G16" s="108"/>
      <c r="H16" s="101"/>
      <c r="I16" s="240"/>
      <c r="J16" s="241"/>
      <c r="K16" s="242"/>
    </row>
    <row r="17" spans="1:11" x14ac:dyDescent="0.15">
      <c r="A17" s="239"/>
      <c r="B17" s="126"/>
      <c r="C17" s="114"/>
      <c r="D17" s="100"/>
      <c r="E17" s="115"/>
      <c r="F17" s="114"/>
      <c r="G17" s="108"/>
      <c r="H17" s="101"/>
      <c r="I17" s="240"/>
      <c r="J17" s="241"/>
      <c r="K17" s="242"/>
    </row>
    <row r="18" spans="1:11" x14ac:dyDescent="0.15">
      <c r="A18" s="243"/>
      <c r="B18" s="244"/>
      <c r="C18" s="114"/>
      <c r="D18" s="100"/>
      <c r="E18" s="245"/>
      <c r="F18" s="246"/>
      <c r="G18" s="108"/>
      <c r="H18" s="101"/>
      <c r="I18" s="99"/>
      <c r="J18" s="102"/>
      <c r="K18" s="9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68</v>
      </c>
      <c r="G22" s="135">
        <f>SUM(G9:G21)/F22</f>
        <v>1421.1661764705882</v>
      </c>
      <c r="H22" s="136">
        <f>SUM(H9:H21)/F22</f>
        <v>14.124264705882354</v>
      </c>
      <c r="I22" s="137" t="s">
        <v>19</v>
      </c>
      <c r="J22" s="138">
        <v>3.35</v>
      </c>
      <c r="K22" s="131"/>
    </row>
    <row r="23" spans="1:11" x14ac:dyDescent="0.15">
      <c r="E23" s="139"/>
      <c r="F23" s="140"/>
      <c r="I23" s="141" t="s">
        <v>20</v>
      </c>
      <c r="J23" s="142">
        <v>3.58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68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867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89.75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264710EA-89EE-4C7F-956A-A035ED9AC92F}">
      <formula1>$I$41:$I$50</formula1>
    </dataValidation>
    <dataValidation type="list" allowBlank="1" showInputMessage="1" showErrorMessage="1" sqref="B20:B21" xr:uid="{997A1874-DB87-405B-B91A-87DDBA578B33}">
      <formula1>$K$29:$K$40</formula1>
    </dataValidation>
    <dataValidation type="list" allowBlank="1" showInputMessage="1" showErrorMessage="1" sqref="B16:B19" xr:uid="{9F811A79-9286-487C-B841-5A0CB385315F}">
      <formula1>$K$29:$K$85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9986-C3C6-43D0-8E72-0E4EEB4C8D4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45672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16</v>
      </c>
      <c r="D9" s="192">
        <v>2.85</v>
      </c>
      <c r="E9" s="207">
        <v>1394</v>
      </c>
      <c r="F9" s="218">
        <v>11.6</v>
      </c>
      <c r="G9" s="193">
        <f>E9*F9</f>
        <v>16170.4</v>
      </c>
      <c r="H9" s="194">
        <f>F9*C9</f>
        <v>185.6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137</v>
      </c>
      <c r="C10" s="206">
        <v>17</v>
      </c>
      <c r="D10" s="192">
        <v>2.85</v>
      </c>
      <c r="E10" s="198">
        <v>1271</v>
      </c>
      <c r="F10" s="223">
        <v>4.4000000000000004</v>
      </c>
      <c r="G10" s="193">
        <f t="shared" ref="G10:G11" si="0">E10*F10</f>
        <v>5592.4000000000005</v>
      </c>
      <c r="H10" s="194">
        <f t="shared" ref="H10:H11" si="1">F10*C10</f>
        <v>74.800000000000011</v>
      </c>
      <c r="I10" s="196" t="s">
        <v>27</v>
      </c>
      <c r="J10" s="224">
        <v>7.6388888888888895E-2</v>
      </c>
      <c r="K10" s="225" t="s">
        <v>175</v>
      </c>
    </row>
    <row r="11" spans="1:11" ht="17" x14ac:dyDescent="0.15">
      <c r="A11" s="195">
        <v>3</v>
      </c>
      <c r="B11" s="222" t="s">
        <v>146</v>
      </c>
      <c r="C11" s="206">
        <v>30</v>
      </c>
      <c r="D11" s="192">
        <v>2.85</v>
      </c>
      <c r="E11" s="198">
        <v>880</v>
      </c>
      <c r="F11" s="226">
        <v>8.8000000000000007</v>
      </c>
      <c r="G11" s="193">
        <f t="shared" si="0"/>
        <v>7744.0000000000009</v>
      </c>
      <c r="H11" s="194">
        <f t="shared" si="1"/>
        <v>264</v>
      </c>
      <c r="I11" s="201" t="s">
        <v>134</v>
      </c>
      <c r="J11" s="228">
        <v>6.9444444444444441E-3</v>
      </c>
      <c r="K11" s="229" t="s">
        <v>134</v>
      </c>
    </row>
    <row r="12" spans="1:11" ht="16" x14ac:dyDescent="0.15">
      <c r="A12" s="195">
        <v>4</v>
      </c>
      <c r="B12" s="196" t="s">
        <v>146</v>
      </c>
      <c r="C12" s="227">
        <v>32</v>
      </c>
      <c r="D12" s="192">
        <v>2.85</v>
      </c>
      <c r="E12" s="207">
        <v>834</v>
      </c>
      <c r="F12" s="218">
        <v>12.1</v>
      </c>
      <c r="G12" s="193">
        <f>E12*F12</f>
        <v>10091.4</v>
      </c>
      <c r="H12" s="194">
        <f>F12*C12</f>
        <v>387.2</v>
      </c>
      <c r="I12" s="201" t="s">
        <v>153</v>
      </c>
      <c r="J12" s="228">
        <v>6.25E-2</v>
      </c>
      <c r="K12" s="229" t="s">
        <v>189</v>
      </c>
    </row>
    <row r="13" spans="1:11" ht="16" x14ac:dyDescent="0.15">
      <c r="A13" s="195">
        <v>5</v>
      </c>
      <c r="B13" s="196" t="s">
        <v>146</v>
      </c>
      <c r="C13" s="197">
        <v>34</v>
      </c>
      <c r="D13" s="192">
        <v>2.85</v>
      </c>
      <c r="E13" s="198">
        <v>800</v>
      </c>
      <c r="F13" s="199">
        <v>16</v>
      </c>
      <c r="G13" s="193">
        <f t="shared" ref="G13:G18" si="2">E13*F13</f>
        <v>12800</v>
      </c>
      <c r="H13" s="194">
        <f t="shared" ref="H13:H18" si="3">F13*C13</f>
        <v>544</v>
      </c>
      <c r="I13" s="201" t="s">
        <v>136</v>
      </c>
      <c r="J13" s="228">
        <v>4.1666666666666664E-2</v>
      </c>
      <c r="K13" s="229" t="s">
        <v>190</v>
      </c>
    </row>
    <row r="14" spans="1:11" ht="16" x14ac:dyDescent="0.15">
      <c r="A14" s="200">
        <v>6</v>
      </c>
      <c r="B14" s="201" t="s">
        <v>146</v>
      </c>
      <c r="C14" s="202">
        <v>35</v>
      </c>
      <c r="D14" s="192">
        <v>2.85</v>
      </c>
      <c r="E14" s="198">
        <v>738</v>
      </c>
      <c r="F14" s="203">
        <v>2</v>
      </c>
      <c r="G14" s="193">
        <f t="shared" si="2"/>
        <v>1476</v>
      </c>
      <c r="H14" s="194">
        <f t="shared" si="3"/>
        <v>70</v>
      </c>
      <c r="I14" s="201"/>
      <c r="J14" s="228"/>
      <c r="K14" s="229"/>
    </row>
    <row r="15" spans="1:11" ht="16" x14ac:dyDescent="0.2">
      <c r="A15" s="204">
        <v>7</v>
      </c>
      <c r="B15" s="205" t="s">
        <v>146</v>
      </c>
      <c r="C15" s="206">
        <v>36</v>
      </c>
      <c r="D15" s="192">
        <v>2.85</v>
      </c>
      <c r="E15" s="207">
        <v>738</v>
      </c>
      <c r="F15" s="206">
        <v>1</v>
      </c>
      <c r="G15" s="193">
        <f t="shared" si="2"/>
        <v>738</v>
      </c>
      <c r="H15" s="194">
        <f t="shared" si="3"/>
        <v>36</v>
      </c>
      <c r="I15" s="230"/>
      <c r="J15" s="231"/>
      <c r="K15" s="232"/>
    </row>
    <row r="16" spans="1:11" ht="16" x14ac:dyDescent="0.2">
      <c r="A16" s="204">
        <v>8</v>
      </c>
      <c r="B16" s="205" t="s">
        <v>146</v>
      </c>
      <c r="C16" s="206">
        <v>38</v>
      </c>
      <c r="D16" s="192">
        <v>2.85</v>
      </c>
      <c r="E16" s="198">
        <v>685</v>
      </c>
      <c r="F16" s="206">
        <v>8.4</v>
      </c>
      <c r="G16" s="193">
        <f t="shared" si="2"/>
        <v>5754</v>
      </c>
      <c r="H16" s="194">
        <f t="shared" si="3"/>
        <v>319.2</v>
      </c>
      <c r="I16" s="230"/>
      <c r="J16" s="231"/>
      <c r="K16" s="232"/>
    </row>
    <row r="17" spans="1:11" ht="16" x14ac:dyDescent="0.2">
      <c r="A17" s="204">
        <v>9</v>
      </c>
      <c r="B17" s="205" t="s">
        <v>146</v>
      </c>
      <c r="C17" s="206">
        <v>40</v>
      </c>
      <c r="D17" s="192">
        <v>2.85</v>
      </c>
      <c r="E17" s="198">
        <v>657</v>
      </c>
      <c r="F17" s="206">
        <v>6</v>
      </c>
      <c r="G17" s="193">
        <f t="shared" si="2"/>
        <v>3942</v>
      </c>
      <c r="H17" s="194">
        <f t="shared" si="3"/>
        <v>240</v>
      </c>
      <c r="I17" s="230"/>
      <c r="J17" s="231"/>
      <c r="K17" s="232"/>
    </row>
    <row r="18" spans="1:11" ht="16" x14ac:dyDescent="0.2">
      <c r="A18" s="210">
        <v>10</v>
      </c>
      <c r="B18" s="211" t="s">
        <v>146</v>
      </c>
      <c r="C18" s="206">
        <v>42</v>
      </c>
      <c r="D18" s="192">
        <v>2.85</v>
      </c>
      <c r="E18" s="212">
        <v>637</v>
      </c>
      <c r="F18" s="213">
        <v>8.6999999999999993</v>
      </c>
      <c r="G18" s="193">
        <f t="shared" si="2"/>
        <v>5541.9</v>
      </c>
      <c r="H18" s="194">
        <f t="shared" si="3"/>
        <v>365.4</v>
      </c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79</v>
      </c>
      <c r="G22" s="135">
        <f>SUM(G9:G21)/F22</f>
        <v>884.17848101265815</v>
      </c>
      <c r="H22" s="136">
        <f>SUM(H9:H21)/F22</f>
        <v>31.47088607594937</v>
      </c>
      <c r="I22" s="137" t="s">
        <v>19</v>
      </c>
      <c r="J22" s="138">
        <v>5</v>
      </c>
      <c r="K22" s="131"/>
    </row>
    <row r="23" spans="1:11" x14ac:dyDescent="0.15">
      <c r="E23" s="139"/>
      <c r="F23" s="140"/>
      <c r="I23" s="141" t="s">
        <v>20</v>
      </c>
      <c r="J23" s="142">
        <v>5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79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946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94.75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8ADF9A5B-0A3A-46C3-95EE-107C3AF10930}">
      <formula1>$K$29:$K$85</formula1>
    </dataValidation>
    <dataValidation type="list" allowBlank="1" showInputMessage="1" showErrorMessage="1" sqref="B20:B21" xr:uid="{09E6EF10-681B-421C-8796-69E980F53BDA}">
      <formula1>$K$29:$K$40</formula1>
    </dataValidation>
    <dataValidation type="list" allowBlank="1" showInputMessage="1" showErrorMessage="1" sqref="I50 K15:K21" xr:uid="{7A81BCBD-E9E4-44D8-AB90-8F1A10A43BF4}">
      <formula1>$I$41:$I$50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BA45-B8B7-459F-B9B3-8AC93CF09746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191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17</v>
      </c>
      <c r="D9" s="192">
        <v>2.85</v>
      </c>
      <c r="E9" s="207">
        <v>1312</v>
      </c>
      <c r="F9" s="218">
        <v>12.3</v>
      </c>
      <c r="G9" s="193">
        <f>E9*F9</f>
        <v>16137.6</v>
      </c>
      <c r="H9" s="194">
        <f>F9*C9</f>
        <v>209.10000000000002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137</v>
      </c>
      <c r="C10" s="206">
        <v>16</v>
      </c>
      <c r="D10" s="192">
        <v>2.85</v>
      </c>
      <c r="E10" s="198">
        <v>1336</v>
      </c>
      <c r="F10" s="223">
        <v>7.2</v>
      </c>
      <c r="G10" s="193">
        <f t="shared" ref="G10:G11" si="0">E10*F10</f>
        <v>9619.2000000000007</v>
      </c>
      <c r="H10" s="194">
        <f t="shared" ref="H10:H11" si="1">F10*C10</f>
        <v>115.2</v>
      </c>
      <c r="I10" s="196" t="s">
        <v>27</v>
      </c>
      <c r="J10" s="224">
        <v>2.7777777777777776E-2</v>
      </c>
      <c r="K10" s="225" t="s">
        <v>175</v>
      </c>
    </row>
    <row r="11" spans="1:11" ht="17" x14ac:dyDescent="0.15">
      <c r="A11" s="195">
        <v>3</v>
      </c>
      <c r="B11" s="222" t="s">
        <v>137</v>
      </c>
      <c r="C11" s="206">
        <v>15</v>
      </c>
      <c r="D11" s="192">
        <v>2.85</v>
      </c>
      <c r="E11" s="198">
        <v>1402</v>
      </c>
      <c r="F11" s="226">
        <v>8.1</v>
      </c>
      <c r="G11" s="193">
        <f t="shared" si="0"/>
        <v>11356.199999999999</v>
      </c>
      <c r="H11" s="194">
        <f t="shared" si="1"/>
        <v>121.5</v>
      </c>
      <c r="I11" s="201" t="s">
        <v>192</v>
      </c>
      <c r="J11" s="228">
        <v>4.1666666666666664E-2</v>
      </c>
      <c r="K11" s="229" t="s">
        <v>193</v>
      </c>
    </row>
    <row r="12" spans="1:11" ht="16" x14ac:dyDescent="0.15">
      <c r="A12" s="195">
        <v>4</v>
      </c>
      <c r="B12" s="196" t="s">
        <v>143</v>
      </c>
      <c r="C12" s="227">
        <v>17</v>
      </c>
      <c r="D12" s="192">
        <v>2.85</v>
      </c>
      <c r="E12" s="207">
        <v>1345</v>
      </c>
      <c r="F12" s="218">
        <v>20.5</v>
      </c>
      <c r="G12" s="193">
        <f>E12*F12</f>
        <v>27572.5</v>
      </c>
      <c r="H12" s="194">
        <f>F12*C12</f>
        <v>348.5</v>
      </c>
      <c r="I12" s="201"/>
      <c r="J12" s="228"/>
      <c r="K12" s="229" t="s">
        <v>194</v>
      </c>
    </row>
    <row r="13" spans="1:11" ht="16" x14ac:dyDescent="0.15">
      <c r="A13" s="195">
        <v>5</v>
      </c>
      <c r="B13" s="196" t="s">
        <v>143</v>
      </c>
      <c r="C13" s="197">
        <v>15</v>
      </c>
      <c r="D13" s="192">
        <v>2.85</v>
      </c>
      <c r="E13" s="198">
        <v>1394</v>
      </c>
      <c r="F13" s="199">
        <v>16.600000000000001</v>
      </c>
      <c r="G13" s="193">
        <f t="shared" ref="G13:G14" si="2">E13*F13</f>
        <v>23140.400000000001</v>
      </c>
      <c r="H13" s="194">
        <f t="shared" ref="H13:H14" si="3">F13*C13</f>
        <v>249.00000000000003</v>
      </c>
      <c r="I13" s="201" t="s">
        <v>159</v>
      </c>
      <c r="J13" s="228">
        <v>4.1666666666666664E-2</v>
      </c>
      <c r="K13" s="229" t="s">
        <v>195</v>
      </c>
    </row>
    <row r="14" spans="1:11" ht="16" x14ac:dyDescent="0.2">
      <c r="A14" s="200">
        <v>6</v>
      </c>
      <c r="B14" s="201" t="s">
        <v>143</v>
      </c>
      <c r="C14" s="202">
        <v>14</v>
      </c>
      <c r="D14" s="192">
        <v>2.85</v>
      </c>
      <c r="E14" s="198">
        <v>1394</v>
      </c>
      <c r="F14" s="203">
        <v>12.3</v>
      </c>
      <c r="G14" s="193">
        <f t="shared" si="2"/>
        <v>17146.2</v>
      </c>
      <c r="H14" s="194">
        <f t="shared" si="3"/>
        <v>172.20000000000002</v>
      </c>
      <c r="I14" s="230"/>
      <c r="J14" s="231"/>
      <c r="K14" s="232" t="s">
        <v>196</v>
      </c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 t="s">
        <v>159</v>
      </c>
      <c r="J15" s="231">
        <v>2.0833333333333332E-2</v>
      </c>
      <c r="K15" s="232" t="s">
        <v>197</v>
      </c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 t="s">
        <v>198</v>
      </c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77</v>
      </c>
      <c r="G22" s="135">
        <f>SUM(G9:G21)/F22</f>
        <v>1363.2740259740258</v>
      </c>
      <c r="H22" s="136">
        <f>SUM(H9:H21)/F22</f>
        <v>15.785714285714286</v>
      </c>
      <c r="I22" s="137" t="s">
        <v>19</v>
      </c>
      <c r="J22" s="138">
        <v>3.4</v>
      </c>
      <c r="K22" s="131"/>
    </row>
    <row r="23" spans="1:11" x14ac:dyDescent="0.15">
      <c r="E23" s="139"/>
      <c r="F23" s="140"/>
      <c r="I23" s="141" t="s">
        <v>20</v>
      </c>
      <c r="J23" s="142">
        <v>3.67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77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1023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98.42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0525E0AC-DC13-4B31-BFD2-0863F4EC2829}">
      <formula1>$I$41:$I$50</formula1>
    </dataValidation>
    <dataValidation type="list" allowBlank="1" showInputMessage="1" showErrorMessage="1" sqref="B20:B21" xr:uid="{B5840610-85E0-46CA-BDC0-1F3093CBDF2D}">
      <formula1>$K$29:$K$40</formula1>
    </dataValidation>
    <dataValidation type="list" allowBlank="1" showInputMessage="1" showErrorMessage="1" sqref="B16:B19" xr:uid="{9B95D071-A346-40F7-842F-C9990650540A}">
      <formula1>$K$29:$K$85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9CC4-619D-4D23-AFF8-3AEC6598AC3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199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16</v>
      </c>
      <c r="D9" s="192">
        <v>2.85</v>
      </c>
      <c r="E9" s="207">
        <v>1394</v>
      </c>
      <c r="F9" s="218">
        <v>12.6</v>
      </c>
      <c r="G9" s="193">
        <f>E9*F9</f>
        <v>17564.399999999998</v>
      </c>
      <c r="H9" s="194">
        <f>F9*C9</f>
        <v>201.6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137</v>
      </c>
      <c r="C10" s="206">
        <v>15</v>
      </c>
      <c r="D10" s="192">
        <v>2.85</v>
      </c>
      <c r="E10" s="198">
        <v>1485</v>
      </c>
      <c r="F10" s="223">
        <v>21.8</v>
      </c>
      <c r="G10" s="193">
        <f t="shared" ref="G10:G11" si="0">E10*F10</f>
        <v>32373</v>
      </c>
      <c r="H10" s="194">
        <f t="shared" ref="H10:H11" si="1">F10*C10</f>
        <v>327</v>
      </c>
      <c r="I10" s="196" t="s">
        <v>27</v>
      </c>
      <c r="J10" s="224">
        <v>4.5138888888888888E-2</v>
      </c>
      <c r="K10" s="225" t="s">
        <v>175</v>
      </c>
    </row>
    <row r="11" spans="1:11" ht="17" x14ac:dyDescent="0.15">
      <c r="A11" s="195">
        <v>3</v>
      </c>
      <c r="B11" s="222" t="s">
        <v>143</v>
      </c>
      <c r="C11" s="206">
        <v>17</v>
      </c>
      <c r="D11" s="192">
        <v>2.85</v>
      </c>
      <c r="E11" s="198">
        <v>1312</v>
      </c>
      <c r="F11" s="226">
        <v>1.8</v>
      </c>
      <c r="G11" s="193">
        <f t="shared" si="0"/>
        <v>2361.6</v>
      </c>
      <c r="H11" s="194">
        <f t="shared" si="1"/>
        <v>30.6</v>
      </c>
      <c r="I11" s="201" t="s">
        <v>134</v>
      </c>
      <c r="J11" s="228">
        <v>6.9444444444444441E-3</v>
      </c>
      <c r="K11" s="229" t="s">
        <v>134</v>
      </c>
    </row>
    <row r="12" spans="1:11" ht="16" x14ac:dyDescent="0.15">
      <c r="A12" s="195">
        <v>4</v>
      </c>
      <c r="B12" s="196" t="s">
        <v>143</v>
      </c>
      <c r="C12" s="227">
        <v>15</v>
      </c>
      <c r="D12" s="192">
        <v>2.85</v>
      </c>
      <c r="E12" s="207">
        <v>1476</v>
      </c>
      <c r="F12" s="218">
        <v>6.2</v>
      </c>
      <c r="G12" s="193">
        <f>E12*F12</f>
        <v>9151.2000000000007</v>
      </c>
      <c r="H12" s="194">
        <f>F12*C12</f>
        <v>93</v>
      </c>
      <c r="I12" s="201" t="s">
        <v>136</v>
      </c>
      <c r="J12" s="228">
        <v>3.4722222222222224E-2</v>
      </c>
      <c r="K12" s="229" t="s">
        <v>200</v>
      </c>
    </row>
    <row r="13" spans="1:11" ht="16" x14ac:dyDescent="0.15">
      <c r="A13" s="195">
        <v>5</v>
      </c>
      <c r="B13" s="196" t="s">
        <v>138</v>
      </c>
      <c r="C13" s="197">
        <v>12.5</v>
      </c>
      <c r="D13" s="192">
        <v>2.85</v>
      </c>
      <c r="E13" s="198">
        <v>1467</v>
      </c>
      <c r="F13" s="199">
        <v>30.6</v>
      </c>
      <c r="G13" s="193">
        <f t="shared" ref="G13" si="2">E13*F13</f>
        <v>44890.200000000004</v>
      </c>
      <c r="H13" s="194">
        <f t="shared" ref="H13" si="3">F13*C13</f>
        <v>382.5</v>
      </c>
      <c r="I13" s="201"/>
      <c r="J13" s="228"/>
      <c r="K13" s="229" t="s">
        <v>201</v>
      </c>
    </row>
    <row r="14" spans="1:11" ht="16" x14ac:dyDescent="0.2">
      <c r="A14" s="200">
        <v>6</v>
      </c>
      <c r="B14" s="201"/>
      <c r="C14" s="202"/>
      <c r="D14" s="192"/>
      <c r="E14" s="198"/>
      <c r="F14" s="203"/>
      <c r="G14" s="193"/>
      <c r="H14" s="194"/>
      <c r="I14" s="230"/>
      <c r="J14" s="231"/>
      <c r="K14" s="232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32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73</v>
      </c>
      <c r="G22" s="135">
        <f>SUM(G9:G21)/F22</f>
        <v>1456.7178082191781</v>
      </c>
      <c r="H22" s="136">
        <f>SUM(H9:H21)/F22</f>
        <v>14.173972602739727</v>
      </c>
      <c r="I22" s="137" t="s">
        <v>19</v>
      </c>
      <c r="J22" s="138">
        <v>2.35</v>
      </c>
      <c r="K22" s="131"/>
    </row>
    <row r="23" spans="1:11" x14ac:dyDescent="0.15">
      <c r="E23" s="139"/>
      <c r="F23" s="140"/>
      <c r="I23" s="141" t="s">
        <v>20</v>
      </c>
      <c r="J23" s="142">
        <v>2.58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73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1096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101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3455AEC4-92C0-426F-94BF-2F4BB5626524}">
      <formula1>$K$29:$K$85</formula1>
    </dataValidation>
    <dataValidation type="list" allowBlank="1" showInputMessage="1" showErrorMessage="1" sqref="B20:B21" xr:uid="{C1750F87-53AC-4A44-A6D9-0A36E9F8395B}">
      <formula1>$K$29:$K$40</formula1>
    </dataValidation>
    <dataValidation type="list" allowBlank="1" showInputMessage="1" showErrorMessage="1" sqref="I50 K15:K21" xr:uid="{4E5C1B6F-BDC4-4A29-B9F3-8D52D0E70E8E}">
      <formula1>$I$41:$I$50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91B5-9103-484C-AC58-81D67A476ED1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45675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138</v>
      </c>
      <c r="C9" s="217">
        <v>12.5</v>
      </c>
      <c r="D9" s="192">
        <v>2.85</v>
      </c>
      <c r="E9" s="207">
        <v>1467</v>
      </c>
      <c r="F9" s="218">
        <v>5.8</v>
      </c>
      <c r="G9" s="193">
        <f>E9*F9</f>
        <v>8508.6</v>
      </c>
      <c r="H9" s="194">
        <f>F9*C9</f>
        <v>72.5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137</v>
      </c>
      <c r="C10" s="206">
        <v>16</v>
      </c>
      <c r="D10" s="192">
        <v>2.85</v>
      </c>
      <c r="E10" s="198">
        <v>1470</v>
      </c>
      <c r="F10" s="223">
        <v>6.4</v>
      </c>
      <c r="G10" s="193">
        <f t="shared" ref="G10:G11" si="0">E10*F10</f>
        <v>9408</v>
      </c>
      <c r="H10" s="194">
        <f t="shared" ref="H10:H11" si="1">F10*C10</f>
        <v>102.4</v>
      </c>
      <c r="I10" s="196" t="s">
        <v>27</v>
      </c>
      <c r="J10" s="224">
        <v>6.5972222222222224E-2</v>
      </c>
      <c r="K10" s="225" t="s">
        <v>175</v>
      </c>
    </row>
    <row r="11" spans="1:11" ht="17" x14ac:dyDescent="0.15">
      <c r="A11" s="195">
        <v>3</v>
      </c>
      <c r="B11" s="222" t="s">
        <v>137</v>
      </c>
      <c r="C11" s="206">
        <v>18</v>
      </c>
      <c r="D11" s="192">
        <v>2.85</v>
      </c>
      <c r="E11" s="198">
        <v>1296</v>
      </c>
      <c r="F11" s="226">
        <v>4.5</v>
      </c>
      <c r="G11" s="193">
        <f t="shared" si="0"/>
        <v>5832</v>
      </c>
      <c r="H11" s="194">
        <f t="shared" si="1"/>
        <v>81</v>
      </c>
      <c r="I11" s="201" t="s">
        <v>136</v>
      </c>
      <c r="J11" s="228">
        <v>2.0833333333333332E-2</v>
      </c>
      <c r="K11" s="229" t="s">
        <v>202</v>
      </c>
    </row>
    <row r="12" spans="1:11" ht="16" x14ac:dyDescent="0.15">
      <c r="A12" s="195">
        <v>4</v>
      </c>
      <c r="B12" s="196" t="s">
        <v>146</v>
      </c>
      <c r="C12" s="227">
        <v>20</v>
      </c>
      <c r="D12" s="192">
        <v>2.85</v>
      </c>
      <c r="E12" s="207">
        <v>1169</v>
      </c>
      <c r="F12" s="218">
        <v>13</v>
      </c>
      <c r="G12" s="193">
        <f>E12*F12</f>
        <v>15197</v>
      </c>
      <c r="H12" s="194">
        <f>F12*C12</f>
        <v>260</v>
      </c>
      <c r="I12" s="201"/>
      <c r="J12" s="228"/>
      <c r="K12" s="229"/>
    </row>
    <row r="13" spans="1:11" ht="16" x14ac:dyDescent="0.15">
      <c r="A13" s="195">
        <v>5</v>
      </c>
      <c r="B13" s="196" t="s">
        <v>146</v>
      </c>
      <c r="C13" s="197">
        <v>22</v>
      </c>
      <c r="D13" s="192">
        <v>2.85</v>
      </c>
      <c r="E13" s="198">
        <v>1032</v>
      </c>
      <c r="F13" s="199">
        <v>7.5</v>
      </c>
      <c r="G13" s="193">
        <f t="shared" ref="G13" si="2">E13*F13</f>
        <v>7740</v>
      </c>
      <c r="H13" s="194">
        <f t="shared" ref="H13" si="3">F13*C13</f>
        <v>165</v>
      </c>
      <c r="I13" s="201"/>
      <c r="J13" s="228"/>
      <c r="K13" s="229"/>
    </row>
    <row r="14" spans="1:11" ht="16" x14ac:dyDescent="0.2">
      <c r="A14" s="200">
        <v>6</v>
      </c>
      <c r="B14" s="201" t="s">
        <v>146</v>
      </c>
      <c r="C14" s="202">
        <v>26</v>
      </c>
      <c r="D14" s="192">
        <v>2.85</v>
      </c>
      <c r="E14" s="198">
        <v>926</v>
      </c>
      <c r="F14" s="203">
        <v>16.5</v>
      </c>
      <c r="G14" s="193">
        <f>E14*F14</f>
        <v>15279</v>
      </c>
      <c r="H14" s="194">
        <f>F14*C14</f>
        <v>429</v>
      </c>
      <c r="I14" s="230"/>
      <c r="J14" s="231"/>
      <c r="K14" s="232"/>
    </row>
    <row r="15" spans="1:11" ht="16" x14ac:dyDescent="0.2">
      <c r="A15" s="204">
        <v>7</v>
      </c>
      <c r="B15" s="205" t="s">
        <v>146</v>
      </c>
      <c r="C15" s="206">
        <v>28</v>
      </c>
      <c r="D15" s="192">
        <v>2.85</v>
      </c>
      <c r="E15" s="207">
        <v>946</v>
      </c>
      <c r="F15" s="206">
        <v>4.3</v>
      </c>
      <c r="G15" s="193">
        <f t="shared" ref="G15:G16" si="4">E15*F15</f>
        <v>4067.7999999999997</v>
      </c>
      <c r="H15" s="194">
        <f t="shared" ref="H15:H16" si="5">F15*C15</f>
        <v>120.39999999999999</v>
      </c>
      <c r="I15" s="230"/>
      <c r="J15" s="231"/>
      <c r="K15" s="232"/>
    </row>
    <row r="16" spans="1:11" ht="16" x14ac:dyDescent="0.2">
      <c r="A16" s="204">
        <v>9</v>
      </c>
      <c r="B16" s="205" t="s">
        <v>146</v>
      </c>
      <c r="C16" s="206">
        <v>32</v>
      </c>
      <c r="D16" s="192">
        <v>2.85</v>
      </c>
      <c r="E16" s="198">
        <v>862</v>
      </c>
      <c r="F16" s="206">
        <v>4</v>
      </c>
      <c r="G16" s="193">
        <f t="shared" si="4"/>
        <v>3448</v>
      </c>
      <c r="H16" s="194">
        <f t="shared" si="5"/>
        <v>128</v>
      </c>
      <c r="I16" s="230"/>
      <c r="J16" s="231"/>
      <c r="K16" s="232"/>
    </row>
    <row r="17" spans="1:11" ht="16" x14ac:dyDescent="0.2">
      <c r="A17" s="204">
        <v>10</v>
      </c>
      <c r="B17" s="205" t="s">
        <v>146</v>
      </c>
      <c r="C17" s="206">
        <v>38</v>
      </c>
      <c r="D17" s="192">
        <v>2.85</v>
      </c>
      <c r="E17" s="198">
        <v>713</v>
      </c>
      <c r="F17" s="206">
        <v>9</v>
      </c>
      <c r="G17" s="193">
        <f>E17*F17</f>
        <v>6417</v>
      </c>
      <c r="H17" s="194">
        <f>F17*C17</f>
        <v>342</v>
      </c>
      <c r="I17" s="230"/>
      <c r="J17" s="231"/>
      <c r="K17" s="232"/>
    </row>
    <row r="18" spans="1:11" ht="16" x14ac:dyDescent="0.2">
      <c r="A18" s="210">
        <v>11</v>
      </c>
      <c r="B18" s="211" t="s">
        <v>142</v>
      </c>
      <c r="C18" s="206">
        <v>18</v>
      </c>
      <c r="D18" s="192">
        <v>2.85</v>
      </c>
      <c r="E18" s="212">
        <v>1304</v>
      </c>
      <c r="F18" s="213">
        <v>18</v>
      </c>
      <c r="G18" s="193">
        <f t="shared" ref="G18" si="6">E18*F18</f>
        <v>23472</v>
      </c>
      <c r="H18" s="194">
        <f t="shared" ref="H18" si="7">F18*C18</f>
        <v>324</v>
      </c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89</v>
      </c>
      <c r="G22" s="135">
        <f>SUM(G9:G21)/F22</f>
        <v>1116.5101123595505</v>
      </c>
      <c r="H22" s="136">
        <f>SUM(H9:H21)/F22</f>
        <v>22.744943820224719</v>
      </c>
      <c r="I22" s="137" t="s">
        <v>19</v>
      </c>
      <c r="J22" s="138">
        <v>2.35</v>
      </c>
      <c r="K22" s="131"/>
    </row>
    <row r="23" spans="1:11" x14ac:dyDescent="0.15">
      <c r="E23" s="139"/>
      <c r="F23" s="140"/>
      <c r="I23" s="141" t="s">
        <v>20</v>
      </c>
      <c r="J23" s="142">
        <v>2.58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89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1185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103.58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4ECC8E64-4AF7-47AB-B757-460AA024D27D}">
      <formula1>$I$41:$I$50</formula1>
    </dataValidation>
    <dataValidation type="list" allowBlank="1" showInputMessage="1" showErrorMessage="1" sqref="B20:B21" xr:uid="{F912BDA7-DB2B-4AC5-BBB2-48CAD3C74033}">
      <formula1>$K$29:$K$40</formula1>
    </dataValidation>
    <dataValidation type="list" allowBlank="1" showInputMessage="1" showErrorMessage="1" sqref="B16:B19" xr:uid="{8222F90F-FD1E-4583-AF20-28EFCC6C1B09}">
      <formula1>$K$29:$K$85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ABFF-EF98-452D-ADD8-5AF280E47E2E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205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138</v>
      </c>
      <c r="C9" s="217">
        <v>12.5</v>
      </c>
      <c r="D9" s="192">
        <v>2.85</v>
      </c>
      <c r="E9" s="207">
        <v>1460</v>
      </c>
      <c r="F9" s="218">
        <v>16.3</v>
      </c>
      <c r="G9" s="193">
        <f>E9*F9</f>
        <v>23798</v>
      </c>
      <c r="H9" s="194">
        <f>F9*C9</f>
        <v>203.75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143</v>
      </c>
      <c r="C10" s="206">
        <v>17</v>
      </c>
      <c r="D10" s="192">
        <v>2.85</v>
      </c>
      <c r="E10" s="198">
        <v>1410</v>
      </c>
      <c r="F10" s="223">
        <v>23.2</v>
      </c>
      <c r="G10" s="193">
        <f t="shared" ref="G10:G11" si="0">E10*F10</f>
        <v>32712</v>
      </c>
      <c r="H10" s="194">
        <f t="shared" ref="H10:H11" si="1">F10*C10</f>
        <v>394.4</v>
      </c>
      <c r="I10" s="196" t="s">
        <v>27</v>
      </c>
      <c r="J10" s="224">
        <v>2.7777777777777776E-2</v>
      </c>
      <c r="K10" s="225" t="s">
        <v>175</v>
      </c>
    </row>
    <row r="11" spans="1:11" ht="17" x14ac:dyDescent="0.15">
      <c r="A11" s="195">
        <v>3</v>
      </c>
      <c r="B11" s="222" t="s">
        <v>137</v>
      </c>
      <c r="C11" s="206">
        <v>15</v>
      </c>
      <c r="D11" s="192">
        <v>2.85</v>
      </c>
      <c r="E11" s="198">
        <v>1452</v>
      </c>
      <c r="F11" s="226">
        <v>8</v>
      </c>
      <c r="G11" s="193">
        <f t="shared" si="0"/>
        <v>11616</v>
      </c>
      <c r="H11" s="194">
        <f t="shared" si="1"/>
        <v>120</v>
      </c>
      <c r="I11" s="201" t="s">
        <v>168</v>
      </c>
      <c r="J11" s="228">
        <v>2.0833333333333332E-2</v>
      </c>
      <c r="K11" s="229" t="s">
        <v>204</v>
      </c>
    </row>
    <row r="12" spans="1:11" ht="16" x14ac:dyDescent="0.15">
      <c r="A12" s="195">
        <v>4</v>
      </c>
      <c r="B12" s="196" t="s">
        <v>137</v>
      </c>
      <c r="C12" s="227">
        <v>18</v>
      </c>
      <c r="D12" s="192">
        <v>2.85</v>
      </c>
      <c r="E12" s="207">
        <v>1345</v>
      </c>
      <c r="F12" s="218">
        <v>20.5</v>
      </c>
      <c r="G12" s="193">
        <f>E12*F12</f>
        <v>27572.5</v>
      </c>
      <c r="H12" s="194">
        <f>F12*C12</f>
        <v>369</v>
      </c>
      <c r="I12" s="201"/>
      <c r="J12" s="228"/>
      <c r="K12" s="229"/>
    </row>
    <row r="13" spans="1:11" ht="16" x14ac:dyDescent="0.15">
      <c r="A13" s="195">
        <v>5</v>
      </c>
      <c r="B13" s="196" t="s">
        <v>142</v>
      </c>
      <c r="C13" s="197">
        <v>18</v>
      </c>
      <c r="D13" s="192">
        <v>2.85</v>
      </c>
      <c r="E13" s="198">
        <v>1208</v>
      </c>
      <c r="F13" s="199">
        <v>16</v>
      </c>
      <c r="G13" s="193">
        <f t="shared" ref="G13" si="2">E13*F13</f>
        <v>19328</v>
      </c>
      <c r="H13" s="194">
        <f t="shared" ref="H13" si="3">F13*C13</f>
        <v>288</v>
      </c>
      <c r="I13" s="201"/>
      <c r="J13" s="228"/>
      <c r="K13" s="229"/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/>
      <c r="J14" s="231"/>
      <c r="K14" s="232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32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84</v>
      </c>
      <c r="G22" s="135">
        <f>SUM(G9:G21)/F22</f>
        <v>1369.3630952380952</v>
      </c>
      <c r="H22" s="136">
        <f>SUM(H9:H21)/F22</f>
        <v>16.370833333333334</v>
      </c>
      <c r="I22" s="137" t="s">
        <v>19</v>
      </c>
      <c r="J22" s="138">
        <v>1.4</v>
      </c>
      <c r="K22" s="131"/>
    </row>
    <row r="23" spans="1:11" x14ac:dyDescent="0.15">
      <c r="E23" s="139"/>
      <c r="F23" s="140"/>
      <c r="I23" s="141" t="s">
        <v>20</v>
      </c>
      <c r="J23" s="142">
        <v>1.67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84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1269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104.25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114B5837-6E15-4C78-B3E1-264E66A2F26F}">
      <formula1>$K$29:$K$85</formula1>
    </dataValidation>
    <dataValidation type="list" allowBlank="1" showInputMessage="1" showErrorMessage="1" sqref="B20:B21" xr:uid="{3205859F-F30F-4E59-A003-CD5C8D50E2CF}">
      <formula1>$K$29:$K$40</formula1>
    </dataValidation>
    <dataValidation type="list" allowBlank="1" showInputMessage="1" showErrorMessage="1" sqref="I50 K15:K21" xr:uid="{F843360D-8042-422F-914D-B86F51102F4B}">
      <formula1>$I$41:$I$50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46FD-CB10-49F2-9627-13D92017ED9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206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153">
        <v>1</v>
      </c>
      <c r="B9" s="154" t="s">
        <v>138</v>
      </c>
      <c r="C9" s="155">
        <v>12.5</v>
      </c>
      <c r="D9" s="156">
        <v>2.85</v>
      </c>
      <c r="E9" s="157">
        <v>1460</v>
      </c>
      <c r="F9" s="158">
        <v>18.2</v>
      </c>
      <c r="G9" s="159">
        <f>E9*F9</f>
        <v>26572</v>
      </c>
      <c r="H9" s="160">
        <f>F9*C9</f>
        <v>227.5</v>
      </c>
      <c r="I9" s="169" t="s">
        <v>131</v>
      </c>
      <c r="J9" s="170">
        <v>2.0833333333333332E-2</v>
      </c>
      <c r="K9" s="171" t="s">
        <v>174</v>
      </c>
    </row>
    <row r="10" spans="1:11" ht="17" x14ac:dyDescent="0.15">
      <c r="A10" s="164">
        <v>2</v>
      </c>
      <c r="B10" s="165" t="s">
        <v>143</v>
      </c>
      <c r="C10" s="166">
        <v>17</v>
      </c>
      <c r="D10" s="156">
        <v>2.85</v>
      </c>
      <c r="E10" s="167">
        <v>1410</v>
      </c>
      <c r="F10" s="168">
        <v>9</v>
      </c>
      <c r="G10" s="159">
        <f t="shared" ref="G10:G11" si="0">E10*F10</f>
        <v>12690</v>
      </c>
      <c r="H10" s="160">
        <f t="shared" ref="H10:H11" si="1">F10*C10</f>
        <v>153</v>
      </c>
      <c r="I10" s="169" t="s">
        <v>27</v>
      </c>
      <c r="J10" s="170">
        <v>3.8194444444444441E-2</v>
      </c>
      <c r="K10" s="171" t="s">
        <v>175</v>
      </c>
    </row>
    <row r="11" spans="1:11" ht="17" x14ac:dyDescent="0.15">
      <c r="A11" s="164">
        <v>3</v>
      </c>
      <c r="B11" s="165" t="s">
        <v>137</v>
      </c>
      <c r="C11" s="166">
        <v>15</v>
      </c>
      <c r="D11" s="156">
        <v>2.85</v>
      </c>
      <c r="E11" s="167">
        <v>1452</v>
      </c>
      <c r="F11" s="172">
        <v>11.8</v>
      </c>
      <c r="G11" s="159">
        <f t="shared" si="0"/>
        <v>17133.600000000002</v>
      </c>
      <c r="H11" s="160">
        <f t="shared" si="1"/>
        <v>177</v>
      </c>
      <c r="I11" s="176"/>
      <c r="J11" s="177"/>
      <c r="K11" s="178"/>
    </row>
    <row r="12" spans="1:11" ht="16" x14ac:dyDescent="0.15">
      <c r="A12" s="164">
        <v>4</v>
      </c>
      <c r="B12" s="169" t="s">
        <v>137</v>
      </c>
      <c r="C12" s="173">
        <v>14</v>
      </c>
      <c r="D12" s="156">
        <v>2.85</v>
      </c>
      <c r="E12" s="157">
        <v>1452</v>
      </c>
      <c r="F12" s="158">
        <v>33.799999999999997</v>
      </c>
      <c r="G12" s="159">
        <f>E12*F12</f>
        <v>49077.599999999999</v>
      </c>
      <c r="H12" s="160">
        <f>F12*C12</f>
        <v>473.19999999999993</v>
      </c>
      <c r="I12" s="176"/>
      <c r="J12" s="177"/>
      <c r="K12" s="178"/>
    </row>
    <row r="13" spans="1:11" ht="16" x14ac:dyDescent="0.15">
      <c r="A13" s="164">
        <v>5</v>
      </c>
      <c r="B13" s="169" t="s">
        <v>137</v>
      </c>
      <c r="C13" s="174">
        <v>16</v>
      </c>
      <c r="D13" s="156">
        <v>2.85</v>
      </c>
      <c r="E13" s="167">
        <v>1452</v>
      </c>
      <c r="F13" s="175">
        <v>1.5</v>
      </c>
      <c r="G13" s="159">
        <f t="shared" ref="G13" si="2">E13*F13</f>
        <v>2178</v>
      </c>
      <c r="H13" s="160">
        <f t="shared" ref="H13" si="3">F13*C13</f>
        <v>24</v>
      </c>
      <c r="I13" s="176"/>
      <c r="J13" s="177"/>
      <c r="K13" s="178"/>
    </row>
    <row r="14" spans="1:11" ht="16" x14ac:dyDescent="0.2">
      <c r="A14" s="179">
        <v>6</v>
      </c>
      <c r="B14" s="176" t="s">
        <v>138</v>
      </c>
      <c r="C14" s="180">
        <v>13.5</v>
      </c>
      <c r="D14" s="156">
        <v>2.85</v>
      </c>
      <c r="E14" s="167">
        <v>1460</v>
      </c>
      <c r="F14" s="181">
        <v>5.7</v>
      </c>
      <c r="G14" s="159">
        <f>E14*F14</f>
        <v>8322</v>
      </c>
      <c r="H14" s="160">
        <f>F14*C14</f>
        <v>76.95</v>
      </c>
      <c r="I14" s="322"/>
      <c r="J14" s="323"/>
      <c r="K14" s="324"/>
    </row>
    <row r="15" spans="1:11" ht="16" x14ac:dyDescent="0.2">
      <c r="A15" s="184"/>
      <c r="B15" s="185"/>
      <c r="C15" s="166"/>
      <c r="D15" s="156"/>
      <c r="E15" s="157"/>
      <c r="F15" s="166"/>
      <c r="G15" s="159"/>
      <c r="H15" s="160"/>
      <c r="I15" s="322"/>
      <c r="J15" s="323"/>
      <c r="K15" s="324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80</v>
      </c>
      <c r="G22" s="135">
        <f>SUM(G9:G21)/F22</f>
        <v>1449.6650000000002</v>
      </c>
      <c r="H22" s="136">
        <f>SUM(H9:H21)/F22</f>
        <v>14.145624999999999</v>
      </c>
      <c r="I22" s="137" t="s">
        <v>19</v>
      </c>
      <c r="J22" s="138">
        <v>1.25</v>
      </c>
      <c r="K22" s="131"/>
    </row>
    <row r="23" spans="1:11" x14ac:dyDescent="0.15">
      <c r="E23" s="139"/>
      <c r="F23" s="140"/>
      <c r="I23" s="141" t="s">
        <v>20</v>
      </c>
      <c r="J23" s="142">
        <v>1.42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80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1349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106.67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91B84484-DED5-4CB9-AA74-6089B41865EE}">
      <formula1>$I$41:$I$50</formula1>
    </dataValidation>
    <dataValidation type="list" allowBlank="1" showInputMessage="1" showErrorMessage="1" sqref="B20:B21" xr:uid="{D478A58B-DC59-4A9A-A22D-6779755FBC95}">
      <formula1>$K$29:$K$40</formula1>
    </dataValidation>
    <dataValidation type="list" allowBlank="1" showInputMessage="1" showErrorMessage="1" sqref="B16:B19" xr:uid="{178641DC-250B-4116-BBCD-E7D19C87B510}">
      <formula1>$K$29:$K$85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3677-6AD6-4B93-A003-97E483363478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207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143</v>
      </c>
      <c r="C9" s="217">
        <v>14</v>
      </c>
      <c r="D9" s="192">
        <v>2.85</v>
      </c>
      <c r="E9" s="207">
        <v>1458</v>
      </c>
      <c r="F9" s="218">
        <v>8</v>
      </c>
      <c r="G9" s="193">
        <f>E9*F9</f>
        <v>11664</v>
      </c>
      <c r="H9" s="194">
        <f>F9*C9</f>
        <v>112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143</v>
      </c>
      <c r="C10" s="206">
        <v>15</v>
      </c>
      <c r="D10" s="192">
        <v>2.85</v>
      </c>
      <c r="E10" s="198">
        <v>1458</v>
      </c>
      <c r="F10" s="223">
        <v>7.1</v>
      </c>
      <c r="G10" s="193">
        <f t="shared" ref="G10:G11" si="0">E10*F10</f>
        <v>10351.799999999999</v>
      </c>
      <c r="H10" s="194">
        <f t="shared" ref="H10:H11" si="1">F10*C10</f>
        <v>106.5</v>
      </c>
      <c r="I10" s="196" t="s">
        <v>27</v>
      </c>
      <c r="J10" s="224">
        <v>4.5138888888888888E-2</v>
      </c>
      <c r="K10" s="225" t="s">
        <v>175</v>
      </c>
    </row>
    <row r="11" spans="1:11" ht="17" x14ac:dyDescent="0.15">
      <c r="A11" s="195">
        <v>3</v>
      </c>
      <c r="B11" s="222" t="s">
        <v>143</v>
      </c>
      <c r="C11" s="206">
        <v>17</v>
      </c>
      <c r="D11" s="192">
        <v>2.85</v>
      </c>
      <c r="E11" s="198">
        <v>1408</v>
      </c>
      <c r="F11" s="226">
        <v>12.7</v>
      </c>
      <c r="G11" s="193">
        <f t="shared" si="0"/>
        <v>17881.599999999999</v>
      </c>
      <c r="H11" s="194">
        <f t="shared" si="1"/>
        <v>215.89999999999998</v>
      </c>
      <c r="I11" s="201" t="s">
        <v>134</v>
      </c>
      <c r="J11" s="228">
        <v>6.9444444444444441E-3</v>
      </c>
      <c r="K11" s="229" t="s">
        <v>208</v>
      </c>
    </row>
    <row r="12" spans="1:11" ht="16" x14ac:dyDescent="0.15">
      <c r="A12" s="195">
        <v>4</v>
      </c>
      <c r="B12" s="196" t="s">
        <v>137</v>
      </c>
      <c r="C12" s="227">
        <v>14</v>
      </c>
      <c r="D12" s="192">
        <v>2.85</v>
      </c>
      <c r="E12" s="207">
        <v>1477</v>
      </c>
      <c r="F12" s="218">
        <v>8.8000000000000007</v>
      </c>
      <c r="G12" s="193">
        <f>E12*F12</f>
        <v>12997.6</v>
      </c>
      <c r="H12" s="194">
        <f>F12*C12</f>
        <v>123.20000000000002</v>
      </c>
      <c r="I12" s="201" t="s">
        <v>159</v>
      </c>
      <c r="J12" s="228">
        <v>0.125</v>
      </c>
      <c r="K12" s="229" t="s">
        <v>209</v>
      </c>
    </row>
    <row r="13" spans="1:11" ht="16" x14ac:dyDescent="0.15">
      <c r="A13" s="195">
        <v>5</v>
      </c>
      <c r="B13" s="196" t="s">
        <v>137</v>
      </c>
      <c r="C13" s="197">
        <v>15</v>
      </c>
      <c r="D13" s="192">
        <v>2.85</v>
      </c>
      <c r="E13" s="198">
        <v>1444</v>
      </c>
      <c r="F13" s="199">
        <v>11.4</v>
      </c>
      <c r="G13" s="193">
        <f t="shared" ref="G13" si="2">E13*F13</f>
        <v>16461.600000000002</v>
      </c>
      <c r="H13" s="194">
        <f t="shared" ref="H13" si="3">F13*C13</f>
        <v>171</v>
      </c>
      <c r="I13" s="201"/>
      <c r="J13" s="228"/>
      <c r="K13" s="229"/>
    </row>
    <row r="14" spans="1:11" ht="16" x14ac:dyDescent="0.2">
      <c r="A14" s="200">
        <v>6</v>
      </c>
      <c r="B14" s="201" t="s">
        <v>137</v>
      </c>
      <c r="C14" s="202">
        <v>17</v>
      </c>
      <c r="D14" s="192">
        <v>2.85</v>
      </c>
      <c r="E14" s="198">
        <v>1444</v>
      </c>
      <c r="F14" s="203">
        <v>8.4</v>
      </c>
      <c r="G14" s="193">
        <f>E14*F14</f>
        <v>12129.6</v>
      </c>
      <c r="H14" s="194">
        <f>F14*C14</f>
        <v>142.80000000000001</v>
      </c>
      <c r="I14" s="230"/>
      <c r="J14" s="231"/>
      <c r="K14" s="232"/>
    </row>
    <row r="15" spans="1:11" ht="16" x14ac:dyDescent="0.2">
      <c r="A15" s="204">
        <v>7</v>
      </c>
      <c r="B15" s="205" t="s">
        <v>142</v>
      </c>
      <c r="C15" s="206">
        <v>17</v>
      </c>
      <c r="D15" s="192">
        <v>2.85</v>
      </c>
      <c r="E15" s="207">
        <v>1394</v>
      </c>
      <c r="F15" s="206">
        <v>17.600000000000001</v>
      </c>
      <c r="G15" s="193">
        <f>E15*F15</f>
        <v>24534.400000000001</v>
      </c>
      <c r="H15" s="194">
        <f>F15*C15</f>
        <v>299.20000000000005</v>
      </c>
      <c r="I15" s="230"/>
      <c r="J15" s="231"/>
      <c r="K15" s="232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74</v>
      </c>
      <c r="G22" s="135">
        <f>SUM(G9:G21)/F22</f>
        <v>1432.7108108108109</v>
      </c>
      <c r="H22" s="136">
        <f>SUM(H9:H21)/F22</f>
        <v>15.818918918918921</v>
      </c>
      <c r="I22" s="137" t="s">
        <v>19</v>
      </c>
      <c r="J22" s="138">
        <v>4.45</v>
      </c>
      <c r="K22" s="131"/>
    </row>
    <row r="23" spans="1:11" x14ac:dyDescent="0.15">
      <c r="E23" s="139"/>
      <c r="F23" s="140"/>
      <c r="I23" s="141" t="s">
        <v>20</v>
      </c>
      <c r="J23" s="142">
        <v>4.75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74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1423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111.42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69E3FD48-D33C-4640-A345-73F50076F3B6}">
      <formula1>$K$29:$K$85</formula1>
    </dataValidation>
    <dataValidation type="list" allowBlank="1" showInputMessage="1" showErrorMessage="1" sqref="B20:B21" xr:uid="{9484CD3D-66E7-40E0-8036-5C50A728121A}">
      <formula1>$K$29:$K$40</formula1>
    </dataValidation>
    <dataValidation type="list" allowBlank="1" showInputMessage="1" showErrorMessage="1" sqref="I50 K15:K21" xr:uid="{D3C1A14D-24C0-4274-961D-1817EBC17682}">
      <formula1>$I$41:$I$50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E71E-4CB5-4D9E-AC37-86F5EFA38BD6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210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142</v>
      </c>
      <c r="C9" s="217">
        <v>17</v>
      </c>
      <c r="D9" s="192">
        <v>2.85</v>
      </c>
      <c r="E9" s="207">
        <v>1460</v>
      </c>
      <c r="F9" s="218">
        <v>52.9</v>
      </c>
      <c r="G9" s="193">
        <f>E9*F9</f>
        <v>77234</v>
      </c>
      <c r="H9" s="194">
        <f>F9*C9</f>
        <v>899.3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142</v>
      </c>
      <c r="C10" s="206">
        <v>18</v>
      </c>
      <c r="D10" s="192">
        <v>2.85</v>
      </c>
      <c r="E10" s="198">
        <v>1366</v>
      </c>
      <c r="F10" s="223">
        <v>2.6</v>
      </c>
      <c r="G10" s="193">
        <f t="shared" ref="G10:G11" si="0">E10*F10</f>
        <v>3551.6</v>
      </c>
      <c r="H10" s="194">
        <f t="shared" ref="H10:H11" si="1">F10*C10</f>
        <v>46.800000000000004</v>
      </c>
      <c r="I10" s="196" t="s">
        <v>27</v>
      </c>
      <c r="J10" s="224">
        <v>1.3888888888888888E-2</v>
      </c>
      <c r="K10" s="225" t="s">
        <v>175</v>
      </c>
    </row>
    <row r="11" spans="1:11" ht="17" x14ac:dyDescent="0.15">
      <c r="A11" s="195">
        <v>3</v>
      </c>
      <c r="B11" s="222" t="s">
        <v>137</v>
      </c>
      <c r="C11" s="206">
        <v>17</v>
      </c>
      <c r="D11" s="192">
        <v>2.85</v>
      </c>
      <c r="E11" s="198">
        <v>1460</v>
      </c>
      <c r="F11" s="226">
        <v>8.5</v>
      </c>
      <c r="G11" s="193">
        <f t="shared" si="0"/>
        <v>12410</v>
      </c>
      <c r="H11" s="194">
        <f t="shared" si="1"/>
        <v>144.5</v>
      </c>
      <c r="I11" s="201" t="s">
        <v>162</v>
      </c>
      <c r="J11" s="228">
        <v>4.1666666666666664E-2</v>
      </c>
      <c r="K11" s="229" t="s">
        <v>211</v>
      </c>
    </row>
    <row r="12" spans="1:11" ht="16" x14ac:dyDescent="0.15">
      <c r="A12" s="195">
        <v>4</v>
      </c>
      <c r="B12" s="196" t="s">
        <v>137</v>
      </c>
      <c r="C12" s="227">
        <v>15</v>
      </c>
      <c r="D12" s="192">
        <v>2.85</v>
      </c>
      <c r="E12" s="207">
        <v>1402</v>
      </c>
      <c r="F12" s="218">
        <v>11.2</v>
      </c>
      <c r="G12" s="193">
        <f>E12*F12</f>
        <v>15702.4</v>
      </c>
      <c r="H12" s="194">
        <f>F12*C12</f>
        <v>168</v>
      </c>
      <c r="I12" s="201"/>
      <c r="J12" s="228"/>
      <c r="K12" s="229"/>
    </row>
    <row r="13" spans="1:11" ht="16" x14ac:dyDescent="0.15">
      <c r="A13" s="195">
        <v>5</v>
      </c>
      <c r="B13" s="196" t="s">
        <v>137</v>
      </c>
      <c r="C13" s="197">
        <v>14</v>
      </c>
      <c r="D13" s="192">
        <v>2.85</v>
      </c>
      <c r="E13" s="198">
        <v>1485</v>
      </c>
      <c r="F13" s="199">
        <v>12.8</v>
      </c>
      <c r="G13" s="193">
        <f t="shared" ref="G13" si="2">E13*F13</f>
        <v>19008</v>
      </c>
      <c r="H13" s="194">
        <f t="shared" ref="H13" si="3">F13*C13</f>
        <v>179.20000000000002</v>
      </c>
      <c r="I13" s="201"/>
      <c r="J13" s="228"/>
      <c r="K13" s="229"/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/>
      <c r="J14" s="231"/>
      <c r="K14" s="232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32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88</v>
      </c>
      <c r="G22" s="135">
        <f>SUM(G9:G21)/F22</f>
        <v>1453.4772727272727</v>
      </c>
      <c r="H22" s="136">
        <f>SUM(H9:H21)/F22</f>
        <v>16.338636363636365</v>
      </c>
      <c r="I22" s="137" t="s">
        <v>19</v>
      </c>
      <c r="J22" s="138">
        <v>1.5</v>
      </c>
      <c r="K22" s="131"/>
    </row>
    <row r="23" spans="1:11" x14ac:dyDescent="0.15">
      <c r="E23" s="139"/>
      <c r="F23" s="140"/>
      <c r="I23" s="141" t="s">
        <v>20</v>
      </c>
      <c r="J23" s="142">
        <v>1.83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88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1511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113.25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10805781-AB9A-4100-8E51-DC2625C7F79F}">
      <formula1>$I$41:$I$50</formula1>
    </dataValidation>
    <dataValidation type="list" allowBlank="1" showInputMessage="1" showErrorMessage="1" sqref="B20:B21" xr:uid="{F1B077A6-E109-41A4-B191-839BF7050A6E}">
      <formula1>$K$29:$K$40</formula1>
    </dataValidation>
    <dataValidation type="list" allowBlank="1" showInputMessage="1" showErrorMessage="1" sqref="B16:B19" xr:uid="{C0C835F3-E475-474A-9D8C-85605EDA6B8E}">
      <formula1>$K$29:$K$85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564B-9C34-459A-837A-5B0647B2FB32}">
  <dimension ref="A1:K85"/>
  <sheetViews>
    <sheetView workbookViewId="0">
      <selection activeCell="I18" sqref="I18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214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146</v>
      </c>
      <c r="C9" s="217">
        <v>40</v>
      </c>
      <c r="D9" s="192">
        <v>2.85</v>
      </c>
      <c r="E9" s="207">
        <v>675</v>
      </c>
      <c r="F9" s="218">
        <v>14</v>
      </c>
      <c r="G9" s="193">
        <f>E9*F9</f>
        <v>9450</v>
      </c>
      <c r="H9" s="194">
        <f>F9*C9</f>
        <v>560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146</v>
      </c>
      <c r="C10" s="206">
        <v>34</v>
      </c>
      <c r="D10" s="192">
        <v>2.85</v>
      </c>
      <c r="E10" s="198">
        <v>756</v>
      </c>
      <c r="F10" s="223">
        <v>3.5</v>
      </c>
      <c r="G10" s="193">
        <f t="shared" ref="G10:G11" si="0">E10*F10</f>
        <v>2646</v>
      </c>
      <c r="H10" s="194">
        <f t="shared" ref="H10:H11" si="1">F10*C10</f>
        <v>119</v>
      </c>
      <c r="I10" s="196" t="s">
        <v>27</v>
      </c>
      <c r="J10" s="224">
        <v>6.25E-2</v>
      </c>
      <c r="K10" s="225" t="s">
        <v>175</v>
      </c>
    </row>
    <row r="11" spans="1:11" ht="17" x14ac:dyDescent="0.15">
      <c r="A11" s="195">
        <v>3</v>
      </c>
      <c r="B11" s="222" t="s">
        <v>146</v>
      </c>
      <c r="C11" s="206">
        <v>32</v>
      </c>
      <c r="D11" s="192">
        <v>2.85</v>
      </c>
      <c r="E11" s="198">
        <v>818</v>
      </c>
      <c r="F11" s="226">
        <v>29.5</v>
      </c>
      <c r="G11" s="193">
        <f t="shared" si="0"/>
        <v>24131</v>
      </c>
      <c r="H11" s="194">
        <f t="shared" si="1"/>
        <v>944</v>
      </c>
      <c r="I11" s="201" t="s">
        <v>136</v>
      </c>
      <c r="J11" s="228">
        <v>0.1111111111111111</v>
      </c>
      <c r="K11" s="229" t="s">
        <v>215</v>
      </c>
    </row>
    <row r="12" spans="1:11" ht="16" x14ac:dyDescent="0.15">
      <c r="A12" s="195">
        <v>4</v>
      </c>
      <c r="B12" s="196" t="s">
        <v>146</v>
      </c>
      <c r="C12" s="227">
        <v>22</v>
      </c>
      <c r="D12" s="192">
        <v>2.85</v>
      </c>
      <c r="E12" s="207">
        <v>903</v>
      </c>
      <c r="F12" s="218">
        <v>8.8000000000000007</v>
      </c>
      <c r="G12" s="193">
        <f>E12*F12</f>
        <v>7946.4000000000005</v>
      </c>
      <c r="H12" s="194">
        <f>F12*C12</f>
        <v>193.60000000000002</v>
      </c>
      <c r="I12" s="201"/>
      <c r="J12" s="228"/>
      <c r="K12" s="229" t="s">
        <v>216</v>
      </c>
    </row>
    <row r="13" spans="1:11" ht="16" x14ac:dyDescent="0.15">
      <c r="A13" s="195">
        <v>5</v>
      </c>
      <c r="B13" s="196" t="s">
        <v>137</v>
      </c>
      <c r="C13" s="197">
        <v>14</v>
      </c>
      <c r="D13" s="192">
        <v>2.85</v>
      </c>
      <c r="E13" s="198">
        <v>1485</v>
      </c>
      <c r="F13" s="199">
        <v>7</v>
      </c>
      <c r="G13" s="193">
        <f t="shared" ref="G13" si="2">E13*F13</f>
        <v>10395</v>
      </c>
      <c r="H13" s="194">
        <f t="shared" ref="H13" si="3">F13*C13</f>
        <v>98</v>
      </c>
      <c r="I13" s="201"/>
      <c r="J13" s="228"/>
      <c r="K13" s="229"/>
    </row>
    <row r="14" spans="1:11" ht="16" x14ac:dyDescent="0.2">
      <c r="A14" s="200">
        <v>6</v>
      </c>
      <c r="B14" s="201" t="s">
        <v>137</v>
      </c>
      <c r="C14" s="202">
        <v>16</v>
      </c>
      <c r="D14" s="192">
        <v>2.85</v>
      </c>
      <c r="E14" s="198">
        <v>1230</v>
      </c>
      <c r="F14" s="203">
        <v>15.4</v>
      </c>
      <c r="G14" s="193">
        <f>E14*F14</f>
        <v>18942</v>
      </c>
      <c r="H14" s="194">
        <f>F14*C14</f>
        <v>246.4</v>
      </c>
      <c r="I14" s="230"/>
      <c r="J14" s="231"/>
      <c r="K14" s="232"/>
    </row>
    <row r="15" spans="1:11" ht="16" x14ac:dyDescent="0.2">
      <c r="A15" s="204">
        <v>7</v>
      </c>
      <c r="B15" s="205" t="s">
        <v>138</v>
      </c>
      <c r="C15" s="206">
        <v>12.5</v>
      </c>
      <c r="D15" s="192">
        <v>2.85</v>
      </c>
      <c r="E15" s="207">
        <v>1394</v>
      </c>
      <c r="F15" s="206">
        <v>4.8</v>
      </c>
      <c r="G15" s="193">
        <f t="shared" ref="G15" si="4">E15*F15</f>
        <v>6691.2</v>
      </c>
      <c r="H15" s="194">
        <f t="shared" ref="H15" si="5">F15*C15</f>
        <v>60</v>
      </c>
      <c r="I15" s="230"/>
      <c r="J15" s="231"/>
      <c r="K15" s="232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83</v>
      </c>
      <c r="G22" s="135">
        <f>SUM(G9:G21)/F22</f>
        <v>966.28433734939745</v>
      </c>
      <c r="H22" s="136">
        <f>SUM(H9:H21)/F22</f>
        <v>26.759036144578314</v>
      </c>
      <c r="I22" s="137" t="s">
        <v>19</v>
      </c>
      <c r="J22" s="138">
        <v>4.4000000000000004</v>
      </c>
      <c r="K22" s="131"/>
    </row>
    <row r="23" spans="1:11" x14ac:dyDescent="0.15">
      <c r="E23" s="139"/>
      <c r="F23" s="140"/>
      <c r="I23" s="141" t="s">
        <v>20</v>
      </c>
      <c r="J23" s="142">
        <v>4.67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83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1594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117.92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97FEA4F0-6DC2-441A-A62E-5D7FAE7FE7FF}">
      <formula1>$K$29:$K$85</formula1>
    </dataValidation>
    <dataValidation type="list" allowBlank="1" showInputMessage="1" showErrorMessage="1" sqref="B20:B21" xr:uid="{F1021062-CF97-48AA-927A-1FF686E6EA36}">
      <formula1>$K$29:$K$40</formula1>
    </dataValidation>
    <dataValidation type="list" allowBlank="1" showInputMessage="1" showErrorMessage="1" sqref="I50 K15:K21" xr:uid="{16CF5537-C301-41AE-A2B0-98CA2A74A3A0}">
      <formula1>$I$41:$I$50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9F48-2CBB-4F10-8030-03C019809450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217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16</v>
      </c>
      <c r="D9" s="192">
        <v>2.85</v>
      </c>
      <c r="E9" s="207">
        <v>1230</v>
      </c>
      <c r="F9" s="218">
        <v>9</v>
      </c>
      <c r="G9" s="193">
        <f>E9*F9</f>
        <v>11070</v>
      </c>
      <c r="H9" s="194">
        <f>F9*C9</f>
        <v>144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137</v>
      </c>
      <c r="C10" s="206">
        <v>15</v>
      </c>
      <c r="D10" s="192">
        <v>2.85</v>
      </c>
      <c r="E10" s="198">
        <v>756</v>
      </c>
      <c r="F10" s="223">
        <v>34.299999999999997</v>
      </c>
      <c r="G10" s="193">
        <f t="shared" ref="G10:G11" si="0">E10*F10</f>
        <v>25930.799999999999</v>
      </c>
      <c r="H10" s="194">
        <f t="shared" ref="H10:H11" si="1">F10*C10</f>
        <v>514.5</v>
      </c>
      <c r="I10" s="196" t="s">
        <v>27</v>
      </c>
      <c r="J10" s="224">
        <v>1.7361111111111112E-2</v>
      </c>
      <c r="K10" s="225" t="s">
        <v>175</v>
      </c>
    </row>
    <row r="11" spans="1:11" ht="17" x14ac:dyDescent="0.15">
      <c r="A11" s="195">
        <v>3</v>
      </c>
      <c r="B11" s="222" t="s">
        <v>142</v>
      </c>
      <c r="C11" s="206">
        <v>17</v>
      </c>
      <c r="D11" s="192">
        <v>2.85</v>
      </c>
      <c r="E11" s="198">
        <v>1303</v>
      </c>
      <c r="F11" s="226">
        <v>8.1999999999999993</v>
      </c>
      <c r="G11" s="193">
        <f t="shared" si="0"/>
        <v>10684.599999999999</v>
      </c>
      <c r="H11" s="194">
        <f t="shared" si="1"/>
        <v>139.39999999999998</v>
      </c>
      <c r="I11" s="201" t="s">
        <v>162</v>
      </c>
      <c r="J11" s="228">
        <v>0.1388888888888889</v>
      </c>
      <c r="K11" s="229" t="s">
        <v>218</v>
      </c>
    </row>
    <row r="12" spans="1:11" ht="16" x14ac:dyDescent="0.15">
      <c r="A12" s="195">
        <v>4</v>
      </c>
      <c r="B12" s="196" t="s">
        <v>138</v>
      </c>
      <c r="C12" s="227">
        <v>12.5</v>
      </c>
      <c r="D12" s="192">
        <v>2.85</v>
      </c>
      <c r="E12" s="207">
        <v>1231</v>
      </c>
      <c r="F12" s="218">
        <v>1.5</v>
      </c>
      <c r="G12" s="193">
        <f>E12*F12</f>
        <v>1846.5</v>
      </c>
      <c r="H12" s="194">
        <f>F12*C12</f>
        <v>18.75</v>
      </c>
      <c r="I12" s="201" t="s">
        <v>136</v>
      </c>
      <c r="J12" s="228">
        <v>0.15277777777777779</v>
      </c>
      <c r="K12" s="229" t="s">
        <v>219</v>
      </c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/>
      <c r="J13" s="228"/>
      <c r="K13" s="229" t="s">
        <v>220</v>
      </c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/>
      <c r="J14" s="231"/>
      <c r="K14" s="232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32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53</v>
      </c>
      <c r="G22" s="135">
        <f>SUM(G9:G21)/F22</f>
        <v>934.56415094339627</v>
      </c>
      <c r="H22" s="136">
        <f>SUM(H9:H21)/F22</f>
        <v>15.408490566037736</v>
      </c>
      <c r="I22" s="137" t="s">
        <v>19</v>
      </c>
      <c r="J22" s="138">
        <v>7.55</v>
      </c>
      <c r="K22" s="131"/>
    </row>
    <row r="23" spans="1:11" x14ac:dyDescent="0.15">
      <c r="E23" s="139"/>
      <c r="F23" s="140"/>
      <c r="I23" s="141" t="s">
        <v>20</v>
      </c>
      <c r="J23" s="142">
        <v>7.92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53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1647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125.83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B704EBC3-9A17-4115-8178-5BF98EAAAA8D}">
      <formula1>$I$41:$I$50</formula1>
    </dataValidation>
    <dataValidation type="list" allowBlank="1" showInputMessage="1" showErrorMessage="1" sqref="B20:B21" xr:uid="{49145DDF-619B-4B69-8721-DF620467C9D2}">
      <formula1>$K$29:$K$40</formula1>
    </dataValidation>
    <dataValidation type="list" allowBlank="1" showInputMessage="1" showErrorMessage="1" sqref="B16:B19" xr:uid="{35FE0235-532E-44D8-824E-959926FA3475}">
      <formula1>$K$29:$K$85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781E-C378-4AAB-BEDA-EE0FE096F273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221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15</v>
      </c>
      <c r="D9" s="192">
        <v>2.85</v>
      </c>
      <c r="E9" s="207">
        <v>1377</v>
      </c>
      <c r="F9" s="218">
        <v>11.6</v>
      </c>
      <c r="G9" s="193">
        <f>E9*F9</f>
        <v>15973.199999999999</v>
      </c>
      <c r="H9" s="194">
        <f>F9*C9</f>
        <v>174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137</v>
      </c>
      <c r="C10" s="206">
        <v>14</v>
      </c>
      <c r="D10" s="192">
        <v>2.85</v>
      </c>
      <c r="E10" s="198">
        <v>1377</v>
      </c>
      <c r="F10" s="223">
        <v>6.8</v>
      </c>
      <c r="G10" s="193">
        <f t="shared" ref="G10:G11" si="0">E10*F10</f>
        <v>9363.6</v>
      </c>
      <c r="H10" s="194">
        <f t="shared" ref="H10:H11" si="1">F10*C10</f>
        <v>95.2</v>
      </c>
      <c r="I10" s="196" t="s">
        <v>27</v>
      </c>
      <c r="J10" s="224">
        <v>2.0833333333333332E-2</v>
      </c>
      <c r="K10" s="225" t="s">
        <v>175</v>
      </c>
    </row>
    <row r="11" spans="1:11" ht="17" x14ac:dyDescent="0.15">
      <c r="A11" s="195">
        <v>3</v>
      </c>
      <c r="B11" s="222" t="s">
        <v>143</v>
      </c>
      <c r="C11" s="206">
        <v>15</v>
      </c>
      <c r="D11" s="192">
        <v>2.85</v>
      </c>
      <c r="E11" s="198">
        <v>1175</v>
      </c>
      <c r="F11" s="226">
        <v>9</v>
      </c>
      <c r="G11" s="193">
        <f t="shared" si="0"/>
        <v>10575</v>
      </c>
      <c r="H11" s="194">
        <f t="shared" si="1"/>
        <v>135</v>
      </c>
      <c r="I11" s="201" t="s">
        <v>153</v>
      </c>
      <c r="J11" s="228">
        <v>4.1666666666666664E-2</v>
      </c>
      <c r="K11" s="229" t="s">
        <v>189</v>
      </c>
    </row>
    <row r="12" spans="1:11" ht="16" x14ac:dyDescent="0.15">
      <c r="A12" s="195">
        <v>4</v>
      </c>
      <c r="B12" s="196" t="s">
        <v>143</v>
      </c>
      <c r="C12" s="227">
        <v>14</v>
      </c>
      <c r="D12" s="192">
        <v>2.85</v>
      </c>
      <c r="E12" s="207">
        <v>1175</v>
      </c>
      <c r="F12" s="218">
        <v>9</v>
      </c>
      <c r="G12" s="193">
        <f>E12*F12</f>
        <v>10575</v>
      </c>
      <c r="H12" s="194">
        <f>F12*C12</f>
        <v>126</v>
      </c>
      <c r="I12" s="201" t="s">
        <v>168</v>
      </c>
      <c r="J12" s="228">
        <v>4.1666666666666664E-2</v>
      </c>
      <c r="K12" s="229" t="s">
        <v>222</v>
      </c>
    </row>
    <row r="13" spans="1:11" ht="16" x14ac:dyDescent="0.15">
      <c r="A13" s="195">
        <v>5</v>
      </c>
      <c r="B13" s="196" t="s">
        <v>138</v>
      </c>
      <c r="C13" s="197">
        <v>12.5</v>
      </c>
      <c r="D13" s="192">
        <v>2.85</v>
      </c>
      <c r="E13" s="198">
        <v>1215</v>
      </c>
      <c r="F13" s="199">
        <v>30.6</v>
      </c>
      <c r="G13" s="193">
        <f>E13*F13</f>
        <v>37179</v>
      </c>
      <c r="H13" s="194">
        <f>F13*C13</f>
        <v>382.5</v>
      </c>
      <c r="I13" s="201"/>
      <c r="J13" s="228"/>
      <c r="K13" s="229" t="s">
        <v>223</v>
      </c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 t="s">
        <v>192</v>
      </c>
      <c r="J14" s="231">
        <v>2.0833333333333332E-2</v>
      </c>
      <c r="K14" s="229" t="s">
        <v>222</v>
      </c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29" t="s">
        <v>224</v>
      </c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 t="s">
        <v>134</v>
      </c>
      <c r="J16" s="231">
        <v>6.9444444444444441E-3</v>
      </c>
      <c r="K16" s="232" t="s">
        <v>134</v>
      </c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67</v>
      </c>
      <c r="G22" s="135">
        <f>SUM(G9:G21)/F22</f>
        <v>1248.7432835820896</v>
      </c>
      <c r="H22" s="136">
        <f>SUM(H9:H21)/F22</f>
        <v>13.622388059701493</v>
      </c>
      <c r="I22" s="137" t="s">
        <v>19</v>
      </c>
      <c r="J22" s="138">
        <v>3.4</v>
      </c>
      <c r="K22" s="131"/>
    </row>
    <row r="23" spans="1:11" x14ac:dyDescent="0.15">
      <c r="E23" s="139"/>
      <c r="F23" s="140"/>
      <c r="I23" s="141" t="s">
        <v>20</v>
      </c>
      <c r="J23" s="142">
        <v>3.67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67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1714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129.5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92CC2A18-1D0D-491F-A8E9-BE36581EDB11}">
      <formula1>$K$29:$K$85</formula1>
    </dataValidation>
    <dataValidation type="list" allowBlank="1" showInputMessage="1" showErrorMessage="1" sqref="B20:B21" xr:uid="{95308EF3-90AE-466C-B87C-09D9D8AC08B1}">
      <formula1>$K$29:$K$40</formula1>
    </dataValidation>
    <dataValidation type="list" allowBlank="1" showInputMessage="1" showErrorMessage="1" sqref="I50 K15:K21" xr:uid="{21317399-1333-4DA0-B051-B5C40FE0260D}">
      <formula1>$I$41:$I$50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DFB6-3052-49FA-A236-017A2F21419D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225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14</v>
      </c>
      <c r="D9" s="192">
        <v>2.85</v>
      </c>
      <c r="E9" s="207">
        <v>1394</v>
      </c>
      <c r="F9" s="218">
        <v>0.7</v>
      </c>
      <c r="G9" s="193">
        <f>E9*F9</f>
        <v>975.8</v>
      </c>
      <c r="H9" s="194">
        <f>F9*C9</f>
        <v>9.7999999999999989</v>
      </c>
      <c r="I9" s="196" t="s">
        <v>131</v>
      </c>
      <c r="J9" s="224">
        <v>2.0833333333333332E-2</v>
      </c>
      <c r="K9" s="225" t="s">
        <v>174</v>
      </c>
    </row>
    <row r="10" spans="1:11" ht="17" x14ac:dyDescent="0.15">
      <c r="A10" s="195">
        <v>2</v>
      </c>
      <c r="B10" s="222" t="s">
        <v>137</v>
      </c>
      <c r="C10" s="206">
        <v>15</v>
      </c>
      <c r="D10" s="192">
        <v>2.85</v>
      </c>
      <c r="E10" s="198">
        <v>1435</v>
      </c>
      <c r="F10" s="223">
        <v>50.9</v>
      </c>
      <c r="G10" s="193">
        <f t="shared" ref="G10:G11" si="0">E10*F10</f>
        <v>73041.5</v>
      </c>
      <c r="H10" s="194">
        <f t="shared" ref="H10:H11" si="1">F10*C10</f>
        <v>763.5</v>
      </c>
      <c r="I10" s="196" t="s">
        <v>27</v>
      </c>
      <c r="J10" s="224">
        <v>1.3888888888888888E-2</v>
      </c>
      <c r="K10" s="225" t="s">
        <v>175</v>
      </c>
    </row>
    <row r="11" spans="1:11" ht="17" x14ac:dyDescent="0.15">
      <c r="A11" s="195">
        <v>3</v>
      </c>
      <c r="B11" s="222" t="s">
        <v>137</v>
      </c>
      <c r="C11" s="206">
        <v>16</v>
      </c>
      <c r="D11" s="192">
        <v>2.85</v>
      </c>
      <c r="E11" s="198">
        <v>1476</v>
      </c>
      <c r="F11" s="226">
        <v>7.6</v>
      </c>
      <c r="G11" s="193">
        <f t="shared" si="0"/>
        <v>11217.6</v>
      </c>
      <c r="H11" s="194">
        <f t="shared" si="1"/>
        <v>121.6</v>
      </c>
      <c r="I11" s="201" t="s">
        <v>153</v>
      </c>
      <c r="J11" s="228">
        <v>4.1666666666666664E-2</v>
      </c>
      <c r="K11" s="229" t="s">
        <v>189</v>
      </c>
    </row>
    <row r="12" spans="1:11" ht="16" x14ac:dyDescent="0.15">
      <c r="A12" s="195">
        <v>4</v>
      </c>
      <c r="B12" s="196" t="s">
        <v>138</v>
      </c>
      <c r="C12" s="227">
        <v>12.5</v>
      </c>
      <c r="D12" s="192">
        <v>2.85</v>
      </c>
      <c r="E12" s="207">
        <v>1336</v>
      </c>
      <c r="F12" s="218">
        <v>13.8</v>
      </c>
      <c r="G12" s="193">
        <f>E12*F12</f>
        <v>18436.8</v>
      </c>
      <c r="H12" s="194">
        <f>F12*C12</f>
        <v>172.5</v>
      </c>
      <c r="I12" s="201" t="s">
        <v>162</v>
      </c>
      <c r="J12" s="228">
        <v>6.9444444444444434E-2</v>
      </c>
      <c r="K12" s="229" t="s">
        <v>226</v>
      </c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/>
      <c r="J13" s="228"/>
      <c r="K13" s="229"/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/>
      <c r="J14" s="231"/>
      <c r="K14" s="229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29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73</v>
      </c>
      <c r="G22" s="135">
        <f>SUM(G9:G21)/F22</f>
        <v>1420.1602739726029</v>
      </c>
      <c r="H22" s="136">
        <f>SUM(H9:H21)/F22</f>
        <v>14.621917808219179</v>
      </c>
      <c r="I22" s="137" t="s">
        <v>19</v>
      </c>
      <c r="J22" s="138">
        <v>3.3</v>
      </c>
      <c r="K22" s="131"/>
    </row>
    <row r="23" spans="1:11" x14ac:dyDescent="0.15">
      <c r="E23" s="139"/>
      <c r="F23" s="140"/>
      <c r="I23" s="141" t="s">
        <v>20</v>
      </c>
      <c r="J23" s="142">
        <v>3.5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73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1787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133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D5F4213A-1E0C-4CB6-97AB-186401E21007}">
      <formula1>$I$41:$I$50</formula1>
    </dataValidation>
    <dataValidation type="list" allowBlank="1" showInputMessage="1" showErrorMessage="1" sqref="B20:B21" xr:uid="{58AE44F7-F4B9-4858-87D7-6692865B3405}">
      <formula1>$K$29:$K$40</formula1>
    </dataValidation>
    <dataValidation type="list" allowBlank="1" showInputMessage="1" showErrorMessage="1" sqref="B16:B19" xr:uid="{D3050403-F3E5-4AB3-8FF2-B9AE9085E609}">
      <formula1>$K$29:$K$85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5289-292F-4AFB-B20A-ABD763FA1895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227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14</v>
      </c>
      <c r="D9" s="192">
        <v>2.85</v>
      </c>
      <c r="E9" s="207">
        <v>1336</v>
      </c>
      <c r="F9" s="218">
        <v>3.2</v>
      </c>
      <c r="G9" s="193">
        <f>E9*F9</f>
        <v>4275.2</v>
      </c>
      <c r="H9" s="194">
        <f>F9*C9</f>
        <v>44.800000000000004</v>
      </c>
      <c r="I9" s="196" t="s">
        <v>131</v>
      </c>
      <c r="J9" s="224">
        <v>2.0833333333333332E-2</v>
      </c>
      <c r="K9" s="225" t="s">
        <v>228</v>
      </c>
    </row>
    <row r="10" spans="1:11" ht="17" x14ac:dyDescent="0.15">
      <c r="A10" s="195">
        <v>2</v>
      </c>
      <c r="B10" s="222" t="s">
        <v>137</v>
      </c>
      <c r="C10" s="206">
        <v>15</v>
      </c>
      <c r="D10" s="192">
        <v>2.85</v>
      </c>
      <c r="E10" s="198">
        <v>1485</v>
      </c>
      <c r="F10" s="223">
        <v>49.8</v>
      </c>
      <c r="G10" s="193">
        <f t="shared" ref="G10:G11" si="0">E10*F10</f>
        <v>73953</v>
      </c>
      <c r="H10" s="194">
        <f t="shared" ref="H10:H11" si="1">F10*C10</f>
        <v>747</v>
      </c>
      <c r="I10" s="196" t="s">
        <v>27</v>
      </c>
      <c r="J10" s="224">
        <v>2.0833333333333332E-2</v>
      </c>
      <c r="K10" s="225" t="s">
        <v>175</v>
      </c>
    </row>
    <row r="11" spans="1:11" ht="17" x14ac:dyDescent="0.15">
      <c r="A11" s="195">
        <v>3</v>
      </c>
      <c r="B11" s="222" t="s">
        <v>138</v>
      </c>
      <c r="C11" s="206">
        <v>12.5</v>
      </c>
      <c r="D11" s="192">
        <v>2.85</v>
      </c>
      <c r="E11" s="198">
        <v>1458</v>
      </c>
      <c r="F11" s="226">
        <v>25</v>
      </c>
      <c r="G11" s="193">
        <f t="shared" si="0"/>
        <v>36450</v>
      </c>
      <c r="H11" s="194">
        <f t="shared" si="1"/>
        <v>312.5</v>
      </c>
      <c r="I11" s="201" t="s">
        <v>134</v>
      </c>
      <c r="J11" s="228">
        <v>6.9444444444444441E-3</v>
      </c>
      <c r="K11" s="229" t="s">
        <v>134</v>
      </c>
    </row>
    <row r="12" spans="1:11" ht="16" x14ac:dyDescent="0.15">
      <c r="A12" s="195"/>
      <c r="B12" s="196"/>
      <c r="C12" s="227"/>
      <c r="D12" s="192"/>
      <c r="E12" s="207"/>
      <c r="F12" s="218"/>
      <c r="G12" s="193"/>
      <c r="H12" s="194"/>
      <c r="I12" s="201"/>
      <c r="J12" s="228"/>
      <c r="K12" s="229"/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/>
      <c r="J13" s="228"/>
      <c r="K13" s="229"/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/>
      <c r="J14" s="231"/>
      <c r="K14" s="229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29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78</v>
      </c>
      <c r="G22" s="135">
        <f>SUM(G9:G21)/F22</f>
        <v>1470.2333333333333</v>
      </c>
      <c r="H22" s="136">
        <f>SUM(H9:H21)/F22</f>
        <v>14.157692307692306</v>
      </c>
      <c r="I22" s="137" t="s">
        <v>19</v>
      </c>
      <c r="J22" s="138">
        <v>1.1000000000000001</v>
      </c>
      <c r="K22" s="131"/>
    </row>
    <row r="23" spans="1:11" x14ac:dyDescent="0.15">
      <c r="E23" s="139"/>
      <c r="F23" s="140"/>
      <c r="I23" s="141" t="s">
        <v>20</v>
      </c>
      <c r="J23" s="142">
        <v>1.17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78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1865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134.16999999999999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6FB05166-EE5E-46DE-8A59-37BBFC42657D}">
      <formula1>$K$29:$K$85</formula1>
    </dataValidation>
    <dataValidation type="list" allowBlank="1" showInputMessage="1" showErrorMessage="1" sqref="B20:B21" xr:uid="{E80A2107-4E17-4CC8-9BC8-2DACC273B2EE}">
      <formula1>$K$29:$K$40</formula1>
    </dataValidation>
    <dataValidation type="list" allowBlank="1" showInputMessage="1" showErrorMessage="1" sqref="I50 K15:K21" xr:uid="{7C1F6364-9956-426D-A644-2D5A4C76C7E4}">
      <formula1>$I$41:$I$50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CABDC-C0C0-495D-BE1D-C920BDB8E8BB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229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15</v>
      </c>
      <c r="D9" s="192">
        <v>2.85</v>
      </c>
      <c r="E9" s="207">
        <v>1353</v>
      </c>
      <c r="F9" s="218">
        <v>31.5</v>
      </c>
      <c r="G9" s="193">
        <f>E9*F9</f>
        <v>42619.5</v>
      </c>
      <c r="H9" s="194">
        <f>F9*C9</f>
        <v>472.5</v>
      </c>
      <c r="I9" s="196" t="s">
        <v>131</v>
      </c>
      <c r="J9" s="224">
        <v>2.0833333333333332E-2</v>
      </c>
      <c r="K9" s="225" t="s">
        <v>228</v>
      </c>
    </row>
    <row r="10" spans="1:11" ht="17" x14ac:dyDescent="0.15">
      <c r="A10" s="195">
        <v>2</v>
      </c>
      <c r="B10" s="222" t="s">
        <v>137</v>
      </c>
      <c r="C10" s="206">
        <v>18</v>
      </c>
      <c r="D10" s="192">
        <v>2.85</v>
      </c>
      <c r="E10" s="198">
        <v>1320</v>
      </c>
      <c r="F10" s="223">
        <v>10</v>
      </c>
      <c r="G10" s="193">
        <f t="shared" ref="G10:G13" si="0">E10*F10</f>
        <v>13200</v>
      </c>
      <c r="H10" s="194">
        <f t="shared" ref="H10:H13" si="1">F10*C10</f>
        <v>180</v>
      </c>
      <c r="I10" s="196" t="s">
        <v>27</v>
      </c>
      <c r="J10" s="224">
        <v>2.7777777777777776E-2</v>
      </c>
      <c r="K10" s="225" t="s">
        <v>175</v>
      </c>
    </row>
    <row r="11" spans="1:11" ht="17" x14ac:dyDescent="0.15">
      <c r="A11" s="195">
        <v>3</v>
      </c>
      <c r="B11" s="222" t="s">
        <v>138</v>
      </c>
      <c r="C11" s="206">
        <v>12.5</v>
      </c>
      <c r="D11" s="192">
        <v>2.85</v>
      </c>
      <c r="E11" s="198">
        <v>1230</v>
      </c>
      <c r="F11" s="226">
        <v>9</v>
      </c>
      <c r="G11" s="193">
        <f t="shared" si="0"/>
        <v>11070</v>
      </c>
      <c r="H11" s="194">
        <f t="shared" si="1"/>
        <v>112.5</v>
      </c>
      <c r="I11" s="201" t="s">
        <v>162</v>
      </c>
      <c r="J11" s="228">
        <v>6.25E-2</v>
      </c>
      <c r="K11" s="229" t="s">
        <v>230</v>
      </c>
    </row>
    <row r="12" spans="1:11" ht="16" x14ac:dyDescent="0.15">
      <c r="A12" s="195">
        <v>4</v>
      </c>
      <c r="B12" s="196" t="s">
        <v>143</v>
      </c>
      <c r="C12" s="227">
        <v>15</v>
      </c>
      <c r="D12" s="192">
        <v>2.85</v>
      </c>
      <c r="E12" s="207">
        <v>1353</v>
      </c>
      <c r="F12" s="218">
        <v>20.2</v>
      </c>
      <c r="G12" s="193">
        <f>E12*F12</f>
        <v>27330.6</v>
      </c>
      <c r="H12" s="194">
        <f>F12*C12</f>
        <v>303</v>
      </c>
      <c r="I12" s="201"/>
      <c r="J12" s="228"/>
      <c r="K12" s="229"/>
    </row>
    <row r="13" spans="1:11" ht="16" x14ac:dyDescent="0.15">
      <c r="A13" s="195">
        <v>5</v>
      </c>
      <c r="B13" s="196" t="s">
        <v>143</v>
      </c>
      <c r="C13" s="197">
        <v>16</v>
      </c>
      <c r="D13" s="192">
        <v>2.85</v>
      </c>
      <c r="E13" s="198">
        <v>1353</v>
      </c>
      <c r="F13" s="199">
        <v>4.3</v>
      </c>
      <c r="G13" s="193">
        <f t="shared" si="0"/>
        <v>5817.9</v>
      </c>
      <c r="H13" s="194">
        <f t="shared" si="1"/>
        <v>68.8</v>
      </c>
      <c r="I13" s="201"/>
      <c r="J13" s="228"/>
      <c r="K13" s="229"/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/>
      <c r="J14" s="231"/>
      <c r="K14" s="229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29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75</v>
      </c>
      <c r="G22" s="135">
        <f>SUM(G9:G21)/F22</f>
        <v>1333.84</v>
      </c>
      <c r="H22" s="136">
        <f>SUM(H9:H21)/F22</f>
        <v>15.157333333333332</v>
      </c>
      <c r="I22" s="137" t="s">
        <v>19</v>
      </c>
      <c r="J22" s="138">
        <v>2.4</v>
      </c>
      <c r="K22" s="131"/>
    </row>
    <row r="23" spans="1:11" x14ac:dyDescent="0.15">
      <c r="E23" s="139"/>
      <c r="F23" s="140"/>
      <c r="I23" s="141" t="s">
        <v>20</v>
      </c>
      <c r="J23" s="142">
        <v>2.67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75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1940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136.83000000000001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FA100F07-3CBB-40A5-B36F-5E19957E1932}">
      <formula1>$I$41:$I$50</formula1>
    </dataValidation>
    <dataValidation type="list" allowBlank="1" showInputMessage="1" showErrorMessage="1" sqref="B20:B21" xr:uid="{B4E1E9C3-5254-4A51-ADD8-E6A61627CD75}">
      <formula1>$K$29:$K$40</formula1>
    </dataValidation>
    <dataValidation type="list" allowBlank="1" showInputMessage="1" showErrorMessage="1" sqref="B16:B19" xr:uid="{D7251EC6-11B5-4A2F-99C4-B0DF97337F29}">
      <formula1>$K$29:$K$85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E632-DC00-4FDF-A98D-4BE41474BF9A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49.6640625" style="90" bestFit="1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231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15</v>
      </c>
      <c r="D9" s="192">
        <v>2.85</v>
      </c>
      <c r="E9" s="207">
        <v>1435</v>
      </c>
      <c r="F9" s="218">
        <v>45</v>
      </c>
      <c r="G9" s="193">
        <f>E9*F9</f>
        <v>64575</v>
      </c>
      <c r="H9" s="194">
        <f>F9*C9</f>
        <v>675</v>
      </c>
      <c r="I9" s="196" t="s">
        <v>131</v>
      </c>
      <c r="J9" s="224">
        <v>2.0833333333333332E-2</v>
      </c>
      <c r="K9" s="225" t="s">
        <v>228</v>
      </c>
    </row>
    <row r="10" spans="1:11" ht="17" x14ac:dyDescent="0.15">
      <c r="A10" s="195">
        <v>2</v>
      </c>
      <c r="B10" s="222" t="s">
        <v>137</v>
      </c>
      <c r="C10" s="206">
        <v>17</v>
      </c>
      <c r="D10" s="192">
        <v>2.85</v>
      </c>
      <c r="E10" s="198">
        <v>1476</v>
      </c>
      <c r="F10" s="223">
        <v>10</v>
      </c>
      <c r="G10" s="193">
        <f t="shared" ref="G10:G11" si="0">E10*F10</f>
        <v>14760</v>
      </c>
      <c r="H10" s="194">
        <f t="shared" ref="H10:H11" si="1">F10*C10</f>
        <v>170</v>
      </c>
      <c r="I10" s="196" t="s">
        <v>27</v>
      </c>
      <c r="J10" s="224">
        <v>2.0833333333333332E-2</v>
      </c>
      <c r="K10" s="225" t="s">
        <v>175</v>
      </c>
    </row>
    <row r="11" spans="1:11" ht="17" x14ac:dyDescent="0.15">
      <c r="A11" s="195">
        <v>3</v>
      </c>
      <c r="B11" s="222" t="s">
        <v>143</v>
      </c>
      <c r="C11" s="206">
        <v>15</v>
      </c>
      <c r="D11" s="192">
        <v>2.85</v>
      </c>
      <c r="E11" s="198">
        <v>1230</v>
      </c>
      <c r="F11" s="226">
        <v>2.5</v>
      </c>
      <c r="G11" s="193">
        <f t="shared" si="0"/>
        <v>3075</v>
      </c>
      <c r="H11" s="194">
        <f t="shared" si="1"/>
        <v>37.5</v>
      </c>
      <c r="I11" s="201" t="s">
        <v>156</v>
      </c>
      <c r="J11" s="228">
        <v>9.0277777777777776E-2</v>
      </c>
      <c r="K11" s="229" t="s">
        <v>232</v>
      </c>
    </row>
    <row r="12" spans="1:11" ht="16" x14ac:dyDescent="0.15">
      <c r="A12" s="195">
        <v>4</v>
      </c>
      <c r="B12" s="196" t="s">
        <v>146</v>
      </c>
      <c r="C12" s="227">
        <v>22</v>
      </c>
      <c r="D12" s="192">
        <v>2.85</v>
      </c>
      <c r="E12" s="207">
        <v>1147</v>
      </c>
      <c r="F12" s="218">
        <v>19.5</v>
      </c>
      <c r="G12" s="193">
        <f>E12*F12</f>
        <v>22366.5</v>
      </c>
      <c r="H12" s="194">
        <f>F12*C12</f>
        <v>429</v>
      </c>
      <c r="I12" s="201" t="s">
        <v>134</v>
      </c>
      <c r="J12" s="228">
        <v>6.9444444444444441E-3</v>
      </c>
      <c r="K12" s="229" t="s">
        <v>134</v>
      </c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/>
      <c r="J13" s="228"/>
      <c r="K13" s="229"/>
    </row>
    <row r="14" spans="1:11" ht="16" x14ac:dyDescent="0.2">
      <c r="A14" s="200"/>
      <c r="B14" s="201"/>
      <c r="C14" s="202"/>
      <c r="D14" s="192"/>
      <c r="E14" s="198"/>
      <c r="F14" s="203"/>
      <c r="G14" s="193"/>
      <c r="H14" s="194"/>
      <c r="I14" s="230"/>
      <c r="J14" s="231"/>
      <c r="K14" s="229"/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29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77</v>
      </c>
      <c r="G22" s="135">
        <f>SUM(G9:G21)/F22</f>
        <v>1360.7337662337663</v>
      </c>
      <c r="H22" s="136">
        <f>SUM(H9:H21)/F22</f>
        <v>17.032467532467532</v>
      </c>
      <c r="I22" s="137" t="s">
        <v>19</v>
      </c>
      <c r="J22" s="138">
        <v>3.2</v>
      </c>
      <c r="K22" s="131"/>
    </row>
    <row r="23" spans="1:11" x14ac:dyDescent="0.15">
      <c r="E23" s="139"/>
      <c r="F23" s="140"/>
      <c r="I23" s="141" t="s">
        <v>20</v>
      </c>
      <c r="J23" s="142">
        <v>3.33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77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2017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140.16999999999999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4A37F7C1-85F0-49EF-B965-9336944424F1}">
      <formula1>$K$29:$K$85</formula1>
    </dataValidation>
    <dataValidation type="list" allowBlank="1" showInputMessage="1" showErrorMessage="1" sqref="B20:B21" xr:uid="{CF8829A4-1350-4425-B69F-4052685BEE8B}">
      <formula1>$K$29:$K$40</formula1>
    </dataValidation>
    <dataValidation type="list" allowBlank="1" showInputMessage="1" showErrorMessage="1" sqref="I50 K15:K21" xr:uid="{2A953BC2-5319-4313-96BE-F8B61FDB9947}">
      <formula1>$I$41:$I$50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CAF6-1AB0-48F9-8FE4-C9D147430974}">
  <dimension ref="A1:K85"/>
  <sheetViews>
    <sheetView topLeftCell="A3" workbookViewId="0">
      <selection sqref="A1:XFD1048576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53.33203125" style="90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 t="s">
        <v>233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146</v>
      </c>
      <c r="C9" s="217">
        <v>30</v>
      </c>
      <c r="D9" s="192">
        <v>2.85</v>
      </c>
      <c r="E9" s="207">
        <v>886</v>
      </c>
      <c r="F9" s="218">
        <v>12</v>
      </c>
      <c r="G9" s="193">
        <f>E9*F9</f>
        <v>10632</v>
      </c>
      <c r="H9" s="194">
        <f>F9*C9</f>
        <v>360</v>
      </c>
      <c r="I9" s="196" t="s">
        <v>131</v>
      </c>
      <c r="J9" s="224">
        <v>1.3888888888888888E-2</v>
      </c>
      <c r="K9" s="225" t="s">
        <v>228</v>
      </c>
    </row>
    <row r="10" spans="1:11" ht="17" x14ac:dyDescent="0.15">
      <c r="A10" s="195">
        <v>2</v>
      </c>
      <c r="B10" s="222" t="s">
        <v>146</v>
      </c>
      <c r="C10" s="206">
        <v>32</v>
      </c>
      <c r="D10" s="192">
        <v>2.85</v>
      </c>
      <c r="E10" s="198">
        <v>867</v>
      </c>
      <c r="F10" s="223">
        <v>23</v>
      </c>
      <c r="G10" s="193">
        <f t="shared" ref="G10:G11" si="0">E10*F10</f>
        <v>19941</v>
      </c>
      <c r="H10" s="194">
        <f t="shared" ref="H10:H11" si="1">F10*C10</f>
        <v>736</v>
      </c>
      <c r="I10" s="196" t="s">
        <v>27</v>
      </c>
      <c r="J10" s="224">
        <v>2.0833333333333332E-2</v>
      </c>
      <c r="K10" s="225" t="s">
        <v>175</v>
      </c>
    </row>
    <row r="11" spans="1:11" ht="17" x14ac:dyDescent="0.15">
      <c r="A11" s="195">
        <v>3</v>
      </c>
      <c r="B11" s="222" t="s">
        <v>146</v>
      </c>
      <c r="C11" s="206">
        <v>40</v>
      </c>
      <c r="D11" s="192">
        <v>2.85</v>
      </c>
      <c r="E11" s="198">
        <v>660</v>
      </c>
      <c r="F11" s="226">
        <v>36.200000000000003</v>
      </c>
      <c r="G11" s="193">
        <f t="shared" si="0"/>
        <v>23892.000000000004</v>
      </c>
      <c r="H11" s="194">
        <f t="shared" si="1"/>
        <v>1448</v>
      </c>
      <c r="I11" s="201" t="s">
        <v>234</v>
      </c>
      <c r="J11" s="228">
        <v>8.3333333333333329E-2</v>
      </c>
      <c r="K11" s="229" t="s">
        <v>235</v>
      </c>
    </row>
    <row r="12" spans="1:11" ht="16" x14ac:dyDescent="0.15">
      <c r="A12" s="195">
        <v>4</v>
      </c>
      <c r="B12" s="196" t="s">
        <v>146</v>
      </c>
      <c r="C12" s="227">
        <v>42</v>
      </c>
      <c r="D12" s="192">
        <v>2.85</v>
      </c>
      <c r="E12" s="207">
        <v>625</v>
      </c>
      <c r="F12" s="218">
        <v>6.8</v>
      </c>
      <c r="G12" s="193">
        <f>E12*F12</f>
        <v>4250</v>
      </c>
      <c r="H12" s="194">
        <f>F12*C12</f>
        <v>285.59999999999997</v>
      </c>
      <c r="I12" s="201" t="s">
        <v>236</v>
      </c>
      <c r="J12" s="228">
        <v>8.3333333333333329E-2</v>
      </c>
      <c r="K12" s="229" t="s">
        <v>237</v>
      </c>
    </row>
    <row r="13" spans="1:11" ht="16" x14ac:dyDescent="0.15">
      <c r="A13" s="195"/>
      <c r="B13" s="196"/>
      <c r="C13" s="197"/>
      <c r="D13" s="192"/>
      <c r="E13" s="198"/>
      <c r="F13" s="199"/>
      <c r="G13" s="193"/>
      <c r="H13" s="194"/>
      <c r="I13" s="201" t="s">
        <v>168</v>
      </c>
      <c r="J13" s="228">
        <v>8.3333333333333329E-2</v>
      </c>
      <c r="K13" s="229" t="s">
        <v>237</v>
      </c>
    </row>
    <row r="14" spans="1:11" ht="16" x14ac:dyDescent="0.15">
      <c r="A14" s="200"/>
      <c r="B14" s="201"/>
      <c r="C14" s="202"/>
      <c r="D14" s="192"/>
      <c r="E14" s="198"/>
      <c r="F14" s="203"/>
      <c r="G14" s="193"/>
      <c r="H14" s="194"/>
      <c r="I14" s="201" t="s">
        <v>236</v>
      </c>
      <c r="J14" s="231">
        <v>1.7361111111111112E-2</v>
      </c>
      <c r="K14" s="229" t="s">
        <v>238</v>
      </c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 t="s">
        <v>136</v>
      </c>
      <c r="J15" s="231">
        <v>1.7361111111111112E-2</v>
      </c>
      <c r="K15" s="229" t="s">
        <v>239</v>
      </c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78</v>
      </c>
      <c r="G22" s="135">
        <f>SUM(G9:G21)/F22</f>
        <v>752.75641025641028</v>
      </c>
      <c r="H22" s="136">
        <f>SUM(H9:H21)/F22</f>
        <v>36.276923076923076</v>
      </c>
      <c r="I22" s="137" t="s">
        <v>19</v>
      </c>
      <c r="J22" s="138">
        <v>7.4</v>
      </c>
      <c r="K22" s="131"/>
    </row>
    <row r="23" spans="1:11" x14ac:dyDescent="0.15">
      <c r="E23" s="139"/>
      <c r="F23" s="140"/>
      <c r="I23" s="141" t="s">
        <v>20</v>
      </c>
      <c r="J23" s="142">
        <v>7.67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78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2095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147.83000000000001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I50 K15:K21" xr:uid="{9B237DF4-2506-4C2E-BBCD-3E36EDB46BCD}">
      <formula1>$I$41:$I$50</formula1>
    </dataValidation>
    <dataValidation type="list" allowBlank="1" showInputMessage="1" showErrorMessage="1" sqref="B20:B21" xr:uid="{CC85E02F-EEB6-427D-AC59-DE90FED1B13F}">
      <formula1>$K$29:$K$40</formula1>
    </dataValidation>
    <dataValidation type="list" allowBlank="1" showInputMessage="1" showErrorMessage="1" sqref="B16:B19" xr:uid="{61407D46-92D8-49F3-8C13-6AD111CDF854}">
      <formula1>$K$29:$K$85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3389F-F4D8-478B-80E4-236A0B8EA450}">
  <dimension ref="A1:K85"/>
  <sheetViews>
    <sheetView workbookViewId="0">
      <selection activeCell="K88" sqref="K88"/>
    </sheetView>
  </sheetViews>
  <sheetFormatPr baseColWidth="10" defaultColWidth="9.1640625" defaultRowHeight="14" x14ac:dyDescent="0.15"/>
  <cols>
    <col min="1" max="1" width="5.1640625" style="90" customWidth="1"/>
    <col min="2" max="2" width="22.5" style="90" customWidth="1"/>
    <col min="3" max="3" width="6.1640625" style="90" customWidth="1"/>
    <col min="4" max="4" width="12.5" style="90" bestFit="1" customWidth="1"/>
    <col min="5" max="5" width="9.83203125" style="90" customWidth="1"/>
    <col min="6" max="6" width="9.33203125" style="90" bestFit="1" customWidth="1"/>
    <col min="7" max="7" width="8.6640625" style="90" customWidth="1"/>
    <col min="8" max="8" width="9.5" style="90" bestFit="1" customWidth="1"/>
    <col min="9" max="9" width="17.83203125" style="90" bestFit="1" customWidth="1"/>
    <col min="10" max="10" width="10.33203125" style="90" bestFit="1" customWidth="1"/>
    <col min="11" max="11" width="53.33203125" style="90" customWidth="1"/>
    <col min="12" max="16384" width="9.1640625" style="90"/>
  </cols>
  <sheetData>
    <row r="1" spans="1:11" x14ac:dyDescent="0.15">
      <c r="A1" s="89" t="s">
        <v>126</v>
      </c>
      <c r="I1" s="91"/>
    </row>
    <row r="2" spans="1:11" x14ac:dyDescent="0.15">
      <c r="J2" s="92"/>
    </row>
    <row r="3" spans="1:11" x14ac:dyDescent="0.15">
      <c r="A3" s="91" t="s">
        <v>127</v>
      </c>
      <c r="I3" s="89"/>
      <c r="J3" s="89"/>
    </row>
    <row r="4" spans="1:11" x14ac:dyDescent="0.15">
      <c r="A4" s="91"/>
      <c r="I4" s="92" t="s">
        <v>5</v>
      </c>
      <c r="J4" s="93">
        <v>45688</v>
      </c>
    </row>
    <row r="5" spans="1:11" x14ac:dyDescent="0.15">
      <c r="J5" s="90" t="s">
        <v>1</v>
      </c>
    </row>
    <row r="6" spans="1:11" ht="30" x14ac:dyDescent="0.15">
      <c r="A6" s="94" t="s">
        <v>6</v>
      </c>
      <c r="B6" s="94" t="s">
        <v>7</v>
      </c>
      <c r="C6" s="94" t="s">
        <v>8</v>
      </c>
      <c r="D6" s="94" t="s">
        <v>9</v>
      </c>
      <c r="E6" s="94" t="s">
        <v>10</v>
      </c>
      <c r="F6" s="94" t="s">
        <v>11</v>
      </c>
      <c r="G6" s="95" t="s">
        <v>12</v>
      </c>
      <c r="H6" s="95" t="s">
        <v>3</v>
      </c>
      <c r="I6" s="95" t="s">
        <v>13</v>
      </c>
      <c r="J6" s="96"/>
      <c r="K6" s="94" t="s">
        <v>14</v>
      </c>
    </row>
    <row r="7" spans="1:11" ht="30" x14ac:dyDescent="0.15">
      <c r="A7" s="95"/>
      <c r="B7" s="97"/>
      <c r="C7" s="94"/>
      <c r="D7" s="94" t="s">
        <v>4</v>
      </c>
      <c r="E7" s="94" t="s">
        <v>15</v>
      </c>
      <c r="F7" s="98" t="s">
        <v>0</v>
      </c>
      <c r="G7" s="98" t="s">
        <v>15</v>
      </c>
      <c r="H7" s="98" t="s">
        <v>102</v>
      </c>
      <c r="I7" s="94" t="s">
        <v>16</v>
      </c>
      <c r="J7" s="98" t="s">
        <v>17</v>
      </c>
      <c r="K7" s="98"/>
    </row>
    <row r="8" spans="1:11" ht="16" x14ac:dyDescent="0.2">
      <c r="A8" s="209"/>
      <c r="B8" s="192"/>
      <c r="C8" s="194"/>
      <c r="D8" s="192"/>
      <c r="E8" s="192"/>
      <c r="F8" s="209"/>
      <c r="G8" s="209"/>
      <c r="H8" s="209"/>
      <c r="I8" s="209"/>
      <c r="J8" s="214"/>
      <c r="K8" s="209"/>
    </row>
    <row r="9" spans="1:11" ht="17" x14ac:dyDescent="0.15">
      <c r="A9" s="215">
        <v>1</v>
      </c>
      <c r="B9" s="216" t="s">
        <v>137</v>
      </c>
      <c r="C9" s="217">
        <v>15</v>
      </c>
      <c r="D9" s="192">
        <v>2.85</v>
      </c>
      <c r="E9" s="207">
        <v>1353</v>
      </c>
      <c r="F9" s="218">
        <v>7.6</v>
      </c>
      <c r="G9" s="193">
        <f>E9*F9</f>
        <v>10282.799999999999</v>
      </c>
      <c r="H9" s="194">
        <f>F9*C9</f>
        <v>114</v>
      </c>
      <c r="I9" s="196" t="s">
        <v>131</v>
      </c>
      <c r="J9" s="224">
        <v>2.0833333333333332E-2</v>
      </c>
      <c r="K9" s="225" t="s">
        <v>228</v>
      </c>
    </row>
    <row r="10" spans="1:11" ht="17" x14ac:dyDescent="0.15">
      <c r="A10" s="195">
        <v>2</v>
      </c>
      <c r="B10" s="222" t="s">
        <v>137</v>
      </c>
      <c r="C10" s="206">
        <v>16</v>
      </c>
      <c r="D10" s="192">
        <v>2.85</v>
      </c>
      <c r="E10" s="198">
        <v>1312</v>
      </c>
      <c r="F10" s="223">
        <v>6</v>
      </c>
      <c r="G10" s="193">
        <f t="shared" ref="G10:G11" si="0">E10*F10</f>
        <v>7872</v>
      </c>
      <c r="H10" s="194">
        <f t="shared" ref="H10:H11" si="1">F10*C10</f>
        <v>96</v>
      </c>
      <c r="I10" s="196" t="s">
        <v>27</v>
      </c>
      <c r="J10" s="224">
        <v>2.7777777777777776E-2</v>
      </c>
      <c r="K10" s="225" t="s">
        <v>175</v>
      </c>
    </row>
    <row r="11" spans="1:11" ht="17" x14ac:dyDescent="0.15">
      <c r="A11" s="195">
        <v>3</v>
      </c>
      <c r="B11" s="222" t="s">
        <v>137</v>
      </c>
      <c r="C11" s="206">
        <v>17</v>
      </c>
      <c r="D11" s="192">
        <v>2.85</v>
      </c>
      <c r="E11" s="198">
        <v>1312</v>
      </c>
      <c r="F11" s="226">
        <v>16</v>
      </c>
      <c r="G11" s="193">
        <f t="shared" si="0"/>
        <v>20992</v>
      </c>
      <c r="H11" s="194">
        <f t="shared" si="1"/>
        <v>272</v>
      </c>
      <c r="I11" s="201" t="s">
        <v>234</v>
      </c>
      <c r="J11" s="228">
        <v>0.11458333333333333</v>
      </c>
      <c r="K11" s="229" t="s">
        <v>235</v>
      </c>
    </row>
    <row r="12" spans="1:11" ht="16" x14ac:dyDescent="0.15">
      <c r="A12" s="195">
        <v>4</v>
      </c>
      <c r="B12" s="196" t="s">
        <v>142</v>
      </c>
      <c r="C12" s="227">
        <v>17</v>
      </c>
      <c r="D12" s="192">
        <v>2.85</v>
      </c>
      <c r="E12" s="207">
        <v>1377</v>
      </c>
      <c r="F12" s="218">
        <v>38.4</v>
      </c>
      <c r="G12" s="193">
        <f>E12*F12</f>
        <v>52876.799999999996</v>
      </c>
      <c r="H12" s="194">
        <f>F12*C12</f>
        <v>652.79999999999995</v>
      </c>
      <c r="I12" s="201" t="s">
        <v>136</v>
      </c>
      <c r="J12" s="228">
        <v>2.0833333333333332E-2</v>
      </c>
      <c r="K12" s="229" t="s">
        <v>240</v>
      </c>
    </row>
    <row r="13" spans="1:11" ht="16" x14ac:dyDescent="0.15">
      <c r="A13" s="195">
        <v>5</v>
      </c>
      <c r="B13" s="196" t="s">
        <v>138</v>
      </c>
      <c r="C13" s="197">
        <v>13.5</v>
      </c>
      <c r="D13" s="192">
        <v>2.85</v>
      </c>
      <c r="E13" s="198">
        <v>1418</v>
      </c>
      <c r="F13" s="199">
        <v>8</v>
      </c>
      <c r="G13" s="193">
        <f>E13*F13</f>
        <v>11344</v>
      </c>
      <c r="H13" s="194">
        <f>F13*C13</f>
        <v>108</v>
      </c>
      <c r="I13" s="201" t="s">
        <v>168</v>
      </c>
      <c r="J13" s="228">
        <v>1.0416666666666666E-2</v>
      </c>
      <c r="K13" s="229" t="s">
        <v>241</v>
      </c>
    </row>
    <row r="14" spans="1:11" ht="16" x14ac:dyDescent="0.15">
      <c r="A14" s="200"/>
      <c r="B14" s="201"/>
      <c r="C14" s="202"/>
      <c r="D14" s="192"/>
      <c r="E14" s="198"/>
      <c r="F14" s="203"/>
      <c r="G14" s="193"/>
      <c r="H14" s="194"/>
      <c r="I14" s="201" t="s">
        <v>134</v>
      </c>
      <c r="J14" s="231">
        <v>2.7777777777777776E-2</v>
      </c>
      <c r="K14" s="229" t="s">
        <v>134</v>
      </c>
    </row>
    <row r="15" spans="1:11" ht="16" x14ac:dyDescent="0.2">
      <c r="A15" s="204"/>
      <c r="B15" s="205"/>
      <c r="C15" s="206"/>
      <c r="D15" s="192"/>
      <c r="E15" s="207"/>
      <c r="F15" s="206"/>
      <c r="G15" s="193"/>
      <c r="H15" s="194"/>
      <c r="I15" s="230"/>
      <c r="J15" s="231"/>
      <c r="K15" s="229"/>
    </row>
    <row r="16" spans="1:11" ht="16" x14ac:dyDescent="0.2">
      <c r="A16" s="204"/>
      <c r="B16" s="205"/>
      <c r="C16" s="206"/>
      <c r="D16" s="192"/>
      <c r="E16" s="198"/>
      <c r="F16" s="206"/>
      <c r="G16" s="193"/>
      <c r="H16" s="194"/>
      <c r="I16" s="230"/>
      <c r="J16" s="231"/>
      <c r="K16" s="232"/>
    </row>
    <row r="17" spans="1:11" ht="16" x14ac:dyDescent="0.2">
      <c r="A17" s="204"/>
      <c r="B17" s="205"/>
      <c r="C17" s="206"/>
      <c r="D17" s="192"/>
      <c r="E17" s="198"/>
      <c r="F17" s="206"/>
      <c r="G17" s="193"/>
      <c r="H17" s="194"/>
      <c r="I17" s="230"/>
      <c r="J17" s="231"/>
      <c r="K17" s="232"/>
    </row>
    <row r="18" spans="1:11" ht="16" x14ac:dyDescent="0.2">
      <c r="A18" s="210"/>
      <c r="B18" s="211"/>
      <c r="C18" s="206"/>
      <c r="D18" s="192"/>
      <c r="E18" s="212"/>
      <c r="F18" s="213"/>
      <c r="G18" s="193"/>
      <c r="H18" s="194"/>
      <c r="I18" s="209"/>
      <c r="J18" s="214"/>
      <c r="K18" s="209"/>
    </row>
    <row r="19" spans="1:11" x14ac:dyDescent="0.15">
      <c r="A19" s="100"/>
      <c r="B19" s="99"/>
      <c r="C19" s="101"/>
      <c r="D19" s="127"/>
      <c r="E19" s="100"/>
      <c r="F19" s="101"/>
      <c r="G19" s="108"/>
      <c r="H19" s="101"/>
      <c r="I19" s="99"/>
      <c r="J19" s="102"/>
      <c r="K19" s="99"/>
    </row>
    <row r="20" spans="1:11" x14ac:dyDescent="0.15">
      <c r="A20" s="100"/>
      <c r="B20" s="99"/>
      <c r="C20" s="101"/>
      <c r="D20" s="127"/>
      <c r="E20" s="100"/>
      <c r="F20" s="101"/>
      <c r="G20" s="108"/>
      <c r="H20" s="101"/>
      <c r="I20" s="99"/>
      <c r="J20" s="102"/>
      <c r="K20" s="99"/>
    </row>
    <row r="21" spans="1:11" x14ac:dyDescent="0.15">
      <c r="A21" s="100"/>
      <c r="B21" s="99"/>
      <c r="C21" s="129"/>
      <c r="D21" s="100"/>
      <c r="E21" s="102"/>
      <c r="F21" s="129"/>
      <c r="G21" s="108"/>
      <c r="H21" s="101"/>
      <c r="I21" s="99"/>
      <c r="J21" s="102"/>
      <c r="K21" s="99"/>
    </row>
    <row r="22" spans="1:11" x14ac:dyDescent="0.15">
      <c r="A22" s="130"/>
      <c r="B22" s="131"/>
      <c r="C22" s="132"/>
      <c r="D22" s="132"/>
      <c r="E22" s="133" t="s">
        <v>18</v>
      </c>
      <c r="F22" s="134">
        <f>SUM(F9:F21)</f>
        <v>76</v>
      </c>
      <c r="G22" s="135">
        <f>SUM(G9:G21)/F22</f>
        <v>1360.1000000000001</v>
      </c>
      <c r="H22" s="136">
        <f>SUM(H9:H21)/F22</f>
        <v>16.352631578947367</v>
      </c>
      <c r="I22" s="137" t="s">
        <v>19</v>
      </c>
      <c r="J22" s="138">
        <v>5.2</v>
      </c>
      <c r="K22" s="131"/>
    </row>
    <row r="23" spans="1:11" x14ac:dyDescent="0.15">
      <c r="E23" s="139"/>
      <c r="F23" s="140"/>
      <c r="I23" s="141" t="s">
        <v>20</v>
      </c>
      <c r="J23" s="142">
        <v>5.33</v>
      </c>
    </row>
    <row r="24" spans="1:11" x14ac:dyDescent="0.15">
      <c r="A24" s="89"/>
      <c r="I24" s="143"/>
      <c r="J24" s="144"/>
    </row>
    <row r="25" spans="1:11" x14ac:dyDescent="0.15">
      <c r="A25" s="145" t="s">
        <v>21</v>
      </c>
      <c r="B25" s="145"/>
      <c r="C25" s="145"/>
      <c r="D25" s="129"/>
      <c r="H25" s="92" t="s">
        <v>22</v>
      </c>
      <c r="I25" s="92"/>
      <c r="J25" s="139">
        <v>76</v>
      </c>
      <c r="K25" s="89" t="s">
        <v>0</v>
      </c>
    </row>
    <row r="26" spans="1:11" x14ac:dyDescent="0.15">
      <c r="A26" s="145" t="s">
        <v>23</v>
      </c>
      <c r="B26" s="145"/>
      <c r="C26" s="145"/>
      <c r="D26" s="129"/>
      <c r="H26" s="92" t="s">
        <v>24</v>
      </c>
      <c r="I26" s="92"/>
      <c r="J26" s="139">
        <v>2171</v>
      </c>
      <c r="K26" s="89" t="s">
        <v>0</v>
      </c>
    </row>
    <row r="27" spans="1:11" ht="15" thickBot="1" x14ac:dyDescent="0.2">
      <c r="A27" s="146"/>
      <c r="B27" s="146"/>
      <c r="C27" s="146"/>
      <c r="D27" s="146"/>
      <c r="E27" s="147"/>
      <c r="F27" s="147"/>
      <c r="G27" s="146"/>
      <c r="H27" s="148" t="s">
        <v>25</v>
      </c>
      <c r="I27" s="148"/>
      <c r="J27" s="149">
        <v>153.16999999999999</v>
      </c>
      <c r="K27" s="150" t="s">
        <v>2</v>
      </c>
    </row>
    <row r="28" spans="1:11" x14ac:dyDescent="0.15">
      <c r="J28" s="90" t="s">
        <v>1</v>
      </c>
    </row>
    <row r="29" spans="1:11" hidden="1" x14ac:dyDescent="0.15">
      <c r="K29" s="90" t="s">
        <v>103</v>
      </c>
    </row>
    <row r="30" spans="1:11" hidden="1" x14ac:dyDescent="0.15">
      <c r="K30" s="90" t="s">
        <v>77</v>
      </c>
    </row>
    <row r="31" spans="1:11" hidden="1" x14ac:dyDescent="0.15">
      <c r="K31" s="90" t="s">
        <v>81</v>
      </c>
    </row>
    <row r="32" spans="1:11" hidden="1" x14ac:dyDescent="0.15">
      <c r="K32" s="90" t="s">
        <v>85</v>
      </c>
    </row>
    <row r="33" spans="9:11" hidden="1" x14ac:dyDescent="0.15">
      <c r="K33" s="90" t="s">
        <v>84</v>
      </c>
    </row>
    <row r="34" spans="9:11" hidden="1" x14ac:dyDescent="0.15">
      <c r="K34" s="90" t="s">
        <v>92</v>
      </c>
    </row>
    <row r="35" spans="9:11" hidden="1" x14ac:dyDescent="0.15">
      <c r="K35" s="90" t="s">
        <v>82</v>
      </c>
    </row>
    <row r="36" spans="9:11" hidden="1" x14ac:dyDescent="0.15">
      <c r="K36" s="90" t="s">
        <v>86</v>
      </c>
    </row>
    <row r="37" spans="9:11" hidden="1" x14ac:dyDescent="0.15">
      <c r="K37" s="90" t="s">
        <v>80</v>
      </c>
    </row>
    <row r="38" spans="9:11" hidden="1" x14ac:dyDescent="0.15">
      <c r="K38" s="90" t="s">
        <v>87</v>
      </c>
    </row>
    <row r="39" spans="9:11" hidden="1" x14ac:dyDescent="0.15">
      <c r="K39" s="90" t="s">
        <v>65</v>
      </c>
    </row>
    <row r="40" spans="9:11" hidden="1" x14ac:dyDescent="0.15">
      <c r="K40" s="90" t="s">
        <v>89</v>
      </c>
    </row>
    <row r="41" spans="9:11" ht="30" hidden="1" x14ac:dyDescent="0.15">
      <c r="I41" s="151" t="s">
        <v>26</v>
      </c>
      <c r="K41" s="90" t="s">
        <v>90</v>
      </c>
    </row>
    <row r="42" spans="9:11" ht="15" hidden="1" x14ac:dyDescent="0.15">
      <c r="I42" s="151" t="s">
        <v>27</v>
      </c>
      <c r="K42" s="90" t="s">
        <v>93</v>
      </c>
    </row>
    <row r="43" spans="9:11" hidden="1" x14ac:dyDescent="0.15">
      <c r="I43" s="152" t="s">
        <v>28</v>
      </c>
      <c r="K43" s="90" t="s">
        <v>104</v>
      </c>
    </row>
    <row r="44" spans="9:11" hidden="1" x14ac:dyDescent="0.15">
      <c r="I44" s="90" t="s">
        <v>29</v>
      </c>
      <c r="K44" s="90" t="s">
        <v>94</v>
      </c>
    </row>
    <row r="45" spans="9:11" hidden="1" x14ac:dyDescent="0.15">
      <c r="I45" s="90" t="s">
        <v>30</v>
      </c>
      <c r="K45" s="90" t="s">
        <v>95</v>
      </c>
    </row>
    <row r="46" spans="9:11" hidden="1" x14ac:dyDescent="0.15">
      <c r="I46" s="90" t="s">
        <v>34</v>
      </c>
      <c r="K46" s="90" t="s">
        <v>78</v>
      </c>
    </row>
    <row r="47" spans="9:11" hidden="1" x14ac:dyDescent="0.15">
      <c r="I47" s="90" t="s">
        <v>35</v>
      </c>
      <c r="K47" s="90" t="s">
        <v>83</v>
      </c>
    </row>
    <row r="48" spans="9:11" hidden="1" x14ac:dyDescent="0.15">
      <c r="I48" s="90" t="s">
        <v>31</v>
      </c>
      <c r="K48" s="90" t="s">
        <v>57</v>
      </c>
    </row>
    <row r="49" spans="9:11" hidden="1" x14ac:dyDescent="0.15">
      <c r="I49" s="90" t="s">
        <v>32</v>
      </c>
      <c r="K49" s="90" t="s">
        <v>67</v>
      </c>
    </row>
    <row r="50" spans="9:11" hidden="1" x14ac:dyDescent="0.15">
      <c r="I50" s="90" t="s">
        <v>33</v>
      </c>
      <c r="K50" s="90" t="s">
        <v>73</v>
      </c>
    </row>
    <row r="51" spans="9:11" hidden="1" x14ac:dyDescent="0.15">
      <c r="K51" s="90" t="s">
        <v>68</v>
      </c>
    </row>
    <row r="52" spans="9:11" hidden="1" x14ac:dyDescent="0.15">
      <c r="K52" s="90" t="s">
        <v>56</v>
      </c>
    </row>
    <row r="53" spans="9:11" hidden="1" x14ac:dyDescent="0.15">
      <c r="K53" s="90" t="s">
        <v>52</v>
      </c>
    </row>
    <row r="54" spans="9:11" hidden="1" x14ac:dyDescent="0.15">
      <c r="K54" s="90" t="s">
        <v>91</v>
      </c>
    </row>
    <row r="55" spans="9:11" hidden="1" x14ac:dyDescent="0.15">
      <c r="K55" s="90" t="s">
        <v>96</v>
      </c>
    </row>
    <row r="56" spans="9:11" hidden="1" x14ac:dyDescent="0.15">
      <c r="K56" s="90" t="s">
        <v>105</v>
      </c>
    </row>
    <row r="57" spans="9:11" hidden="1" x14ac:dyDescent="0.15">
      <c r="K57" s="90" t="s">
        <v>55</v>
      </c>
    </row>
    <row r="58" spans="9:11" hidden="1" x14ac:dyDescent="0.15">
      <c r="K58" s="90" t="s">
        <v>53</v>
      </c>
    </row>
    <row r="59" spans="9:11" hidden="1" x14ac:dyDescent="0.15">
      <c r="K59" s="90" t="s">
        <v>54</v>
      </c>
    </row>
    <row r="60" spans="9:11" hidden="1" x14ac:dyDescent="0.15">
      <c r="K60" s="90" t="s">
        <v>66</v>
      </c>
    </row>
    <row r="61" spans="9:11" hidden="1" x14ac:dyDescent="0.15">
      <c r="K61" s="90" t="s">
        <v>70</v>
      </c>
    </row>
    <row r="62" spans="9:11" hidden="1" x14ac:dyDescent="0.15">
      <c r="K62" s="90" t="s">
        <v>71</v>
      </c>
    </row>
    <row r="63" spans="9:11" hidden="1" x14ac:dyDescent="0.15">
      <c r="K63" s="90" t="s">
        <v>105</v>
      </c>
    </row>
    <row r="64" spans="9:11" hidden="1" x14ac:dyDescent="0.15">
      <c r="K64" s="90" t="s">
        <v>64</v>
      </c>
    </row>
    <row r="65" spans="11:11" hidden="1" x14ac:dyDescent="0.15">
      <c r="K65" s="90" t="s">
        <v>63</v>
      </c>
    </row>
    <row r="66" spans="11:11" hidden="1" x14ac:dyDescent="0.15">
      <c r="K66" s="90" t="s">
        <v>62</v>
      </c>
    </row>
    <row r="67" spans="11:11" hidden="1" x14ac:dyDescent="0.15">
      <c r="K67" s="90" t="s">
        <v>51</v>
      </c>
    </row>
    <row r="68" spans="11:11" hidden="1" x14ac:dyDescent="0.15">
      <c r="K68" s="90" t="s">
        <v>61</v>
      </c>
    </row>
    <row r="69" spans="11:11" hidden="1" x14ac:dyDescent="0.15">
      <c r="K69" s="90" t="s">
        <v>72</v>
      </c>
    </row>
    <row r="70" spans="11:11" hidden="1" x14ac:dyDescent="0.15">
      <c r="K70" s="90" t="s">
        <v>69</v>
      </c>
    </row>
    <row r="71" spans="11:11" hidden="1" x14ac:dyDescent="0.15">
      <c r="K71" s="90" t="s">
        <v>106</v>
      </c>
    </row>
    <row r="72" spans="11:11" hidden="1" x14ac:dyDescent="0.15">
      <c r="K72" s="90" t="s">
        <v>74</v>
      </c>
    </row>
    <row r="73" spans="11:11" hidden="1" x14ac:dyDescent="0.15">
      <c r="K73" s="90" t="s">
        <v>97</v>
      </c>
    </row>
    <row r="74" spans="11:11" hidden="1" x14ac:dyDescent="0.15">
      <c r="K74" s="90" t="s">
        <v>98</v>
      </c>
    </row>
    <row r="75" spans="11:11" hidden="1" x14ac:dyDescent="0.15">
      <c r="K75" s="90" t="s">
        <v>99</v>
      </c>
    </row>
    <row r="76" spans="11:11" hidden="1" x14ac:dyDescent="0.15">
      <c r="K76" s="90" t="s">
        <v>79</v>
      </c>
    </row>
    <row r="77" spans="11:11" hidden="1" x14ac:dyDescent="0.15">
      <c r="K77" s="90" t="s">
        <v>100</v>
      </c>
    </row>
    <row r="78" spans="11:11" hidden="1" x14ac:dyDescent="0.15">
      <c r="K78" s="90" t="s">
        <v>88</v>
      </c>
    </row>
    <row r="79" spans="11:11" hidden="1" x14ac:dyDescent="0.15">
      <c r="K79" s="90" t="s">
        <v>60</v>
      </c>
    </row>
    <row r="80" spans="11:11" hidden="1" x14ac:dyDescent="0.15">
      <c r="K80" s="90" t="s">
        <v>75</v>
      </c>
    </row>
    <row r="81" spans="11:11" hidden="1" x14ac:dyDescent="0.15">
      <c r="K81" s="90" t="s">
        <v>76</v>
      </c>
    </row>
    <row r="82" spans="11:11" hidden="1" x14ac:dyDescent="0.15">
      <c r="K82" s="90" t="s">
        <v>101</v>
      </c>
    </row>
    <row r="83" spans="11:11" hidden="1" x14ac:dyDescent="0.15">
      <c r="K83" s="90" t="s">
        <v>59</v>
      </c>
    </row>
    <row r="84" spans="11:11" hidden="1" x14ac:dyDescent="0.15">
      <c r="K84" s="90" t="s">
        <v>58</v>
      </c>
    </row>
    <row r="85" spans="11:11" hidden="1" x14ac:dyDescent="0.15">
      <c r="K85" s="90" t="s">
        <v>104</v>
      </c>
    </row>
  </sheetData>
  <dataValidations count="3">
    <dataValidation type="list" allowBlank="1" showInputMessage="1" showErrorMessage="1" sqref="B16:B19" xr:uid="{7B756A5A-4D1D-4363-AF22-095A84423DF0}">
      <formula1>$K$29:$K$85</formula1>
    </dataValidation>
    <dataValidation type="list" allowBlank="1" showInputMessage="1" showErrorMessage="1" sqref="B20:B21" xr:uid="{8F614817-DC97-4B74-8D59-E09A46B60958}">
      <formula1>$K$29:$K$40</formula1>
    </dataValidation>
    <dataValidation type="list" allowBlank="1" showInputMessage="1" showErrorMessage="1" sqref="I50 K15:K21" xr:uid="{55788E24-F648-437A-AB26-C86AA9B9DD0B}">
      <formula1>$I$41:$I$50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4">
    <pageSetUpPr fitToPage="1"/>
  </sheetPr>
  <dimension ref="A1:AL126"/>
  <sheetViews>
    <sheetView zoomScaleNormal="100" zoomScaleSheetLayoutView="41" workbookViewId="0">
      <pane xSplit="4" ySplit="2" topLeftCell="E17" activePane="bottomRight" state="frozen"/>
      <selection activeCell="K28" sqref="K28"/>
      <selection pane="topRight" activeCell="K28" sqref="K28"/>
      <selection pane="bottomLeft" activeCell="K28" sqref="K28"/>
      <selection pane="bottomRight" activeCell="C11" sqref="C11"/>
    </sheetView>
  </sheetViews>
  <sheetFormatPr baseColWidth="10" defaultColWidth="9.1640625" defaultRowHeight="20" x14ac:dyDescent="0.2"/>
  <cols>
    <col min="1" max="1" width="4.5" style="1" customWidth="1"/>
    <col min="2" max="2" width="62.5" style="1" customWidth="1"/>
    <col min="3" max="3" width="12.1640625" style="1" customWidth="1"/>
    <col min="4" max="7" width="10.1640625" style="1" customWidth="1"/>
    <col min="8" max="8" width="10.33203125" style="1" bestFit="1" customWidth="1"/>
    <col min="9" max="9" width="10.5" style="1" customWidth="1"/>
    <col min="10" max="10" width="10.1640625" style="1" customWidth="1"/>
    <col min="11" max="11" width="11.6640625" style="1" customWidth="1"/>
    <col min="12" max="12" width="12.5" style="1" customWidth="1"/>
    <col min="13" max="13" width="11.6640625" style="1" customWidth="1"/>
    <col min="14" max="14" width="12" style="1" customWidth="1"/>
    <col min="15" max="15" width="12.1640625" style="1" customWidth="1"/>
    <col min="16" max="16" width="11.83203125" style="1" customWidth="1"/>
    <col min="17" max="17" width="11" style="1" customWidth="1"/>
    <col min="18" max="31" width="11.33203125" style="1" customWidth="1"/>
    <col min="32" max="33" width="11.83203125" style="1" bestFit="1" customWidth="1"/>
    <col min="34" max="34" width="21" style="1" customWidth="1"/>
    <col min="35" max="35" width="29.5" style="6" customWidth="1"/>
    <col min="36" max="36" width="14.83203125" style="1" customWidth="1"/>
    <col min="37" max="37" width="13.5" style="1" customWidth="1"/>
    <col min="38" max="38" width="17" style="1" customWidth="1"/>
    <col min="39" max="39" width="10" style="1" customWidth="1"/>
    <col min="40" max="16384" width="9.1640625" style="1"/>
  </cols>
  <sheetData>
    <row r="1" spans="1:36" ht="23" x14ac:dyDescent="0.25">
      <c r="A1" s="327" t="s">
        <v>1</v>
      </c>
      <c r="B1" s="62" t="s">
        <v>247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4"/>
    </row>
    <row r="2" spans="1:36" ht="44.25" customHeight="1" x14ac:dyDescent="0.2">
      <c r="A2" s="328"/>
      <c r="B2" s="37" t="s">
        <v>36</v>
      </c>
      <c r="C2" s="38" t="s">
        <v>37</v>
      </c>
      <c r="D2" s="38">
        <v>1</v>
      </c>
      <c r="E2" s="38">
        <v>2</v>
      </c>
      <c r="F2" s="38">
        <v>3</v>
      </c>
      <c r="G2" s="38">
        <v>4</v>
      </c>
      <c r="H2" s="38">
        <v>5</v>
      </c>
      <c r="I2" s="38">
        <v>6</v>
      </c>
      <c r="J2" s="38">
        <v>7</v>
      </c>
      <c r="K2" s="38">
        <v>8</v>
      </c>
      <c r="L2" s="38">
        <v>9</v>
      </c>
      <c r="M2" s="38">
        <v>10</v>
      </c>
      <c r="N2" s="38">
        <v>11</v>
      </c>
      <c r="O2" s="38">
        <v>12</v>
      </c>
      <c r="P2" s="38">
        <v>13</v>
      </c>
      <c r="Q2" s="38">
        <v>14</v>
      </c>
      <c r="R2" s="38">
        <v>15</v>
      </c>
      <c r="S2" s="38">
        <v>16</v>
      </c>
      <c r="T2" s="38">
        <v>17</v>
      </c>
      <c r="U2" s="38">
        <v>18</v>
      </c>
      <c r="V2" s="38">
        <v>19</v>
      </c>
      <c r="W2" s="38">
        <v>20</v>
      </c>
      <c r="X2" s="38">
        <v>21</v>
      </c>
      <c r="Y2" s="38">
        <v>22</v>
      </c>
      <c r="Z2" s="38">
        <v>23</v>
      </c>
      <c r="AA2" s="38">
        <v>24</v>
      </c>
      <c r="AB2" s="38">
        <v>25</v>
      </c>
      <c r="AC2" s="38">
        <v>26</v>
      </c>
      <c r="AD2" s="38">
        <v>27</v>
      </c>
      <c r="AE2" s="38">
        <v>28</v>
      </c>
      <c r="AF2" s="38">
        <v>29</v>
      </c>
      <c r="AG2" s="38">
        <v>30</v>
      </c>
      <c r="AH2" s="38">
        <v>31</v>
      </c>
      <c r="AI2" s="39" t="s">
        <v>38</v>
      </c>
    </row>
    <row r="3" spans="1:36" s="3" customFormat="1" x14ac:dyDescent="0.2">
      <c r="A3" s="329" t="s">
        <v>39</v>
      </c>
      <c r="B3" s="40" t="s">
        <v>40</v>
      </c>
      <c r="C3" s="5" t="s">
        <v>41</v>
      </c>
      <c r="D3" s="34"/>
      <c r="E3" s="34"/>
      <c r="F3" s="332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4"/>
    </row>
    <row r="4" spans="1:36" x14ac:dyDescent="0.2">
      <c r="A4" s="330">
        <v>1</v>
      </c>
      <c r="B4" s="41" t="s">
        <v>123</v>
      </c>
      <c r="C4" s="35" t="s">
        <v>0</v>
      </c>
      <c r="D4" s="33">
        <v>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51">
        <v>0</v>
      </c>
      <c r="M4" s="51">
        <v>0</v>
      </c>
      <c r="N4" s="51">
        <v>0</v>
      </c>
      <c r="O4" s="51">
        <v>0</v>
      </c>
      <c r="P4" s="51">
        <v>0</v>
      </c>
      <c r="Q4" s="51">
        <v>0</v>
      </c>
      <c r="R4" s="51">
        <v>0</v>
      </c>
      <c r="S4" s="51">
        <v>0</v>
      </c>
      <c r="T4" s="51">
        <v>0</v>
      </c>
      <c r="U4" s="51">
        <v>0</v>
      </c>
      <c r="V4" s="51">
        <v>0</v>
      </c>
      <c r="W4" s="51">
        <v>0</v>
      </c>
      <c r="X4" s="51">
        <v>0</v>
      </c>
      <c r="Y4" s="51">
        <v>0</v>
      </c>
      <c r="Z4" s="51">
        <v>0</v>
      </c>
      <c r="AA4" s="51">
        <v>0</v>
      </c>
      <c r="AB4" s="51">
        <v>0</v>
      </c>
      <c r="AC4" s="51">
        <v>0</v>
      </c>
      <c r="AD4" s="51">
        <v>0</v>
      </c>
      <c r="AE4" s="51">
        <v>0</v>
      </c>
      <c r="AF4" s="51">
        <v>0</v>
      </c>
      <c r="AG4" s="51">
        <v>0</v>
      </c>
      <c r="AH4" s="51">
        <v>0</v>
      </c>
      <c r="AI4" s="46">
        <f>SUM(D4:AH4)</f>
        <v>0</v>
      </c>
      <c r="AJ4" s="2"/>
    </row>
    <row r="5" spans="1:36" x14ac:dyDescent="0.2">
      <c r="A5" s="330">
        <v>2</v>
      </c>
      <c r="B5" s="41" t="s">
        <v>129</v>
      </c>
      <c r="C5" s="35" t="s">
        <v>0</v>
      </c>
      <c r="D5" s="33">
        <v>63</v>
      </c>
      <c r="E5" s="33">
        <v>66.528000000000006</v>
      </c>
      <c r="F5" s="33">
        <v>73.08</v>
      </c>
      <c r="G5" s="33">
        <v>47.88</v>
      </c>
      <c r="H5" s="33">
        <v>50.904000000000003</v>
      </c>
      <c r="I5" s="33">
        <v>66.024000000000001</v>
      </c>
      <c r="J5" s="33">
        <v>53.423999999999999</v>
      </c>
      <c r="K5" s="33">
        <v>52.92</v>
      </c>
      <c r="L5" s="51">
        <v>37.043999999999997</v>
      </c>
      <c r="M5" s="51">
        <v>8.82</v>
      </c>
      <c r="N5" s="51">
        <v>28.224</v>
      </c>
      <c r="O5" s="51">
        <v>40.572000000000003</v>
      </c>
      <c r="P5" s="51">
        <v>47.628</v>
      </c>
      <c r="Q5" s="51">
        <v>45.863999999999997</v>
      </c>
      <c r="R5" s="51">
        <v>10.584</v>
      </c>
      <c r="S5" s="51">
        <v>0</v>
      </c>
      <c r="T5" s="51">
        <v>34.020000000000003</v>
      </c>
      <c r="U5" s="51">
        <v>3.78</v>
      </c>
      <c r="V5" s="51">
        <v>18.899999999999999</v>
      </c>
      <c r="W5" s="51">
        <v>32.256</v>
      </c>
      <c r="X5" s="51">
        <v>19.152000000000001</v>
      </c>
      <c r="Y5" s="51">
        <v>0</v>
      </c>
      <c r="Z5" s="51">
        <v>3.78</v>
      </c>
      <c r="AA5" s="51">
        <v>19.152000000000001</v>
      </c>
      <c r="AB5" s="51">
        <v>25.2</v>
      </c>
      <c r="AC5" s="51">
        <v>25.956</v>
      </c>
      <c r="AD5" s="51">
        <v>0</v>
      </c>
      <c r="AE5" s="51">
        <v>0</v>
      </c>
      <c r="AF5" s="51">
        <v>0</v>
      </c>
      <c r="AG5" s="51">
        <v>0</v>
      </c>
      <c r="AH5" s="51">
        <v>18.143999999999998</v>
      </c>
      <c r="AI5" s="46">
        <f>SUM(D5:AH5)</f>
        <v>892.83600000000013</v>
      </c>
      <c r="AJ5" s="2"/>
    </row>
    <row r="6" spans="1:36" x14ac:dyDescent="0.2">
      <c r="A6" s="330">
        <v>3</v>
      </c>
      <c r="B6" s="41" t="s">
        <v>130</v>
      </c>
      <c r="C6" s="35" t="s">
        <v>0</v>
      </c>
      <c r="D6" s="33">
        <v>0</v>
      </c>
      <c r="E6" s="33">
        <v>0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51">
        <v>0</v>
      </c>
      <c r="M6" s="51">
        <v>0</v>
      </c>
      <c r="N6" s="51">
        <v>0</v>
      </c>
      <c r="O6" s="51"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46">
        <f>SUM(D6:AH6)</f>
        <v>0</v>
      </c>
      <c r="AJ6" s="2"/>
    </row>
    <row r="7" spans="1:36" x14ac:dyDescent="0.2">
      <c r="A7" s="330">
        <v>4</v>
      </c>
      <c r="B7" s="41" t="s">
        <v>125</v>
      </c>
      <c r="C7" s="35" t="s">
        <v>0</v>
      </c>
      <c r="D7" s="33">
        <v>3.2759999999999998</v>
      </c>
      <c r="E7" s="33">
        <v>3.2759999999999998</v>
      </c>
      <c r="F7" s="33">
        <v>3.024</v>
      </c>
      <c r="G7" s="33">
        <v>2.7719999999999998</v>
      </c>
      <c r="H7" s="33">
        <v>2.52</v>
      </c>
      <c r="I7" s="33">
        <v>0.504</v>
      </c>
      <c r="J7" s="33">
        <v>0</v>
      </c>
      <c r="K7" s="33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51">
        <v>0</v>
      </c>
      <c r="AB7" s="51">
        <v>0</v>
      </c>
      <c r="AC7" s="51">
        <v>3.5</v>
      </c>
      <c r="AD7" s="51">
        <v>63</v>
      </c>
      <c r="AE7" s="51">
        <v>31.5</v>
      </c>
      <c r="AF7" s="51">
        <v>0</v>
      </c>
      <c r="AG7" s="51">
        <v>0</v>
      </c>
      <c r="AH7" s="51">
        <v>0</v>
      </c>
      <c r="AI7" s="46">
        <f>SUM(D7:AH7)</f>
        <v>113.372</v>
      </c>
      <c r="AJ7" s="2"/>
    </row>
    <row r="8" spans="1:36" x14ac:dyDescent="0.2">
      <c r="A8" s="330">
        <v>5</v>
      </c>
      <c r="B8" s="41" t="s">
        <v>140</v>
      </c>
      <c r="C8" s="35" t="s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51">
        <v>0</v>
      </c>
      <c r="M8" s="51">
        <v>0</v>
      </c>
      <c r="N8" s="51">
        <v>0</v>
      </c>
      <c r="O8" s="51">
        <v>0</v>
      </c>
      <c r="P8" s="51">
        <v>0</v>
      </c>
      <c r="Q8" s="51">
        <v>0</v>
      </c>
      <c r="R8" s="51">
        <v>56.28</v>
      </c>
      <c r="S8" s="51">
        <v>63.7</v>
      </c>
      <c r="T8" s="51">
        <v>21.32</v>
      </c>
      <c r="U8" s="51">
        <v>56.16</v>
      </c>
      <c r="V8" s="51">
        <v>40.56</v>
      </c>
      <c r="W8" s="51">
        <v>24.96</v>
      </c>
      <c r="X8" s="51">
        <v>42.12</v>
      </c>
      <c r="Y8" s="51">
        <v>61.88</v>
      </c>
      <c r="Z8" s="51">
        <v>54.34</v>
      </c>
      <c r="AA8" s="51">
        <v>14.82</v>
      </c>
      <c r="AB8" s="51">
        <v>19.5</v>
      </c>
      <c r="AC8" s="51">
        <v>18.72</v>
      </c>
      <c r="AD8" s="51">
        <v>0</v>
      </c>
      <c r="AE8" s="51">
        <v>29.12</v>
      </c>
      <c r="AF8" s="51">
        <v>60.06</v>
      </c>
      <c r="AG8" s="51">
        <v>52.78</v>
      </c>
      <c r="AH8" s="51">
        <v>35.880000000000003</v>
      </c>
      <c r="AI8" s="46">
        <v>0</v>
      </c>
      <c r="AJ8" s="2"/>
    </row>
    <row r="9" spans="1:36" x14ac:dyDescent="0.2">
      <c r="A9" s="330">
        <v>6</v>
      </c>
      <c r="B9" s="41" t="s">
        <v>133</v>
      </c>
      <c r="C9" s="35" t="s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51">
        <v>0</v>
      </c>
      <c r="M9" s="51">
        <v>0</v>
      </c>
      <c r="N9" s="51">
        <v>0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1">
        <v>0</v>
      </c>
      <c r="U9" s="51">
        <v>0</v>
      </c>
      <c r="V9" s="51">
        <v>0</v>
      </c>
      <c r="W9" s="51">
        <v>0</v>
      </c>
      <c r="X9" s="51">
        <v>0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0</v>
      </c>
      <c r="AF9" s="51">
        <v>0</v>
      </c>
      <c r="AG9" s="51">
        <v>0</v>
      </c>
      <c r="AH9" s="51">
        <v>0</v>
      </c>
      <c r="AI9" s="46">
        <f>SUM(D9:AH9)</f>
        <v>0</v>
      </c>
      <c r="AJ9" s="2"/>
    </row>
    <row r="10" spans="1:36" x14ac:dyDescent="0.2">
      <c r="A10" s="330">
        <v>7</v>
      </c>
      <c r="B10" s="41" t="s">
        <v>135</v>
      </c>
      <c r="C10" s="35" t="s">
        <v>0</v>
      </c>
      <c r="D10" s="33">
        <v>13.571999999999999</v>
      </c>
      <c r="E10" s="33">
        <v>13.624000000000001</v>
      </c>
      <c r="F10" s="33">
        <v>12.576000000000001</v>
      </c>
      <c r="G10" s="33">
        <v>11.528</v>
      </c>
      <c r="H10" s="33">
        <v>10.48</v>
      </c>
      <c r="I10" s="33">
        <v>11.528</v>
      </c>
      <c r="J10" s="33">
        <v>15.981999999999999</v>
      </c>
      <c r="K10" s="33">
        <v>18.34</v>
      </c>
      <c r="L10" s="33">
        <v>9.77</v>
      </c>
      <c r="M10" s="33">
        <v>3.6680000000000001</v>
      </c>
      <c r="N10" s="33">
        <v>7.3360000000000003</v>
      </c>
      <c r="O10" s="33">
        <v>7.3</v>
      </c>
      <c r="P10" s="33">
        <v>7.3360000000000003</v>
      </c>
      <c r="Q10" s="33">
        <v>12.837999999999999</v>
      </c>
      <c r="R10" s="33">
        <v>22.007999999999999</v>
      </c>
      <c r="S10" s="33">
        <v>9.17</v>
      </c>
      <c r="T10" s="33">
        <v>12.837999999999999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46">
        <f>SUM(D10:AH10)</f>
        <v>199.89400000000003</v>
      </c>
      <c r="AJ10" s="2"/>
    </row>
    <row r="11" spans="1:36" x14ac:dyDescent="0.2">
      <c r="A11" s="330">
        <v>8</v>
      </c>
      <c r="B11" s="41" t="s">
        <v>203</v>
      </c>
      <c r="C11" s="35" t="s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23.218</v>
      </c>
      <c r="V11" s="33">
        <v>15.939</v>
      </c>
      <c r="W11" s="33">
        <v>12.397</v>
      </c>
      <c r="X11" s="33">
        <v>10.625999999999999</v>
      </c>
      <c r="Y11" s="33">
        <v>15.939</v>
      </c>
      <c r="Z11" s="33">
        <v>14.167999999999999</v>
      </c>
      <c r="AA11" s="33">
        <v>10.625999999999999</v>
      </c>
      <c r="AB11" s="33">
        <v>12.397</v>
      </c>
      <c r="AC11" s="33">
        <v>14.167999999999999</v>
      </c>
      <c r="AD11" s="33">
        <v>14.167999999999999</v>
      </c>
      <c r="AE11" s="33">
        <v>8.8550000000000004</v>
      </c>
      <c r="AF11" s="33">
        <v>12.397</v>
      </c>
      <c r="AG11" s="33">
        <v>15.939</v>
      </c>
      <c r="AH11" s="33">
        <v>12.397</v>
      </c>
      <c r="AI11" s="46">
        <f>SUM(D11:AH11)</f>
        <v>193.23399999999998</v>
      </c>
      <c r="AJ11" s="2"/>
    </row>
    <row r="12" spans="1:36" x14ac:dyDescent="0.2">
      <c r="A12" s="330">
        <v>9</v>
      </c>
      <c r="B12" s="41" t="s">
        <v>139</v>
      </c>
      <c r="C12" s="35" t="s">
        <v>0</v>
      </c>
      <c r="D12" s="33">
        <v>0</v>
      </c>
      <c r="E12" s="33">
        <v>1.5</v>
      </c>
      <c r="F12" s="33">
        <v>1</v>
      </c>
      <c r="G12" s="33">
        <v>1.8</v>
      </c>
      <c r="H12" s="33">
        <v>1.5</v>
      </c>
      <c r="I12" s="33">
        <v>1.8</v>
      </c>
      <c r="J12" s="33">
        <v>1.5</v>
      </c>
      <c r="K12" s="33">
        <v>1.5</v>
      </c>
      <c r="L12" s="33">
        <v>0.8</v>
      </c>
      <c r="M12" s="33">
        <v>0</v>
      </c>
      <c r="N12" s="33">
        <v>0.8</v>
      </c>
      <c r="O12" s="33">
        <v>1.4</v>
      </c>
      <c r="P12" s="33">
        <v>4</v>
      </c>
      <c r="Q12" s="33">
        <v>2</v>
      </c>
      <c r="R12" s="33">
        <v>0</v>
      </c>
      <c r="S12" s="33">
        <v>3</v>
      </c>
      <c r="T12" s="33">
        <v>2.5</v>
      </c>
      <c r="U12" s="33">
        <v>2</v>
      </c>
      <c r="V12" s="33">
        <v>2.5</v>
      </c>
      <c r="W12" s="33">
        <v>1.5</v>
      </c>
      <c r="X12" s="33">
        <v>1.7</v>
      </c>
      <c r="Y12" s="33">
        <v>2</v>
      </c>
      <c r="Z12" s="33">
        <v>1.6</v>
      </c>
      <c r="AA12" s="33">
        <v>0</v>
      </c>
      <c r="AB12" s="33">
        <v>0</v>
      </c>
      <c r="AC12" s="33">
        <v>0</v>
      </c>
      <c r="AD12" s="33">
        <v>0</v>
      </c>
      <c r="AE12" s="33">
        <v>2</v>
      </c>
      <c r="AF12" s="33">
        <v>2.5</v>
      </c>
      <c r="AG12" s="33">
        <v>6</v>
      </c>
      <c r="AH12" s="33">
        <v>0.8</v>
      </c>
      <c r="AI12" s="46">
        <f>1.5+1+1.8+1.5+1.8+1.5+1.5+0.8+0+0.8+1.4+4+2+0+3+2.5+2+2.5+1.5+1.7+2+1.6+0+0+0+2+2.5+6+0.8</f>
        <v>47.7</v>
      </c>
      <c r="AJ12" s="2"/>
    </row>
    <row r="13" spans="1:36" x14ac:dyDescent="0.2">
      <c r="A13" s="330"/>
      <c r="B13" s="43" t="s">
        <v>42</v>
      </c>
      <c r="C13" s="44" t="s">
        <v>0</v>
      </c>
      <c r="D13" s="45">
        <f t="shared" ref="D13:I13" si="0">SUM(D4:D12)</f>
        <v>79.847999999999999</v>
      </c>
      <c r="E13" s="45">
        <f t="shared" si="0"/>
        <v>84.927999999999997</v>
      </c>
      <c r="F13" s="45">
        <f t="shared" si="0"/>
        <v>89.68</v>
      </c>
      <c r="G13" s="45">
        <f t="shared" si="0"/>
        <v>63.98</v>
      </c>
      <c r="H13" s="45">
        <f t="shared" si="0"/>
        <v>65.404000000000011</v>
      </c>
      <c r="I13" s="45">
        <f t="shared" si="0"/>
        <v>79.856000000000009</v>
      </c>
      <c r="J13" s="45">
        <f t="shared" ref="J13:O13" si="1">SUM(J4:J12)</f>
        <v>70.906000000000006</v>
      </c>
      <c r="K13" s="45">
        <f t="shared" si="1"/>
        <v>72.760000000000005</v>
      </c>
      <c r="L13" s="45">
        <f t="shared" si="1"/>
        <v>47.61399999999999</v>
      </c>
      <c r="M13" s="45">
        <f t="shared" si="1"/>
        <v>12.488</v>
      </c>
      <c r="N13" s="45">
        <f t="shared" si="1"/>
        <v>36.36</v>
      </c>
      <c r="O13" s="45">
        <f t="shared" si="1"/>
        <v>49.271999999999998</v>
      </c>
      <c r="P13" s="45">
        <f t="shared" ref="P13:U13" si="2">SUM(P4:P12)</f>
        <v>58.963999999999999</v>
      </c>
      <c r="Q13" s="45">
        <f t="shared" si="2"/>
        <v>60.701999999999998</v>
      </c>
      <c r="R13" s="45">
        <f t="shared" si="2"/>
        <v>88.872</v>
      </c>
      <c r="S13" s="45">
        <f t="shared" si="2"/>
        <v>75.87</v>
      </c>
      <c r="T13" s="45">
        <f t="shared" si="2"/>
        <v>70.677999999999997</v>
      </c>
      <c r="U13" s="45">
        <f t="shared" si="2"/>
        <v>85.158000000000001</v>
      </c>
      <c r="V13" s="45">
        <f t="shared" ref="V13:AA13" si="3">SUM(V4:V12)</f>
        <v>77.899000000000001</v>
      </c>
      <c r="W13" s="45">
        <f t="shared" si="3"/>
        <v>71.113</v>
      </c>
      <c r="X13" s="45">
        <f t="shared" si="3"/>
        <v>73.597999999999999</v>
      </c>
      <c r="Y13" s="45">
        <f t="shared" si="3"/>
        <v>79.819000000000003</v>
      </c>
      <c r="Z13" s="45">
        <f t="shared" si="3"/>
        <v>73.888000000000005</v>
      </c>
      <c r="AA13" s="45">
        <f t="shared" si="3"/>
        <v>44.597999999999999</v>
      </c>
      <c r="AB13" s="45">
        <f>SUM(AB4:AB12)</f>
        <v>57.097000000000001</v>
      </c>
      <c r="AC13" s="45">
        <f t="shared" ref="AC13:AH13" si="4">SUM(AC4:AC12)</f>
        <v>62.344000000000001</v>
      </c>
      <c r="AD13" s="45">
        <f t="shared" si="4"/>
        <v>77.168000000000006</v>
      </c>
      <c r="AE13" s="45">
        <f t="shared" si="4"/>
        <v>71.475000000000009</v>
      </c>
      <c r="AF13" s="45">
        <f t="shared" si="4"/>
        <v>74.957000000000008</v>
      </c>
      <c r="AG13" s="45">
        <f t="shared" si="4"/>
        <v>74.718999999999994</v>
      </c>
      <c r="AH13" s="45">
        <f t="shared" si="4"/>
        <v>67.221000000000004</v>
      </c>
      <c r="AI13" s="46">
        <f t="shared" ref="AI13:AI36" si="5">SUM(D13:AH13)</f>
        <v>2099.2359999999999</v>
      </c>
      <c r="AJ13" s="2"/>
    </row>
    <row r="14" spans="1:36" ht="25" x14ac:dyDescent="0.25">
      <c r="A14" s="329" t="s">
        <v>43</v>
      </c>
      <c r="B14" s="50" t="s">
        <v>128</v>
      </c>
      <c r="C14" s="53"/>
      <c r="D14" s="53"/>
      <c r="E14" s="337"/>
      <c r="F14" s="338"/>
      <c r="G14" s="338"/>
      <c r="H14" s="338"/>
      <c r="I14" s="338"/>
      <c r="J14" s="338"/>
      <c r="K14" s="338"/>
      <c r="L14" s="338"/>
      <c r="M14" s="339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46">
        <f t="shared" si="5"/>
        <v>0</v>
      </c>
      <c r="AJ14" s="2"/>
    </row>
    <row r="15" spans="1:36" x14ac:dyDescent="0.2">
      <c r="A15" s="330">
        <v>1</v>
      </c>
      <c r="B15" s="42" t="s">
        <v>112</v>
      </c>
      <c r="C15" s="35" t="s">
        <v>44</v>
      </c>
      <c r="D15" s="33">
        <v>0</v>
      </c>
      <c r="E15" s="33">
        <v>0</v>
      </c>
      <c r="F15" s="33">
        <v>0</v>
      </c>
      <c r="G15" s="36">
        <v>0</v>
      </c>
      <c r="H15" s="36">
        <v>0</v>
      </c>
      <c r="I15" s="33">
        <v>0</v>
      </c>
      <c r="J15" s="33">
        <v>0</v>
      </c>
      <c r="K15" s="33">
        <v>0</v>
      </c>
      <c r="L15" s="51">
        <v>0</v>
      </c>
      <c r="M15" s="51">
        <v>0</v>
      </c>
      <c r="N15" s="51">
        <v>0</v>
      </c>
      <c r="O15" s="51">
        <v>0</v>
      </c>
      <c r="P15" s="51">
        <v>0</v>
      </c>
      <c r="Q15" s="51">
        <v>0</v>
      </c>
      <c r="R15" s="51">
        <v>50</v>
      </c>
      <c r="S15" s="51">
        <v>0</v>
      </c>
      <c r="T15" s="51">
        <v>0</v>
      </c>
      <c r="U15" s="51">
        <v>80</v>
      </c>
      <c r="V15" s="51">
        <v>0</v>
      </c>
      <c r="W15" s="51">
        <v>0</v>
      </c>
      <c r="X15" s="51">
        <v>50</v>
      </c>
      <c r="Y15" s="51">
        <v>90</v>
      </c>
      <c r="Z15" s="51">
        <v>80</v>
      </c>
      <c r="AA15" s="51">
        <v>30</v>
      </c>
      <c r="AB15" s="51">
        <v>30</v>
      </c>
      <c r="AC15" s="51">
        <v>40</v>
      </c>
      <c r="AD15" s="51">
        <v>40</v>
      </c>
      <c r="AE15" s="51">
        <v>90</v>
      </c>
      <c r="AF15" s="51">
        <v>250</v>
      </c>
      <c r="AG15" s="51">
        <v>160</v>
      </c>
      <c r="AH15" s="51">
        <v>0</v>
      </c>
      <c r="AI15" s="46">
        <f t="shared" si="5"/>
        <v>990</v>
      </c>
      <c r="AJ15" s="2"/>
    </row>
    <row r="16" spans="1:36" x14ac:dyDescent="0.2">
      <c r="A16" s="330">
        <v>2</v>
      </c>
      <c r="B16" s="42" t="s">
        <v>111</v>
      </c>
      <c r="C16" s="35" t="s">
        <v>44</v>
      </c>
      <c r="D16" s="33">
        <v>24</v>
      </c>
      <c r="E16" s="33">
        <v>14</v>
      </c>
      <c r="F16" s="33">
        <v>14</v>
      </c>
      <c r="G16" s="33">
        <v>11</v>
      </c>
      <c r="H16" s="33">
        <v>7</v>
      </c>
      <c r="I16" s="33">
        <v>18</v>
      </c>
      <c r="J16" s="55">
        <v>47</v>
      </c>
      <c r="K16" s="33">
        <v>40</v>
      </c>
      <c r="L16" s="51">
        <v>16</v>
      </c>
      <c r="M16" s="56">
        <v>12</v>
      </c>
      <c r="N16" s="51">
        <v>23</v>
      </c>
      <c r="O16" s="51">
        <v>27</v>
      </c>
      <c r="P16" s="51">
        <v>12</v>
      </c>
      <c r="Q16" s="51">
        <v>36</v>
      </c>
      <c r="R16" s="51">
        <v>14</v>
      </c>
      <c r="S16" s="51">
        <v>27</v>
      </c>
      <c r="T16" s="51">
        <v>38</v>
      </c>
      <c r="U16" s="51">
        <v>7</v>
      </c>
      <c r="V16" s="51">
        <v>10</v>
      </c>
      <c r="W16" s="51">
        <v>4</v>
      </c>
      <c r="X16" s="51">
        <v>31</v>
      </c>
      <c r="Y16" s="51">
        <v>22</v>
      </c>
      <c r="Z16" s="51">
        <v>6</v>
      </c>
      <c r="AA16" s="51">
        <v>45</v>
      </c>
      <c r="AB16" s="51">
        <v>30</v>
      </c>
      <c r="AC16" s="51">
        <v>31</v>
      </c>
      <c r="AD16" s="51">
        <v>34</v>
      </c>
      <c r="AE16" s="51">
        <v>31</v>
      </c>
      <c r="AF16" s="51">
        <v>42</v>
      </c>
      <c r="AG16" s="51">
        <v>8</v>
      </c>
      <c r="AH16" s="51">
        <v>31</v>
      </c>
      <c r="AI16" s="46">
        <f t="shared" si="5"/>
        <v>712</v>
      </c>
      <c r="AJ16" s="2"/>
    </row>
    <row r="17" spans="1:38" x14ac:dyDescent="0.2">
      <c r="A17" s="330">
        <v>3</v>
      </c>
      <c r="B17" s="42" t="s">
        <v>107</v>
      </c>
      <c r="C17" s="35" t="s">
        <v>44</v>
      </c>
      <c r="D17" s="33">
        <v>1070</v>
      </c>
      <c r="E17" s="33">
        <v>970</v>
      </c>
      <c r="F17" s="33">
        <v>1770</v>
      </c>
      <c r="G17" s="33">
        <v>490</v>
      </c>
      <c r="H17" s="33">
        <v>520</v>
      </c>
      <c r="I17" s="33">
        <v>640</v>
      </c>
      <c r="J17" s="33">
        <v>830</v>
      </c>
      <c r="K17" s="33">
        <v>360</v>
      </c>
      <c r="L17" s="51">
        <v>450</v>
      </c>
      <c r="M17" s="51">
        <v>20</v>
      </c>
      <c r="N17" s="51">
        <v>360</v>
      </c>
      <c r="O17" s="51">
        <v>0</v>
      </c>
      <c r="P17" s="51">
        <v>420</v>
      </c>
      <c r="Q17" s="51">
        <v>530</v>
      </c>
      <c r="R17" s="51">
        <v>1700</v>
      </c>
      <c r="S17" s="51">
        <v>250</v>
      </c>
      <c r="T17" s="51">
        <v>600</v>
      </c>
      <c r="U17" s="51">
        <v>2300</v>
      </c>
      <c r="V17" s="51">
        <v>1200</v>
      </c>
      <c r="W17" s="51">
        <v>460</v>
      </c>
      <c r="X17" s="51">
        <v>500</v>
      </c>
      <c r="Y17" s="51">
        <v>1100</v>
      </c>
      <c r="Z17" s="51">
        <v>1430</v>
      </c>
      <c r="AA17" s="51">
        <v>160</v>
      </c>
      <c r="AB17" s="51">
        <v>360</v>
      </c>
      <c r="AC17" s="51">
        <v>440</v>
      </c>
      <c r="AD17" s="51">
        <v>440</v>
      </c>
      <c r="AE17" s="51">
        <v>310</v>
      </c>
      <c r="AF17" s="51">
        <v>830</v>
      </c>
      <c r="AG17" s="51">
        <v>1600</v>
      </c>
      <c r="AH17" s="51">
        <v>1000</v>
      </c>
      <c r="AI17" s="46">
        <f t="shared" si="5"/>
        <v>23110</v>
      </c>
      <c r="AJ17" s="2"/>
    </row>
    <row r="18" spans="1:38" x14ac:dyDescent="0.2">
      <c r="A18" s="330">
        <v>4</v>
      </c>
      <c r="B18" s="42" t="s">
        <v>108</v>
      </c>
      <c r="C18" s="35" t="s">
        <v>44</v>
      </c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1">
        <v>0</v>
      </c>
      <c r="U18" s="51">
        <v>0</v>
      </c>
      <c r="V18" s="51">
        <v>0</v>
      </c>
      <c r="W18" s="51">
        <v>0</v>
      </c>
      <c r="X18" s="51">
        <v>0</v>
      </c>
      <c r="Y18" s="51">
        <v>0</v>
      </c>
      <c r="Z18" s="51">
        <v>0</v>
      </c>
      <c r="AA18" s="51">
        <v>0</v>
      </c>
      <c r="AB18" s="51">
        <v>0</v>
      </c>
      <c r="AC18" s="51">
        <v>0</v>
      </c>
      <c r="AD18" s="51">
        <v>0</v>
      </c>
      <c r="AE18" s="51">
        <v>0</v>
      </c>
      <c r="AF18" s="51">
        <v>0</v>
      </c>
      <c r="AG18" s="51">
        <v>0</v>
      </c>
      <c r="AH18" s="51">
        <v>0</v>
      </c>
      <c r="AI18" s="46">
        <f t="shared" si="5"/>
        <v>0</v>
      </c>
      <c r="AJ18" s="2"/>
    </row>
    <row r="19" spans="1:38" x14ac:dyDescent="0.2">
      <c r="A19" s="330">
        <v>5</v>
      </c>
      <c r="B19" s="42" t="s">
        <v>110</v>
      </c>
      <c r="C19" s="35" t="s">
        <v>44</v>
      </c>
      <c r="D19" s="33">
        <v>94</v>
      </c>
      <c r="E19" s="33">
        <v>121</v>
      </c>
      <c r="F19" s="33">
        <v>122</v>
      </c>
      <c r="G19" s="33">
        <v>67</v>
      </c>
      <c r="H19" s="33">
        <v>60</v>
      </c>
      <c r="I19" s="33">
        <v>78</v>
      </c>
      <c r="J19" s="33">
        <v>92</v>
      </c>
      <c r="K19" s="33">
        <v>100</v>
      </c>
      <c r="L19" s="51">
        <v>80</v>
      </c>
      <c r="M19" s="51">
        <v>9</v>
      </c>
      <c r="N19" s="51">
        <v>25</v>
      </c>
      <c r="O19" s="51">
        <v>87</v>
      </c>
      <c r="P19" s="51">
        <v>75</v>
      </c>
      <c r="Q19" s="51">
        <v>88</v>
      </c>
      <c r="R19" s="51">
        <v>128</v>
      </c>
      <c r="S19" s="51">
        <v>78</v>
      </c>
      <c r="T19" s="51">
        <v>75</v>
      </c>
      <c r="U19" s="51">
        <v>20</v>
      </c>
      <c r="V19" s="33">
        <v>0</v>
      </c>
      <c r="W19" s="33">
        <v>0</v>
      </c>
      <c r="X19" s="33">
        <v>0</v>
      </c>
      <c r="Y19" s="33">
        <v>0</v>
      </c>
      <c r="Z19" s="51">
        <v>18</v>
      </c>
      <c r="AA19" s="51">
        <v>10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46">
        <f t="shared" si="5"/>
        <v>1427</v>
      </c>
      <c r="AJ19" s="2"/>
    </row>
    <row r="20" spans="1:38" x14ac:dyDescent="0.2">
      <c r="A20" s="330">
        <v>6</v>
      </c>
      <c r="B20" s="42" t="s">
        <v>212</v>
      </c>
      <c r="C20" s="35" t="s">
        <v>44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51">
        <v>48</v>
      </c>
      <c r="V20" s="33">
        <v>65</v>
      </c>
      <c r="W20" s="33">
        <v>65</v>
      </c>
      <c r="X20" s="33">
        <v>71</v>
      </c>
      <c r="Y20" s="33">
        <v>75</v>
      </c>
      <c r="Z20" s="51">
        <v>76</v>
      </c>
      <c r="AA20" s="51">
        <v>50</v>
      </c>
      <c r="AB20" s="51">
        <v>50</v>
      </c>
      <c r="AC20" s="51">
        <v>55</v>
      </c>
      <c r="AD20" s="51">
        <v>53</v>
      </c>
      <c r="AE20" s="51">
        <v>53</v>
      </c>
      <c r="AF20" s="51">
        <v>55</v>
      </c>
      <c r="AG20" s="51">
        <v>82</v>
      </c>
      <c r="AH20" s="51">
        <v>38</v>
      </c>
      <c r="AI20" s="46">
        <f t="shared" si="5"/>
        <v>836</v>
      </c>
      <c r="AJ20" s="2"/>
    </row>
    <row r="21" spans="1:38" x14ac:dyDescent="0.2">
      <c r="A21" s="330">
        <v>7</v>
      </c>
      <c r="B21" s="42" t="s">
        <v>109</v>
      </c>
      <c r="C21" s="35" t="s">
        <v>44</v>
      </c>
      <c r="D21" s="33">
        <v>51</v>
      </c>
      <c r="E21" s="33">
        <v>48</v>
      </c>
      <c r="F21" s="33">
        <v>26</v>
      </c>
      <c r="G21" s="33">
        <v>60</v>
      </c>
      <c r="H21" s="33">
        <v>36</v>
      </c>
      <c r="I21" s="33">
        <v>71</v>
      </c>
      <c r="J21" s="33">
        <v>55</v>
      </c>
      <c r="K21" s="33">
        <v>43</v>
      </c>
      <c r="L21" s="51">
        <v>35</v>
      </c>
      <c r="M21" s="51">
        <v>4</v>
      </c>
      <c r="N21" s="51">
        <v>19</v>
      </c>
      <c r="O21" s="51">
        <v>35</v>
      </c>
      <c r="P21" s="51">
        <v>45</v>
      </c>
      <c r="Q21" s="51">
        <v>62</v>
      </c>
      <c r="R21" s="51">
        <v>22</v>
      </c>
      <c r="S21" s="51">
        <v>60</v>
      </c>
      <c r="T21" s="51">
        <v>67</v>
      </c>
      <c r="U21" s="51">
        <v>12</v>
      </c>
      <c r="V21" s="33">
        <v>0</v>
      </c>
      <c r="W21" s="33">
        <v>0</v>
      </c>
      <c r="X21" s="33">
        <v>0</v>
      </c>
      <c r="Y21" s="33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0</v>
      </c>
      <c r="AE21" s="51">
        <v>0</v>
      </c>
      <c r="AF21" s="51">
        <v>0</v>
      </c>
      <c r="AG21" s="51">
        <v>0</v>
      </c>
      <c r="AH21" s="51">
        <v>0</v>
      </c>
      <c r="AI21" s="46">
        <f t="shared" si="5"/>
        <v>751</v>
      </c>
      <c r="AJ21" s="2"/>
    </row>
    <row r="22" spans="1:38" x14ac:dyDescent="0.2">
      <c r="A22" s="330">
        <v>8</v>
      </c>
      <c r="B22" s="42" t="s">
        <v>213</v>
      </c>
      <c r="C22" s="35" t="s">
        <v>44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51">
        <v>29</v>
      </c>
      <c r="V22" s="51">
        <v>60</v>
      </c>
      <c r="W22" s="51">
        <v>65</v>
      </c>
      <c r="X22" s="51">
        <v>53</v>
      </c>
      <c r="Y22" s="51">
        <v>59</v>
      </c>
      <c r="Z22" s="51">
        <v>23</v>
      </c>
      <c r="AA22" s="51">
        <v>43</v>
      </c>
      <c r="AB22" s="51">
        <v>58</v>
      </c>
      <c r="AC22" s="51">
        <v>49</v>
      </c>
      <c r="AD22" s="51">
        <v>56</v>
      </c>
      <c r="AE22" s="51">
        <v>53</v>
      </c>
      <c r="AF22" s="51">
        <v>36</v>
      </c>
      <c r="AG22" s="51">
        <v>3</v>
      </c>
      <c r="AH22" s="51">
        <v>58</v>
      </c>
      <c r="AI22" s="46">
        <f t="shared" si="5"/>
        <v>645</v>
      </c>
      <c r="AJ22" s="2"/>
    </row>
    <row r="23" spans="1:38" x14ac:dyDescent="0.2">
      <c r="A23" s="330">
        <v>9</v>
      </c>
      <c r="B23" s="42" t="s">
        <v>113</v>
      </c>
      <c r="C23" s="35" t="s">
        <v>44</v>
      </c>
      <c r="D23" s="33">
        <v>0</v>
      </c>
      <c r="E23" s="33">
        <v>0</v>
      </c>
      <c r="F23" s="33">
        <v>2</v>
      </c>
      <c r="G23" s="33">
        <v>4</v>
      </c>
      <c r="H23" s="33">
        <v>0</v>
      </c>
      <c r="I23" s="33">
        <v>0</v>
      </c>
      <c r="J23" s="33">
        <v>0</v>
      </c>
      <c r="K23" s="33">
        <v>0</v>
      </c>
      <c r="L23" s="51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3</v>
      </c>
      <c r="W23" s="51">
        <v>4</v>
      </c>
      <c r="X23" s="51">
        <v>0</v>
      </c>
      <c r="Y23" s="51">
        <v>0</v>
      </c>
      <c r="Z23" s="51">
        <v>0</v>
      </c>
      <c r="AA23" s="51">
        <v>0</v>
      </c>
      <c r="AB23" s="51">
        <v>4</v>
      </c>
      <c r="AC23" s="51">
        <v>4</v>
      </c>
      <c r="AD23" s="51">
        <v>8</v>
      </c>
      <c r="AE23" s="51">
        <v>4</v>
      </c>
      <c r="AF23" s="51">
        <v>10</v>
      </c>
      <c r="AG23" s="51">
        <v>10</v>
      </c>
      <c r="AH23" s="51">
        <v>10</v>
      </c>
      <c r="AI23" s="46">
        <f t="shared" si="5"/>
        <v>63</v>
      </c>
      <c r="AJ23" s="2"/>
    </row>
    <row r="24" spans="1:38" x14ac:dyDescent="0.2">
      <c r="A24" s="330">
        <v>10</v>
      </c>
      <c r="B24" s="42" t="s">
        <v>114</v>
      </c>
      <c r="C24" s="35" t="s">
        <v>44</v>
      </c>
      <c r="D24" s="33">
        <v>0</v>
      </c>
      <c r="E24" s="33">
        <v>12</v>
      </c>
      <c r="F24" s="33">
        <v>12</v>
      </c>
      <c r="G24" s="33">
        <v>12</v>
      </c>
      <c r="H24" s="33">
        <v>16</v>
      </c>
      <c r="I24" s="33">
        <v>0</v>
      </c>
      <c r="J24" s="33">
        <v>0</v>
      </c>
      <c r="K24" s="33">
        <v>0</v>
      </c>
      <c r="L24" s="51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2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3</v>
      </c>
      <c r="AA24" s="51">
        <v>3</v>
      </c>
      <c r="AB24" s="51">
        <v>15</v>
      </c>
      <c r="AC24" s="51">
        <v>15</v>
      </c>
      <c r="AD24" s="51">
        <v>16</v>
      </c>
      <c r="AE24" s="51">
        <v>16</v>
      </c>
      <c r="AF24" s="51">
        <v>5</v>
      </c>
      <c r="AG24" s="51">
        <v>5</v>
      </c>
      <c r="AH24" s="51">
        <v>5</v>
      </c>
      <c r="AI24" s="46">
        <f t="shared" si="5"/>
        <v>137</v>
      </c>
      <c r="AJ24" s="2"/>
    </row>
    <row r="25" spans="1:38" x14ac:dyDescent="0.2">
      <c r="A25" s="330">
        <v>11</v>
      </c>
      <c r="B25" s="42" t="s">
        <v>115</v>
      </c>
      <c r="C25" s="35" t="s">
        <v>44</v>
      </c>
      <c r="D25" s="33">
        <v>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51">
        <v>0</v>
      </c>
      <c r="M25" s="51">
        <v>0</v>
      </c>
      <c r="N25" s="51">
        <v>0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1">
        <v>0</v>
      </c>
      <c r="U25" s="51">
        <v>0</v>
      </c>
      <c r="V25" s="51">
        <v>0</v>
      </c>
      <c r="W25" s="51">
        <v>0</v>
      </c>
      <c r="X25" s="51">
        <v>0</v>
      </c>
      <c r="Y25" s="51">
        <v>0</v>
      </c>
      <c r="Z25" s="51">
        <v>0</v>
      </c>
      <c r="AA25" s="51">
        <v>0</v>
      </c>
      <c r="AB25" s="51">
        <v>0</v>
      </c>
      <c r="AC25" s="51">
        <v>0</v>
      </c>
      <c r="AD25" s="51">
        <v>0</v>
      </c>
      <c r="AE25" s="51">
        <v>0</v>
      </c>
      <c r="AF25" s="51">
        <v>0</v>
      </c>
      <c r="AG25" s="51">
        <v>0</v>
      </c>
      <c r="AH25" s="51">
        <v>0</v>
      </c>
      <c r="AI25" s="46">
        <f t="shared" si="5"/>
        <v>0</v>
      </c>
      <c r="AJ25" s="2"/>
    </row>
    <row r="26" spans="1:38" x14ac:dyDescent="0.2">
      <c r="A26" s="330">
        <v>12</v>
      </c>
      <c r="B26" s="42" t="s">
        <v>116</v>
      </c>
      <c r="C26" s="35" t="s">
        <v>44</v>
      </c>
      <c r="D26" s="33">
        <v>0</v>
      </c>
      <c r="E26" s="33">
        <v>0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0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>
        <v>0</v>
      </c>
      <c r="AH26" s="51">
        <v>0</v>
      </c>
      <c r="AI26" s="46">
        <f t="shared" si="5"/>
        <v>0</v>
      </c>
      <c r="AJ26" s="2"/>
    </row>
    <row r="27" spans="1:38" x14ac:dyDescent="0.2">
      <c r="A27" s="330">
        <v>13</v>
      </c>
      <c r="B27" s="42" t="s">
        <v>117</v>
      </c>
      <c r="C27" s="35" t="s">
        <v>44</v>
      </c>
      <c r="D27" s="33">
        <v>7</v>
      </c>
      <c r="E27" s="33">
        <v>7</v>
      </c>
      <c r="F27" s="33">
        <v>7</v>
      </c>
      <c r="G27" s="33">
        <v>7</v>
      </c>
      <c r="H27" s="33">
        <v>6</v>
      </c>
      <c r="I27" s="33">
        <v>7</v>
      </c>
      <c r="J27" s="33">
        <v>7</v>
      </c>
      <c r="K27" s="33">
        <v>7</v>
      </c>
      <c r="L27" s="51">
        <v>5</v>
      </c>
      <c r="M27" s="51">
        <v>1</v>
      </c>
      <c r="N27" s="51">
        <v>2</v>
      </c>
      <c r="O27" s="51">
        <v>3</v>
      </c>
      <c r="P27" s="51">
        <v>7</v>
      </c>
      <c r="Q27" s="51">
        <v>7</v>
      </c>
      <c r="R27" s="51">
        <v>7</v>
      </c>
      <c r="S27" s="51">
        <v>7</v>
      </c>
      <c r="T27" s="51">
        <v>7</v>
      </c>
      <c r="U27" s="51">
        <v>7</v>
      </c>
      <c r="V27" s="51">
        <v>7</v>
      </c>
      <c r="W27" s="51">
        <v>7</v>
      </c>
      <c r="X27" s="51">
        <v>6</v>
      </c>
      <c r="Y27" s="51">
        <v>7</v>
      </c>
      <c r="Z27" s="51">
        <v>7</v>
      </c>
      <c r="AA27" s="51">
        <v>4</v>
      </c>
      <c r="AB27" s="51">
        <v>7</v>
      </c>
      <c r="AC27" s="51">
        <v>7</v>
      </c>
      <c r="AD27" s="51">
        <v>8</v>
      </c>
      <c r="AE27" s="51">
        <v>7</v>
      </c>
      <c r="AF27" s="51">
        <v>8</v>
      </c>
      <c r="AG27" s="51">
        <v>8</v>
      </c>
      <c r="AH27" s="51">
        <v>8</v>
      </c>
      <c r="AI27" s="46">
        <f t="shared" si="5"/>
        <v>199</v>
      </c>
      <c r="AJ27" s="2"/>
    </row>
    <row r="28" spans="1:38" x14ac:dyDescent="0.2">
      <c r="A28" s="330">
        <v>14</v>
      </c>
      <c r="B28" s="42" t="s">
        <v>118</v>
      </c>
      <c r="C28" s="35" t="s">
        <v>44</v>
      </c>
      <c r="D28" s="33">
        <v>4</v>
      </c>
      <c r="E28" s="33">
        <v>4</v>
      </c>
      <c r="F28" s="33">
        <v>4</v>
      </c>
      <c r="G28" s="33">
        <v>4</v>
      </c>
      <c r="H28" s="33">
        <v>10</v>
      </c>
      <c r="I28" s="33">
        <v>4</v>
      </c>
      <c r="J28" s="33">
        <v>4</v>
      </c>
      <c r="K28" s="33">
        <v>4</v>
      </c>
      <c r="L28" s="51">
        <v>2</v>
      </c>
      <c r="M28" s="51">
        <v>1</v>
      </c>
      <c r="N28" s="51">
        <v>2</v>
      </c>
      <c r="O28" s="51">
        <v>3</v>
      </c>
      <c r="P28" s="51">
        <v>14</v>
      </c>
      <c r="Q28" s="51">
        <v>12</v>
      </c>
      <c r="R28" s="51">
        <v>10</v>
      </c>
      <c r="S28" s="51">
        <v>11</v>
      </c>
      <c r="T28" s="51">
        <v>12</v>
      </c>
      <c r="U28" s="51">
        <v>12</v>
      </c>
      <c r="V28" s="51">
        <v>12</v>
      </c>
      <c r="W28" s="51">
        <v>12</v>
      </c>
      <c r="X28" s="51">
        <v>10</v>
      </c>
      <c r="Y28" s="51">
        <v>12</v>
      </c>
      <c r="Z28" s="51">
        <v>12</v>
      </c>
      <c r="AA28" s="51">
        <v>8</v>
      </c>
      <c r="AB28" s="51">
        <v>24</v>
      </c>
      <c r="AC28" s="51">
        <v>20</v>
      </c>
      <c r="AD28" s="51">
        <v>24</v>
      </c>
      <c r="AE28" s="51">
        <v>30</v>
      </c>
      <c r="AF28" s="51">
        <v>40</v>
      </c>
      <c r="AG28" s="51">
        <v>40</v>
      </c>
      <c r="AH28" s="51">
        <v>40</v>
      </c>
      <c r="AI28" s="46">
        <f t="shared" si="5"/>
        <v>401</v>
      </c>
      <c r="AK28" s="3"/>
      <c r="AL28" s="2"/>
    </row>
    <row r="29" spans="1:38" x14ac:dyDescent="0.2">
      <c r="A29" s="330">
        <v>15</v>
      </c>
      <c r="B29" s="42" t="s">
        <v>119</v>
      </c>
      <c r="C29" s="35" t="s">
        <v>44</v>
      </c>
      <c r="D29" s="33">
        <v>12</v>
      </c>
      <c r="E29" s="33">
        <v>12</v>
      </c>
      <c r="F29" s="33">
        <v>12</v>
      </c>
      <c r="G29" s="33">
        <v>7</v>
      </c>
      <c r="H29" s="33">
        <v>6</v>
      </c>
      <c r="I29" s="33">
        <v>12</v>
      </c>
      <c r="J29" s="33">
        <v>8</v>
      </c>
      <c r="K29" s="33">
        <v>12</v>
      </c>
      <c r="L29" s="51">
        <v>10</v>
      </c>
      <c r="M29" s="51">
        <v>1</v>
      </c>
      <c r="N29" s="51">
        <v>2</v>
      </c>
      <c r="O29" s="51">
        <v>3</v>
      </c>
      <c r="P29" s="51">
        <v>7</v>
      </c>
      <c r="Q29" s="51">
        <v>7</v>
      </c>
      <c r="R29" s="51">
        <v>7</v>
      </c>
      <c r="S29" s="51">
        <v>7</v>
      </c>
      <c r="T29" s="51">
        <v>7</v>
      </c>
      <c r="U29" s="51">
        <v>7</v>
      </c>
      <c r="V29" s="51">
        <v>7</v>
      </c>
      <c r="W29" s="51">
        <v>7</v>
      </c>
      <c r="X29" s="51">
        <v>4</v>
      </c>
      <c r="Y29" s="51">
        <v>4</v>
      </c>
      <c r="Z29" s="51">
        <v>4</v>
      </c>
      <c r="AA29" s="51">
        <v>3</v>
      </c>
      <c r="AB29" s="51">
        <v>7</v>
      </c>
      <c r="AC29" s="51">
        <v>4</v>
      </c>
      <c r="AD29" s="51">
        <v>4</v>
      </c>
      <c r="AE29" s="51">
        <v>4</v>
      </c>
      <c r="AF29" s="51">
        <v>4</v>
      </c>
      <c r="AG29" s="51">
        <v>4</v>
      </c>
      <c r="AH29" s="51">
        <v>4</v>
      </c>
      <c r="AI29" s="46">
        <f t="shared" si="5"/>
        <v>199</v>
      </c>
      <c r="AK29" s="3"/>
      <c r="AL29" s="2"/>
    </row>
    <row r="30" spans="1:38" x14ac:dyDescent="0.2">
      <c r="A30" s="330">
        <v>16</v>
      </c>
      <c r="B30" s="42" t="s">
        <v>120</v>
      </c>
      <c r="C30" s="35" t="s">
        <v>44</v>
      </c>
      <c r="D30" s="33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51">
        <v>0</v>
      </c>
      <c r="M30" s="51">
        <v>0</v>
      </c>
      <c r="N30" s="51">
        <v>0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1">
        <v>0</v>
      </c>
      <c r="U30" s="51">
        <v>0</v>
      </c>
      <c r="V30" s="51">
        <v>0</v>
      </c>
      <c r="W30" s="51">
        <v>0</v>
      </c>
      <c r="X30" s="51">
        <v>0</v>
      </c>
      <c r="Y30" s="51">
        <v>0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>
        <v>0</v>
      </c>
      <c r="AH30" s="51">
        <v>0</v>
      </c>
      <c r="AI30" s="46">
        <f t="shared" si="5"/>
        <v>0</v>
      </c>
      <c r="AK30" s="3"/>
      <c r="AL30" s="2"/>
    </row>
    <row r="31" spans="1:38" x14ac:dyDescent="0.2">
      <c r="A31" s="330">
        <v>17</v>
      </c>
      <c r="B31" s="42" t="s">
        <v>121</v>
      </c>
      <c r="C31" s="35" t="s">
        <v>44</v>
      </c>
      <c r="D31" s="33">
        <v>7</v>
      </c>
      <c r="E31" s="33">
        <v>7</v>
      </c>
      <c r="F31" s="33">
        <v>7</v>
      </c>
      <c r="G31" s="33">
        <v>5</v>
      </c>
      <c r="H31" s="33">
        <v>5</v>
      </c>
      <c r="I31" s="33">
        <v>4</v>
      </c>
      <c r="J31" s="33">
        <v>4</v>
      </c>
      <c r="K31" s="33">
        <v>5</v>
      </c>
      <c r="L31" s="51">
        <v>4</v>
      </c>
      <c r="M31" s="51">
        <v>2</v>
      </c>
      <c r="N31" s="51">
        <v>2</v>
      </c>
      <c r="O31" s="51">
        <v>3</v>
      </c>
      <c r="P31" s="51">
        <v>4</v>
      </c>
      <c r="Q31" s="51">
        <v>6</v>
      </c>
      <c r="R31" s="51">
        <v>7</v>
      </c>
      <c r="S31" s="51">
        <v>6</v>
      </c>
      <c r="T31" s="51">
        <v>6</v>
      </c>
      <c r="U31" s="51">
        <v>6</v>
      </c>
      <c r="V31" s="51">
        <v>6</v>
      </c>
      <c r="W31" s="51">
        <v>6</v>
      </c>
      <c r="X31" s="51">
        <v>7</v>
      </c>
      <c r="Y31" s="51">
        <v>7</v>
      </c>
      <c r="Z31" s="51">
        <v>7</v>
      </c>
      <c r="AA31" s="51">
        <v>4</v>
      </c>
      <c r="AB31" s="51">
        <v>6</v>
      </c>
      <c r="AC31" s="51">
        <v>4</v>
      </c>
      <c r="AD31" s="51">
        <v>4</v>
      </c>
      <c r="AE31" s="51">
        <v>4</v>
      </c>
      <c r="AF31" s="51">
        <v>4</v>
      </c>
      <c r="AG31" s="51">
        <v>6</v>
      </c>
      <c r="AH31" s="51">
        <v>6</v>
      </c>
      <c r="AI31" s="46">
        <f t="shared" si="5"/>
        <v>161</v>
      </c>
      <c r="AK31" s="3"/>
      <c r="AL31" s="2"/>
    </row>
    <row r="32" spans="1:38" x14ac:dyDescent="0.2">
      <c r="A32" s="330">
        <v>18</v>
      </c>
      <c r="B32" s="42" t="s">
        <v>124</v>
      </c>
      <c r="C32" s="35" t="s">
        <v>44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51">
        <v>0</v>
      </c>
      <c r="M32" s="51">
        <v>0</v>
      </c>
      <c r="N32" s="51">
        <v>0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1">
        <v>0</v>
      </c>
      <c r="U32" s="51">
        <v>0</v>
      </c>
      <c r="V32" s="51">
        <v>0</v>
      </c>
      <c r="W32" s="51">
        <v>0</v>
      </c>
      <c r="X32" s="51">
        <v>0</v>
      </c>
      <c r="Y32" s="51">
        <v>0</v>
      </c>
      <c r="Z32" s="51">
        <v>0</v>
      </c>
      <c r="AA32" s="51">
        <v>0</v>
      </c>
      <c r="AB32" s="51">
        <v>0</v>
      </c>
      <c r="AC32" s="51">
        <v>0</v>
      </c>
      <c r="AD32" s="51">
        <v>0</v>
      </c>
      <c r="AE32" s="51">
        <v>0</v>
      </c>
      <c r="AF32" s="51">
        <v>0</v>
      </c>
      <c r="AG32" s="51">
        <v>0</v>
      </c>
      <c r="AH32" s="51">
        <v>0</v>
      </c>
      <c r="AI32" s="46">
        <f t="shared" si="5"/>
        <v>0</v>
      </c>
      <c r="AK32" s="3"/>
      <c r="AL32" s="2"/>
    </row>
    <row r="33" spans="1:38" x14ac:dyDescent="0.2">
      <c r="A33" s="330">
        <v>19</v>
      </c>
      <c r="B33" s="42" t="s">
        <v>122</v>
      </c>
      <c r="C33" s="35" t="s">
        <v>44</v>
      </c>
      <c r="D33" s="33">
        <v>6</v>
      </c>
      <c r="E33" s="33">
        <v>7</v>
      </c>
      <c r="F33" s="33">
        <v>6</v>
      </c>
      <c r="G33" s="33">
        <v>6</v>
      </c>
      <c r="H33" s="33">
        <v>4</v>
      </c>
      <c r="I33" s="33">
        <v>6</v>
      </c>
      <c r="J33" s="33">
        <v>4</v>
      </c>
      <c r="K33" s="33">
        <v>6</v>
      </c>
      <c r="L33" s="51">
        <v>3</v>
      </c>
      <c r="M33" s="51">
        <v>1</v>
      </c>
      <c r="N33" s="51">
        <v>3</v>
      </c>
      <c r="O33" s="51">
        <v>3</v>
      </c>
      <c r="P33" s="51">
        <v>13</v>
      </c>
      <c r="Q33" s="51">
        <v>10</v>
      </c>
      <c r="R33" s="51">
        <v>13</v>
      </c>
      <c r="S33" s="51">
        <v>14</v>
      </c>
      <c r="T33" s="51">
        <v>14</v>
      </c>
      <c r="U33" s="51">
        <v>14</v>
      </c>
      <c r="V33" s="51">
        <v>14</v>
      </c>
      <c r="W33" s="51">
        <v>14</v>
      </c>
      <c r="X33" s="51">
        <v>14</v>
      </c>
      <c r="Y33" s="51">
        <v>14</v>
      </c>
      <c r="Z33" s="51">
        <v>14</v>
      </c>
      <c r="AA33" s="51">
        <v>8</v>
      </c>
      <c r="AB33" s="51">
        <v>8</v>
      </c>
      <c r="AC33" s="51">
        <v>4</v>
      </c>
      <c r="AD33" s="51">
        <v>14</v>
      </c>
      <c r="AE33" s="51">
        <v>14</v>
      </c>
      <c r="AF33" s="51">
        <v>10</v>
      </c>
      <c r="AG33" s="51">
        <v>10</v>
      </c>
      <c r="AH33" s="51">
        <v>10</v>
      </c>
      <c r="AI33" s="46">
        <f t="shared" si="5"/>
        <v>281</v>
      </c>
      <c r="AK33" s="4"/>
      <c r="AL33" s="2"/>
    </row>
    <row r="34" spans="1:38" s="348" customFormat="1" x14ac:dyDescent="0.2">
      <c r="A34" s="342"/>
      <c r="B34" s="343"/>
      <c r="C34" s="344"/>
      <c r="D34" s="345"/>
      <c r="E34" s="345"/>
      <c r="F34" s="345"/>
      <c r="G34" s="345"/>
      <c r="H34" s="345"/>
      <c r="I34" s="345"/>
      <c r="J34" s="345"/>
      <c r="K34" s="345"/>
      <c r="L34" s="346"/>
      <c r="M34" s="346"/>
      <c r="N34" s="346"/>
      <c r="O34" s="346"/>
      <c r="P34" s="346"/>
      <c r="Q34" s="346"/>
      <c r="R34" s="346"/>
      <c r="S34" s="346"/>
      <c r="T34" s="346"/>
      <c r="U34" s="346"/>
      <c r="V34" s="346"/>
      <c r="W34" s="346"/>
      <c r="X34" s="346"/>
      <c r="Y34" s="346"/>
      <c r="Z34" s="346"/>
      <c r="AA34" s="346"/>
      <c r="AB34" s="346"/>
      <c r="AC34" s="346"/>
      <c r="AD34" s="346"/>
      <c r="AE34" s="346"/>
      <c r="AF34" s="346"/>
      <c r="AG34" s="346"/>
      <c r="AH34" s="346"/>
      <c r="AI34" s="347"/>
      <c r="AK34" s="349"/>
      <c r="AL34" s="350"/>
    </row>
    <row r="35" spans="1:38" x14ac:dyDescent="0.2">
      <c r="A35" s="330" t="s">
        <v>45</v>
      </c>
      <c r="B35" s="43" t="s">
        <v>47</v>
      </c>
      <c r="C35" s="44" t="s">
        <v>0</v>
      </c>
      <c r="D35" s="47">
        <v>72</v>
      </c>
      <c r="E35" s="47">
        <v>87</v>
      </c>
      <c r="F35" s="47">
        <v>82</v>
      </c>
      <c r="G35" s="47">
        <v>65</v>
      </c>
      <c r="H35" s="47">
        <v>67</v>
      </c>
      <c r="I35" s="47">
        <v>76</v>
      </c>
      <c r="J35" s="47">
        <v>71</v>
      </c>
      <c r="K35" s="47">
        <v>70</v>
      </c>
      <c r="L35" s="52">
        <v>55</v>
      </c>
      <c r="M35" s="52">
        <v>3</v>
      </c>
      <c r="N35" s="52">
        <v>36</v>
      </c>
      <c r="O35" s="52">
        <v>52</v>
      </c>
      <c r="P35" s="52">
        <v>63</v>
      </c>
      <c r="Q35" s="52">
        <v>68</v>
      </c>
      <c r="R35" s="52">
        <v>79</v>
      </c>
      <c r="S35" s="52">
        <v>77</v>
      </c>
      <c r="T35" s="52">
        <v>73</v>
      </c>
      <c r="U35" s="52">
        <v>89</v>
      </c>
      <c r="V35" s="52">
        <v>84</v>
      </c>
      <c r="W35" s="52">
        <v>80</v>
      </c>
      <c r="X35" s="52">
        <v>74</v>
      </c>
      <c r="Y35" s="52">
        <v>88</v>
      </c>
      <c r="Z35" s="52">
        <v>83</v>
      </c>
      <c r="AA35" s="52">
        <v>53</v>
      </c>
      <c r="AB35" s="52">
        <v>67</v>
      </c>
      <c r="AC35" s="52">
        <v>73</v>
      </c>
      <c r="AD35" s="52">
        <v>78</v>
      </c>
      <c r="AE35" s="52">
        <v>75</v>
      </c>
      <c r="AF35" s="52">
        <v>77</v>
      </c>
      <c r="AG35" s="52">
        <v>78</v>
      </c>
      <c r="AH35" s="52">
        <v>76</v>
      </c>
      <c r="AI35" s="46">
        <f t="shared" si="5"/>
        <v>2171</v>
      </c>
      <c r="AK35" s="3"/>
      <c r="AL35" s="2"/>
    </row>
    <row r="36" spans="1:38" ht="21" thickBot="1" x14ac:dyDescent="0.25">
      <c r="A36" s="330" t="s">
        <v>46</v>
      </c>
      <c r="B36" s="340" t="s">
        <v>248</v>
      </c>
      <c r="C36" s="44" t="s">
        <v>0</v>
      </c>
      <c r="D36" s="47">
        <f>D35*0.94</f>
        <v>67.679999999999993</v>
      </c>
      <c r="E36" s="47">
        <f>E35*0.94</f>
        <v>81.78</v>
      </c>
      <c r="F36" s="47">
        <f>F35*0.94</f>
        <v>77.08</v>
      </c>
      <c r="G36" s="47">
        <f t="shared" ref="G36:J36" si="6">G35*0.94</f>
        <v>61.099999999999994</v>
      </c>
      <c r="H36" s="47">
        <f t="shared" si="6"/>
        <v>62.98</v>
      </c>
      <c r="I36" s="47">
        <f t="shared" ref="I36" si="7">I35*0.94</f>
        <v>71.44</v>
      </c>
      <c r="J36" s="47">
        <f t="shared" si="6"/>
        <v>66.739999999999995</v>
      </c>
      <c r="K36" s="47">
        <f t="shared" ref="K36:Q36" si="8">K35*0.94</f>
        <v>65.8</v>
      </c>
      <c r="L36" s="47">
        <f t="shared" si="8"/>
        <v>51.699999999999996</v>
      </c>
      <c r="M36" s="47">
        <f t="shared" si="8"/>
        <v>2.82</v>
      </c>
      <c r="N36" s="47">
        <f t="shared" ref="N36" si="9">N35*0.94</f>
        <v>33.839999999999996</v>
      </c>
      <c r="O36" s="47">
        <f t="shared" si="8"/>
        <v>48.879999999999995</v>
      </c>
      <c r="P36" s="47">
        <f t="shared" si="8"/>
        <v>59.22</v>
      </c>
      <c r="Q36" s="47">
        <f t="shared" si="8"/>
        <v>63.919999999999995</v>
      </c>
      <c r="R36" s="47">
        <f t="shared" ref="R36:S36" si="10">R35*0.94</f>
        <v>74.259999999999991</v>
      </c>
      <c r="S36" s="47">
        <f t="shared" si="10"/>
        <v>72.38</v>
      </c>
      <c r="T36" s="47">
        <f t="shared" ref="T36" si="11">T35*0.94</f>
        <v>68.61999999999999</v>
      </c>
      <c r="U36" s="47">
        <f t="shared" ref="U36" si="12">U35*0.94</f>
        <v>83.66</v>
      </c>
      <c r="V36" s="47">
        <f t="shared" ref="V36" si="13">V35*0.94</f>
        <v>78.959999999999994</v>
      </c>
      <c r="W36" s="47">
        <f t="shared" ref="W36" si="14">W35*0.94</f>
        <v>75.199999999999989</v>
      </c>
      <c r="X36" s="47">
        <f t="shared" ref="X36" si="15">X35*0.94</f>
        <v>69.56</v>
      </c>
      <c r="Y36" s="47">
        <f t="shared" ref="Y36" si="16">Y35*0.94</f>
        <v>82.72</v>
      </c>
      <c r="Z36" s="47">
        <f t="shared" ref="Z36" si="17">Z35*0.94</f>
        <v>78.02</v>
      </c>
      <c r="AA36" s="47">
        <f t="shared" ref="AA36" si="18">AA35*0.94</f>
        <v>49.82</v>
      </c>
      <c r="AB36" s="47">
        <f t="shared" ref="AB36" si="19">AB35*0.94</f>
        <v>62.98</v>
      </c>
      <c r="AC36" s="47">
        <f t="shared" ref="AC36" si="20">AC35*0.94</f>
        <v>68.61999999999999</v>
      </c>
      <c r="AD36" s="47">
        <f t="shared" ref="AD36" si="21">AD35*0.94</f>
        <v>73.319999999999993</v>
      </c>
      <c r="AE36" s="47">
        <f t="shared" ref="AE36:AG36" si="22">AE35*0.94</f>
        <v>70.5</v>
      </c>
      <c r="AF36" s="47">
        <f t="shared" si="22"/>
        <v>72.38</v>
      </c>
      <c r="AG36" s="47">
        <f t="shared" si="22"/>
        <v>73.319999999999993</v>
      </c>
      <c r="AH36" s="47">
        <f t="shared" ref="AH36" si="23">AH35*0.94</f>
        <v>71.44</v>
      </c>
      <c r="AI36" s="46">
        <f t="shared" si="5"/>
        <v>2040.74</v>
      </c>
      <c r="AK36" s="3"/>
      <c r="AL36" s="2"/>
    </row>
    <row r="37" spans="1:38" x14ac:dyDescent="0.2">
      <c r="A37" s="331"/>
      <c r="B37" s="57"/>
      <c r="C37" s="335"/>
      <c r="D37" s="335"/>
      <c r="E37" s="335"/>
      <c r="F37" s="335"/>
      <c r="G37" s="335"/>
      <c r="H37" s="335"/>
      <c r="I37" s="335"/>
      <c r="J37" s="335"/>
      <c r="K37" s="335"/>
      <c r="L37" s="335"/>
      <c r="M37" s="335"/>
      <c r="N37" s="335"/>
      <c r="O37" s="335"/>
      <c r="P37" s="335"/>
      <c r="Q37" s="335"/>
      <c r="R37" s="335"/>
      <c r="S37" s="335"/>
      <c r="T37" s="335"/>
      <c r="U37" s="335"/>
      <c r="V37" s="335"/>
      <c r="W37" s="335"/>
      <c r="X37" s="335"/>
      <c r="Y37" s="335"/>
      <c r="Z37" s="335"/>
      <c r="AA37" s="335"/>
      <c r="AB37" s="335"/>
      <c r="AC37" s="335"/>
      <c r="AD37" s="335"/>
      <c r="AE37" s="335"/>
      <c r="AF37" s="335"/>
      <c r="AG37" s="335"/>
      <c r="AH37" s="335"/>
      <c r="AI37" s="336"/>
      <c r="AK37" s="3"/>
      <c r="AL37" s="2"/>
    </row>
    <row r="38" spans="1:38" x14ac:dyDescent="0.2">
      <c r="A38" s="354"/>
      <c r="B38" s="355"/>
      <c r="C38" s="356"/>
      <c r="D38" s="356"/>
      <c r="E38" s="356"/>
      <c r="F38" s="356"/>
      <c r="G38" s="356"/>
      <c r="H38" s="356"/>
      <c r="I38" s="356"/>
      <c r="J38" s="356"/>
      <c r="K38" s="356"/>
      <c r="L38" s="356"/>
      <c r="M38" s="356"/>
      <c r="N38" s="356"/>
      <c r="O38" s="356"/>
      <c r="P38" s="356"/>
      <c r="Q38" s="356"/>
      <c r="R38" s="356"/>
      <c r="S38" s="356"/>
      <c r="T38" s="356"/>
      <c r="U38" s="356"/>
      <c r="V38" s="356"/>
      <c r="W38" s="356"/>
      <c r="X38" s="356"/>
      <c r="Y38" s="356"/>
      <c r="Z38" s="356"/>
      <c r="AA38" s="356"/>
      <c r="AB38" s="356"/>
      <c r="AC38" s="356"/>
      <c r="AD38" s="356"/>
      <c r="AE38" s="356"/>
      <c r="AF38" s="356"/>
      <c r="AG38" s="356"/>
      <c r="AH38" s="356"/>
      <c r="AI38" s="356"/>
      <c r="AK38" s="3"/>
      <c r="AL38" s="2"/>
    </row>
    <row r="39" spans="1:38" hidden="1" x14ac:dyDescent="0.2">
      <c r="A39" s="354"/>
      <c r="B39" s="355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356"/>
      <c r="AB39" s="356"/>
      <c r="AC39" s="356"/>
      <c r="AD39" s="356"/>
      <c r="AE39" s="356"/>
      <c r="AF39" s="356"/>
      <c r="AG39" s="356"/>
      <c r="AH39" s="356"/>
      <c r="AI39" s="356"/>
      <c r="AK39" s="3"/>
      <c r="AL39" s="2"/>
    </row>
    <row r="40" spans="1:38" hidden="1" x14ac:dyDescent="0.2">
      <c r="A40" s="354"/>
      <c r="B40" s="355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356"/>
      <c r="AB40" s="356"/>
      <c r="AC40" s="356"/>
      <c r="AD40" s="356"/>
      <c r="AE40" s="356"/>
      <c r="AF40" s="356"/>
      <c r="AG40" s="356"/>
      <c r="AH40" s="356"/>
      <c r="AI40" s="356"/>
      <c r="AK40" s="3"/>
      <c r="AL40" s="2"/>
    </row>
    <row r="41" spans="1:38" hidden="1" x14ac:dyDescent="0.2">
      <c r="A41" s="354"/>
      <c r="B41" s="355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356"/>
      <c r="N41" s="356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56"/>
      <c r="Z41" s="356"/>
      <c r="AA41" s="356"/>
      <c r="AB41" s="356"/>
      <c r="AC41" s="356"/>
      <c r="AD41" s="356"/>
      <c r="AE41" s="356"/>
      <c r="AF41" s="356"/>
      <c r="AG41" s="356"/>
      <c r="AH41" s="356"/>
      <c r="AI41" s="356"/>
      <c r="AK41" s="3"/>
      <c r="AL41" s="2"/>
    </row>
    <row r="42" spans="1:38" hidden="1" x14ac:dyDescent="0.2">
      <c r="A42" s="354"/>
      <c r="B42" s="355"/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56"/>
      <c r="Z42" s="356"/>
      <c r="AA42" s="356"/>
      <c r="AB42" s="356"/>
      <c r="AC42" s="356"/>
      <c r="AD42" s="356"/>
      <c r="AE42" s="356"/>
      <c r="AF42" s="356"/>
      <c r="AG42" s="356"/>
      <c r="AH42" s="356"/>
      <c r="AI42" s="356"/>
      <c r="AK42" s="3"/>
      <c r="AL42" s="2"/>
    </row>
    <row r="43" spans="1:38" hidden="1" x14ac:dyDescent="0.2">
      <c r="A43" s="354"/>
      <c r="B43" s="355"/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  <c r="Y43" s="356"/>
      <c r="Z43" s="356"/>
      <c r="AA43" s="356"/>
      <c r="AB43" s="356"/>
      <c r="AC43" s="356"/>
      <c r="AD43" s="356"/>
      <c r="AE43" s="356"/>
      <c r="AF43" s="356"/>
      <c r="AG43" s="356"/>
      <c r="AH43" s="356"/>
      <c r="AI43" s="356"/>
      <c r="AK43" s="3"/>
      <c r="AL43" s="2"/>
    </row>
    <row r="44" spans="1:38" hidden="1" x14ac:dyDescent="0.2">
      <c r="A44" s="354"/>
      <c r="B44" s="355"/>
      <c r="C44" s="356"/>
      <c r="D44" s="356"/>
      <c r="E44" s="356"/>
      <c r="F44" s="356"/>
      <c r="G44" s="356"/>
      <c r="H44" s="356"/>
      <c r="I44" s="356"/>
      <c r="J44" s="356"/>
      <c r="K44" s="356"/>
      <c r="L44" s="356"/>
      <c r="M44" s="356"/>
      <c r="N44" s="356"/>
      <c r="O44" s="356"/>
      <c r="P44" s="356"/>
      <c r="Q44" s="356"/>
      <c r="R44" s="356"/>
      <c r="S44" s="356"/>
      <c r="T44" s="356"/>
      <c r="U44" s="356"/>
      <c r="V44" s="356"/>
      <c r="W44" s="356"/>
      <c r="X44" s="356"/>
      <c r="Y44" s="356"/>
      <c r="Z44" s="356"/>
      <c r="AA44" s="356"/>
      <c r="AB44" s="356"/>
      <c r="AC44" s="356"/>
      <c r="AD44" s="356"/>
      <c r="AE44" s="356"/>
      <c r="AF44" s="356"/>
      <c r="AG44" s="356"/>
      <c r="AH44" s="356"/>
      <c r="AI44" s="356"/>
      <c r="AK44" s="3"/>
      <c r="AL44" s="2"/>
    </row>
    <row r="45" spans="1:38" hidden="1" x14ac:dyDescent="0.2">
      <c r="A45" s="354"/>
      <c r="B45" s="355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356"/>
      <c r="AB45" s="356"/>
      <c r="AC45" s="356"/>
      <c r="AD45" s="356"/>
      <c r="AE45" s="356"/>
      <c r="AF45" s="356"/>
      <c r="AG45" s="356"/>
      <c r="AH45" s="356"/>
      <c r="AI45" s="356"/>
      <c r="AK45" s="3"/>
      <c r="AL45" s="2"/>
    </row>
    <row r="46" spans="1:38" hidden="1" x14ac:dyDescent="0.2">
      <c r="A46" s="354"/>
      <c r="B46" s="355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356"/>
      <c r="AB46" s="356"/>
      <c r="AC46" s="356"/>
      <c r="AD46" s="356"/>
      <c r="AE46" s="356"/>
      <c r="AF46" s="356"/>
      <c r="AG46" s="356"/>
      <c r="AH46" s="356"/>
      <c r="AI46" s="356"/>
      <c r="AK46" s="3"/>
      <c r="AL46" s="2"/>
    </row>
    <row r="47" spans="1:38" hidden="1" x14ac:dyDescent="0.2">
      <c r="A47" s="354"/>
      <c r="B47" s="355"/>
      <c r="C47" s="356"/>
      <c r="D47" s="356"/>
      <c r="E47" s="356"/>
      <c r="F47" s="356"/>
      <c r="G47" s="356"/>
      <c r="H47" s="356"/>
      <c r="I47" s="356"/>
      <c r="J47" s="356"/>
      <c r="K47" s="356"/>
      <c r="L47" s="356"/>
      <c r="M47" s="356"/>
      <c r="N47" s="356"/>
      <c r="O47" s="356"/>
      <c r="P47" s="356"/>
      <c r="Q47" s="356"/>
      <c r="R47" s="356"/>
      <c r="S47" s="356"/>
      <c r="T47" s="356"/>
      <c r="U47" s="356"/>
      <c r="V47" s="356"/>
      <c r="W47" s="356"/>
      <c r="X47" s="356"/>
      <c r="Y47" s="356"/>
      <c r="Z47" s="356"/>
      <c r="AA47" s="356"/>
      <c r="AB47" s="356"/>
      <c r="AC47" s="356"/>
      <c r="AD47" s="356"/>
      <c r="AE47" s="356"/>
      <c r="AF47" s="356"/>
      <c r="AG47" s="356"/>
      <c r="AH47" s="356"/>
      <c r="AI47" s="356"/>
      <c r="AK47" s="3"/>
      <c r="AL47" s="2"/>
    </row>
    <row r="48" spans="1:38" hidden="1" x14ac:dyDescent="0.2">
      <c r="A48" s="354"/>
      <c r="B48" s="355"/>
      <c r="C48" s="356"/>
      <c r="D48" s="356"/>
      <c r="E48" s="356"/>
      <c r="F48" s="356"/>
      <c r="G48" s="356"/>
      <c r="H48" s="356"/>
      <c r="I48" s="356"/>
      <c r="J48" s="356"/>
      <c r="K48" s="356"/>
      <c r="L48" s="356"/>
      <c r="M48" s="356"/>
      <c r="N48" s="356"/>
      <c r="O48" s="356"/>
      <c r="P48" s="356"/>
      <c r="Q48" s="356"/>
      <c r="R48" s="356"/>
      <c r="S48" s="356"/>
      <c r="T48" s="356"/>
      <c r="U48" s="356"/>
      <c r="V48" s="356"/>
      <c r="W48" s="356"/>
      <c r="X48" s="356"/>
      <c r="Y48" s="356"/>
      <c r="Z48" s="356"/>
      <c r="AA48" s="356"/>
      <c r="AB48" s="356"/>
      <c r="AC48" s="356"/>
      <c r="AD48" s="356"/>
      <c r="AE48" s="356"/>
      <c r="AF48" s="356"/>
      <c r="AG48" s="356"/>
      <c r="AH48" s="356"/>
      <c r="AI48" s="356"/>
      <c r="AK48" s="3"/>
      <c r="AL48" s="2"/>
    </row>
    <row r="49" spans="1:38" hidden="1" x14ac:dyDescent="0.2">
      <c r="A49" s="354"/>
      <c r="B49" s="355"/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356"/>
      <c r="O49" s="356"/>
      <c r="P49" s="356"/>
      <c r="Q49" s="356"/>
      <c r="R49" s="356"/>
      <c r="S49" s="356"/>
      <c r="T49" s="356"/>
      <c r="U49" s="356"/>
      <c r="V49" s="356"/>
      <c r="W49" s="356"/>
      <c r="X49" s="356"/>
      <c r="Y49" s="356"/>
      <c r="Z49" s="356"/>
      <c r="AA49" s="356"/>
      <c r="AB49" s="356"/>
      <c r="AC49" s="356"/>
      <c r="AD49" s="356"/>
      <c r="AE49" s="356"/>
      <c r="AF49" s="356"/>
      <c r="AG49" s="356"/>
      <c r="AH49" s="356"/>
      <c r="AI49" s="356"/>
      <c r="AK49" s="3"/>
      <c r="AL49" s="2"/>
    </row>
    <row r="50" spans="1:38" hidden="1" x14ac:dyDescent="0.2">
      <c r="A50" s="354"/>
      <c r="B50" s="355"/>
      <c r="C50" s="356"/>
      <c r="D50" s="356"/>
      <c r="E50" s="356"/>
      <c r="F50" s="356"/>
      <c r="G50" s="356"/>
      <c r="H50" s="356"/>
      <c r="I50" s="356"/>
      <c r="J50" s="356"/>
      <c r="K50" s="356"/>
      <c r="L50" s="356"/>
      <c r="M50" s="356"/>
      <c r="N50" s="356"/>
      <c r="O50" s="356"/>
      <c r="P50" s="356"/>
      <c r="Q50" s="356"/>
      <c r="R50" s="356"/>
      <c r="S50" s="356"/>
      <c r="T50" s="356"/>
      <c r="U50" s="356"/>
      <c r="V50" s="356"/>
      <c r="W50" s="356"/>
      <c r="X50" s="356"/>
      <c r="Y50" s="356"/>
      <c r="Z50" s="356"/>
      <c r="AA50" s="356"/>
      <c r="AB50" s="356"/>
      <c r="AC50" s="356"/>
      <c r="AD50" s="356"/>
      <c r="AE50" s="356"/>
      <c r="AF50" s="356"/>
      <c r="AG50" s="356"/>
      <c r="AH50" s="356"/>
      <c r="AI50" s="356"/>
      <c r="AK50" s="3"/>
      <c r="AL50" s="2"/>
    </row>
    <row r="51" spans="1:38" hidden="1" x14ac:dyDescent="0.2">
      <c r="A51" s="354"/>
      <c r="B51" s="355"/>
      <c r="C51" s="356"/>
      <c r="D51" s="356"/>
      <c r="E51" s="356"/>
      <c r="F51" s="356"/>
      <c r="G51" s="356"/>
      <c r="H51" s="356"/>
      <c r="I51" s="356"/>
      <c r="J51" s="356"/>
      <c r="K51" s="356"/>
      <c r="L51" s="356"/>
      <c r="M51" s="356"/>
      <c r="N51" s="356"/>
      <c r="O51" s="356"/>
      <c r="P51" s="356"/>
      <c r="Q51" s="356"/>
      <c r="R51" s="356"/>
      <c r="S51" s="356"/>
      <c r="T51" s="356"/>
      <c r="U51" s="356"/>
      <c r="V51" s="356"/>
      <c r="W51" s="356"/>
      <c r="X51" s="356"/>
      <c r="Y51" s="356"/>
      <c r="Z51" s="356"/>
      <c r="AA51" s="356"/>
      <c r="AB51" s="356"/>
      <c r="AC51" s="356"/>
      <c r="AD51" s="356"/>
      <c r="AE51" s="356"/>
      <c r="AF51" s="356"/>
      <c r="AG51" s="356"/>
      <c r="AH51" s="356"/>
      <c r="AI51" s="356"/>
      <c r="AK51" s="3"/>
      <c r="AL51" s="2"/>
    </row>
    <row r="52" spans="1:38" hidden="1" x14ac:dyDescent="0.2">
      <c r="A52" s="354"/>
      <c r="B52" s="355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356"/>
      <c r="AB52" s="356"/>
      <c r="AC52" s="356"/>
      <c r="AD52" s="356"/>
      <c r="AE52" s="356"/>
      <c r="AF52" s="356"/>
      <c r="AG52" s="356"/>
      <c r="AH52" s="356"/>
      <c r="AI52" s="356"/>
      <c r="AK52" s="3"/>
      <c r="AL52" s="2"/>
    </row>
    <row r="53" spans="1:38" hidden="1" x14ac:dyDescent="0.2">
      <c r="A53" s="354"/>
      <c r="B53" s="355"/>
      <c r="C53" s="356"/>
      <c r="D53" s="356"/>
      <c r="E53" s="356"/>
      <c r="F53" s="356"/>
      <c r="G53" s="356"/>
      <c r="H53" s="356"/>
      <c r="I53" s="356"/>
      <c r="J53" s="356"/>
      <c r="K53" s="356"/>
      <c r="L53" s="356"/>
      <c r="M53" s="356"/>
      <c r="N53" s="356"/>
      <c r="O53" s="356"/>
      <c r="P53" s="356"/>
      <c r="Q53" s="356"/>
      <c r="R53" s="356"/>
      <c r="S53" s="356"/>
      <c r="T53" s="356"/>
      <c r="U53" s="356"/>
      <c r="V53" s="356"/>
      <c r="W53" s="356"/>
      <c r="X53" s="356"/>
      <c r="Y53" s="356"/>
      <c r="Z53" s="356"/>
      <c r="AA53" s="356"/>
      <c r="AB53" s="356"/>
      <c r="AC53" s="356"/>
      <c r="AD53" s="356"/>
      <c r="AE53" s="356"/>
      <c r="AF53" s="356"/>
      <c r="AG53" s="356"/>
      <c r="AH53" s="356"/>
      <c r="AI53" s="356"/>
      <c r="AK53" s="3"/>
      <c r="AL53" s="2"/>
    </row>
    <row r="54" spans="1:38" hidden="1" x14ac:dyDescent="0.2">
      <c r="A54" s="354"/>
      <c r="B54" s="355"/>
      <c r="C54" s="356"/>
      <c r="D54" s="356"/>
      <c r="E54" s="356"/>
      <c r="F54" s="356"/>
      <c r="G54" s="356"/>
      <c r="H54" s="356"/>
      <c r="I54" s="356"/>
      <c r="J54" s="356"/>
      <c r="K54" s="356"/>
      <c r="L54" s="356"/>
      <c r="M54" s="356"/>
      <c r="N54" s="356"/>
      <c r="O54" s="356"/>
      <c r="P54" s="356"/>
      <c r="Q54" s="356"/>
      <c r="R54" s="356"/>
      <c r="S54" s="356"/>
      <c r="T54" s="356"/>
      <c r="U54" s="356"/>
      <c r="V54" s="356"/>
      <c r="W54" s="356"/>
      <c r="X54" s="356"/>
      <c r="Y54" s="356"/>
      <c r="Z54" s="356"/>
      <c r="AA54" s="356"/>
      <c r="AB54" s="356"/>
      <c r="AC54" s="356"/>
      <c r="AD54" s="356"/>
      <c r="AE54" s="356"/>
      <c r="AF54" s="356"/>
      <c r="AG54" s="356"/>
      <c r="AH54" s="356"/>
      <c r="AI54" s="356"/>
      <c r="AK54" s="3"/>
      <c r="AL54" s="2"/>
    </row>
    <row r="55" spans="1:38" hidden="1" x14ac:dyDescent="0.2">
      <c r="A55" s="354"/>
      <c r="B55" s="355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6"/>
      <c r="P55" s="356"/>
      <c r="Q55" s="356"/>
      <c r="R55" s="356"/>
      <c r="S55" s="356"/>
      <c r="T55" s="356"/>
      <c r="U55" s="356"/>
      <c r="V55" s="356"/>
      <c r="W55" s="356"/>
      <c r="X55" s="356"/>
      <c r="Y55" s="356"/>
      <c r="Z55" s="356"/>
      <c r="AA55" s="356"/>
      <c r="AB55" s="356"/>
      <c r="AC55" s="356"/>
      <c r="AD55" s="356"/>
      <c r="AE55" s="356"/>
      <c r="AF55" s="356"/>
      <c r="AG55" s="356"/>
      <c r="AH55" s="356"/>
      <c r="AI55" s="356"/>
      <c r="AK55" s="3"/>
      <c r="AL55" s="2"/>
    </row>
    <row r="56" spans="1:38" hidden="1" x14ac:dyDescent="0.2">
      <c r="A56" s="354"/>
      <c r="B56" s="355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6"/>
      <c r="P56" s="356"/>
      <c r="Q56" s="356"/>
      <c r="R56" s="356"/>
      <c r="S56" s="356"/>
      <c r="T56" s="356"/>
      <c r="U56" s="356"/>
      <c r="V56" s="356"/>
      <c r="W56" s="356"/>
      <c r="X56" s="356"/>
      <c r="Y56" s="356"/>
      <c r="Z56" s="356"/>
      <c r="AA56" s="356"/>
      <c r="AB56" s="356"/>
      <c r="AC56" s="356"/>
      <c r="AD56" s="356"/>
      <c r="AE56" s="356"/>
      <c r="AF56" s="356"/>
      <c r="AG56" s="356"/>
      <c r="AH56" s="356"/>
      <c r="AI56" s="356"/>
      <c r="AK56" s="3"/>
      <c r="AL56" s="2"/>
    </row>
    <row r="57" spans="1:38" hidden="1" x14ac:dyDescent="0.2">
      <c r="A57" s="354"/>
      <c r="B57" s="355"/>
      <c r="C57" s="356"/>
      <c r="D57" s="356"/>
      <c r="E57" s="356"/>
      <c r="F57" s="356"/>
      <c r="G57" s="356"/>
      <c r="H57" s="356"/>
      <c r="I57" s="356"/>
      <c r="J57" s="356"/>
      <c r="K57" s="356"/>
      <c r="L57" s="356"/>
      <c r="M57" s="356"/>
      <c r="N57" s="356"/>
      <c r="O57" s="356"/>
      <c r="P57" s="356"/>
      <c r="Q57" s="356"/>
      <c r="R57" s="356"/>
      <c r="S57" s="356"/>
      <c r="T57" s="356"/>
      <c r="U57" s="356"/>
      <c r="V57" s="356"/>
      <c r="W57" s="356"/>
      <c r="X57" s="356"/>
      <c r="Y57" s="356"/>
      <c r="Z57" s="356"/>
      <c r="AA57" s="356"/>
      <c r="AB57" s="356"/>
      <c r="AC57" s="356"/>
      <c r="AD57" s="356"/>
      <c r="AE57" s="356"/>
      <c r="AF57" s="356"/>
      <c r="AG57" s="356"/>
      <c r="AH57" s="356"/>
      <c r="AI57" s="356"/>
      <c r="AK57" s="3"/>
      <c r="AL57" s="2"/>
    </row>
    <row r="58" spans="1:38" hidden="1" x14ac:dyDescent="0.2">
      <c r="A58" s="354"/>
      <c r="B58" s="355"/>
      <c r="C58" s="356"/>
      <c r="D58" s="356"/>
      <c r="E58" s="356"/>
      <c r="F58" s="356"/>
      <c r="G58" s="356"/>
      <c r="H58" s="356"/>
      <c r="I58" s="356"/>
      <c r="J58" s="356"/>
      <c r="K58" s="356"/>
      <c r="L58" s="356"/>
      <c r="M58" s="356"/>
      <c r="N58" s="356"/>
      <c r="O58" s="356"/>
      <c r="P58" s="356"/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K58" s="3"/>
      <c r="AL58" s="2"/>
    </row>
    <row r="59" spans="1:38" hidden="1" x14ac:dyDescent="0.2">
      <c r="A59" s="354"/>
      <c r="B59" s="355"/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356"/>
      <c r="O59" s="356"/>
      <c r="P59" s="356"/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K59" s="3"/>
      <c r="AL59" s="2"/>
    </row>
    <row r="60" spans="1:38" hidden="1" x14ac:dyDescent="0.2">
      <c r="A60" s="354"/>
      <c r="B60" s="355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K60" s="3"/>
      <c r="AL60" s="2"/>
    </row>
    <row r="61" spans="1:38" hidden="1" x14ac:dyDescent="0.2">
      <c r="A61" s="354"/>
      <c r="B61" s="355"/>
      <c r="C61" s="356"/>
      <c r="D61" s="356"/>
      <c r="E61" s="356"/>
      <c r="F61" s="356"/>
      <c r="G61" s="356"/>
      <c r="H61" s="356"/>
      <c r="I61" s="356"/>
      <c r="J61" s="356"/>
      <c r="K61" s="356"/>
      <c r="L61" s="356"/>
      <c r="M61" s="356"/>
      <c r="N61" s="356"/>
      <c r="O61" s="356"/>
      <c r="P61" s="356"/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K61" s="3"/>
      <c r="AL61" s="2"/>
    </row>
    <row r="62" spans="1:38" hidden="1" x14ac:dyDescent="0.2">
      <c r="A62" s="354"/>
      <c r="B62" s="355"/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356"/>
      <c r="O62" s="356"/>
      <c r="P62" s="356"/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K62" s="3"/>
      <c r="AL62" s="2"/>
    </row>
    <row r="63" spans="1:38" hidden="1" x14ac:dyDescent="0.2">
      <c r="A63" s="354"/>
      <c r="B63" s="355"/>
      <c r="C63" s="356"/>
      <c r="D63" s="356"/>
      <c r="E63" s="356"/>
      <c r="F63" s="356"/>
      <c r="G63" s="356"/>
      <c r="H63" s="356"/>
      <c r="I63" s="356"/>
      <c r="J63" s="356"/>
      <c r="K63" s="356"/>
      <c r="L63" s="356"/>
      <c r="M63" s="356"/>
      <c r="N63" s="356"/>
      <c r="O63" s="356"/>
      <c r="P63" s="356"/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K63" s="3"/>
      <c r="AL63" s="2"/>
    </row>
    <row r="64" spans="1:38" hidden="1" x14ac:dyDescent="0.2">
      <c r="A64" s="354"/>
      <c r="B64" s="355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356"/>
      <c r="AB64" s="356"/>
      <c r="AC64" s="356"/>
      <c r="AD64" s="356"/>
      <c r="AE64" s="356"/>
      <c r="AF64" s="356"/>
      <c r="AG64" s="356"/>
      <c r="AH64" s="356"/>
      <c r="AI64" s="356"/>
      <c r="AK64" s="3"/>
      <c r="AL64" s="2"/>
    </row>
    <row r="65" spans="1:38" hidden="1" x14ac:dyDescent="0.2">
      <c r="A65" s="354"/>
      <c r="B65" s="355"/>
      <c r="C65" s="356"/>
      <c r="D65" s="356"/>
      <c r="E65" s="356"/>
      <c r="F65" s="356"/>
      <c r="G65" s="356"/>
      <c r="H65" s="356"/>
      <c r="I65" s="356"/>
      <c r="J65" s="356"/>
      <c r="K65" s="356"/>
      <c r="L65" s="356"/>
      <c r="M65" s="356"/>
      <c r="N65" s="356"/>
      <c r="O65" s="356"/>
      <c r="P65" s="356"/>
      <c r="Q65" s="356"/>
      <c r="R65" s="356"/>
      <c r="S65" s="356"/>
      <c r="T65" s="356"/>
      <c r="U65" s="356"/>
      <c r="V65" s="356"/>
      <c r="W65" s="356"/>
      <c r="X65" s="356"/>
      <c r="Y65" s="356"/>
      <c r="Z65" s="356"/>
      <c r="AA65" s="356"/>
      <c r="AB65" s="356"/>
      <c r="AC65" s="356"/>
      <c r="AD65" s="356"/>
      <c r="AE65" s="356"/>
      <c r="AF65" s="356"/>
      <c r="AG65" s="356"/>
      <c r="AH65" s="356"/>
      <c r="AI65" s="356"/>
      <c r="AK65" s="3"/>
      <c r="AL65" s="2"/>
    </row>
    <row r="66" spans="1:38" hidden="1" x14ac:dyDescent="0.2">
      <c r="A66" s="354"/>
      <c r="B66" s="355"/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356"/>
      <c r="O66" s="356"/>
      <c r="P66" s="356"/>
      <c r="Q66" s="356"/>
      <c r="R66" s="356"/>
      <c r="S66" s="356"/>
      <c r="T66" s="356"/>
      <c r="U66" s="356"/>
      <c r="V66" s="356"/>
      <c r="W66" s="356"/>
      <c r="X66" s="356"/>
      <c r="Y66" s="356"/>
      <c r="Z66" s="356"/>
      <c r="AA66" s="356"/>
      <c r="AB66" s="356"/>
      <c r="AC66" s="356"/>
      <c r="AD66" s="356"/>
      <c r="AE66" s="356"/>
      <c r="AF66" s="356"/>
      <c r="AG66" s="356"/>
      <c r="AH66" s="356"/>
      <c r="AI66" s="356"/>
      <c r="AK66" s="3"/>
      <c r="AL66" s="2"/>
    </row>
    <row r="67" spans="1:38" hidden="1" x14ac:dyDescent="0.2">
      <c r="A67" s="354"/>
      <c r="B67" s="355"/>
      <c r="C67" s="356"/>
      <c r="D67" s="356"/>
      <c r="E67" s="356"/>
      <c r="F67" s="356"/>
      <c r="G67" s="356"/>
      <c r="H67" s="356"/>
      <c r="I67" s="356"/>
      <c r="J67" s="356"/>
      <c r="K67" s="356"/>
      <c r="L67" s="356"/>
      <c r="M67" s="356"/>
      <c r="N67" s="356"/>
      <c r="O67" s="356"/>
      <c r="P67" s="356"/>
      <c r="Q67" s="356"/>
      <c r="R67" s="356"/>
      <c r="S67" s="356"/>
      <c r="T67" s="356"/>
      <c r="U67" s="356"/>
      <c r="V67" s="356"/>
      <c r="W67" s="356"/>
      <c r="X67" s="356"/>
      <c r="Y67" s="356"/>
      <c r="Z67" s="356"/>
      <c r="AA67" s="356"/>
      <c r="AB67" s="356"/>
      <c r="AC67" s="356"/>
      <c r="AD67" s="356"/>
      <c r="AE67" s="356"/>
      <c r="AF67" s="356"/>
      <c r="AG67" s="356"/>
      <c r="AH67" s="356"/>
      <c r="AI67" s="356"/>
      <c r="AK67" s="3"/>
      <c r="AL67" s="2"/>
    </row>
    <row r="68" spans="1:38" hidden="1" x14ac:dyDescent="0.2">
      <c r="A68" s="354"/>
      <c r="B68" s="355"/>
      <c r="C68" s="356"/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356"/>
      <c r="V68" s="356"/>
      <c r="W68" s="356"/>
      <c r="X68" s="356"/>
      <c r="Y68" s="356"/>
      <c r="Z68" s="356"/>
      <c r="AA68" s="356"/>
      <c r="AB68" s="356"/>
      <c r="AC68" s="356"/>
      <c r="AD68" s="356"/>
      <c r="AE68" s="356"/>
      <c r="AF68" s="356"/>
      <c r="AG68" s="356"/>
      <c r="AH68" s="356"/>
      <c r="AI68" s="356"/>
      <c r="AK68" s="3"/>
      <c r="AL68" s="2"/>
    </row>
    <row r="69" spans="1:38" hidden="1" x14ac:dyDescent="0.2">
      <c r="A69" s="354"/>
      <c r="B69" s="355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356"/>
      <c r="AB69" s="356"/>
      <c r="AC69" s="356"/>
      <c r="AD69" s="356"/>
      <c r="AE69" s="356"/>
      <c r="AF69" s="356"/>
      <c r="AG69" s="356"/>
      <c r="AH69" s="356"/>
      <c r="AI69" s="356"/>
      <c r="AK69" s="3"/>
      <c r="AL69" s="2"/>
    </row>
    <row r="70" spans="1:38" hidden="1" x14ac:dyDescent="0.2">
      <c r="A70" s="354"/>
      <c r="B70" s="355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  <c r="R70" s="356"/>
      <c r="S70" s="356"/>
      <c r="T70" s="356"/>
      <c r="U70" s="356"/>
      <c r="V70" s="356"/>
      <c r="W70" s="356"/>
      <c r="X70" s="356"/>
      <c r="Y70" s="356"/>
      <c r="Z70" s="356"/>
      <c r="AA70" s="356"/>
      <c r="AB70" s="356"/>
      <c r="AC70" s="356"/>
      <c r="AD70" s="356"/>
      <c r="AE70" s="356"/>
      <c r="AF70" s="356"/>
      <c r="AG70" s="356"/>
      <c r="AH70" s="356"/>
      <c r="AI70" s="356"/>
      <c r="AK70" s="3"/>
      <c r="AL70" s="2"/>
    </row>
    <row r="71" spans="1:38" hidden="1" x14ac:dyDescent="0.2">
      <c r="A71" s="354"/>
      <c r="B71" s="355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  <c r="R71" s="356"/>
      <c r="S71" s="356"/>
      <c r="T71" s="356"/>
      <c r="U71" s="356"/>
      <c r="V71" s="356"/>
      <c r="W71" s="356"/>
      <c r="X71" s="356"/>
      <c r="Y71" s="356"/>
      <c r="Z71" s="356"/>
      <c r="AA71" s="356"/>
      <c r="AB71" s="356"/>
      <c r="AC71" s="356"/>
      <c r="AD71" s="356"/>
      <c r="AE71" s="356"/>
      <c r="AF71" s="356"/>
      <c r="AG71" s="356"/>
      <c r="AH71" s="356"/>
      <c r="AI71" s="356"/>
      <c r="AK71" s="3"/>
      <c r="AL71" s="2"/>
    </row>
    <row r="72" spans="1:38" hidden="1" x14ac:dyDescent="0.2">
      <c r="A72" s="354"/>
      <c r="B72" s="355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  <c r="R72" s="356"/>
      <c r="S72" s="356"/>
      <c r="T72" s="356"/>
      <c r="U72" s="356"/>
      <c r="V72" s="356"/>
      <c r="W72" s="356"/>
      <c r="X72" s="356"/>
      <c r="Y72" s="356"/>
      <c r="Z72" s="356"/>
      <c r="AA72" s="356"/>
      <c r="AB72" s="356"/>
      <c r="AC72" s="356"/>
      <c r="AD72" s="356"/>
      <c r="AE72" s="356"/>
      <c r="AF72" s="356"/>
      <c r="AG72" s="356"/>
      <c r="AH72" s="356"/>
      <c r="AI72" s="356"/>
      <c r="AK72" s="3"/>
      <c r="AL72" s="2"/>
    </row>
    <row r="73" spans="1:38" hidden="1" x14ac:dyDescent="0.2">
      <c r="A73" s="354"/>
      <c r="B73" s="355"/>
      <c r="C73" s="356"/>
      <c r="D73" s="356"/>
      <c r="E73" s="356"/>
      <c r="F73" s="356"/>
      <c r="G73" s="356"/>
      <c r="H73" s="356"/>
      <c r="I73" s="356"/>
      <c r="J73" s="356"/>
      <c r="K73" s="356"/>
      <c r="L73" s="356"/>
      <c r="M73" s="356"/>
      <c r="N73" s="356"/>
      <c r="O73" s="356"/>
      <c r="P73" s="356"/>
      <c r="Q73" s="356"/>
      <c r="R73" s="356"/>
      <c r="S73" s="356"/>
      <c r="T73" s="356"/>
      <c r="U73" s="356"/>
      <c r="V73" s="356"/>
      <c r="W73" s="356"/>
      <c r="X73" s="356"/>
      <c r="Y73" s="356"/>
      <c r="Z73" s="356"/>
      <c r="AA73" s="356"/>
      <c r="AB73" s="356"/>
      <c r="AC73" s="356"/>
      <c r="AD73" s="356"/>
      <c r="AE73" s="356"/>
      <c r="AF73" s="356"/>
      <c r="AG73" s="356"/>
      <c r="AH73" s="356"/>
      <c r="AI73" s="356"/>
      <c r="AK73" s="3"/>
      <c r="AL73" s="2"/>
    </row>
    <row r="74" spans="1:38" hidden="1" x14ac:dyDescent="0.2">
      <c r="A74" s="354"/>
      <c r="B74" s="355"/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356"/>
      <c r="O74" s="356"/>
      <c r="P74" s="356"/>
      <c r="Q74" s="356"/>
      <c r="R74" s="356"/>
      <c r="S74" s="356"/>
      <c r="T74" s="356"/>
      <c r="U74" s="356"/>
      <c r="V74" s="356"/>
      <c r="W74" s="356"/>
      <c r="X74" s="356"/>
      <c r="Y74" s="356"/>
      <c r="Z74" s="356"/>
      <c r="AA74" s="356"/>
      <c r="AB74" s="356"/>
      <c r="AC74" s="356"/>
      <c r="AD74" s="356"/>
      <c r="AE74" s="356"/>
      <c r="AF74" s="356"/>
      <c r="AG74" s="356"/>
      <c r="AH74" s="356"/>
      <c r="AI74" s="356"/>
      <c r="AK74" s="3"/>
      <c r="AL74" s="2"/>
    </row>
    <row r="75" spans="1:38" hidden="1" x14ac:dyDescent="0.2">
      <c r="A75" s="354"/>
      <c r="B75" s="355"/>
      <c r="C75" s="356"/>
      <c r="D75" s="356"/>
      <c r="E75" s="356"/>
      <c r="F75" s="356"/>
      <c r="G75" s="356"/>
      <c r="H75" s="356"/>
      <c r="I75" s="356"/>
      <c r="J75" s="356"/>
      <c r="K75" s="356"/>
      <c r="L75" s="356"/>
      <c r="M75" s="356"/>
      <c r="N75" s="356"/>
      <c r="O75" s="356"/>
      <c r="P75" s="356"/>
      <c r="Q75" s="356"/>
      <c r="R75" s="356"/>
      <c r="S75" s="356"/>
      <c r="T75" s="356"/>
      <c r="U75" s="356"/>
      <c r="V75" s="356"/>
      <c r="W75" s="356"/>
      <c r="X75" s="356"/>
      <c r="Y75" s="356"/>
      <c r="Z75" s="356"/>
      <c r="AA75" s="356"/>
      <c r="AB75" s="356"/>
      <c r="AC75" s="356"/>
      <c r="AD75" s="356"/>
      <c r="AE75" s="356"/>
      <c r="AF75" s="356"/>
      <c r="AG75" s="356"/>
      <c r="AH75" s="356"/>
      <c r="AI75" s="356"/>
      <c r="AK75" s="3"/>
      <c r="AL75" s="2"/>
    </row>
    <row r="76" spans="1:38" hidden="1" x14ac:dyDescent="0.2">
      <c r="A76" s="354"/>
      <c r="B76" s="355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356"/>
      <c r="AB76" s="356"/>
      <c r="AC76" s="356"/>
      <c r="AD76" s="356"/>
      <c r="AE76" s="356"/>
      <c r="AF76" s="356"/>
      <c r="AG76" s="356"/>
      <c r="AH76" s="356"/>
      <c r="AI76" s="356"/>
      <c r="AK76" s="3"/>
      <c r="AL76" s="2"/>
    </row>
    <row r="77" spans="1:38" hidden="1" x14ac:dyDescent="0.2">
      <c r="A77" s="354"/>
      <c r="B77" s="355"/>
      <c r="C77" s="356"/>
      <c r="D77" s="356"/>
      <c r="E77" s="356"/>
      <c r="F77" s="356"/>
      <c r="G77" s="356"/>
      <c r="H77" s="356"/>
      <c r="I77" s="356"/>
      <c r="J77" s="356"/>
      <c r="K77" s="356"/>
      <c r="L77" s="356"/>
      <c r="M77" s="356"/>
      <c r="N77" s="356"/>
      <c r="O77" s="356"/>
      <c r="P77" s="356"/>
      <c r="Q77" s="356"/>
      <c r="R77" s="356"/>
      <c r="S77" s="356"/>
      <c r="T77" s="356"/>
      <c r="U77" s="356"/>
      <c r="V77" s="356"/>
      <c r="W77" s="356"/>
      <c r="X77" s="356"/>
      <c r="Y77" s="356"/>
      <c r="Z77" s="356"/>
      <c r="AA77" s="356"/>
      <c r="AB77" s="356"/>
      <c r="AC77" s="356"/>
      <c r="AD77" s="356"/>
      <c r="AE77" s="356"/>
      <c r="AF77" s="356"/>
      <c r="AG77" s="356"/>
      <c r="AH77" s="356"/>
      <c r="AI77" s="356"/>
      <c r="AK77" s="3"/>
      <c r="AL77" s="2"/>
    </row>
    <row r="78" spans="1:38" hidden="1" x14ac:dyDescent="0.2">
      <c r="A78" s="354"/>
      <c r="B78" s="355"/>
      <c r="C78" s="356"/>
      <c r="D78" s="356"/>
      <c r="E78" s="356"/>
      <c r="F78" s="356"/>
      <c r="G78" s="356"/>
      <c r="H78" s="356"/>
      <c r="I78" s="356"/>
      <c r="J78" s="356"/>
      <c r="K78" s="356"/>
      <c r="L78" s="356"/>
      <c r="M78" s="356"/>
      <c r="N78" s="356"/>
      <c r="O78" s="356"/>
      <c r="P78" s="356"/>
      <c r="Q78" s="356"/>
      <c r="R78" s="356"/>
      <c r="S78" s="356"/>
      <c r="T78" s="356"/>
      <c r="U78" s="356"/>
      <c r="V78" s="356"/>
      <c r="W78" s="356"/>
      <c r="X78" s="356"/>
      <c r="Y78" s="356"/>
      <c r="Z78" s="356"/>
      <c r="AA78" s="356"/>
      <c r="AB78" s="356"/>
      <c r="AC78" s="356"/>
      <c r="AD78" s="356"/>
      <c r="AE78" s="356"/>
      <c r="AF78" s="356"/>
      <c r="AG78" s="356"/>
      <c r="AH78" s="356"/>
      <c r="AI78" s="356"/>
      <c r="AK78" s="3"/>
      <c r="AL78" s="2"/>
    </row>
    <row r="79" spans="1:38" hidden="1" x14ac:dyDescent="0.2">
      <c r="A79" s="354"/>
      <c r="B79" s="355"/>
      <c r="C79" s="356"/>
      <c r="D79" s="356"/>
      <c r="E79" s="356"/>
      <c r="F79" s="356"/>
      <c r="G79" s="356"/>
      <c r="H79" s="356"/>
      <c r="I79" s="356"/>
      <c r="J79" s="356"/>
      <c r="K79" s="356"/>
      <c r="L79" s="356"/>
      <c r="M79" s="356"/>
      <c r="N79" s="356"/>
      <c r="O79" s="356"/>
      <c r="P79" s="356"/>
      <c r="Q79" s="356"/>
      <c r="R79" s="356"/>
      <c r="S79" s="356"/>
      <c r="T79" s="356"/>
      <c r="U79" s="356"/>
      <c r="V79" s="356"/>
      <c r="W79" s="356"/>
      <c r="X79" s="356"/>
      <c r="Y79" s="356"/>
      <c r="Z79" s="356"/>
      <c r="AA79" s="356"/>
      <c r="AB79" s="356"/>
      <c r="AC79" s="356"/>
      <c r="AD79" s="356"/>
      <c r="AE79" s="356"/>
      <c r="AF79" s="356"/>
      <c r="AG79" s="356"/>
      <c r="AH79" s="356"/>
      <c r="AI79" s="356"/>
      <c r="AK79" s="3"/>
      <c r="AL79" s="2"/>
    </row>
    <row r="80" spans="1:38" hidden="1" x14ac:dyDescent="0.2">
      <c r="A80" s="354"/>
      <c r="B80" s="355"/>
      <c r="C80" s="356"/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356"/>
      <c r="AB80" s="356"/>
      <c r="AC80" s="356"/>
      <c r="AD80" s="356"/>
      <c r="AE80" s="356"/>
      <c r="AF80" s="356"/>
      <c r="AG80" s="356"/>
      <c r="AH80" s="356"/>
      <c r="AI80" s="356"/>
      <c r="AK80" s="3"/>
      <c r="AL80" s="2"/>
    </row>
    <row r="81" spans="1:38" hidden="1" x14ac:dyDescent="0.2">
      <c r="A81" s="354"/>
      <c r="B81" s="355"/>
      <c r="C81" s="356"/>
      <c r="D81" s="356"/>
      <c r="E81" s="356"/>
      <c r="F81" s="356"/>
      <c r="G81" s="356"/>
      <c r="H81" s="356"/>
      <c r="I81" s="356"/>
      <c r="J81" s="356"/>
      <c r="K81" s="356"/>
      <c r="L81" s="356"/>
      <c r="M81" s="356"/>
      <c r="N81" s="356"/>
      <c r="O81" s="356"/>
      <c r="P81" s="356"/>
      <c r="Q81" s="356"/>
      <c r="R81" s="356"/>
      <c r="S81" s="356"/>
      <c r="T81" s="356"/>
      <c r="U81" s="356"/>
      <c r="V81" s="356"/>
      <c r="W81" s="356"/>
      <c r="X81" s="356"/>
      <c r="Y81" s="356"/>
      <c r="Z81" s="356"/>
      <c r="AA81" s="356"/>
      <c r="AB81" s="356"/>
      <c r="AC81" s="356"/>
      <c r="AD81" s="356"/>
      <c r="AE81" s="356"/>
      <c r="AF81" s="356"/>
      <c r="AG81" s="356"/>
      <c r="AH81" s="356"/>
      <c r="AI81" s="356"/>
      <c r="AK81" s="3"/>
      <c r="AL81" s="2"/>
    </row>
    <row r="82" spans="1:38" hidden="1" x14ac:dyDescent="0.2">
      <c r="A82" s="354"/>
      <c r="B82" s="355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356"/>
      <c r="AB82" s="356"/>
      <c r="AC82" s="356"/>
      <c r="AD82" s="356"/>
      <c r="AE82" s="356"/>
      <c r="AF82" s="356"/>
      <c r="AG82" s="356"/>
      <c r="AH82" s="356"/>
      <c r="AI82" s="356"/>
      <c r="AK82" s="3"/>
      <c r="AL82" s="2"/>
    </row>
    <row r="83" spans="1:38" hidden="1" x14ac:dyDescent="0.2">
      <c r="A83" s="354"/>
      <c r="B83" s="355"/>
      <c r="C83" s="356"/>
      <c r="D83" s="356"/>
      <c r="E83" s="356"/>
      <c r="F83" s="356"/>
      <c r="G83" s="356"/>
      <c r="H83" s="356"/>
      <c r="I83" s="356"/>
      <c r="J83" s="356"/>
      <c r="K83" s="356"/>
      <c r="L83" s="356"/>
      <c r="M83" s="356"/>
      <c r="N83" s="356"/>
      <c r="O83" s="356"/>
      <c r="P83" s="356"/>
      <c r="Q83" s="356"/>
      <c r="R83" s="356"/>
      <c r="S83" s="356"/>
      <c r="T83" s="356"/>
      <c r="U83" s="356"/>
      <c r="V83" s="356"/>
      <c r="W83" s="356"/>
      <c r="X83" s="356"/>
      <c r="Y83" s="356"/>
      <c r="Z83" s="356"/>
      <c r="AA83" s="356"/>
      <c r="AB83" s="356"/>
      <c r="AC83" s="356"/>
      <c r="AD83" s="356"/>
      <c r="AE83" s="356"/>
      <c r="AF83" s="356"/>
      <c r="AG83" s="356"/>
      <c r="AH83" s="356"/>
      <c r="AI83" s="356"/>
      <c r="AK83" s="3"/>
      <c r="AL83" s="2"/>
    </row>
    <row r="84" spans="1:38" hidden="1" x14ac:dyDescent="0.2">
      <c r="A84" s="354"/>
      <c r="B84" s="355"/>
      <c r="C84" s="356"/>
      <c r="D84" s="356"/>
      <c r="E84" s="356"/>
      <c r="F84" s="356"/>
      <c r="G84" s="356"/>
      <c r="H84" s="356"/>
      <c r="I84" s="356"/>
      <c r="J84" s="356"/>
      <c r="K84" s="356"/>
      <c r="L84" s="356"/>
      <c r="M84" s="356"/>
      <c r="N84" s="356"/>
      <c r="O84" s="356"/>
      <c r="P84" s="356"/>
      <c r="Q84" s="356"/>
      <c r="R84" s="356"/>
      <c r="S84" s="356"/>
      <c r="T84" s="356"/>
      <c r="U84" s="356"/>
      <c r="V84" s="356"/>
      <c r="W84" s="356"/>
      <c r="X84" s="356"/>
      <c r="Y84" s="356"/>
      <c r="Z84" s="356"/>
      <c r="AA84" s="356"/>
      <c r="AB84" s="356"/>
      <c r="AC84" s="356"/>
      <c r="AD84" s="356"/>
      <c r="AE84" s="356"/>
      <c r="AF84" s="356"/>
      <c r="AG84" s="356"/>
      <c r="AH84" s="356"/>
      <c r="AI84" s="356"/>
      <c r="AK84" s="3"/>
      <c r="AL84" s="2"/>
    </row>
    <row r="85" spans="1:38" hidden="1" x14ac:dyDescent="0.2">
      <c r="A85" s="354"/>
      <c r="B85" s="355"/>
      <c r="C85" s="356"/>
      <c r="D85" s="356"/>
      <c r="E85" s="356"/>
      <c r="F85" s="356"/>
      <c r="G85" s="356"/>
      <c r="H85" s="356"/>
      <c r="I85" s="356"/>
      <c r="J85" s="356"/>
      <c r="K85" s="356"/>
      <c r="L85" s="356"/>
      <c r="M85" s="356"/>
      <c r="N85" s="356"/>
      <c r="O85" s="356"/>
      <c r="P85" s="356"/>
      <c r="Q85" s="356"/>
      <c r="R85" s="356"/>
      <c r="S85" s="356"/>
      <c r="T85" s="356"/>
      <c r="U85" s="356"/>
      <c r="V85" s="356"/>
      <c r="W85" s="356"/>
      <c r="X85" s="356"/>
      <c r="Y85" s="356"/>
      <c r="Z85" s="356"/>
      <c r="AA85" s="356"/>
      <c r="AB85" s="356"/>
      <c r="AC85" s="356"/>
      <c r="AD85" s="356"/>
      <c r="AE85" s="356"/>
      <c r="AF85" s="356"/>
      <c r="AG85" s="356"/>
      <c r="AH85" s="356"/>
      <c r="AI85" s="356"/>
      <c r="AK85" s="3"/>
      <c r="AL85" s="2"/>
    </row>
    <row r="86" spans="1:38" hidden="1" x14ac:dyDescent="0.2">
      <c r="A86" s="354"/>
      <c r="B86" s="355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356"/>
      <c r="AB86" s="356"/>
      <c r="AC86" s="356"/>
      <c r="AD86" s="356"/>
      <c r="AE86" s="356"/>
      <c r="AF86" s="356"/>
      <c r="AG86" s="356"/>
      <c r="AH86" s="356"/>
      <c r="AI86" s="356"/>
      <c r="AK86" s="3"/>
      <c r="AL86" s="2"/>
    </row>
    <row r="87" spans="1:38" hidden="1" x14ac:dyDescent="0.2">
      <c r="A87" s="354"/>
      <c r="B87" s="355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356"/>
      <c r="AB87" s="356"/>
      <c r="AC87" s="356"/>
      <c r="AD87" s="356"/>
      <c r="AE87" s="356"/>
      <c r="AF87" s="356"/>
      <c r="AG87" s="356"/>
      <c r="AH87" s="356"/>
      <c r="AI87" s="356"/>
      <c r="AK87" s="3"/>
      <c r="AL87" s="2"/>
    </row>
    <row r="88" spans="1:38" hidden="1" x14ac:dyDescent="0.2">
      <c r="A88" s="354"/>
      <c r="B88" s="355"/>
      <c r="C88" s="356"/>
      <c r="D88" s="356"/>
      <c r="E88" s="356"/>
      <c r="F88" s="356"/>
      <c r="G88" s="356"/>
      <c r="H88" s="356"/>
      <c r="I88" s="356"/>
      <c r="J88" s="356"/>
      <c r="K88" s="356"/>
      <c r="L88" s="356"/>
      <c r="M88" s="356"/>
      <c r="N88" s="356"/>
      <c r="O88" s="356"/>
      <c r="P88" s="356"/>
      <c r="Q88" s="356"/>
      <c r="R88" s="356"/>
      <c r="S88" s="356"/>
      <c r="T88" s="356"/>
      <c r="U88" s="356"/>
      <c r="V88" s="356"/>
      <c r="W88" s="356"/>
      <c r="X88" s="356"/>
      <c r="Y88" s="356"/>
      <c r="Z88" s="356"/>
      <c r="AA88" s="356"/>
      <c r="AB88" s="356"/>
      <c r="AC88" s="356"/>
      <c r="AD88" s="356"/>
      <c r="AE88" s="356"/>
      <c r="AF88" s="356"/>
      <c r="AG88" s="356"/>
      <c r="AH88" s="356"/>
      <c r="AI88" s="356"/>
      <c r="AK88" s="3"/>
      <c r="AL88" s="2"/>
    </row>
    <row r="89" spans="1:38" hidden="1" x14ac:dyDescent="0.2">
      <c r="A89" s="354"/>
      <c r="B89" s="355"/>
      <c r="C89" s="356"/>
      <c r="D89" s="356"/>
      <c r="E89" s="356"/>
      <c r="F89" s="356"/>
      <c r="G89" s="356"/>
      <c r="H89" s="356"/>
      <c r="I89" s="356"/>
      <c r="J89" s="356"/>
      <c r="K89" s="356"/>
      <c r="L89" s="356"/>
      <c r="M89" s="356"/>
      <c r="N89" s="356"/>
      <c r="O89" s="356"/>
      <c r="P89" s="356"/>
      <c r="Q89" s="356"/>
      <c r="R89" s="356"/>
      <c r="S89" s="356"/>
      <c r="T89" s="356"/>
      <c r="U89" s="356"/>
      <c r="V89" s="356"/>
      <c r="W89" s="356"/>
      <c r="X89" s="356"/>
      <c r="Y89" s="356"/>
      <c r="Z89" s="356"/>
      <c r="AA89" s="356"/>
      <c r="AB89" s="356"/>
      <c r="AC89" s="356"/>
      <c r="AD89" s="356"/>
      <c r="AE89" s="356"/>
      <c r="AF89" s="356"/>
      <c r="AG89" s="356"/>
      <c r="AH89" s="356"/>
      <c r="AI89" s="356"/>
      <c r="AK89" s="3"/>
      <c r="AL89" s="2"/>
    </row>
    <row r="90" spans="1:38" hidden="1" x14ac:dyDescent="0.2">
      <c r="A90" s="354"/>
      <c r="B90" s="355"/>
      <c r="C90" s="356"/>
      <c r="D90" s="356"/>
      <c r="E90" s="356"/>
      <c r="F90" s="356"/>
      <c r="G90" s="356"/>
      <c r="H90" s="356"/>
      <c r="I90" s="356"/>
      <c r="J90" s="356"/>
      <c r="K90" s="356"/>
      <c r="L90" s="356"/>
      <c r="M90" s="356"/>
      <c r="N90" s="356"/>
      <c r="O90" s="356"/>
      <c r="P90" s="356"/>
      <c r="Q90" s="356"/>
      <c r="R90" s="356"/>
      <c r="S90" s="356"/>
      <c r="T90" s="356"/>
      <c r="U90" s="356"/>
      <c r="V90" s="356"/>
      <c r="W90" s="356"/>
      <c r="X90" s="356"/>
      <c r="Y90" s="356"/>
      <c r="Z90" s="356"/>
      <c r="AA90" s="356"/>
      <c r="AB90" s="356"/>
      <c r="AC90" s="356"/>
      <c r="AD90" s="356"/>
      <c r="AE90" s="356"/>
      <c r="AF90" s="356"/>
      <c r="AG90" s="356"/>
      <c r="AH90" s="356"/>
      <c r="AI90" s="356"/>
      <c r="AK90" s="3"/>
      <c r="AL90" s="2"/>
    </row>
    <row r="91" spans="1:38" hidden="1" x14ac:dyDescent="0.2">
      <c r="A91" s="354"/>
      <c r="B91" s="355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356"/>
      <c r="AB91" s="356"/>
      <c r="AC91" s="356"/>
      <c r="AD91" s="356"/>
      <c r="AE91" s="356"/>
      <c r="AF91" s="356"/>
      <c r="AG91" s="356"/>
      <c r="AH91" s="356"/>
      <c r="AI91" s="356"/>
      <c r="AK91" s="3"/>
      <c r="AL91" s="2"/>
    </row>
    <row r="92" spans="1:38" hidden="1" x14ac:dyDescent="0.2">
      <c r="A92" s="354"/>
      <c r="B92" s="355"/>
      <c r="C92" s="356"/>
      <c r="D92" s="356"/>
      <c r="E92" s="356"/>
      <c r="F92" s="356"/>
      <c r="G92" s="356"/>
      <c r="H92" s="356"/>
      <c r="I92" s="356"/>
      <c r="J92" s="356"/>
      <c r="K92" s="356"/>
      <c r="L92" s="356"/>
      <c r="M92" s="356"/>
      <c r="N92" s="356"/>
      <c r="O92" s="356"/>
      <c r="P92" s="356"/>
      <c r="Q92" s="356"/>
      <c r="R92" s="356"/>
      <c r="S92" s="356"/>
      <c r="T92" s="356"/>
      <c r="U92" s="356"/>
      <c r="V92" s="356"/>
      <c r="W92" s="356"/>
      <c r="X92" s="356"/>
      <c r="Y92" s="356"/>
      <c r="Z92" s="356"/>
      <c r="AA92" s="356"/>
      <c r="AB92" s="356"/>
      <c r="AC92" s="356"/>
      <c r="AD92" s="356"/>
      <c r="AE92" s="356"/>
      <c r="AF92" s="356"/>
      <c r="AG92" s="356"/>
      <c r="AH92" s="356"/>
      <c r="AI92" s="356"/>
      <c r="AK92" s="3"/>
      <c r="AL92" s="2"/>
    </row>
    <row r="93" spans="1:38" hidden="1" x14ac:dyDescent="0.2">
      <c r="A93" s="354"/>
      <c r="B93" s="355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356"/>
      <c r="AB93" s="356"/>
      <c r="AC93" s="356"/>
      <c r="AD93" s="356"/>
      <c r="AE93" s="356"/>
      <c r="AF93" s="356"/>
      <c r="AG93" s="356"/>
      <c r="AH93" s="356"/>
      <c r="AI93" s="356"/>
      <c r="AK93" s="3"/>
      <c r="AL93" s="2"/>
    </row>
    <row r="94" spans="1:38" hidden="1" x14ac:dyDescent="0.2">
      <c r="A94" s="354"/>
      <c r="B94" s="355"/>
      <c r="C94" s="356"/>
      <c r="D94" s="356"/>
      <c r="E94" s="356"/>
      <c r="F94" s="356"/>
      <c r="G94" s="356"/>
      <c r="H94" s="356"/>
      <c r="I94" s="356"/>
      <c r="J94" s="356"/>
      <c r="K94" s="356"/>
      <c r="L94" s="356"/>
      <c r="M94" s="356"/>
      <c r="N94" s="356"/>
      <c r="O94" s="356"/>
      <c r="P94" s="356"/>
      <c r="Q94" s="356"/>
      <c r="R94" s="356"/>
      <c r="S94" s="356"/>
      <c r="T94" s="356"/>
      <c r="U94" s="356"/>
      <c r="V94" s="356"/>
      <c r="W94" s="356"/>
      <c r="X94" s="356"/>
      <c r="Y94" s="356"/>
      <c r="Z94" s="356"/>
      <c r="AA94" s="356"/>
      <c r="AB94" s="356"/>
      <c r="AC94" s="356"/>
      <c r="AD94" s="356"/>
      <c r="AE94" s="356"/>
      <c r="AF94" s="356"/>
      <c r="AG94" s="356"/>
      <c r="AH94" s="356"/>
      <c r="AI94" s="356"/>
      <c r="AK94" s="3"/>
      <c r="AL94" s="2"/>
    </row>
    <row r="95" spans="1:38" hidden="1" x14ac:dyDescent="0.2">
      <c r="A95" s="354"/>
      <c r="B95" s="355"/>
      <c r="C95" s="356"/>
      <c r="D95" s="356"/>
      <c r="E95" s="356"/>
      <c r="F95" s="356"/>
      <c r="G95" s="356"/>
      <c r="H95" s="356"/>
      <c r="I95" s="356"/>
      <c r="J95" s="356"/>
      <c r="K95" s="356"/>
      <c r="L95" s="356"/>
      <c r="M95" s="356"/>
      <c r="N95" s="356"/>
      <c r="O95" s="356"/>
      <c r="P95" s="356"/>
      <c r="Q95" s="356"/>
      <c r="R95" s="356"/>
      <c r="S95" s="356"/>
      <c r="T95" s="356"/>
      <c r="U95" s="356"/>
      <c r="V95" s="356"/>
      <c r="W95" s="356"/>
      <c r="X95" s="356"/>
      <c r="Y95" s="356"/>
      <c r="Z95" s="356"/>
      <c r="AA95" s="356"/>
      <c r="AB95" s="356"/>
      <c r="AC95" s="356"/>
      <c r="AD95" s="356"/>
      <c r="AE95" s="356"/>
      <c r="AF95" s="356"/>
      <c r="AG95" s="356"/>
      <c r="AH95" s="356"/>
      <c r="AI95" s="356"/>
      <c r="AK95" s="3"/>
      <c r="AL95" s="2"/>
    </row>
    <row r="96" spans="1:38" hidden="1" x14ac:dyDescent="0.2">
      <c r="A96" s="354"/>
      <c r="B96" s="355"/>
      <c r="C96" s="356"/>
      <c r="D96" s="356"/>
      <c r="E96" s="356"/>
      <c r="F96" s="356"/>
      <c r="G96" s="356"/>
      <c r="H96" s="356"/>
      <c r="I96" s="356"/>
      <c r="J96" s="356"/>
      <c r="K96" s="356"/>
      <c r="L96" s="356"/>
      <c r="M96" s="356"/>
      <c r="N96" s="356"/>
      <c r="O96" s="356"/>
      <c r="P96" s="356"/>
      <c r="Q96" s="356"/>
      <c r="R96" s="356"/>
      <c r="S96" s="356"/>
      <c r="T96" s="356"/>
      <c r="U96" s="356"/>
      <c r="V96" s="356"/>
      <c r="W96" s="356"/>
      <c r="X96" s="356"/>
      <c r="Y96" s="356"/>
      <c r="Z96" s="356"/>
      <c r="AA96" s="356"/>
      <c r="AB96" s="356"/>
      <c r="AC96" s="356"/>
      <c r="AD96" s="356"/>
      <c r="AE96" s="356"/>
      <c r="AF96" s="356"/>
      <c r="AG96" s="356"/>
      <c r="AH96" s="356"/>
      <c r="AI96" s="356"/>
      <c r="AK96" s="3"/>
      <c r="AL96" s="2"/>
    </row>
    <row r="97" spans="1:38" hidden="1" x14ac:dyDescent="0.2">
      <c r="A97" s="354"/>
      <c r="B97" s="355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356"/>
      <c r="AB97" s="356"/>
      <c r="AC97" s="356"/>
      <c r="AD97" s="356"/>
      <c r="AE97" s="356"/>
      <c r="AF97" s="356"/>
      <c r="AG97" s="356"/>
      <c r="AH97" s="356"/>
      <c r="AI97" s="356"/>
      <c r="AK97" s="3"/>
      <c r="AL97" s="2"/>
    </row>
    <row r="98" spans="1:38" hidden="1" x14ac:dyDescent="0.2">
      <c r="A98" s="354"/>
      <c r="B98" s="355"/>
      <c r="C98" s="356"/>
      <c r="D98" s="356"/>
      <c r="E98" s="356"/>
      <c r="F98" s="356"/>
      <c r="G98" s="356"/>
      <c r="H98" s="356"/>
      <c r="I98" s="356"/>
      <c r="J98" s="356"/>
      <c r="K98" s="356"/>
      <c r="L98" s="356"/>
      <c r="M98" s="356"/>
      <c r="N98" s="356"/>
      <c r="O98" s="356"/>
      <c r="P98" s="356"/>
      <c r="Q98" s="356"/>
      <c r="R98" s="356"/>
      <c r="S98" s="356"/>
      <c r="T98" s="356"/>
      <c r="U98" s="356"/>
      <c r="V98" s="356"/>
      <c r="W98" s="356"/>
      <c r="X98" s="356"/>
      <c r="Y98" s="356"/>
      <c r="Z98" s="356"/>
      <c r="AA98" s="356"/>
      <c r="AB98" s="356"/>
      <c r="AC98" s="356"/>
      <c r="AD98" s="356"/>
      <c r="AE98" s="356"/>
      <c r="AF98" s="356"/>
      <c r="AG98" s="356"/>
      <c r="AH98" s="356"/>
      <c r="AI98" s="356"/>
      <c r="AK98" s="3"/>
      <c r="AL98" s="2"/>
    </row>
    <row r="99" spans="1:38" hidden="1" x14ac:dyDescent="0.2">
      <c r="A99" s="354"/>
      <c r="B99" s="355"/>
      <c r="C99" s="356"/>
      <c r="D99" s="356"/>
      <c r="E99" s="356"/>
      <c r="F99" s="356"/>
      <c r="G99" s="356"/>
      <c r="H99" s="356"/>
      <c r="I99" s="356"/>
      <c r="J99" s="356"/>
      <c r="K99" s="356"/>
      <c r="L99" s="356"/>
      <c r="M99" s="356"/>
      <c r="N99" s="356"/>
      <c r="O99" s="356"/>
      <c r="P99" s="356"/>
      <c r="Q99" s="356"/>
      <c r="R99" s="356"/>
      <c r="S99" s="356"/>
      <c r="T99" s="356"/>
      <c r="U99" s="356"/>
      <c r="V99" s="356"/>
      <c r="W99" s="356"/>
      <c r="X99" s="356"/>
      <c r="Y99" s="356"/>
      <c r="Z99" s="356"/>
      <c r="AA99" s="356"/>
      <c r="AB99" s="356"/>
      <c r="AC99" s="356"/>
      <c r="AD99" s="356"/>
      <c r="AE99" s="356"/>
      <c r="AF99" s="356"/>
      <c r="AG99" s="356"/>
      <c r="AH99" s="356"/>
      <c r="AI99" s="356"/>
      <c r="AK99" s="3"/>
      <c r="AL99" s="2"/>
    </row>
    <row r="100" spans="1:38" hidden="1" x14ac:dyDescent="0.2">
      <c r="A100" s="354"/>
      <c r="B100" s="355"/>
      <c r="C100" s="356"/>
      <c r="D100" s="356"/>
      <c r="E100" s="356"/>
      <c r="F100" s="356"/>
      <c r="G100" s="356"/>
      <c r="H100" s="356"/>
      <c r="I100" s="356"/>
      <c r="J100" s="356"/>
      <c r="K100" s="356"/>
      <c r="L100" s="356"/>
      <c r="M100" s="356"/>
      <c r="N100" s="356"/>
      <c r="O100" s="356"/>
      <c r="P100" s="356"/>
      <c r="Q100" s="356"/>
      <c r="R100" s="356"/>
      <c r="S100" s="356"/>
      <c r="T100" s="356"/>
      <c r="U100" s="356"/>
      <c r="V100" s="356"/>
      <c r="W100" s="356"/>
      <c r="X100" s="356"/>
      <c r="Y100" s="356"/>
      <c r="Z100" s="356"/>
      <c r="AA100" s="356"/>
      <c r="AB100" s="356"/>
      <c r="AC100" s="356"/>
      <c r="AD100" s="356"/>
      <c r="AE100" s="356"/>
      <c r="AF100" s="356"/>
      <c r="AG100" s="356"/>
      <c r="AH100" s="356"/>
      <c r="AI100" s="356"/>
      <c r="AK100" s="3"/>
      <c r="AL100" s="2"/>
    </row>
    <row r="101" spans="1:38" hidden="1" x14ac:dyDescent="0.2">
      <c r="A101" s="354"/>
      <c r="B101" s="355"/>
      <c r="C101" s="356"/>
      <c r="D101" s="356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356"/>
      <c r="U101" s="356"/>
      <c r="V101" s="356"/>
      <c r="W101" s="356"/>
      <c r="X101" s="356"/>
      <c r="Y101" s="356"/>
      <c r="Z101" s="356"/>
      <c r="AA101" s="356"/>
      <c r="AB101" s="356"/>
      <c r="AC101" s="356"/>
      <c r="AD101" s="356"/>
      <c r="AE101" s="356"/>
      <c r="AF101" s="356"/>
      <c r="AG101" s="356"/>
      <c r="AH101" s="356"/>
      <c r="AI101" s="356"/>
      <c r="AK101" s="3"/>
      <c r="AL101" s="2"/>
    </row>
    <row r="102" spans="1:38" hidden="1" x14ac:dyDescent="0.2">
      <c r="A102" s="354"/>
      <c r="B102" s="355"/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356"/>
      <c r="O102" s="356"/>
      <c r="P102" s="356"/>
      <c r="Q102" s="356"/>
      <c r="R102" s="356"/>
      <c r="S102" s="356"/>
      <c r="T102" s="356"/>
      <c r="U102" s="356"/>
      <c r="V102" s="356"/>
      <c r="W102" s="356"/>
      <c r="X102" s="356"/>
      <c r="Y102" s="356"/>
      <c r="Z102" s="356"/>
      <c r="AA102" s="356"/>
      <c r="AB102" s="356"/>
      <c r="AC102" s="356"/>
      <c r="AD102" s="356"/>
      <c r="AE102" s="356"/>
      <c r="AF102" s="356"/>
      <c r="AG102" s="356"/>
      <c r="AH102" s="356"/>
      <c r="AI102" s="356"/>
      <c r="AK102" s="3"/>
      <c r="AL102" s="2"/>
    </row>
    <row r="103" spans="1:38" hidden="1" x14ac:dyDescent="0.2">
      <c r="A103" s="354"/>
      <c r="B103" s="355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356"/>
      <c r="AG103" s="356"/>
      <c r="AH103" s="356"/>
      <c r="AI103" s="356"/>
      <c r="AK103" s="3"/>
      <c r="AL103" s="2"/>
    </row>
    <row r="104" spans="1:38" hidden="1" x14ac:dyDescent="0.2">
      <c r="A104" s="354"/>
      <c r="B104" s="355"/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356"/>
      <c r="U104" s="356"/>
      <c r="V104" s="356"/>
      <c r="W104" s="356"/>
      <c r="X104" s="356"/>
      <c r="Y104" s="356"/>
      <c r="Z104" s="356"/>
      <c r="AA104" s="356"/>
      <c r="AB104" s="356"/>
      <c r="AC104" s="356"/>
      <c r="AD104" s="356"/>
      <c r="AE104" s="356"/>
      <c r="AF104" s="356"/>
      <c r="AG104" s="356"/>
      <c r="AH104" s="356"/>
      <c r="AI104" s="356"/>
      <c r="AK104" s="3"/>
      <c r="AL104" s="2"/>
    </row>
    <row r="105" spans="1:38" hidden="1" x14ac:dyDescent="0.2">
      <c r="A105" s="354"/>
      <c r="B105" s="355"/>
      <c r="C105" s="356"/>
      <c r="D105" s="356"/>
      <c r="E105" s="356"/>
      <c r="F105" s="356"/>
      <c r="G105" s="356"/>
      <c r="H105" s="356"/>
      <c r="I105" s="356"/>
      <c r="J105" s="356"/>
      <c r="K105" s="356"/>
      <c r="L105" s="356"/>
      <c r="M105" s="356"/>
      <c r="N105" s="356"/>
      <c r="O105" s="356"/>
      <c r="P105" s="356"/>
      <c r="Q105" s="356"/>
      <c r="R105" s="356"/>
      <c r="S105" s="356"/>
      <c r="T105" s="356"/>
      <c r="U105" s="356"/>
      <c r="V105" s="356"/>
      <c r="W105" s="356"/>
      <c r="X105" s="356"/>
      <c r="Y105" s="356"/>
      <c r="Z105" s="356"/>
      <c r="AA105" s="356"/>
      <c r="AB105" s="356"/>
      <c r="AC105" s="356"/>
      <c r="AD105" s="356"/>
      <c r="AE105" s="356"/>
      <c r="AF105" s="356"/>
      <c r="AG105" s="356"/>
      <c r="AH105" s="356"/>
      <c r="AI105" s="356"/>
      <c r="AK105" s="3"/>
      <c r="AL105" s="2"/>
    </row>
    <row r="106" spans="1:38" hidden="1" x14ac:dyDescent="0.2">
      <c r="A106" s="354"/>
      <c r="B106" s="355"/>
      <c r="C106" s="356"/>
      <c r="D106" s="356"/>
      <c r="E106" s="356"/>
      <c r="F106" s="356"/>
      <c r="G106" s="356"/>
      <c r="H106" s="356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356"/>
      <c r="U106" s="356"/>
      <c r="V106" s="356"/>
      <c r="W106" s="356"/>
      <c r="X106" s="356"/>
      <c r="Y106" s="356"/>
      <c r="Z106" s="356"/>
      <c r="AA106" s="356"/>
      <c r="AB106" s="356"/>
      <c r="AC106" s="356"/>
      <c r="AD106" s="356"/>
      <c r="AE106" s="356"/>
      <c r="AF106" s="356"/>
      <c r="AG106" s="356"/>
      <c r="AH106" s="356"/>
      <c r="AI106" s="356"/>
      <c r="AK106" s="3"/>
      <c r="AL106" s="2"/>
    </row>
    <row r="107" spans="1:38" hidden="1" x14ac:dyDescent="0.2">
      <c r="A107" s="354"/>
      <c r="B107" s="355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356"/>
      <c r="AG107" s="356"/>
      <c r="AH107" s="356"/>
      <c r="AI107" s="356"/>
      <c r="AK107" s="3"/>
      <c r="AL107" s="2"/>
    </row>
    <row r="108" spans="1:38" hidden="1" x14ac:dyDescent="0.2">
      <c r="A108" s="354"/>
      <c r="B108" s="355"/>
      <c r="C108" s="356"/>
      <c r="D108" s="356"/>
      <c r="E108" s="356"/>
      <c r="F108" s="356"/>
      <c r="G108" s="356"/>
      <c r="H108" s="356"/>
      <c r="I108" s="356"/>
      <c r="J108" s="356"/>
      <c r="K108" s="356"/>
      <c r="L108" s="356"/>
      <c r="M108" s="356"/>
      <c r="N108" s="356"/>
      <c r="O108" s="356"/>
      <c r="P108" s="356"/>
      <c r="Q108" s="356"/>
      <c r="R108" s="356"/>
      <c r="S108" s="356"/>
      <c r="T108" s="356"/>
      <c r="U108" s="356"/>
      <c r="V108" s="356"/>
      <c r="W108" s="356"/>
      <c r="X108" s="356"/>
      <c r="Y108" s="356"/>
      <c r="Z108" s="356"/>
      <c r="AA108" s="356"/>
      <c r="AB108" s="356"/>
      <c r="AC108" s="356"/>
      <c r="AD108" s="356"/>
      <c r="AE108" s="356"/>
      <c r="AF108" s="356"/>
      <c r="AG108" s="356"/>
      <c r="AH108" s="356"/>
      <c r="AI108" s="356"/>
      <c r="AK108" s="3"/>
      <c r="AL108" s="2"/>
    </row>
    <row r="109" spans="1:38" hidden="1" x14ac:dyDescent="0.2">
      <c r="A109" s="354"/>
      <c r="B109" s="355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356"/>
      <c r="AB109" s="356"/>
      <c r="AC109" s="356"/>
      <c r="AD109" s="356"/>
      <c r="AE109" s="356"/>
      <c r="AF109" s="356"/>
      <c r="AG109" s="356"/>
      <c r="AH109" s="356"/>
      <c r="AI109" s="356"/>
      <c r="AK109" s="3"/>
      <c r="AL109" s="2"/>
    </row>
    <row r="110" spans="1:38" hidden="1" x14ac:dyDescent="0.2"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  <c r="AE110" s="61"/>
      <c r="AF110" s="61"/>
      <c r="AG110" s="61"/>
      <c r="AH110" s="61"/>
      <c r="AI110" s="59"/>
    </row>
    <row r="111" spans="1:38" hidden="1" x14ac:dyDescent="0.2"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  <c r="AE111" s="61"/>
      <c r="AF111" s="61"/>
      <c r="AG111" s="61"/>
      <c r="AH111" s="61"/>
      <c r="AI111" s="59"/>
    </row>
    <row r="112" spans="1:38" ht="26.25" hidden="1" customHeight="1" x14ac:dyDescent="0.2"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61"/>
    </row>
    <row r="113" spans="2:35" ht="26.25" hidden="1" customHeight="1" x14ac:dyDescent="0.2"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61"/>
    </row>
    <row r="114" spans="2:35" ht="26.25" hidden="1" customHeight="1" x14ac:dyDescent="0.2"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61"/>
    </row>
    <row r="115" spans="2:35" ht="26.25" hidden="1" customHeight="1" x14ac:dyDescent="0.2"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61"/>
    </row>
    <row r="116" spans="2:35" ht="26.25" customHeight="1" x14ac:dyDescent="0.2"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61"/>
    </row>
    <row r="117" spans="2:35" ht="15.75" customHeight="1" thickBot="1" x14ac:dyDescent="0.25"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61"/>
    </row>
    <row r="118" spans="2:35" ht="24" thickBot="1" x14ac:dyDescent="0.3">
      <c r="B118" s="341" t="s">
        <v>249</v>
      </c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61"/>
    </row>
    <row r="119" spans="2:35" x14ac:dyDescent="0.2">
      <c r="B119" s="60" t="s">
        <v>48</v>
      </c>
      <c r="C119" s="351" t="s">
        <v>0</v>
      </c>
      <c r="D119" s="58">
        <v>108.3</v>
      </c>
      <c r="E119" s="58">
        <v>114.8</v>
      </c>
      <c r="F119" s="58">
        <v>99.9</v>
      </c>
      <c r="G119" s="58">
        <v>90.9</v>
      </c>
      <c r="H119" s="58">
        <v>87.8</v>
      </c>
      <c r="I119" s="58">
        <v>105.2</v>
      </c>
      <c r="J119" s="58">
        <v>101.5</v>
      </c>
      <c r="K119" s="58">
        <v>102.3</v>
      </c>
      <c r="L119" s="58">
        <v>73.400000000000006</v>
      </c>
      <c r="M119" s="58">
        <v>8</v>
      </c>
      <c r="N119" s="58">
        <v>58.1</v>
      </c>
      <c r="O119" s="58">
        <v>79.400000000000006</v>
      </c>
      <c r="P119" s="58">
        <v>93.5</v>
      </c>
      <c r="Q119" s="58">
        <v>87</v>
      </c>
      <c r="R119" s="58">
        <v>103.3</v>
      </c>
      <c r="S119" s="58">
        <v>103.5</v>
      </c>
      <c r="T119" s="58">
        <v>101.2</v>
      </c>
      <c r="U119" s="58">
        <v>108.3</v>
      </c>
      <c r="V119" s="58">
        <v>110.6</v>
      </c>
      <c r="W119" s="58">
        <v>104.2</v>
      </c>
      <c r="X119" s="58">
        <v>100.9</v>
      </c>
      <c r="Y119" s="58">
        <v>99</v>
      </c>
      <c r="Z119" s="58">
        <v>100.4</v>
      </c>
      <c r="AA119" s="58">
        <v>64.3</v>
      </c>
      <c r="AB119" s="58">
        <v>79</v>
      </c>
      <c r="AC119" s="58">
        <v>101.7</v>
      </c>
      <c r="AD119" s="58">
        <v>110</v>
      </c>
      <c r="AE119" s="58">
        <v>99.9</v>
      </c>
      <c r="AF119" s="58">
        <v>104.7</v>
      </c>
      <c r="AG119" s="58">
        <v>94.1</v>
      </c>
      <c r="AH119" s="58">
        <v>96.8</v>
      </c>
      <c r="AI119" s="325">
        <v>2892</v>
      </c>
    </row>
    <row r="120" spans="2:35" x14ac:dyDescent="0.2">
      <c r="B120" s="60" t="s">
        <v>242</v>
      </c>
      <c r="C120" s="352" t="s">
        <v>244</v>
      </c>
      <c r="D120" s="58">
        <v>5946.9</v>
      </c>
      <c r="E120" s="58">
        <v>7054.1</v>
      </c>
      <c r="F120" s="58">
        <v>6145</v>
      </c>
      <c r="G120" s="58">
        <v>5043.2</v>
      </c>
      <c r="H120" s="58">
        <v>5912.2</v>
      </c>
      <c r="I120" s="58">
        <v>6448.7</v>
      </c>
      <c r="J120" s="58">
        <v>5838.4</v>
      </c>
      <c r="K120" s="58">
        <v>6829.5</v>
      </c>
      <c r="L120" s="58">
        <v>4216.8</v>
      </c>
      <c r="M120" s="58">
        <v>425</v>
      </c>
      <c r="N120" s="58">
        <v>3167.8</v>
      </c>
      <c r="O120" s="58">
        <v>3678</v>
      </c>
      <c r="P120" s="58">
        <v>4906.2</v>
      </c>
      <c r="Q120" s="58">
        <v>5769</v>
      </c>
      <c r="R120" s="58">
        <v>7089.1</v>
      </c>
      <c r="S120" s="58">
        <v>6823.9</v>
      </c>
      <c r="T120" s="58">
        <v>6014.5</v>
      </c>
      <c r="U120" s="58">
        <v>6984.9</v>
      </c>
      <c r="V120" s="58">
        <v>7434.2</v>
      </c>
      <c r="W120" s="58">
        <v>5799.6</v>
      </c>
      <c r="X120" s="58">
        <v>6380.2</v>
      </c>
      <c r="Y120" s="58">
        <v>7875.7</v>
      </c>
      <c r="Z120" s="58">
        <v>6459.4</v>
      </c>
      <c r="AA120" s="58">
        <v>3647.9</v>
      </c>
      <c r="AB120" s="58">
        <v>5459</v>
      </c>
      <c r="AC120" s="58">
        <v>5781.1</v>
      </c>
      <c r="AD120" s="58">
        <v>6726</v>
      </c>
      <c r="AE120" s="58">
        <v>5414.3</v>
      </c>
      <c r="AF120" s="58">
        <v>6473.5</v>
      </c>
      <c r="AG120" s="58">
        <v>6386.1</v>
      </c>
      <c r="AH120" s="58">
        <v>6169.4</v>
      </c>
      <c r="AI120" s="325">
        <v>175279.4</v>
      </c>
    </row>
    <row r="121" spans="2:35" x14ac:dyDescent="0.2">
      <c r="B121" s="60" t="s">
        <v>243</v>
      </c>
      <c r="C121" s="352" t="s">
        <v>244</v>
      </c>
      <c r="D121" s="326"/>
      <c r="E121" s="326"/>
      <c r="F121" s="326"/>
      <c r="G121" s="326"/>
      <c r="H121" s="326"/>
      <c r="I121" s="326"/>
      <c r="J121" s="326"/>
      <c r="K121" s="326"/>
      <c r="L121" s="326"/>
      <c r="M121" s="326"/>
      <c r="N121" s="326"/>
      <c r="O121" s="326"/>
      <c r="P121" s="326"/>
      <c r="Q121" s="326"/>
      <c r="R121" s="326"/>
      <c r="S121" s="326"/>
      <c r="T121" s="326"/>
      <c r="U121" s="326"/>
      <c r="V121" s="326"/>
      <c r="W121" s="326"/>
      <c r="X121" s="326"/>
      <c r="Y121" s="326"/>
      <c r="Z121" s="58">
        <v>0</v>
      </c>
      <c r="AA121" s="326"/>
      <c r="AB121" s="58">
        <v>0</v>
      </c>
      <c r="AC121" s="58">
        <v>84.5</v>
      </c>
      <c r="AD121" s="58">
        <v>247.4</v>
      </c>
      <c r="AE121" s="58">
        <v>0</v>
      </c>
      <c r="AF121" s="58">
        <v>21.2</v>
      </c>
      <c r="AG121" s="58">
        <v>26.2</v>
      </c>
      <c r="AH121" s="58">
        <v>0</v>
      </c>
      <c r="AI121" s="325">
        <v>3399.3</v>
      </c>
    </row>
    <row r="122" spans="2:35" x14ac:dyDescent="0.2">
      <c r="B122" s="60" t="s">
        <v>49</v>
      </c>
      <c r="C122" s="352" t="s">
        <v>50</v>
      </c>
      <c r="D122" s="58">
        <v>374</v>
      </c>
      <c r="E122" s="58">
        <v>454</v>
      </c>
      <c r="F122" s="58">
        <v>404</v>
      </c>
      <c r="G122" s="58">
        <v>424</v>
      </c>
      <c r="H122" s="58">
        <v>423</v>
      </c>
      <c r="I122" s="58">
        <v>523</v>
      </c>
      <c r="J122" s="58">
        <v>583</v>
      </c>
      <c r="K122" s="58">
        <v>573</v>
      </c>
      <c r="L122" s="58">
        <v>509</v>
      </c>
      <c r="M122" s="58">
        <v>397</v>
      </c>
      <c r="N122" s="58">
        <v>771</v>
      </c>
      <c r="O122" s="58">
        <v>518</v>
      </c>
      <c r="P122" s="326">
        <v>570</v>
      </c>
      <c r="Q122" s="58">
        <v>519</v>
      </c>
      <c r="R122" s="58">
        <v>587</v>
      </c>
      <c r="S122" s="58">
        <v>600</v>
      </c>
      <c r="T122" s="58">
        <v>572</v>
      </c>
      <c r="U122" s="58">
        <v>584</v>
      </c>
      <c r="V122" s="58">
        <v>540</v>
      </c>
      <c r="W122" s="58">
        <v>564</v>
      </c>
      <c r="X122" s="58">
        <v>550</v>
      </c>
      <c r="Y122" s="58">
        <v>613</v>
      </c>
      <c r="Z122" s="58">
        <v>586</v>
      </c>
      <c r="AA122" s="58">
        <v>794</v>
      </c>
      <c r="AB122" s="58">
        <v>580</v>
      </c>
      <c r="AC122" s="58">
        <v>562</v>
      </c>
      <c r="AD122" s="58">
        <v>494</v>
      </c>
      <c r="AE122" s="58">
        <v>553</v>
      </c>
      <c r="AF122" s="58">
        <v>639</v>
      </c>
      <c r="AG122" s="58">
        <v>685</v>
      </c>
      <c r="AH122" s="58">
        <v>726</v>
      </c>
      <c r="AI122" s="325">
        <v>17271</v>
      </c>
    </row>
    <row r="123" spans="2:35" x14ac:dyDescent="0.2">
      <c r="B123" s="58" t="s">
        <v>245</v>
      </c>
      <c r="C123" s="352" t="s">
        <v>41</v>
      </c>
      <c r="D123" s="58">
        <v>82271</v>
      </c>
      <c r="E123" s="58">
        <v>93324</v>
      </c>
      <c r="F123" s="58">
        <v>76037</v>
      </c>
      <c r="G123" s="58">
        <v>79936</v>
      </c>
      <c r="H123" s="58">
        <v>74559</v>
      </c>
      <c r="I123" s="58">
        <v>82836</v>
      </c>
      <c r="J123" s="58">
        <v>79814</v>
      </c>
      <c r="K123" s="58">
        <v>90584</v>
      </c>
      <c r="L123" s="58">
        <v>69690</v>
      </c>
      <c r="M123" s="58">
        <v>11515</v>
      </c>
      <c r="N123" s="58">
        <v>51080</v>
      </c>
      <c r="O123" s="58">
        <v>65876</v>
      </c>
      <c r="P123" s="58">
        <v>80458</v>
      </c>
      <c r="Q123" s="58">
        <v>86211</v>
      </c>
      <c r="R123" s="58">
        <v>75432</v>
      </c>
      <c r="S123" s="58">
        <v>86441</v>
      </c>
      <c r="T123" s="58">
        <v>95132</v>
      </c>
      <c r="U123" s="58">
        <v>87830</v>
      </c>
      <c r="V123" s="58">
        <v>93422</v>
      </c>
      <c r="W123" s="58">
        <v>92178</v>
      </c>
      <c r="X123" s="58">
        <v>83287</v>
      </c>
      <c r="Y123" s="58">
        <v>93757</v>
      </c>
      <c r="Z123" s="58">
        <v>79920</v>
      </c>
      <c r="AA123" s="58">
        <v>67393</v>
      </c>
      <c r="AB123" s="58">
        <v>81037</v>
      </c>
      <c r="AC123" s="58">
        <v>83731</v>
      </c>
      <c r="AD123" s="58">
        <v>94732</v>
      </c>
      <c r="AE123" s="58">
        <v>85794</v>
      </c>
      <c r="AF123" s="58">
        <v>87121</v>
      </c>
      <c r="AG123" s="58">
        <v>67782</v>
      </c>
      <c r="AH123" s="58">
        <v>84381</v>
      </c>
      <c r="AI123" s="325">
        <v>2463561</v>
      </c>
    </row>
    <row r="124" spans="2:35" ht="21" x14ac:dyDescent="0.2">
      <c r="B124" s="58" t="s">
        <v>246</v>
      </c>
      <c r="C124" s="353" t="s">
        <v>41</v>
      </c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>
        <v>5668</v>
      </c>
      <c r="U124" s="58">
        <v>6670</v>
      </c>
      <c r="V124" s="58">
        <v>7378</v>
      </c>
      <c r="W124" s="58">
        <v>6372</v>
      </c>
      <c r="X124" s="58">
        <v>6713</v>
      </c>
      <c r="Y124" s="58">
        <v>7493</v>
      </c>
      <c r="Z124" s="58">
        <v>7380</v>
      </c>
      <c r="AA124" s="58">
        <v>7307</v>
      </c>
      <c r="AB124" s="58">
        <v>6713</v>
      </c>
      <c r="AC124" s="58">
        <v>7196</v>
      </c>
      <c r="AD124" s="58">
        <v>7418</v>
      </c>
      <c r="AE124" s="58">
        <v>7356</v>
      </c>
      <c r="AF124" s="58">
        <v>7379</v>
      </c>
      <c r="AG124" s="58"/>
      <c r="AH124" s="58"/>
      <c r="AI124" s="325"/>
    </row>
    <row r="125" spans="2:35" x14ac:dyDescent="0.2"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61"/>
    </row>
    <row r="126" spans="2:35" ht="20.25" customHeight="1" x14ac:dyDescent="0.2">
      <c r="B126" s="59"/>
      <c r="C126" s="59"/>
    </row>
  </sheetData>
  <mergeCells count="3">
    <mergeCell ref="F3:AI3"/>
    <mergeCell ref="C37:AI37"/>
    <mergeCell ref="E14:M14"/>
  </mergeCells>
  <pageMargins left="0.7" right="0.7" top="0.75" bottom="0.75" header="0.3" footer="0.3"/>
  <pageSetup paperSize="9"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</vt:i4>
      </vt:variant>
    </vt:vector>
  </HeadingPairs>
  <TitlesOfParts>
    <vt:vector size="33" baseType="lpstr">
      <vt:lpstr>01-01-2025</vt:lpstr>
      <vt:lpstr>02-01-2025</vt:lpstr>
      <vt:lpstr>03-01-2025</vt:lpstr>
      <vt:lpstr>04-01-2025</vt:lpstr>
      <vt:lpstr>05-01-2025</vt:lpstr>
      <vt:lpstr>06-01-2025</vt:lpstr>
      <vt:lpstr>07-01-2025</vt:lpstr>
      <vt:lpstr>08-01-2025</vt:lpstr>
      <vt:lpstr>09-01-2025</vt:lpstr>
      <vt:lpstr>10-01-2025</vt:lpstr>
      <vt:lpstr>11-01-2025</vt:lpstr>
      <vt:lpstr>12-01-2025</vt:lpstr>
      <vt:lpstr>13-01-2025</vt:lpstr>
      <vt:lpstr>14-01-2025</vt:lpstr>
      <vt:lpstr>15-01-2025</vt:lpstr>
      <vt:lpstr>16-01-2025</vt:lpstr>
      <vt:lpstr>17-01-2025</vt:lpstr>
      <vt:lpstr>18-01-2025</vt:lpstr>
      <vt:lpstr>19-01-2025</vt:lpstr>
      <vt:lpstr>20-01-2025</vt:lpstr>
      <vt:lpstr>21-01-2025</vt:lpstr>
      <vt:lpstr>22-01-2025</vt:lpstr>
      <vt:lpstr>23-01-2025</vt:lpstr>
      <vt:lpstr>24-01-2025</vt:lpstr>
      <vt:lpstr>25-01-2025</vt:lpstr>
      <vt:lpstr>26-01-2025</vt:lpstr>
      <vt:lpstr>27-01-2025</vt:lpstr>
      <vt:lpstr>28-01-2025</vt:lpstr>
      <vt:lpstr>29-01-2025</vt:lpstr>
      <vt:lpstr>30-01-2025</vt:lpstr>
      <vt:lpstr>31-01-2025</vt:lpstr>
      <vt:lpstr>PULP &amp; CHEMICAL REPORT</vt:lpstr>
      <vt:lpstr>'PULP &amp; CHEMICAL REPORT'!Print_Area</vt:lpstr>
    </vt:vector>
  </TitlesOfParts>
  <Company>century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</dc:creator>
  <cp:lastModifiedBy>Ravi Arora</cp:lastModifiedBy>
  <cp:lastPrinted>2025-01-02T05:05:00Z</cp:lastPrinted>
  <dcterms:created xsi:type="dcterms:W3CDTF">2015-05-31T05:53:49Z</dcterms:created>
  <dcterms:modified xsi:type="dcterms:W3CDTF">2026-04-02T04:48:44Z</dcterms:modified>
</cp:coreProperties>
</file>