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dra/Desktop/untitled folder/"/>
    </mc:Choice>
  </mc:AlternateContent>
  <xr:revisionPtr revIDLastSave="0" documentId="13_ncr:1_{F1B65F6B-8F4A-EE4C-9BB2-A3738AAF1996}" xr6:coauthVersionLast="47" xr6:coauthVersionMax="47" xr10:uidLastSave="{00000000-0000-0000-0000-000000000000}"/>
  <bookViews>
    <workbookView xWindow="0" yWindow="520" windowWidth="20480" windowHeight="12800" firstSheet="25" activeTab="30" xr2:uid="{00000000-000D-0000-FFFF-FFFF00000000}"/>
  </bookViews>
  <sheets>
    <sheet name="01-06-2025" sheetId="61" r:id="rId1"/>
    <sheet name="02-06-2025" sheetId="62" r:id="rId2"/>
    <sheet name="03-06-2025" sheetId="63" r:id="rId3"/>
    <sheet name="04-06-2025" sheetId="64" r:id="rId4"/>
    <sheet name="05-06-2025" sheetId="65" r:id="rId5"/>
    <sheet name="06-06-2025" sheetId="66" r:id="rId6"/>
    <sheet name="07-06-2025" sheetId="67" r:id="rId7"/>
    <sheet name="08-06-2025" sheetId="68" r:id="rId8"/>
    <sheet name="09-06-2025" sheetId="69" r:id="rId9"/>
    <sheet name="10-06-2025" sheetId="70" r:id="rId10"/>
    <sheet name="11-06-2025" sheetId="71" r:id="rId11"/>
    <sheet name="12-06-2025" sheetId="72" r:id="rId12"/>
    <sheet name="13-06-2025" sheetId="73" r:id="rId13"/>
    <sheet name="14-06-2025" sheetId="74" r:id="rId14"/>
    <sheet name="15-06-2025" sheetId="75" r:id="rId15"/>
    <sheet name="16-06-2025" sheetId="76" r:id="rId16"/>
    <sheet name="17-06-2025" sheetId="78" r:id="rId17"/>
    <sheet name="18-06-2025" sheetId="79" r:id="rId18"/>
    <sheet name="19-06-2025" sheetId="80" r:id="rId19"/>
    <sheet name="20-06-2025" sheetId="81" r:id="rId20"/>
    <sheet name="21-06-2025" sheetId="82" r:id="rId21"/>
    <sheet name="22-06-2025" sheetId="83" r:id="rId22"/>
    <sheet name="23-06-2025" sheetId="84" r:id="rId23"/>
    <sheet name="24-06-2025" sheetId="85" r:id="rId24"/>
    <sheet name="25-06-2025" sheetId="86" r:id="rId25"/>
    <sheet name="26-06-2025" sheetId="87" r:id="rId26"/>
    <sheet name="27-06-2025" sheetId="88" r:id="rId27"/>
    <sheet name="28-06-2025" sheetId="89" r:id="rId28"/>
    <sheet name="29-06-2025" sheetId="90" r:id="rId29"/>
    <sheet name="30-06-2025" sheetId="91" r:id="rId30"/>
    <sheet name="Pulp &amp; Chemical consumption" sheetId="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8" i="2" l="1"/>
  <c r="J26" i="91"/>
  <c r="F22" i="91"/>
  <c r="J25" i="91" s="1"/>
  <c r="H9" i="91"/>
  <c r="G9" i="91"/>
  <c r="J26" i="90"/>
  <c r="F22" i="90"/>
  <c r="H11" i="90"/>
  <c r="G11" i="90"/>
  <c r="H10" i="90"/>
  <c r="G10" i="90"/>
  <c r="H9" i="90"/>
  <c r="G9" i="90"/>
  <c r="AI18" i="2"/>
  <c r="J26" i="89"/>
  <c r="F22" i="89"/>
  <c r="H12" i="89"/>
  <c r="G12" i="89"/>
  <c r="H11" i="89"/>
  <c r="G11" i="89"/>
  <c r="H10" i="89"/>
  <c r="G10" i="89"/>
  <c r="H9" i="89"/>
  <c r="G9" i="89"/>
  <c r="AH18" i="2"/>
  <c r="J26" i="88"/>
  <c r="H12" i="88"/>
  <c r="H13" i="88"/>
  <c r="H14" i="88"/>
  <c r="G12" i="88"/>
  <c r="G13" i="88"/>
  <c r="G14" i="88"/>
  <c r="F22" i="88"/>
  <c r="J25" i="88" s="1"/>
  <c r="H11" i="88"/>
  <c r="G11" i="88"/>
  <c r="H10" i="88"/>
  <c r="G10" i="88"/>
  <c r="H9" i="88"/>
  <c r="G9" i="88"/>
  <c r="AG18" i="2"/>
  <c r="J26" i="87"/>
  <c r="F22" i="87"/>
  <c r="J25" i="87" s="1"/>
  <c r="H11" i="87"/>
  <c r="G11" i="87"/>
  <c r="H10" i="87"/>
  <c r="G10" i="87"/>
  <c r="H9" i="87"/>
  <c r="G9" i="87"/>
  <c r="AF18" i="2"/>
  <c r="J26" i="86"/>
  <c r="F22" i="86"/>
  <c r="J25" i="86" s="1"/>
  <c r="H12" i="86"/>
  <c r="G12" i="86"/>
  <c r="H11" i="86"/>
  <c r="G11" i="86"/>
  <c r="H10" i="86"/>
  <c r="G10" i="86"/>
  <c r="H9" i="86"/>
  <c r="G9" i="86"/>
  <c r="AE18" i="2"/>
  <c r="J26" i="85"/>
  <c r="H12" i="85"/>
  <c r="H13" i="85"/>
  <c r="G12" i="85"/>
  <c r="G13" i="85"/>
  <c r="J25" i="85"/>
  <c r="F22" i="85"/>
  <c r="H11" i="85"/>
  <c r="G11" i="85"/>
  <c r="H10" i="85"/>
  <c r="G10" i="85"/>
  <c r="H9" i="85"/>
  <c r="H22" i="85" s="1"/>
  <c r="G9" i="85"/>
  <c r="G22" i="85" s="1"/>
  <c r="AD18" i="2"/>
  <c r="J26" i="84"/>
  <c r="F22" i="84"/>
  <c r="J25" i="84" s="1"/>
  <c r="H11" i="84"/>
  <c r="G11" i="84"/>
  <c r="H10" i="84"/>
  <c r="G10" i="84"/>
  <c r="H9" i="84"/>
  <c r="G9" i="84"/>
  <c r="AC18" i="2"/>
  <c r="J26" i="83"/>
  <c r="F22" i="83"/>
  <c r="J25" i="83" s="1"/>
  <c r="H11" i="83"/>
  <c r="G11" i="83"/>
  <c r="H10" i="83"/>
  <c r="G10" i="83"/>
  <c r="H9" i="83"/>
  <c r="G9" i="83"/>
  <c r="AB18" i="2"/>
  <c r="J26" i="82"/>
  <c r="H11" i="82"/>
  <c r="G11" i="82"/>
  <c r="F22" i="82"/>
  <c r="J25" i="82" s="1"/>
  <c r="H10" i="82"/>
  <c r="G10" i="82"/>
  <c r="H9" i="82"/>
  <c r="G9" i="82"/>
  <c r="H22" i="91" l="1"/>
  <c r="G22" i="91"/>
  <c r="H22" i="90"/>
  <c r="G22" i="90"/>
  <c r="J25" i="90"/>
  <c r="H22" i="89"/>
  <c r="J25" i="89"/>
  <c r="G22" i="89"/>
  <c r="G22" i="88"/>
  <c r="H22" i="88"/>
  <c r="G22" i="87"/>
  <c r="H22" i="87"/>
  <c r="H22" i="86"/>
  <c r="G22" i="86"/>
  <c r="G22" i="84"/>
  <c r="H22" i="84"/>
  <c r="H22" i="83"/>
  <c r="G22" i="83"/>
  <c r="G22" i="82"/>
  <c r="H22" i="82"/>
  <c r="AA18" i="2" l="1"/>
  <c r="J26" i="81"/>
  <c r="H10" i="81"/>
  <c r="G10" i="81"/>
  <c r="F22" i="81"/>
  <c r="J25" i="81" s="1"/>
  <c r="H9" i="81"/>
  <c r="H22" i="81" s="1"/>
  <c r="G9" i="81"/>
  <c r="Z18" i="2"/>
  <c r="J26" i="80"/>
  <c r="F22" i="80"/>
  <c r="H9" i="80"/>
  <c r="G9" i="80"/>
  <c r="G22" i="80" s="1"/>
  <c r="Y18" i="2"/>
  <c r="J26" i="79"/>
  <c r="F22" i="79"/>
  <c r="J25" i="79" s="1"/>
  <c r="H10" i="79"/>
  <c r="G10" i="79"/>
  <c r="H9" i="79"/>
  <c r="G9" i="79"/>
  <c r="X18" i="2"/>
  <c r="J26" i="78"/>
  <c r="F22" i="78"/>
  <c r="J25" i="78" s="1"/>
  <c r="H10" i="78"/>
  <c r="G10" i="78"/>
  <c r="H9" i="78"/>
  <c r="G9" i="78"/>
  <c r="W18" i="2"/>
  <c r="J26" i="76"/>
  <c r="F22" i="76"/>
  <c r="H22" i="76" s="1"/>
  <c r="V18" i="2"/>
  <c r="J26" i="75"/>
  <c r="H12" i="75"/>
  <c r="H13" i="75"/>
  <c r="G12" i="75"/>
  <c r="G13" i="75"/>
  <c r="F22" i="75"/>
  <c r="J25" i="75" s="1"/>
  <c r="H11" i="75"/>
  <c r="G11" i="75"/>
  <c r="H10" i="75"/>
  <c r="G10" i="75"/>
  <c r="H9" i="75"/>
  <c r="G9" i="75"/>
  <c r="U18" i="2"/>
  <c r="J26" i="74"/>
  <c r="H10" i="74"/>
  <c r="H11" i="74"/>
  <c r="G10" i="74"/>
  <c r="G11" i="74"/>
  <c r="F22" i="74"/>
  <c r="J25" i="74" s="1"/>
  <c r="H9" i="74"/>
  <c r="H22" i="74" s="1"/>
  <c r="G9" i="74"/>
  <c r="G22" i="74" s="1"/>
  <c r="T18" i="2"/>
  <c r="G22" i="81" l="1"/>
  <c r="H22" i="80"/>
  <c r="J25" i="80"/>
  <c r="G22" i="79"/>
  <c r="H22" i="79"/>
  <c r="G22" i="78"/>
  <c r="H22" i="78"/>
  <c r="G22" i="76"/>
  <c r="J25" i="76"/>
  <c r="G22" i="75"/>
  <c r="H22" i="75"/>
  <c r="J26" i="73"/>
  <c r="F22" i="73"/>
  <c r="J25" i="73" s="1"/>
  <c r="H9" i="73"/>
  <c r="G9" i="73"/>
  <c r="S18" i="2"/>
  <c r="G22" i="73" l="1"/>
  <c r="H22" i="73"/>
  <c r="J26" i="72"/>
  <c r="H11" i="72"/>
  <c r="G11" i="72"/>
  <c r="F22" i="72"/>
  <c r="J25" i="72" s="1"/>
  <c r="H10" i="72"/>
  <c r="G10" i="72"/>
  <c r="H9" i="72"/>
  <c r="H22" i="72" s="1"/>
  <c r="G9" i="72"/>
  <c r="G22" i="72" s="1"/>
  <c r="R18" i="2"/>
  <c r="BT47" i="2"/>
  <c r="J26" i="71"/>
  <c r="F22" i="71"/>
  <c r="J25" i="71" s="1"/>
  <c r="H10" i="71"/>
  <c r="G10" i="71"/>
  <c r="H9" i="71"/>
  <c r="G9" i="71"/>
  <c r="Q18" i="2"/>
  <c r="J26" i="70"/>
  <c r="H12" i="70"/>
  <c r="H13" i="70"/>
  <c r="H14" i="70"/>
  <c r="G12" i="70"/>
  <c r="G13" i="70"/>
  <c r="G14" i="70"/>
  <c r="F22" i="70"/>
  <c r="H11" i="70"/>
  <c r="G11" i="70"/>
  <c r="H10" i="70"/>
  <c r="G10" i="70"/>
  <c r="H9" i="70"/>
  <c r="G9" i="70"/>
  <c r="P18" i="2"/>
  <c r="J26" i="69"/>
  <c r="F22" i="69"/>
  <c r="J25" i="69" s="1"/>
  <c r="H11" i="69"/>
  <c r="G11" i="69"/>
  <c r="H10" i="69"/>
  <c r="G10" i="69"/>
  <c r="H9" i="69"/>
  <c r="G9" i="69"/>
  <c r="O18" i="2"/>
  <c r="J26" i="68"/>
  <c r="F22" i="68"/>
  <c r="J25" i="68" s="1"/>
  <c r="H11" i="68"/>
  <c r="G11" i="68"/>
  <c r="H10" i="68"/>
  <c r="G10" i="68"/>
  <c r="H9" i="68"/>
  <c r="G9" i="68"/>
  <c r="J26" i="67"/>
  <c r="N18" i="2"/>
  <c r="H10" i="67"/>
  <c r="H11" i="67"/>
  <c r="G10" i="67"/>
  <c r="G11" i="67"/>
  <c r="F22" i="67"/>
  <c r="J25" i="67" s="1"/>
  <c r="H9" i="67"/>
  <c r="G9" i="67"/>
  <c r="M18" i="2"/>
  <c r="J26" i="66"/>
  <c r="F22" i="66"/>
  <c r="J25" i="66" s="1"/>
  <c r="H9" i="66"/>
  <c r="G9" i="66"/>
  <c r="L18" i="2"/>
  <c r="J26" i="65"/>
  <c r="H12" i="65"/>
  <c r="G12" i="65"/>
  <c r="J25" i="65"/>
  <c r="F22" i="65"/>
  <c r="H11" i="65"/>
  <c r="G11" i="65"/>
  <c r="H10" i="65"/>
  <c r="G10" i="65"/>
  <c r="H9" i="65"/>
  <c r="G9" i="65"/>
  <c r="K18" i="2"/>
  <c r="J26" i="64"/>
  <c r="F22" i="64"/>
  <c r="J25" i="64" s="1"/>
  <c r="H11" i="64"/>
  <c r="G11" i="64"/>
  <c r="H10" i="64"/>
  <c r="G10" i="64"/>
  <c r="H9" i="64"/>
  <c r="G9" i="64"/>
  <c r="J18" i="2"/>
  <c r="J26" i="63"/>
  <c r="H11" i="63"/>
  <c r="G11" i="63"/>
  <c r="F22" i="63"/>
  <c r="H10" i="63"/>
  <c r="G10" i="63"/>
  <c r="H9" i="63"/>
  <c r="G9" i="63"/>
  <c r="I18" i="2"/>
  <c r="H18" i="2"/>
  <c r="G18" i="2"/>
  <c r="BT17" i="2"/>
  <c r="J26" i="62"/>
  <c r="F22" i="62"/>
  <c r="H10" i="62"/>
  <c r="G10" i="62"/>
  <c r="H9" i="62"/>
  <c r="G9" i="62"/>
  <c r="F22" i="61"/>
  <c r="H11" i="61"/>
  <c r="G11" i="61"/>
  <c r="H10" i="61"/>
  <c r="G10" i="61"/>
  <c r="H9" i="61"/>
  <c r="H22" i="61" s="1"/>
  <c r="G9" i="61"/>
  <c r="G22" i="71" l="1"/>
  <c r="H22" i="71"/>
  <c r="H22" i="70"/>
  <c r="G22" i="70"/>
  <c r="J25" i="70"/>
  <c r="G22" i="69"/>
  <c r="H22" i="69"/>
  <c r="G22" i="68"/>
  <c r="H22" i="68"/>
  <c r="G22" i="67"/>
  <c r="H22" i="67"/>
  <c r="G22" i="66"/>
  <c r="H22" i="66"/>
  <c r="H22" i="65"/>
  <c r="G22" i="65"/>
  <c r="G22" i="64"/>
  <c r="H22" i="64"/>
  <c r="G22" i="63"/>
  <c r="H22" i="63"/>
  <c r="J25" i="63"/>
  <c r="G22" i="62"/>
  <c r="H22" i="62"/>
  <c r="J25" i="62"/>
  <c r="G22" i="61"/>
  <c r="J25" i="61"/>
  <c r="AJ105" i="2"/>
  <c r="AJ97" i="2"/>
  <c r="AJ103" i="2" s="1"/>
  <c r="AJ104" i="2" s="1"/>
  <c r="AJ91" i="2"/>
  <c r="AJ89" i="2"/>
  <c r="AJ82" i="2"/>
  <c r="AJ73" i="2"/>
  <c r="AJ72" i="2"/>
  <c r="AJ68" i="2"/>
  <c r="AJ65" i="2"/>
  <c r="AJ71" i="2" s="1"/>
  <c r="AJ64" i="2"/>
  <c r="AJ70" i="2" s="1"/>
  <c r="AJ63" i="2"/>
  <c r="AJ69" i="2" s="1"/>
  <c r="AJ60" i="2"/>
  <c r="AJ100" i="2" s="1"/>
  <c r="AJ106" i="2" s="1"/>
  <c r="AJ107" i="2" s="1"/>
  <c r="AJ61" i="2"/>
  <c r="AJ90" i="2" l="1"/>
  <c r="AJ98" i="2" s="1"/>
  <c r="AJ108" i="2" s="1"/>
  <c r="AJ109" i="2" s="1"/>
  <c r="BT50" i="2"/>
  <c r="AI105" i="2"/>
  <c r="AI97" i="2"/>
  <c r="AI103" i="2" s="1"/>
  <c r="AI104" i="2" s="1"/>
  <c r="AI91" i="2"/>
  <c r="AI89" i="2"/>
  <c r="AI82" i="2"/>
  <c r="AI90" i="2" s="1"/>
  <c r="AI98" i="2" s="1"/>
  <c r="AI73" i="2"/>
  <c r="AI72" i="2"/>
  <c r="AI68" i="2"/>
  <c r="AI65" i="2"/>
  <c r="AI71" i="2" s="1"/>
  <c r="AI64" i="2"/>
  <c r="AI70" i="2" s="1"/>
  <c r="AI63" i="2"/>
  <c r="AI69" i="2" s="1"/>
  <c r="AI60" i="2"/>
  <c r="AI100" i="2" s="1"/>
  <c r="AI106" i="2" s="1"/>
  <c r="AI61" i="2"/>
  <c r="AH105" i="2"/>
  <c r="AH97" i="2"/>
  <c r="AH103" i="2" s="1"/>
  <c r="AH104" i="2" s="1"/>
  <c r="AH91" i="2"/>
  <c r="AH89" i="2"/>
  <c r="AH82" i="2"/>
  <c r="AH90" i="2" s="1"/>
  <c r="AH98" i="2" s="1"/>
  <c r="AH73" i="2"/>
  <c r="AH72" i="2"/>
  <c r="AH68" i="2"/>
  <c r="AH65" i="2"/>
  <c r="AH71" i="2" s="1"/>
  <c r="AH64" i="2"/>
  <c r="AH70" i="2" s="1"/>
  <c r="AH63" i="2"/>
  <c r="AH69" i="2" s="1"/>
  <c r="AH60" i="2"/>
  <c r="AH100" i="2" s="1"/>
  <c r="AH106" i="2" s="1"/>
  <c r="AH61" i="2"/>
  <c r="AG105" i="2"/>
  <c r="AG97" i="2"/>
  <c r="AG103" i="2" s="1"/>
  <c r="AG104" i="2" s="1"/>
  <c r="AG91" i="2"/>
  <c r="AG89" i="2"/>
  <c r="AG82" i="2"/>
  <c r="AG73" i="2"/>
  <c r="AG72" i="2"/>
  <c r="AG68" i="2"/>
  <c r="AG65" i="2"/>
  <c r="AG71" i="2" s="1"/>
  <c r="AG64" i="2"/>
  <c r="AG70" i="2" s="1"/>
  <c r="AG63" i="2"/>
  <c r="AG69" i="2" s="1"/>
  <c r="AG60" i="2"/>
  <c r="AG100" i="2" s="1"/>
  <c r="AG106" i="2" s="1"/>
  <c r="AG61" i="2"/>
  <c r="AF105" i="2"/>
  <c r="AF97" i="2"/>
  <c r="AF103" i="2" s="1"/>
  <c r="AF104" i="2" s="1"/>
  <c r="AF91" i="2"/>
  <c r="AF89" i="2"/>
  <c r="AF82" i="2"/>
  <c r="AF73" i="2"/>
  <c r="AF72" i="2"/>
  <c r="AF68" i="2"/>
  <c r="AF65" i="2"/>
  <c r="AF71" i="2" s="1"/>
  <c r="AF64" i="2"/>
  <c r="AF70" i="2" s="1"/>
  <c r="AF63" i="2"/>
  <c r="AF69" i="2" s="1"/>
  <c r="AF60" i="2"/>
  <c r="AF100" i="2" s="1"/>
  <c r="AF106" i="2" s="1"/>
  <c r="AF61" i="2"/>
  <c r="AE105" i="2"/>
  <c r="AE97" i="2"/>
  <c r="AE103" i="2" s="1"/>
  <c r="AE104" i="2" s="1"/>
  <c r="AE91" i="2"/>
  <c r="AE89" i="2"/>
  <c r="AE82" i="2"/>
  <c r="AE73" i="2"/>
  <c r="AE72" i="2"/>
  <c r="AE68" i="2"/>
  <c r="AE65" i="2"/>
  <c r="AE71" i="2" s="1"/>
  <c r="AE64" i="2"/>
  <c r="AE70" i="2" s="1"/>
  <c r="AE63" i="2"/>
  <c r="AE69" i="2" s="1"/>
  <c r="AE60" i="2"/>
  <c r="AE100" i="2" s="1"/>
  <c r="AE106" i="2" s="1"/>
  <c r="AE61" i="2"/>
  <c r="AD105" i="2"/>
  <c r="AD97" i="2"/>
  <c r="AD103" i="2" s="1"/>
  <c r="AD104" i="2" s="1"/>
  <c r="AD91" i="2"/>
  <c r="AD89" i="2"/>
  <c r="AD82" i="2"/>
  <c r="AD73" i="2"/>
  <c r="AD72" i="2"/>
  <c r="AD68" i="2"/>
  <c r="AD65" i="2"/>
  <c r="AD71" i="2" s="1"/>
  <c r="AD64" i="2"/>
  <c r="AD70" i="2" s="1"/>
  <c r="AD63" i="2"/>
  <c r="AD69" i="2" s="1"/>
  <c r="AD60" i="2"/>
  <c r="AD100" i="2" s="1"/>
  <c r="AD106" i="2" s="1"/>
  <c r="AD61" i="2"/>
  <c r="AC105" i="2"/>
  <c r="AC97" i="2"/>
  <c r="AC103" i="2" s="1"/>
  <c r="AC104" i="2" s="1"/>
  <c r="AC91" i="2"/>
  <c r="AC89" i="2"/>
  <c r="AC82" i="2"/>
  <c r="AC73" i="2"/>
  <c r="AC72" i="2"/>
  <c r="AC68" i="2"/>
  <c r="AC65" i="2"/>
  <c r="AC71" i="2" s="1"/>
  <c r="AC64" i="2"/>
  <c r="AC70" i="2" s="1"/>
  <c r="AC63" i="2"/>
  <c r="AC69" i="2" s="1"/>
  <c r="AC60" i="2"/>
  <c r="AC100" i="2" s="1"/>
  <c r="AC106" i="2" s="1"/>
  <c r="AC61" i="2"/>
  <c r="AB105" i="2"/>
  <c r="AB97" i="2"/>
  <c r="AB103" i="2" s="1"/>
  <c r="AB104" i="2" s="1"/>
  <c r="AB91" i="2"/>
  <c r="AB89" i="2"/>
  <c r="AB82" i="2"/>
  <c r="AB73" i="2"/>
  <c r="AB72" i="2"/>
  <c r="AB68" i="2"/>
  <c r="AB65" i="2"/>
  <c r="AB71" i="2" s="1"/>
  <c r="AB64" i="2"/>
  <c r="AB70" i="2" s="1"/>
  <c r="AB63" i="2"/>
  <c r="AB69" i="2" s="1"/>
  <c r="AB60" i="2"/>
  <c r="AB100" i="2" s="1"/>
  <c r="AB106" i="2" s="1"/>
  <c r="AB61" i="2"/>
  <c r="AA105" i="2"/>
  <c r="AA97" i="2"/>
  <c r="AA103" i="2" s="1"/>
  <c r="AA104" i="2" s="1"/>
  <c r="AA91" i="2"/>
  <c r="AA89" i="2"/>
  <c r="AA82" i="2"/>
  <c r="AA73" i="2"/>
  <c r="AA72" i="2"/>
  <c r="AA68" i="2"/>
  <c r="AA65" i="2"/>
  <c r="AA71" i="2" s="1"/>
  <c r="AA64" i="2"/>
  <c r="AA70" i="2" s="1"/>
  <c r="AA63" i="2"/>
  <c r="AA69" i="2" s="1"/>
  <c r="AA60" i="2"/>
  <c r="AA100" i="2" s="1"/>
  <c r="AA106" i="2" s="1"/>
  <c r="AA61" i="2"/>
  <c r="AI107" i="2" l="1"/>
  <c r="AC90" i="2"/>
  <c r="AC98" i="2" s="1"/>
  <c r="AH107" i="2"/>
  <c r="AF90" i="2"/>
  <c r="AF98" i="2" s="1"/>
  <c r="AF108" i="2" s="1"/>
  <c r="AI108" i="2"/>
  <c r="AG90" i="2"/>
  <c r="AG98" i="2" s="1"/>
  <c r="AG107" i="2"/>
  <c r="AH108" i="2"/>
  <c r="AE107" i="2"/>
  <c r="AD90" i="2"/>
  <c r="AD98" i="2" s="1"/>
  <c r="AD108" i="2" s="1"/>
  <c r="AG108" i="2"/>
  <c r="AG109" i="2" s="1"/>
  <c r="AF107" i="2"/>
  <c r="AE90" i="2"/>
  <c r="AE98" i="2" s="1"/>
  <c r="AE108" i="2" s="1"/>
  <c r="AD107" i="2"/>
  <c r="AB107" i="2"/>
  <c r="AC107" i="2"/>
  <c r="AC108" i="2"/>
  <c r="AB90" i="2"/>
  <c r="AB98" i="2" s="1"/>
  <c r="AB108" i="2" s="1"/>
  <c r="AA90" i="2"/>
  <c r="AA98" i="2" s="1"/>
  <c r="AA108" i="2" s="1"/>
  <c r="AA109" i="2" s="1"/>
  <c r="AA107" i="2"/>
  <c r="AI109" i="2" l="1"/>
  <c r="AH109" i="2"/>
  <c r="AE109" i="2"/>
  <c r="AC109" i="2"/>
  <c r="AF109" i="2"/>
  <c r="AD109" i="2"/>
  <c r="AB109" i="2"/>
  <c r="Z105" i="2"/>
  <c r="Z97" i="2"/>
  <c r="Z103" i="2" s="1"/>
  <c r="Z104" i="2" s="1"/>
  <c r="Z91" i="2"/>
  <c r="Z89" i="2"/>
  <c r="Z82" i="2"/>
  <c r="Z73" i="2"/>
  <c r="Z72" i="2"/>
  <c r="Z68" i="2"/>
  <c r="Z65" i="2"/>
  <c r="Z71" i="2" s="1"/>
  <c r="Z64" i="2"/>
  <c r="Z70" i="2" s="1"/>
  <c r="Z63" i="2"/>
  <c r="Z69" i="2" s="1"/>
  <c r="Z60" i="2"/>
  <c r="Z100" i="2" s="1"/>
  <c r="Z106" i="2" s="1"/>
  <c r="Z61" i="2"/>
  <c r="Z107" i="2" l="1"/>
  <c r="Z90" i="2"/>
  <c r="Z98" i="2" s="1"/>
  <c r="Z108" i="2"/>
  <c r="BT16" i="2"/>
  <c r="Y61" i="2"/>
  <c r="X61" i="2"/>
  <c r="W61" i="2"/>
  <c r="V61" i="2"/>
  <c r="U61" i="2"/>
  <c r="T61" i="2"/>
  <c r="S61" i="2"/>
  <c r="R61" i="2"/>
  <c r="Q61" i="2"/>
  <c r="P61" i="2"/>
  <c r="O61" i="2"/>
  <c r="Y105" i="2"/>
  <c r="Y97" i="2"/>
  <c r="Y103" i="2" s="1"/>
  <c r="Y104" i="2" s="1"/>
  <c r="Y91" i="2"/>
  <c r="Y89" i="2"/>
  <c r="Y82" i="2"/>
  <c r="Y73" i="2"/>
  <c r="Y72" i="2"/>
  <c r="Y68" i="2"/>
  <c r="Y65" i="2"/>
  <c r="Y71" i="2" s="1"/>
  <c r="Y64" i="2"/>
  <c r="Y70" i="2" s="1"/>
  <c r="Y63" i="2"/>
  <c r="Y69" i="2" s="1"/>
  <c r="Y60" i="2"/>
  <c r="Y100" i="2" s="1"/>
  <c r="Y106" i="2" s="1"/>
  <c r="X105" i="2"/>
  <c r="X97" i="2"/>
  <c r="X103" i="2" s="1"/>
  <c r="X104" i="2" s="1"/>
  <c r="X91" i="2"/>
  <c r="X89" i="2"/>
  <c r="X82" i="2"/>
  <c r="X73" i="2"/>
  <c r="X72" i="2"/>
  <c r="X68" i="2"/>
  <c r="X65" i="2"/>
  <c r="X71" i="2" s="1"/>
  <c r="X64" i="2"/>
  <c r="X70" i="2" s="1"/>
  <c r="X63" i="2"/>
  <c r="X69" i="2" s="1"/>
  <c r="X60" i="2"/>
  <c r="X100" i="2" s="1"/>
  <c r="X106" i="2" s="1"/>
  <c r="W105" i="2"/>
  <c r="W97" i="2"/>
  <c r="W103" i="2" s="1"/>
  <c r="W104" i="2" s="1"/>
  <c r="W91" i="2"/>
  <c r="W89" i="2"/>
  <c r="W82" i="2"/>
  <c r="W90" i="2" s="1"/>
  <c r="W98" i="2" s="1"/>
  <c r="W73" i="2"/>
  <c r="W72" i="2"/>
  <c r="W68" i="2"/>
  <c r="W65" i="2"/>
  <c r="W71" i="2" s="1"/>
  <c r="W64" i="2"/>
  <c r="W70" i="2" s="1"/>
  <c r="W63" i="2"/>
  <c r="W69" i="2" s="1"/>
  <c r="W60" i="2"/>
  <c r="W100" i="2" s="1"/>
  <c r="W106" i="2" s="1"/>
  <c r="V105" i="2"/>
  <c r="V97" i="2"/>
  <c r="V103" i="2" s="1"/>
  <c r="V104" i="2" s="1"/>
  <c r="V91" i="2"/>
  <c r="V89" i="2"/>
  <c r="V82" i="2"/>
  <c r="V90" i="2" s="1"/>
  <c r="V98" i="2" s="1"/>
  <c r="V73" i="2"/>
  <c r="V72" i="2"/>
  <c r="V68" i="2"/>
  <c r="V65" i="2"/>
  <c r="V71" i="2" s="1"/>
  <c r="V64" i="2"/>
  <c r="V70" i="2" s="1"/>
  <c r="V63" i="2"/>
  <c r="V69" i="2" s="1"/>
  <c r="V60" i="2"/>
  <c r="V100" i="2" s="1"/>
  <c r="V106" i="2" s="1"/>
  <c r="U105" i="2"/>
  <c r="U97" i="2"/>
  <c r="U103" i="2" s="1"/>
  <c r="U104" i="2" s="1"/>
  <c r="U91" i="2"/>
  <c r="U89" i="2"/>
  <c r="U82" i="2"/>
  <c r="U90" i="2" s="1"/>
  <c r="U98" i="2" s="1"/>
  <c r="U73" i="2"/>
  <c r="U72" i="2"/>
  <c r="U68" i="2"/>
  <c r="U65" i="2"/>
  <c r="U71" i="2" s="1"/>
  <c r="U64" i="2"/>
  <c r="U70" i="2" s="1"/>
  <c r="U63" i="2"/>
  <c r="U69" i="2" s="1"/>
  <c r="U60" i="2"/>
  <c r="U100" i="2" s="1"/>
  <c r="U106" i="2" s="1"/>
  <c r="T105" i="2"/>
  <c r="T97" i="2"/>
  <c r="T103" i="2" s="1"/>
  <c r="T104" i="2" s="1"/>
  <c r="T91" i="2"/>
  <c r="T89" i="2"/>
  <c r="T82" i="2"/>
  <c r="T73" i="2"/>
  <c r="T72" i="2"/>
  <c r="T68" i="2"/>
  <c r="T65" i="2"/>
  <c r="T71" i="2" s="1"/>
  <c r="T64" i="2"/>
  <c r="T70" i="2" s="1"/>
  <c r="T63" i="2"/>
  <c r="T69" i="2" s="1"/>
  <c r="T60" i="2"/>
  <c r="T100" i="2" s="1"/>
  <c r="T106" i="2" s="1"/>
  <c r="S105" i="2"/>
  <c r="S97" i="2"/>
  <c r="S103" i="2" s="1"/>
  <c r="S104" i="2" s="1"/>
  <c r="S91" i="2"/>
  <c r="S89" i="2"/>
  <c r="S82" i="2"/>
  <c r="S73" i="2"/>
  <c r="S72" i="2"/>
  <c r="S68" i="2"/>
  <c r="S65" i="2"/>
  <c r="S71" i="2" s="1"/>
  <c r="S64" i="2"/>
  <c r="S70" i="2" s="1"/>
  <c r="S63" i="2"/>
  <c r="S69" i="2" s="1"/>
  <c r="S60" i="2"/>
  <c r="S100" i="2" s="1"/>
  <c r="S106" i="2" s="1"/>
  <c r="R105" i="2"/>
  <c r="R97" i="2"/>
  <c r="R103" i="2" s="1"/>
  <c r="R104" i="2" s="1"/>
  <c r="R91" i="2"/>
  <c r="R89" i="2"/>
  <c r="R82" i="2"/>
  <c r="R73" i="2"/>
  <c r="R72" i="2"/>
  <c r="R68" i="2"/>
  <c r="R65" i="2"/>
  <c r="R71" i="2" s="1"/>
  <c r="R64" i="2"/>
  <c r="R70" i="2" s="1"/>
  <c r="R63" i="2"/>
  <c r="R69" i="2" s="1"/>
  <c r="R60" i="2"/>
  <c r="R100" i="2" s="1"/>
  <c r="R106" i="2" s="1"/>
  <c r="Q105" i="2"/>
  <c r="Q97" i="2"/>
  <c r="Q103" i="2" s="1"/>
  <c r="Q104" i="2" s="1"/>
  <c r="Q91" i="2"/>
  <c r="Q89" i="2"/>
  <c r="Q82" i="2"/>
  <c r="Q73" i="2"/>
  <c r="Q72" i="2"/>
  <c r="Q68" i="2"/>
  <c r="Q65" i="2"/>
  <c r="Q71" i="2" s="1"/>
  <c r="Q64" i="2"/>
  <c r="Q70" i="2" s="1"/>
  <c r="Q63" i="2"/>
  <c r="Q69" i="2" s="1"/>
  <c r="Q60" i="2"/>
  <c r="Q100" i="2" s="1"/>
  <c r="Q106" i="2" s="1"/>
  <c r="P105" i="2"/>
  <c r="P97" i="2"/>
  <c r="P103" i="2" s="1"/>
  <c r="P104" i="2" s="1"/>
  <c r="P91" i="2"/>
  <c r="P89" i="2"/>
  <c r="P82" i="2"/>
  <c r="P73" i="2"/>
  <c r="P72" i="2"/>
  <c r="P68" i="2"/>
  <c r="P65" i="2"/>
  <c r="P71" i="2" s="1"/>
  <c r="P64" i="2"/>
  <c r="P70" i="2" s="1"/>
  <c r="P63" i="2"/>
  <c r="P69" i="2" s="1"/>
  <c r="P60" i="2"/>
  <c r="P100" i="2" s="1"/>
  <c r="P106" i="2" s="1"/>
  <c r="O105" i="2"/>
  <c r="O97" i="2"/>
  <c r="O103" i="2" s="1"/>
  <c r="O104" i="2" s="1"/>
  <c r="O91" i="2"/>
  <c r="O89" i="2"/>
  <c r="O82" i="2"/>
  <c r="O73" i="2"/>
  <c r="O72" i="2"/>
  <c r="O68" i="2"/>
  <c r="O65" i="2"/>
  <c r="O71" i="2" s="1"/>
  <c r="O64" i="2"/>
  <c r="O70" i="2" s="1"/>
  <c r="O63" i="2"/>
  <c r="O69" i="2" s="1"/>
  <c r="O60" i="2"/>
  <c r="O100" i="2" s="1"/>
  <c r="O106" i="2" s="1"/>
  <c r="S107" i="2" l="1"/>
  <c r="Z109" i="2"/>
  <c r="X90" i="2"/>
  <c r="X98" i="2" s="1"/>
  <c r="X108" i="2" s="1"/>
  <c r="X107" i="2"/>
  <c r="Q90" i="2"/>
  <c r="Q98" i="2" s="1"/>
  <c r="Q108" i="2" s="1"/>
  <c r="S90" i="2"/>
  <c r="S98" i="2" s="1"/>
  <c r="S108" i="2" s="1"/>
  <c r="V107" i="2"/>
  <c r="Y107" i="2"/>
  <c r="Y90" i="2"/>
  <c r="Y98" i="2" s="1"/>
  <c r="Y108" i="2" s="1"/>
  <c r="Y109" i="2" s="1"/>
  <c r="O107" i="2"/>
  <c r="W107" i="2"/>
  <c r="W108" i="2"/>
  <c r="T90" i="2"/>
  <c r="T98" i="2" s="1"/>
  <c r="T108" i="2" s="1"/>
  <c r="U107" i="2"/>
  <c r="V108" i="2"/>
  <c r="U108" i="2"/>
  <c r="T107" i="2"/>
  <c r="R90" i="2"/>
  <c r="R98" i="2" s="1"/>
  <c r="R108" i="2" s="1"/>
  <c r="Q107" i="2"/>
  <c r="R107" i="2"/>
  <c r="P107" i="2"/>
  <c r="P90" i="2"/>
  <c r="P98" i="2" s="1"/>
  <c r="P108" i="2" s="1"/>
  <c r="P109" i="2" s="1"/>
  <c r="O90" i="2"/>
  <c r="O98" i="2" s="1"/>
  <c r="O108" i="2" s="1"/>
  <c r="O109" i="2" s="1"/>
  <c r="N105" i="2"/>
  <c r="N97" i="2"/>
  <c r="N103" i="2" s="1"/>
  <c r="N104" i="2" s="1"/>
  <c r="N91" i="2"/>
  <c r="N89" i="2"/>
  <c r="N82" i="2"/>
  <c r="N73" i="2"/>
  <c r="N72" i="2"/>
  <c r="N68" i="2"/>
  <c r="N65" i="2"/>
  <c r="N71" i="2" s="1"/>
  <c r="N64" i="2"/>
  <c r="N70" i="2" s="1"/>
  <c r="N63" i="2"/>
  <c r="N69" i="2" s="1"/>
  <c r="N60" i="2"/>
  <c r="N100" i="2" s="1"/>
  <c r="N106" i="2" s="1"/>
  <c r="N61" i="2"/>
  <c r="M105" i="2"/>
  <c r="M97" i="2"/>
  <c r="M103" i="2" s="1"/>
  <c r="M104" i="2" s="1"/>
  <c r="M91" i="2"/>
  <c r="M89" i="2"/>
  <c r="M82" i="2"/>
  <c r="M73" i="2"/>
  <c r="M72" i="2"/>
  <c r="M68" i="2"/>
  <c r="M65" i="2"/>
  <c r="M71" i="2" s="1"/>
  <c r="M64" i="2"/>
  <c r="M70" i="2" s="1"/>
  <c r="M63" i="2"/>
  <c r="M69" i="2" s="1"/>
  <c r="M60" i="2"/>
  <c r="M100" i="2" s="1"/>
  <c r="M106" i="2" s="1"/>
  <c r="M61" i="2"/>
  <c r="L105" i="2"/>
  <c r="L97" i="2"/>
  <c r="L103" i="2" s="1"/>
  <c r="L104" i="2" s="1"/>
  <c r="L91" i="2"/>
  <c r="L89" i="2"/>
  <c r="L82" i="2"/>
  <c r="L73" i="2"/>
  <c r="L72" i="2"/>
  <c r="L68" i="2"/>
  <c r="L65" i="2"/>
  <c r="L71" i="2" s="1"/>
  <c r="L64" i="2"/>
  <c r="L70" i="2" s="1"/>
  <c r="L63" i="2"/>
  <c r="L69" i="2" s="1"/>
  <c r="L60" i="2"/>
  <c r="L100" i="2" s="1"/>
  <c r="L106" i="2" s="1"/>
  <c r="L61" i="2"/>
  <c r="BT51" i="2"/>
  <c r="BT49" i="2"/>
  <c r="V109" i="2" l="1"/>
  <c r="S109" i="2"/>
  <c r="X109" i="2"/>
  <c r="R109" i="2"/>
  <c r="W109" i="2"/>
  <c r="T109" i="2"/>
  <c r="U109" i="2"/>
  <c r="Q109" i="2"/>
  <c r="M107" i="2"/>
  <c r="N107" i="2"/>
  <c r="L107" i="2"/>
  <c r="N90" i="2"/>
  <c r="N98" i="2" s="1"/>
  <c r="N108" i="2" s="1"/>
  <c r="M90" i="2"/>
  <c r="M98" i="2" s="1"/>
  <c r="M108" i="2" s="1"/>
  <c r="L90" i="2"/>
  <c r="L98" i="2" s="1"/>
  <c r="L108" i="2" s="1"/>
  <c r="N109" i="2" l="1"/>
  <c r="M109" i="2"/>
  <c r="L109" i="2"/>
  <c r="BT23" i="2"/>
  <c r="H109" i="2" l="1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K105" i="2"/>
  <c r="J105" i="2"/>
  <c r="I105" i="2"/>
  <c r="G105" i="2"/>
  <c r="F105" i="2"/>
  <c r="E105" i="2"/>
  <c r="G103" i="2"/>
  <c r="G104" i="2" s="1"/>
  <c r="F103" i="2"/>
  <c r="F104" i="2" s="1"/>
  <c r="E103" i="2"/>
  <c r="E104" i="2" s="1"/>
  <c r="BT101" i="2"/>
  <c r="BQ100" i="2"/>
  <c r="BQ106" i="2" s="1"/>
  <c r="BP100" i="2"/>
  <c r="BP106" i="2" s="1"/>
  <c r="BO100" i="2"/>
  <c r="BO106" i="2" s="1"/>
  <c r="BN100" i="2"/>
  <c r="BN106" i="2" s="1"/>
  <c r="BM100" i="2"/>
  <c r="BM106" i="2" s="1"/>
  <c r="BL100" i="2"/>
  <c r="BL106" i="2" s="1"/>
  <c r="BK100" i="2"/>
  <c r="BK106" i="2" s="1"/>
  <c r="BJ100" i="2"/>
  <c r="BJ106" i="2" s="1"/>
  <c r="BI100" i="2"/>
  <c r="BI106" i="2" s="1"/>
  <c r="G100" i="2"/>
  <c r="G106" i="2" s="1"/>
  <c r="F100" i="2"/>
  <c r="F106" i="2" s="1"/>
  <c r="E100" i="2"/>
  <c r="E106" i="2" s="1"/>
  <c r="BT99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O103" i="2" s="1"/>
  <c r="AO104" i="2" s="1"/>
  <c r="AN97" i="2"/>
  <c r="AN103" i="2" s="1"/>
  <c r="AN104" i="2" s="1"/>
  <c r="AM97" i="2"/>
  <c r="AM103" i="2" s="1"/>
  <c r="AM104" i="2" s="1"/>
  <c r="AL97" i="2"/>
  <c r="AL103" i="2" s="1"/>
  <c r="AL104" i="2" s="1"/>
  <c r="AK97" i="2"/>
  <c r="AK103" i="2" s="1"/>
  <c r="AK104" i="2" s="1"/>
  <c r="K97" i="2"/>
  <c r="K103" i="2" s="1"/>
  <c r="K104" i="2" s="1"/>
  <c r="J97" i="2"/>
  <c r="J103" i="2" s="1"/>
  <c r="J104" i="2" s="1"/>
  <c r="I97" i="2"/>
  <c r="I103" i="2" s="1"/>
  <c r="I104" i="2" s="1"/>
  <c r="BT96" i="2"/>
  <c r="BT95" i="2"/>
  <c r="BT91" i="2" s="1"/>
  <c r="BQ95" i="2"/>
  <c r="BP95" i="2"/>
  <c r="BO95" i="2"/>
  <c r="BN95" i="2"/>
  <c r="BN91" i="2" s="1"/>
  <c r="BM95" i="2"/>
  <c r="BM91" i="2" s="1"/>
  <c r="BL95" i="2"/>
  <c r="BL91" i="2" s="1"/>
  <c r="BK95" i="2"/>
  <c r="BK91" i="2" s="1"/>
  <c r="BJ95" i="2"/>
  <c r="BJ91" i="2" s="1"/>
  <c r="BI95" i="2"/>
  <c r="BH95" i="2"/>
  <c r="BH91" i="2" s="1"/>
  <c r="BG95" i="2"/>
  <c r="BF95" i="2"/>
  <c r="BF91" i="2" s="1"/>
  <c r="BE95" i="2"/>
  <c r="BD95" i="2"/>
  <c r="BD91" i="2" s="1"/>
  <c r="BC95" i="2"/>
  <c r="BB95" i="2"/>
  <c r="BB91" i="2" s="1"/>
  <c r="BA95" i="2"/>
  <c r="AZ95" i="2"/>
  <c r="AZ91" i="2" s="1"/>
  <c r="AY95" i="2"/>
  <c r="AY91" i="2" s="1"/>
  <c r="AX95" i="2"/>
  <c r="AX91" i="2" s="1"/>
  <c r="AW95" i="2"/>
  <c r="AW91" i="2" s="1"/>
  <c r="AV95" i="2"/>
  <c r="AV91" i="2" s="1"/>
  <c r="AU95" i="2"/>
  <c r="AT95" i="2"/>
  <c r="AT91" i="2" s="1"/>
  <c r="AS95" i="2"/>
  <c r="AR95" i="2"/>
  <c r="AR91" i="2" s="1"/>
  <c r="AQ95" i="2"/>
  <c r="AP95" i="2"/>
  <c r="AP91" i="2" s="1"/>
  <c r="AO91" i="2"/>
  <c r="AN91" i="2"/>
  <c r="AM91" i="2"/>
  <c r="AL91" i="2"/>
  <c r="AK91" i="2"/>
  <c r="K91" i="2"/>
  <c r="J91" i="2"/>
  <c r="I91" i="2"/>
  <c r="H91" i="2"/>
  <c r="F91" i="2"/>
  <c r="E91" i="2"/>
  <c r="AM89" i="2"/>
  <c r="AL89" i="2"/>
  <c r="AK89" i="2"/>
  <c r="K89" i="2"/>
  <c r="J89" i="2"/>
  <c r="I89" i="2"/>
  <c r="H89" i="2"/>
  <c r="G89" i="2"/>
  <c r="F89" i="2"/>
  <c r="E89" i="2"/>
  <c r="BT88" i="2"/>
  <c r="BT87" i="2"/>
  <c r="BT86" i="2"/>
  <c r="BT85" i="2"/>
  <c r="BT84" i="2"/>
  <c r="BQ82" i="2"/>
  <c r="BQ90" i="2" s="1"/>
  <c r="BQ98" i="2" s="1"/>
  <c r="BP82" i="2"/>
  <c r="BP90" i="2" s="1"/>
  <c r="BP98" i="2" s="1"/>
  <c r="BO82" i="2"/>
  <c r="BO90" i="2" s="1"/>
  <c r="BO98" i="2" s="1"/>
  <c r="BN82" i="2"/>
  <c r="BN90" i="2" s="1"/>
  <c r="BN98" i="2" s="1"/>
  <c r="BM82" i="2"/>
  <c r="BM90" i="2" s="1"/>
  <c r="BM98" i="2" s="1"/>
  <c r="BL82" i="2"/>
  <c r="BL90" i="2" s="1"/>
  <c r="BL98" i="2" s="1"/>
  <c r="BK82" i="2"/>
  <c r="BK90" i="2" s="1"/>
  <c r="BK98" i="2" s="1"/>
  <c r="BJ82" i="2"/>
  <c r="BJ90" i="2" s="1"/>
  <c r="BJ98" i="2" s="1"/>
  <c r="BI82" i="2"/>
  <c r="BI90" i="2" s="1"/>
  <c r="BI98" i="2" s="1"/>
  <c r="BH82" i="2"/>
  <c r="BH90" i="2" s="1"/>
  <c r="BH98" i="2" s="1"/>
  <c r="BG82" i="2"/>
  <c r="BG90" i="2" s="1"/>
  <c r="BG98" i="2" s="1"/>
  <c r="BF82" i="2"/>
  <c r="BF90" i="2" s="1"/>
  <c r="BF98" i="2" s="1"/>
  <c r="BE82" i="2"/>
  <c r="BE90" i="2" s="1"/>
  <c r="BE98" i="2" s="1"/>
  <c r="BD82" i="2"/>
  <c r="BD90" i="2" s="1"/>
  <c r="BD98" i="2" s="1"/>
  <c r="BC82" i="2"/>
  <c r="BC90" i="2" s="1"/>
  <c r="BC98" i="2" s="1"/>
  <c r="BB82" i="2"/>
  <c r="BB90" i="2" s="1"/>
  <c r="BB98" i="2" s="1"/>
  <c r="BA82" i="2"/>
  <c r="BA90" i="2" s="1"/>
  <c r="BA98" i="2" s="1"/>
  <c r="AZ82" i="2"/>
  <c r="AZ90" i="2" s="1"/>
  <c r="AZ98" i="2" s="1"/>
  <c r="AY82" i="2"/>
  <c r="AY90" i="2" s="1"/>
  <c r="AY98" i="2" s="1"/>
  <c r="AX82" i="2"/>
  <c r="AX90" i="2" s="1"/>
  <c r="AX98" i="2" s="1"/>
  <c r="AW82" i="2"/>
  <c r="AW90" i="2" s="1"/>
  <c r="AW98" i="2" s="1"/>
  <c r="AV82" i="2"/>
  <c r="AV90" i="2" s="1"/>
  <c r="AV98" i="2" s="1"/>
  <c r="AU82" i="2"/>
  <c r="AU90" i="2" s="1"/>
  <c r="AU98" i="2" s="1"/>
  <c r="AT82" i="2"/>
  <c r="AT90" i="2" s="1"/>
  <c r="AT98" i="2" s="1"/>
  <c r="AS82" i="2"/>
  <c r="AS90" i="2" s="1"/>
  <c r="AS98" i="2" s="1"/>
  <c r="AR82" i="2"/>
  <c r="AR90" i="2" s="1"/>
  <c r="AR98" i="2" s="1"/>
  <c r="AQ82" i="2"/>
  <c r="AQ90" i="2" s="1"/>
  <c r="AQ98" i="2" s="1"/>
  <c r="AP82" i="2"/>
  <c r="AP90" i="2" s="1"/>
  <c r="AP98" i="2" s="1"/>
  <c r="AO82" i="2"/>
  <c r="AO90" i="2" s="1"/>
  <c r="AO98" i="2" s="1"/>
  <c r="AN82" i="2"/>
  <c r="AN90" i="2" s="1"/>
  <c r="AN98" i="2" s="1"/>
  <c r="AM82" i="2"/>
  <c r="AL82" i="2"/>
  <c r="AK82" i="2"/>
  <c r="K82" i="2"/>
  <c r="J82" i="2"/>
  <c r="I82" i="2"/>
  <c r="H82" i="2"/>
  <c r="G82" i="2"/>
  <c r="F82" i="2"/>
  <c r="E82" i="2"/>
  <c r="BT81" i="2"/>
  <c r="BT80" i="2"/>
  <c r="BT79" i="2"/>
  <c r="BT78" i="2"/>
  <c r="BT74" i="2"/>
  <c r="AL73" i="2"/>
  <c r="AK73" i="2"/>
  <c r="K73" i="2"/>
  <c r="J73" i="2"/>
  <c r="I73" i="2"/>
  <c r="H73" i="2"/>
  <c r="G73" i="2"/>
  <c r="AL72" i="2"/>
  <c r="AK72" i="2"/>
  <c r="K72" i="2"/>
  <c r="J72" i="2"/>
  <c r="I72" i="2"/>
  <c r="H72" i="2"/>
  <c r="G72" i="2"/>
  <c r="F72" i="2"/>
  <c r="E72" i="2"/>
  <c r="H71" i="2"/>
  <c r="H70" i="2"/>
  <c r="H69" i="2"/>
  <c r="AL68" i="2"/>
  <c r="AK68" i="2"/>
  <c r="K68" i="2"/>
  <c r="J68" i="2"/>
  <c r="I68" i="2"/>
  <c r="H68" i="2"/>
  <c r="G68" i="2"/>
  <c r="BT66" i="2"/>
  <c r="BT72" i="2" s="1"/>
  <c r="AP65" i="2"/>
  <c r="AO65" i="2"/>
  <c r="AN65" i="2"/>
  <c r="AM65" i="2"/>
  <c r="AL65" i="2"/>
  <c r="AL71" i="2" s="1"/>
  <c r="AK65" i="2"/>
  <c r="AK71" i="2" s="1"/>
  <c r="K65" i="2"/>
  <c r="K71" i="2" s="1"/>
  <c r="J65" i="2"/>
  <c r="J71" i="2" s="1"/>
  <c r="I65" i="2"/>
  <c r="I71" i="2" s="1"/>
  <c r="G65" i="2"/>
  <c r="G71" i="2" s="1"/>
  <c r="AP64" i="2"/>
  <c r="AO64" i="2"/>
  <c r="AN64" i="2"/>
  <c r="AM64" i="2"/>
  <c r="AL64" i="2"/>
  <c r="AL70" i="2" s="1"/>
  <c r="AK64" i="2"/>
  <c r="AK70" i="2" s="1"/>
  <c r="K64" i="2"/>
  <c r="K70" i="2" s="1"/>
  <c r="J64" i="2"/>
  <c r="J70" i="2" s="1"/>
  <c r="I64" i="2"/>
  <c r="I70" i="2" s="1"/>
  <c r="G64" i="2"/>
  <c r="G70" i="2" s="1"/>
  <c r="AP63" i="2"/>
  <c r="AO63" i="2"/>
  <c r="AN63" i="2"/>
  <c r="AM63" i="2"/>
  <c r="AL63" i="2"/>
  <c r="AL69" i="2" s="1"/>
  <c r="AK63" i="2"/>
  <c r="AK69" i="2" s="1"/>
  <c r="K63" i="2"/>
  <c r="K69" i="2" s="1"/>
  <c r="J63" i="2"/>
  <c r="J69" i="2" s="1"/>
  <c r="I63" i="2"/>
  <c r="I69" i="2" s="1"/>
  <c r="G63" i="2"/>
  <c r="G69" i="2" s="1"/>
  <c r="BH60" i="2"/>
  <c r="BH100" i="2" s="1"/>
  <c r="BH106" i="2" s="1"/>
  <c r="BG60" i="2"/>
  <c r="BG100" i="2" s="1"/>
  <c r="BG106" i="2" s="1"/>
  <c r="BF60" i="2"/>
  <c r="BF100" i="2" s="1"/>
  <c r="BF106" i="2" s="1"/>
  <c r="BE60" i="2"/>
  <c r="BE100" i="2" s="1"/>
  <c r="BE106" i="2" s="1"/>
  <c r="BD60" i="2"/>
  <c r="BD100" i="2" s="1"/>
  <c r="BD106" i="2" s="1"/>
  <c r="BC60" i="2"/>
  <c r="BC100" i="2" s="1"/>
  <c r="BC106" i="2" s="1"/>
  <c r="BB60" i="2"/>
  <c r="BB100" i="2" s="1"/>
  <c r="BB106" i="2" s="1"/>
  <c r="BB107" i="2" s="1"/>
  <c r="BA60" i="2"/>
  <c r="BA100" i="2" s="1"/>
  <c r="BA106" i="2" s="1"/>
  <c r="AZ60" i="2"/>
  <c r="AZ100" i="2" s="1"/>
  <c r="AZ106" i="2" s="1"/>
  <c r="AY60" i="2"/>
  <c r="AY100" i="2" s="1"/>
  <c r="AY106" i="2" s="1"/>
  <c r="AX60" i="2"/>
  <c r="AX100" i="2" s="1"/>
  <c r="AX106" i="2" s="1"/>
  <c r="AW60" i="2"/>
  <c r="AW100" i="2" s="1"/>
  <c r="AW106" i="2" s="1"/>
  <c r="AV60" i="2"/>
  <c r="AV100" i="2" s="1"/>
  <c r="AV106" i="2" s="1"/>
  <c r="AU60" i="2"/>
  <c r="AU100" i="2" s="1"/>
  <c r="AU106" i="2" s="1"/>
  <c r="AT60" i="2"/>
  <c r="AT100" i="2" s="1"/>
  <c r="AT106" i="2" s="1"/>
  <c r="AS60" i="2"/>
  <c r="AS100" i="2" s="1"/>
  <c r="AS106" i="2" s="1"/>
  <c r="AR60" i="2"/>
  <c r="AR100" i="2" s="1"/>
  <c r="AR106" i="2" s="1"/>
  <c r="AQ60" i="2"/>
  <c r="AQ100" i="2" s="1"/>
  <c r="AQ106" i="2" s="1"/>
  <c r="AP60" i="2"/>
  <c r="AP100" i="2" s="1"/>
  <c r="AP106" i="2" s="1"/>
  <c r="AP107" i="2" s="1"/>
  <c r="AO60" i="2"/>
  <c r="AO100" i="2" s="1"/>
  <c r="AO106" i="2" s="1"/>
  <c r="AN60" i="2"/>
  <c r="AN100" i="2" s="1"/>
  <c r="AN106" i="2" s="1"/>
  <c r="AM60" i="2"/>
  <c r="AM100" i="2" s="1"/>
  <c r="AM106" i="2" s="1"/>
  <c r="AL60" i="2"/>
  <c r="AL100" i="2" s="1"/>
  <c r="AL106" i="2" s="1"/>
  <c r="AK60" i="2"/>
  <c r="AK100" i="2" s="1"/>
  <c r="AK106" i="2" s="1"/>
  <c r="K60" i="2"/>
  <c r="K100" i="2" s="1"/>
  <c r="K106" i="2" s="1"/>
  <c r="J60" i="2"/>
  <c r="J100" i="2" s="1"/>
  <c r="J106" i="2" s="1"/>
  <c r="I60" i="2"/>
  <c r="BT60" i="2" s="1"/>
  <c r="BT59" i="2"/>
  <c r="BT58" i="2"/>
  <c r="BT57" i="2"/>
  <c r="BT54" i="2"/>
  <c r="BT73" i="2" s="1"/>
  <c r="BQ54" i="2"/>
  <c r="BP54" i="2"/>
  <c r="BO54" i="2"/>
  <c r="BN54" i="2"/>
  <c r="BM54" i="2"/>
  <c r="BL54" i="2"/>
  <c r="BK54" i="2"/>
  <c r="BJ54" i="2"/>
  <c r="BI54" i="2"/>
  <c r="BH54" i="2"/>
  <c r="BG54" i="2"/>
  <c r="F54" i="2"/>
  <c r="F63" i="2" s="1"/>
  <c r="F69" i="2" s="1"/>
  <c r="E54" i="2"/>
  <c r="E68" i="2" s="1"/>
  <c r="BT53" i="2"/>
  <c r="BT46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2" i="2"/>
  <c r="BT21" i="2"/>
  <c r="BT20" i="2"/>
  <c r="BT19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F61" i="2" s="1"/>
  <c r="BE18" i="2"/>
  <c r="BE61" i="2" s="1"/>
  <c r="BD18" i="2"/>
  <c r="BD61" i="2" s="1"/>
  <c r="BC18" i="2"/>
  <c r="BC61" i="2" s="1"/>
  <c r="BB18" i="2"/>
  <c r="BB61" i="2" s="1"/>
  <c r="BA18" i="2"/>
  <c r="BA61" i="2" s="1"/>
  <c r="AZ18" i="2"/>
  <c r="AZ61" i="2" s="1"/>
  <c r="AY18" i="2"/>
  <c r="AY61" i="2" s="1"/>
  <c r="AX18" i="2"/>
  <c r="AX61" i="2" s="1"/>
  <c r="AW18" i="2"/>
  <c r="AW61" i="2" s="1"/>
  <c r="AV18" i="2"/>
  <c r="AV61" i="2" s="1"/>
  <c r="AU18" i="2"/>
  <c r="AU61" i="2" s="1"/>
  <c r="AT18" i="2"/>
  <c r="AT61" i="2" s="1"/>
  <c r="AS18" i="2"/>
  <c r="AS61" i="2" s="1"/>
  <c r="AR18" i="2"/>
  <c r="AR61" i="2" s="1"/>
  <c r="AQ18" i="2"/>
  <c r="AQ61" i="2" s="1"/>
  <c r="AP18" i="2"/>
  <c r="AP61" i="2" s="1"/>
  <c r="AO18" i="2"/>
  <c r="AO61" i="2" s="1"/>
  <c r="AN18" i="2"/>
  <c r="AN61" i="2" s="1"/>
  <c r="AM18" i="2"/>
  <c r="AM61" i="2" s="1"/>
  <c r="AL18" i="2"/>
  <c r="AL61" i="2" s="1"/>
  <c r="AK18" i="2"/>
  <c r="AK61" i="2" s="1"/>
  <c r="K61" i="2"/>
  <c r="J61" i="2"/>
  <c r="I61" i="2"/>
  <c r="F18" i="2"/>
  <c r="E18" i="2"/>
  <c r="BT15" i="2"/>
  <c r="BT14" i="2"/>
  <c r="BT13" i="2"/>
  <c r="BT12" i="2"/>
  <c r="BT11" i="2"/>
  <c r="BT10" i="2"/>
  <c r="BT9" i="2"/>
  <c r="BT8" i="2"/>
  <c r="BT7" i="2"/>
  <c r="BT6" i="2"/>
  <c r="BT5" i="2"/>
  <c r="BT4" i="2"/>
  <c r="BP107" i="2" l="1"/>
  <c r="AQ103" i="2"/>
  <c r="AQ104" i="2" s="1"/>
  <c r="AQ108" i="2" s="1"/>
  <c r="BC103" i="2"/>
  <c r="BC104" i="2" s="1"/>
  <c r="BC108" i="2" s="1"/>
  <c r="BO103" i="2"/>
  <c r="BO104" i="2" s="1"/>
  <c r="BO108" i="2" s="1"/>
  <c r="E107" i="2"/>
  <c r="F107" i="2"/>
  <c r="G107" i="2"/>
  <c r="BP103" i="2"/>
  <c r="BP104" i="2" s="1"/>
  <c r="BP108" i="2" s="1"/>
  <c r="BH103" i="2"/>
  <c r="BH104" i="2" s="1"/>
  <c r="BH108" i="2" s="1"/>
  <c r="BN107" i="2"/>
  <c r="F90" i="2"/>
  <c r="BJ103" i="2"/>
  <c r="BJ104" i="2" s="1"/>
  <c r="BJ108" i="2" s="1"/>
  <c r="BL61" i="2"/>
  <c r="BM61" i="2"/>
  <c r="AN107" i="2"/>
  <c r="AZ107" i="2"/>
  <c r="AZ103" i="2"/>
  <c r="AZ104" i="2" s="1"/>
  <c r="AZ108" i="2" s="1"/>
  <c r="AW103" i="2"/>
  <c r="AW104" i="2" s="1"/>
  <c r="AW108" i="2" s="1"/>
  <c r="BG61" i="2"/>
  <c r="AO107" i="2"/>
  <c r="BA107" i="2"/>
  <c r="E90" i="2"/>
  <c r="BO61" i="2"/>
  <c r="AS103" i="2"/>
  <c r="AS104" i="2" s="1"/>
  <c r="AS108" i="2" s="1"/>
  <c r="BE103" i="2"/>
  <c r="BE104" i="2" s="1"/>
  <c r="BE108" i="2" s="1"/>
  <c r="BQ103" i="2"/>
  <c r="BQ104" i="2" s="1"/>
  <c r="BQ108" i="2" s="1"/>
  <c r="BP61" i="2"/>
  <c r="AQ107" i="2"/>
  <c r="BC107" i="2"/>
  <c r="AR107" i="2"/>
  <c r="BD107" i="2"/>
  <c r="AU103" i="2"/>
  <c r="AU104" i="2" s="1"/>
  <c r="AU108" i="2" s="1"/>
  <c r="BG103" i="2"/>
  <c r="BG104" i="2" s="1"/>
  <c r="BG108" i="2" s="1"/>
  <c r="BO107" i="2"/>
  <c r="AR103" i="2"/>
  <c r="AR104" i="2" s="1"/>
  <c r="AR108" i="2" s="1"/>
  <c r="H90" i="2"/>
  <c r="BJ61" i="2"/>
  <c r="BT89" i="2"/>
  <c r="K90" i="2"/>
  <c r="K98" i="2" s="1"/>
  <c r="K108" i="2" s="1"/>
  <c r="AU91" i="2"/>
  <c r="BI103" i="2"/>
  <c r="BI104" i="2" s="1"/>
  <c r="BI108" i="2" s="1"/>
  <c r="AK90" i="2"/>
  <c r="AK98" i="2" s="1"/>
  <c r="AK108" i="2" s="1"/>
  <c r="BT105" i="2"/>
  <c r="G90" i="2"/>
  <c r="AM107" i="2"/>
  <c r="AY107" i="2"/>
  <c r="BP91" i="2"/>
  <c r="BA103" i="2"/>
  <c r="BA104" i="2" s="1"/>
  <c r="BA108" i="2" s="1"/>
  <c r="F108" i="2"/>
  <c r="BE107" i="2"/>
  <c r="AT103" i="2"/>
  <c r="AT104" i="2" s="1"/>
  <c r="AT108" i="2" s="1"/>
  <c r="BT97" i="2"/>
  <c r="BT103" i="2" s="1"/>
  <c r="BT104" i="2" s="1"/>
  <c r="BK107" i="2"/>
  <c r="BC91" i="2"/>
  <c r="BM103" i="2"/>
  <c r="BM104" i="2" s="1"/>
  <c r="BM108" i="2" s="1"/>
  <c r="BI107" i="2"/>
  <c r="BF107" i="2"/>
  <c r="AU107" i="2"/>
  <c r="F64" i="2"/>
  <c r="F70" i="2" s="1"/>
  <c r="AL90" i="2"/>
  <c r="AL98" i="2" s="1"/>
  <c r="AL108" i="2" s="1"/>
  <c r="BN61" i="2"/>
  <c r="AV107" i="2"/>
  <c r="BH107" i="2"/>
  <c r="F73" i="2"/>
  <c r="BT82" i="2"/>
  <c r="AM90" i="2"/>
  <c r="AM98" i="2" s="1"/>
  <c r="AM108" i="2" s="1"/>
  <c r="BL107" i="2"/>
  <c r="BE91" i="2"/>
  <c r="J107" i="2"/>
  <c r="BG107" i="2"/>
  <c r="AK107" i="2"/>
  <c r="AW107" i="2"/>
  <c r="AY103" i="2"/>
  <c r="AY104" i="2" s="1"/>
  <c r="AY108" i="2" s="1"/>
  <c r="BK103" i="2"/>
  <c r="BK104" i="2" s="1"/>
  <c r="BK108" i="2" s="1"/>
  <c r="BM107" i="2"/>
  <c r="J90" i="2"/>
  <c r="J98" i="2" s="1"/>
  <c r="J108" i="2" s="1"/>
  <c r="BQ61" i="2"/>
  <c r="AS107" i="2"/>
  <c r="AT107" i="2"/>
  <c r="BG91" i="2"/>
  <c r="BH61" i="2"/>
  <c r="K107" i="2"/>
  <c r="BI61" i="2"/>
  <c r="BK61" i="2"/>
  <c r="AL107" i="2"/>
  <c r="AX107" i="2"/>
  <c r="AQ91" i="2"/>
  <c r="BO91" i="2"/>
  <c r="BQ107" i="2"/>
  <c r="BJ107" i="2"/>
  <c r="I90" i="2"/>
  <c r="I98" i="2" s="1"/>
  <c r="BB103" i="2"/>
  <c r="BB104" i="2" s="1"/>
  <c r="BB108" i="2" s="1"/>
  <c r="BB109" i="2" s="1"/>
  <c r="E108" i="2"/>
  <c r="E109" i="2" s="1"/>
  <c r="BT61" i="2"/>
  <c r="BT18" i="2"/>
  <c r="BT63" i="2"/>
  <c r="BT69" i="2" s="1"/>
  <c r="BT64" i="2"/>
  <c r="BT70" i="2" s="1"/>
  <c r="BT65" i="2"/>
  <c r="BT71" i="2" s="1"/>
  <c r="AN108" i="2"/>
  <c r="AO108" i="2"/>
  <c r="G108" i="2"/>
  <c r="E65" i="2"/>
  <c r="E71" i="2" s="1"/>
  <c r="F68" i="2"/>
  <c r="F65" i="2"/>
  <c r="F71" i="2" s="1"/>
  <c r="AS91" i="2"/>
  <c r="BA91" i="2"/>
  <c r="BI91" i="2"/>
  <c r="BQ91" i="2"/>
  <c r="I100" i="2"/>
  <c r="I106" i="2" s="1"/>
  <c r="I107" i="2" s="1"/>
  <c r="E64" i="2"/>
  <c r="E70" i="2" s="1"/>
  <c r="AV103" i="2"/>
  <c r="AV104" i="2" s="1"/>
  <c r="AV108" i="2" s="1"/>
  <c r="BD103" i="2"/>
  <c r="BD104" i="2" s="1"/>
  <c r="BD108" i="2" s="1"/>
  <c r="BL103" i="2"/>
  <c r="BL104" i="2" s="1"/>
  <c r="BL108" i="2" s="1"/>
  <c r="E63" i="2"/>
  <c r="E69" i="2" s="1"/>
  <c r="AP103" i="2"/>
  <c r="AP104" i="2" s="1"/>
  <c r="AP108" i="2" s="1"/>
  <c r="AP109" i="2" s="1"/>
  <c r="AX103" i="2"/>
  <c r="AX104" i="2" s="1"/>
  <c r="AX108" i="2" s="1"/>
  <c r="BF103" i="2"/>
  <c r="BF104" i="2" s="1"/>
  <c r="BF108" i="2" s="1"/>
  <c r="BN103" i="2"/>
  <c r="BN104" i="2" s="1"/>
  <c r="BN108" i="2" s="1"/>
  <c r="E73" i="2"/>
  <c r="BP109" i="2" l="1"/>
  <c r="BO109" i="2"/>
  <c r="F109" i="2"/>
  <c r="J109" i="2"/>
  <c r="AS109" i="2"/>
  <c r="G109" i="2"/>
  <c r="AZ109" i="2"/>
  <c r="BQ109" i="2"/>
  <c r="BE109" i="2"/>
  <c r="BN109" i="2"/>
  <c r="AM109" i="2"/>
  <c r="AN109" i="2"/>
  <c r="BM109" i="2"/>
  <c r="BC109" i="2"/>
  <c r="BT90" i="2"/>
  <c r="AK109" i="2"/>
  <c r="BF109" i="2"/>
  <c r="BI109" i="2"/>
  <c r="AQ109" i="2"/>
  <c r="AL109" i="2"/>
  <c r="BA109" i="2"/>
  <c r="BH109" i="2"/>
  <c r="AO109" i="2"/>
  <c r="AR109" i="2"/>
  <c r="BD109" i="2"/>
  <c r="BT98" i="2"/>
  <c r="BL109" i="2"/>
  <c r="BK109" i="2"/>
  <c r="AT109" i="2"/>
  <c r="AY109" i="2"/>
  <c r="AX109" i="2"/>
  <c r="BG109" i="2"/>
  <c r="BJ109" i="2"/>
  <c r="AW109" i="2"/>
  <c r="AV109" i="2"/>
  <c r="AU109" i="2"/>
  <c r="K109" i="2"/>
  <c r="I108" i="2"/>
  <c r="I109" i="2" s="1"/>
  <c r="BT100" i="2"/>
  <c r="BT106" i="2" s="1"/>
  <c r="BT107" i="2" s="1"/>
  <c r="BT108" i="2" l="1"/>
  <c r="BT109" i="2" s="1"/>
</calcChain>
</file>

<file path=xl/sharedStrings.xml><?xml version="1.0" encoding="utf-8"?>
<sst xmlns="http://schemas.openxmlformats.org/spreadsheetml/2006/main" count="3558" uniqueCount="288">
  <si>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</si>
  <si>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</si>
  <si>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</si>
  <si>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</si>
  <si>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</si>
  <si>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</si>
  <si>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</si>
  <si>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</si>
  <si>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</si>
  <si>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</si>
  <si>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</si>
  <si>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</si>
  <si>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</si>
  <si>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</si>
  <si>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</si>
  <si>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</si>
  <si>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</si>
  <si>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</si>
  <si>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</si>
  <si>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</si>
  <si>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</si>
  <si>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</si>
  <si>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</si>
  <si>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</si>
  <si>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</si>
  <si>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</si>
  <si>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</si>
  <si>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</si>
  <si>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</si>
  <si>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</si>
  <si>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</si>
  <si>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</si>
  <si>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</si>
  <si>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</si>
  <si>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</si>
  <si>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</si>
  <si>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</si>
  <si>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</si>
  <si>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</si>
  <si>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</si>
  <si>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</si>
  <si>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</si>
  <si>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</si>
  <si>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</si>
  <si>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</si>
  <si>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</si>
  <si>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</si>
  <si>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</si>
  <si>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</si>
  <si>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</si>
  <si>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</si>
  <si>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</si>
  <si>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</si>
  <si>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</si>
  <si>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</si>
  <si>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</si>
  <si>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</si>
  <si>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</si>
  <si>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</si>
  <si>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</si>
  <si>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</si>
  <si>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</si>
  <si>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</si>
  <si>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</si>
  <si>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</si>
  <si>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</si>
  <si>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</si>
  <si>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</si>
  <si>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</si>
  <si>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</si>
  <si>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</si>
  <si>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</si>
  <si>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</si>
  <si>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</si>
  <si>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</si>
  <si>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</si>
  <si>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</si>
  <si>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</si>
  <si>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</si>
  <si>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</si>
  <si>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</si>
  <si>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</si>
  <si>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</si>
  <si>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</si>
  <si>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</si>
  <si>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</si>
  <si>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</si>
  <si>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</si>
  <si>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</si>
  <si>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</si>
  <si>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</si>
  <si>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</si>
  <si>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</si>
  <si>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</si>
  <si>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</si>
  <si>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</si>
  <si>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</si>
  <si>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</si>
  <si>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</si>
  <si>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</si>
  <si>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</si>
  <si>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</si>
  <si>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</si>
  <si>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</si>
  <si>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</si>
  <si>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</si>
  <si>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</si>
  <si>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</si>
  <si>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</si>
  <si>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</si>
  <si>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</si>
  <si>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</si>
  <si>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</si>
  <si>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</si>
  <si>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</si>
  <si>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</si>
  <si>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</si>
  <si>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</si>
  <si>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</si>
  <si>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</si>
  <si>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Kyemene 777LX (WSR)</t>
  </si>
  <si>
    <t>SOFTING AGENT - PROSOFT TQ 218</t>
  </si>
  <si>
    <t>Creptrol A9915 (Yankee coating)</t>
  </si>
  <si>
    <t>Creptrol 3718 (Yankee coating)</t>
  </si>
  <si>
    <t>Rezosol 1400 ( Yankee Release)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</si>
  <si>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</si>
  <si>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</si>
  <si>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</si>
  <si>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</si>
  <si>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</si>
  <si>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</si>
  <si>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</si>
  <si>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</si>
  <si>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</si>
  <si>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</si>
  <si>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</si>
  <si>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</si>
  <si>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</si>
  <si>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</si>
  <si>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</si>
  <si>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</si>
  <si>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</si>
  <si>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</si>
  <si>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</si>
  <si>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</si>
  <si>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</si>
  <si>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</si>
  <si>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</si>
  <si>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</si>
  <si>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</si>
  <si>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</si>
  <si>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</si>
  <si>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</si>
  <si>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</si>
  <si>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</si>
  <si>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</si>
  <si>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</si>
  <si>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</si>
  <si>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</si>
  <si>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</si>
  <si>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</si>
  <si>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</si>
  <si>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</si>
  <si>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</si>
  <si>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</si>
  <si>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</si>
  <si>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</si>
  <si>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</si>
  <si>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</si>
  <si>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</si>
  <si>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</si>
  <si>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</si>
  <si>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</si>
  <si>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</si>
  <si>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</si>
  <si>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</si>
  <si>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</si>
  <si>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</si>
  <si>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</si>
  <si>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</si>
  <si>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</si>
  <si>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</si>
  <si>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</si>
  <si>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</si>
  <si>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</si>
  <si>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</si>
  <si>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</si>
  <si>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</si>
  <si>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</si>
  <si>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</si>
  <si>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</si>
  <si>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</si>
  <si>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</si>
  <si>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</si>
  <si>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</si>
  <si>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</si>
  <si>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</si>
  <si>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</si>
  <si>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</si>
  <si>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Month - july`2022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</si>
  <si>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</si>
  <si>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</si>
  <si>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</si>
  <si>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</si>
  <si>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</si>
  <si>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</si>
  <si>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</si>
  <si>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</si>
  <si>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</si>
  <si>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</si>
  <si>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</si>
  <si>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</si>
  <si>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</si>
  <si>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</si>
  <si>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</si>
  <si>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</si>
  <si>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</si>
  <si>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</si>
  <si>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</si>
  <si>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</si>
  <si>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</si>
  <si>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</si>
  <si>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</si>
  <si>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Kyemene 821 AP(WSR)</t>
  </si>
  <si>
    <t>PACKING MATERIALS</t>
  </si>
  <si>
    <t>Core pipes</t>
  </si>
  <si>
    <t>Core Plugs</t>
  </si>
  <si>
    <t>Stretch film</t>
  </si>
  <si>
    <t>Kg</t>
  </si>
  <si>
    <t>NOS</t>
  </si>
  <si>
    <t>Instruments</t>
  </si>
  <si>
    <t>Imported Softwood Pulp METSA (AD)</t>
  </si>
  <si>
    <t>TOWEL</t>
  </si>
  <si>
    <t>KT</t>
  </si>
  <si>
    <t>Yankee doctor blade change &amp; roll cleaning</t>
  </si>
  <si>
    <t>Tail cutter not working</t>
  </si>
  <si>
    <t>DAILY REPORT  Month (June -2025)</t>
  </si>
  <si>
    <t>Imported Hardwood April XP (AD)</t>
  </si>
  <si>
    <t>NT</t>
  </si>
  <si>
    <t>Others</t>
  </si>
  <si>
    <t>Stock off due to uhle box jammed</t>
  </si>
  <si>
    <t>System wash up</t>
  </si>
  <si>
    <t>Felt &amp; wire cleaning</t>
  </si>
  <si>
    <t>Machine tripped due to Next press lubrication oil flow variation</t>
  </si>
  <si>
    <t>CT</t>
  </si>
  <si>
    <t>Machine tripped due to Next press lubrication oil low flow</t>
  </si>
  <si>
    <t>Machine stopped for felt &amp; wire cleaning</t>
  </si>
  <si>
    <t>Sheet break</t>
  </si>
  <si>
    <t>FT</t>
  </si>
  <si>
    <t>Machine tripped due to next press lubrication oil low flow</t>
  </si>
  <si>
    <t>TT</t>
  </si>
  <si>
    <t>Tail cutter and secondary arm loading issue</t>
  </si>
  <si>
    <t>BCHEM Rzym E - TR</t>
  </si>
  <si>
    <t>Felt &amp; Wire cleaning</t>
  </si>
  <si>
    <t>Electrical</t>
  </si>
  <si>
    <t>Stock off due to Fan pump motor tripped</t>
  </si>
  <si>
    <t>Power</t>
  </si>
  <si>
    <t>Machine tripped due to power fluctuation</t>
  </si>
  <si>
    <t>Power failure</t>
  </si>
  <si>
    <t>Stock off due to Tail cutter pump tripped</t>
  </si>
  <si>
    <t>Other</t>
  </si>
  <si>
    <t>Jumbo roll stck in pope reel railing</t>
  </si>
  <si>
    <t>Sheet break due to BTG soft creape blade trial</t>
  </si>
  <si>
    <t xml:space="preserve">Sheet break </t>
  </si>
  <si>
    <t>Stock off due to Dry end hood caught fire</t>
  </si>
  <si>
    <t>Steam</t>
  </si>
  <si>
    <t>.24:00</t>
  </si>
  <si>
    <t>Machine shut for want of steam (Boiler maintt job)</t>
  </si>
  <si>
    <t>NIL</t>
  </si>
  <si>
    <t>Want of steam</t>
  </si>
  <si>
    <t xml:space="preserve">Pope reel Secondary arm pressure switch fault </t>
  </si>
  <si>
    <t>Paper feeding issue due to gap between pope reel and spool</t>
  </si>
  <si>
    <t>Felt wire cleaning</t>
  </si>
  <si>
    <t>Stock off due to hood picking</t>
  </si>
  <si>
    <t xml:space="preserve">Machine tripped due to power fluctuation twice </t>
  </si>
  <si>
    <t>Sheet break due to gap between Pope reel &amp; Spool</t>
  </si>
  <si>
    <t>Sheet break due to low dry tensile (April XP Pulp trial)</t>
  </si>
  <si>
    <t>Macine stopped due to Felt drive motor stopped</t>
  </si>
  <si>
    <t>Instt</t>
  </si>
  <si>
    <t>Clothing change</t>
  </si>
  <si>
    <t>Pope reel sec arm stuck due to primary arm undefined position</t>
  </si>
  <si>
    <t>Natural Gas consumption (Tissue Machine)</t>
  </si>
  <si>
    <t>Natural Gas consumption (Boiler)</t>
  </si>
  <si>
    <t>Fresh Water consumption</t>
  </si>
  <si>
    <t>RO water consumption</t>
  </si>
  <si>
    <t>Power (MACHINE)</t>
  </si>
  <si>
    <t>Power (BOILER+ETP)</t>
  </si>
  <si>
    <t>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</si>
</sst>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;@"/>
    <numFmt numFmtId="166" formatCode="[$-409]d\-mmm\-yy;@"/>
    <numFmt numFmtId="167" formatCode="0.000"/>
  </numFmts>
  <fonts count="1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  <font>
      <sz val="14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164" fontId="4" fillId="0" borderId="18" xfId="1" applyNumberFormat="1" applyFont="1" applyBorder="1" applyAlignment="1">
      <alignment horizontal="center" vertical="center" wrapText="1"/>
    </xf>
    <xf numFmtId="164" fontId="4" fillId="0" borderId="19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4" fillId="0" borderId="21" xfId="1" applyFont="1" applyBorder="1"/>
    <xf numFmtId="0" fontId="4" fillId="0" borderId="2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3" xfId="0" applyFont="1" applyBorder="1"/>
    <xf numFmtId="0" fontId="2" fillId="0" borderId="8" xfId="0" applyFont="1" applyBorder="1"/>
    <xf numFmtId="2" fontId="2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1" xfId="0" applyFont="1" applyBorder="1"/>
    <xf numFmtId="0" fontId="2" fillId="0" borderId="24" xfId="0" applyFont="1" applyBorder="1"/>
    <xf numFmtId="0" fontId="2" fillId="0" borderId="25" xfId="0" applyFont="1" applyBorder="1"/>
    <xf numFmtId="0" fontId="1" fillId="0" borderId="24" xfId="0" applyFont="1" applyBorder="1" applyAlignment="1">
      <alignment horizontal="right"/>
    </xf>
    <xf numFmtId="2" fontId="2" fillId="0" borderId="24" xfId="0" applyNumberFormat="1" applyFont="1" applyBorder="1" applyAlignment="1">
      <alignment horizontal="center"/>
    </xf>
    <xf numFmtId="0" fontId="1" fillId="0" borderId="24" xfId="0" applyFont="1" applyBorder="1"/>
    <xf numFmtId="0" fontId="2" fillId="0" borderId="26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7" fillId="2" borderId="27" xfId="0" applyFont="1" applyFill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7" fillId="0" borderId="0" xfId="0" applyFont="1"/>
    <xf numFmtId="0" fontId="7" fillId="3" borderId="20" xfId="0" applyFont="1" applyFill="1" applyBorder="1"/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1" xfId="0" applyFont="1" applyFill="1" applyBorder="1"/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7" fontId="9" fillId="6" borderId="21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9" fillId="7" borderId="1" xfId="0" applyFont="1" applyFill="1" applyBorder="1"/>
    <xf numFmtId="0" fontId="9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167" fontId="9" fillId="7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/>
    <xf numFmtId="0" fontId="10" fillId="4" borderId="1" xfId="0" applyFont="1" applyFill="1" applyBorder="1"/>
    <xf numFmtId="0" fontId="10" fillId="4" borderId="3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164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2" fontId="9" fillId="7" borderId="2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7" fillId="2" borderId="20" xfId="0" applyFont="1" applyFill="1" applyBorder="1" applyAlignment="1">
      <alignment horizontal="center"/>
    </xf>
    <xf numFmtId="0" fontId="13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2" fontId="9" fillId="2" borderId="21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7" fontId="7" fillId="0" borderId="0" xfId="0" applyNumberFormat="1" applyFont="1"/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center"/>
    </xf>
    <xf numFmtId="167" fontId="7" fillId="2" borderId="2" xfId="0" applyNumberFormat="1" applyFont="1" applyFill="1" applyBorder="1" applyAlignment="1">
      <alignment horizontal="center"/>
    </xf>
    <xf numFmtId="167" fontId="9" fillId="2" borderId="2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2" borderId="21" xfId="0" applyNumberFormat="1" applyFont="1" applyFill="1" applyBorder="1" applyAlignment="1">
      <alignment horizontal="center"/>
    </xf>
    <xf numFmtId="164" fontId="9" fillId="2" borderId="21" xfId="0" applyNumberFormat="1" applyFont="1" applyFill="1" applyBorder="1" applyAlignment="1">
      <alignment horizontal="center" vertical="center"/>
    </xf>
    <xf numFmtId="1" fontId="9" fillId="2" borderId="2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5" xfId="0" applyFont="1" applyFill="1" applyBorder="1"/>
    <xf numFmtId="0" fontId="7" fillId="2" borderId="4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7" fillId="2" borderId="2" xfId="0" applyFont="1" applyFill="1" applyBorder="1"/>
    <xf numFmtId="0" fontId="7" fillId="2" borderId="31" xfId="0" applyFont="1" applyFill="1" applyBorder="1" applyAlignment="1">
      <alignment horizontal="center"/>
    </xf>
    <xf numFmtId="0" fontId="11" fillId="2" borderId="3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right"/>
    </xf>
    <xf numFmtId="164" fontId="7" fillId="2" borderId="8" xfId="0" applyNumberFormat="1" applyFont="1" applyFill="1" applyBorder="1" applyAlignment="1">
      <alignment horizontal="center"/>
    </xf>
    <xf numFmtId="164" fontId="7" fillId="2" borderId="23" xfId="0" applyNumberFormat="1" applyFont="1" applyFill="1" applyBorder="1" applyAlignment="1">
      <alignment horizontal="center"/>
    </xf>
    <xf numFmtId="0" fontId="7" fillId="2" borderId="20" xfId="0" applyFont="1" applyFill="1" applyBorder="1"/>
    <xf numFmtId="164" fontId="9" fillId="2" borderId="1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7" fillId="2" borderId="34" xfId="0" applyFont="1" applyFill="1" applyBorder="1"/>
    <xf numFmtId="0" fontId="9" fillId="2" borderId="35" xfId="0" applyFont="1" applyFill="1" applyBorder="1"/>
    <xf numFmtId="0" fontId="9" fillId="2" borderId="35" xfId="0" applyFont="1" applyFill="1" applyBorder="1" applyAlignment="1">
      <alignment horizontal="left"/>
    </xf>
    <xf numFmtId="0" fontId="9" fillId="2" borderId="35" xfId="0" applyFont="1" applyFill="1" applyBorder="1" applyAlignment="1">
      <alignment horizontal="center"/>
    </xf>
    <xf numFmtId="2" fontId="7" fillId="2" borderId="35" xfId="0" applyNumberFormat="1" applyFont="1" applyFill="1" applyBorder="1" applyAlignment="1">
      <alignment horizontal="center"/>
    </xf>
    <xf numFmtId="2" fontId="7" fillId="2" borderId="36" xfId="0" applyNumberFormat="1" applyFont="1" applyFill="1" applyBorder="1" applyAlignment="1">
      <alignment horizontal="center"/>
    </xf>
    <xf numFmtId="2" fontId="9" fillId="2" borderId="37" xfId="0" applyNumberFormat="1" applyFont="1" applyFill="1" applyBorder="1" applyAlignment="1">
      <alignment horizontal="center" vertical="center"/>
    </xf>
    <xf numFmtId="0" fontId="7" fillId="2" borderId="38" xfId="0" applyFont="1" applyFill="1" applyBorder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39" xfId="0" applyFont="1" applyFill="1" applyBorder="1" applyAlignment="1">
      <alignment vertical="center"/>
    </xf>
    <xf numFmtId="0" fontId="7" fillId="2" borderId="27" xfId="0" applyFont="1" applyFill="1" applyBorder="1" applyAlignment="1">
      <alignment horizontal="center"/>
    </xf>
    <xf numFmtId="0" fontId="11" fillId="2" borderId="40" xfId="0" applyFont="1" applyFill="1" applyBorder="1" applyAlignment="1">
      <alignment horizontal="left"/>
    </xf>
    <xf numFmtId="0" fontId="7" fillId="2" borderId="40" xfId="0" applyFont="1" applyFill="1" applyBorder="1"/>
    <xf numFmtId="0" fontId="9" fillId="2" borderId="40" xfId="0" applyFont="1" applyFill="1" applyBorder="1" applyAlignment="1">
      <alignment horizontal="left"/>
    </xf>
    <xf numFmtId="0" fontId="7" fillId="2" borderId="28" xfId="0" applyFont="1" applyFill="1" applyBorder="1"/>
    <xf numFmtId="0" fontId="9" fillId="2" borderId="4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2" fontId="7" fillId="2" borderId="21" xfId="0" applyNumberFormat="1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/>
    </xf>
    <xf numFmtId="164" fontId="9" fillId="2" borderId="35" xfId="0" applyNumberFormat="1" applyFont="1" applyFill="1" applyBorder="1" applyAlignment="1">
      <alignment horizontal="center"/>
    </xf>
    <xf numFmtId="164" fontId="9" fillId="2" borderId="36" xfId="0" applyNumberFormat="1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5" fontId="2" fillId="0" borderId="23" xfId="0" applyNumberFormat="1" applyFont="1" applyBorder="1" applyAlignment="1">
      <alignment horizontal="center"/>
    </xf>
    <xf numFmtId="0" fontId="4" fillId="0" borderId="7" xfId="1" applyFont="1" applyBorder="1" applyAlignment="1">
      <alignment horizontal="center" vertical="center" wrapText="1"/>
    </xf>
    <xf numFmtId="164" fontId="4" fillId="0" borderId="1" xfId="2" applyNumberFormat="1" applyFont="1" applyBorder="1" applyAlignment="1">
      <alignment horizontal="center" vertical="center" wrapText="1"/>
    </xf>
    <xf numFmtId="164" fontId="6" fillId="0" borderId="14" xfId="2" applyNumberFormat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/>
    </xf>
    <xf numFmtId="0" fontId="7" fillId="2" borderId="43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7" fillId="3" borderId="34" xfId="0" applyFont="1" applyFill="1" applyBorder="1" applyAlignment="1">
      <alignment horizontal="center"/>
    </xf>
    <xf numFmtId="0" fontId="9" fillId="7" borderId="35" xfId="0" applyFont="1" applyFill="1" applyBorder="1"/>
    <xf numFmtId="0" fontId="9" fillId="7" borderId="35" xfId="0" applyFont="1" applyFill="1" applyBorder="1" applyAlignment="1">
      <alignment horizontal="left"/>
    </xf>
    <xf numFmtId="0" fontId="9" fillId="7" borderId="35" xfId="0" applyFont="1" applyFill="1" applyBorder="1" applyAlignment="1">
      <alignment horizontal="center"/>
    </xf>
    <xf numFmtId="2" fontId="9" fillId="7" borderId="35" xfId="0" applyNumberFormat="1" applyFont="1" applyFill="1" applyBorder="1" applyAlignment="1">
      <alignment horizontal="center"/>
    </xf>
    <xf numFmtId="167" fontId="9" fillId="7" borderId="35" xfId="0" applyNumberFormat="1" applyFont="1" applyFill="1" applyBorder="1" applyAlignment="1">
      <alignment horizontal="center"/>
    </xf>
    <xf numFmtId="2" fontId="9" fillId="7" borderId="36" xfId="0" applyNumberFormat="1" applyFont="1" applyFill="1" applyBorder="1" applyAlignment="1">
      <alignment horizontal="center"/>
    </xf>
    <xf numFmtId="167" fontId="9" fillId="6" borderId="37" xfId="0" applyNumberFormat="1" applyFont="1" applyFill="1" applyBorder="1" applyAlignment="1">
      <alignment horizontal="center" vertical="center"/>
    </xf>
    <xf numFmtId="164" fontId="6" fillId="0" borderId="3" xfId="2" applyNumberFormat="1" applyFont="1" applyBorder="1" applyAlignment="1">
      <alignment horizontal="center" vertical="center" wrapText="1"/>
    </xf>
    <xf numFmtId="164" fontId="4" fillId="0" borderId="7" xfId="2" applyNumberFormat="1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164" fontId="4" fillId="0" borderId="9" xfId="2" applyNumberFormat="1" applyFont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/>
    </xf>
    <xf numFmtId="165" fontId="4" fillId="2" borderId="10" xfId="2" applyNumberFormat="1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vertical="center"/>
    </xf>
    <xf numFmtId="0" fontId="4" fillId="2" borderId="15" xfId="2" applyFont="1" applyFill="1" applyBorder="1" applyAlignment="1">
      <alignment horizontal="center" vertical="center"/>
    </xf>
    <xf numFmtId="165" fontId="4" fillId="2" borderId="15" xfId="1" applyNumberFormat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vertical="center"/>
    </xf>
    <xf numFmtId="0" fontId="4" fillId="2" borderId="15" xfId="1" applyFont="1" applyFill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164" fontId="4" fillId="0" borderId="13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64" fontId="4" fillId="0" borderId="17" xfId="2" applyNumberFormat="1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center"/>
    </xf>
    <xf numFmtId="0" fontId="4" fillId="0" borderId="10" xfId="0" applyFont="1" applyBorder="1"/>
    <xf numFmtId="165" fontId="14" fillId="2" borderId="15" xfId="1" applyNumberFormat="1" applyFont="1" applyFill="1" applyBorder="1" applyAlignment="1">
      <alignment horizontal="center" vertical="center"/>
    </xf>
    <xf numFmtId="0" fontId="14" fillId="2" borderId="15" xfId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7" fontId="9" fillId="6" borderId="1" xfId="0" applyNumberFormat="1" applyFont="1" applyFill="1" applyBorder="1" applyAlignment="1">
      <alignment horizontal="center" vertical="center"/>
    </xf>
    <xf numFmtId="20" fontId="4" fillId="0" borderId="10" xfId="0" applyNumberFormat="1" applyFont="1" applyBorder="1" applyAlignment="1">
      <alignment horizontal="center" vertical="center"/>
    </xf>
    <xf numFmtId="0" fontId="14" fillId="2" borderId="10" xfId="2" applyFont="1" applyFill="1" applyBorder="1" applyAlignment="1">
      <alignment horizontal="center" vertical="center"/>
    </xf>
    <xf numFmtId="165" fontId="14" fillId="2" borderId="10" xfId="2" applyNumberFormat="1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165" fontId="4" fillId="2" borderId="15" xfId="2" applyNumberFormat="1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4" fillId="0" borderId="6" xfId="2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/>
    </xf>
  </cellXfs>
  <cellStyles count="3">
    <cellStyle name="Normal" xfId="0" builtinId="0"/>
    <cellStyle name="Normal 4" xfId="1" xr:uid="{00000000-0005-0000-0000-000001000000}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45809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232</v>
      </c>
      <c r="C9" s="176">
        <v>18</v>
      </c>
      <c r="D9" s="14">
        <v>2.85</v>
      </c>
      <c r="E9" s="179">
        <v>1307</v>
      </c>
      <c r="F9" s="177">
        <v>31.6</v>
      </c>
      <c r="G9" s="15">
        <f t="shared" ref="G9:G11" si="0">E9*F9</f>
        <v>41301.200000000004</v>
      </c>
      <c r="H9" s="16">
        <f t="shared" ref="H9:H11" si="1">F9*C9</f>
        <v>568.80000000000007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17">
        <v>2</v>
      </c>
      <c r="B10" s="175" t="s">
        <v>232</v>
      </c>
      <c r="C10" s="176">
        <v>21</v>
      </c>
      <c r="D10" s="14">
        <v>2.85</v>
      </c>
      <c r="E10" s="179">
        <v>1255</v>
      </c>
      <c r="F10" s="177">
        <v>26.6</v>
      </c>
      <c r="G10" s="15">
        <f t="shared" si="0"/>
        <v>33383</v>
      </c>
      <c r="H10" s="16">
        <f t="shared" si="1"/>
        <v>558.6</v>
      </c>
      <c r="I10" s="198" t="s">
        <v>44</v>
      </c>
      <c r="J10" s="199">
        <v>1.3888888888888888E-2</v>
      </c>
      <c r="K10" s="200" t="s">
        <v>44</v>
      </c>
    </row>
    <row r="11" spans="1:11" ht="17" x14ac:dyDescent="0.15">
      <c r="A11" s="178">
        <v>3</v>
      </c>
      <c r="B11" s="175" t="s">
        <v>233</v>
      </c>
      <c r="C11" s="176">
        <v>22</v>
      </c>
      <c r="D11" s="14">
        <v>2.85</v>
      </c>
      <c r="E11" s="179">
        <v>1212</v>
      </c>
      <c r="F11" s="191">
        <v>35.799999999999997</v>
      </c>
      <c r="G11" s="15">
        <f t="shared" si="0"/>
        <v>43389.599999999999</v>
      </c>
      <c r="H11" s="16">
        <f t="shared" si="1"/>
        <v>787.59999999999991</v>
      </c>
      <c r="I11" s="201" t="s">
        <v>230</v>
      </c>
      <c r="J11" s="199">
        <v>1.3888888888888888E-2</v>
      </c>
      <c r="K11" s="200" t="s">
        <v>235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/>
      <c r="J12" s="199"/>
      <c r="K12" s="200"/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15">
      <c r="A14" s="178"/>
      <c r="B14" s="175"/>
      <c r="C14" s="203"/>
      <c r="D14" s="14"/>
      <c r="E14" s="204"/>
      <c r="F14" s="205"/>
      <c r="G14" s="15"/>
      <c r="H14" s="16"/>
      <c r="I14" s="20"/>
      <c r="J14" s="25"/>
      <c r="K14" s="21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94</v>
      </c>
      <c r="G22" s="47">
        <f>SUM(G9:G21)/F22</f>
        <v>1256.1042553191492</v>
      </c>
      <c r="H22" s="48">
        <f>SUM(H9:H21)/F22</f>
        <v>20.372340425531913</v>
      </c>
      <c r="I22" s="49" t="s">
        <v>22</v>
      </c>
      <c r="J22" s="174">
        <v>4.8611111111111112E-2</v>
      </c>
      <c r="K22" s="43"/>
    </row>
    <row r="23" spans="1:11" x14ac:dyDescent="0.15">
      <c r="E23" s="50"/>
      <c r="F23" s="51"/>
      <c r="I23" s="52" t="s">
        <v>23</v>
      </c>
      <c r="J23" s="53">
        <v>1.17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94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v>94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1.17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0000000-0002-0000-0000-000000000000}">
      <formula1>$K$29:$K$85</formula1>
    </dataValidation>
    <dataValidation type="list" allowBlank="1" showInputMessage="1" showErrorMessage="1" sqref="B20:B21" xr:uid="{00000000-0002-0000-0000-000001000000}">
      <formula1>$K$29:$K$40</formula1>
    </dataValidation>
    <dataValidation type="list" allowBlank="1" showInputMessage="1" showErrorMessage="1" sqref="I50 K15:K21" xr:uid="{00000000-0002-0000-0000-000002000000}">
      <formula1>$I$41:$I$50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45810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232</v>
      </c>
      <c r="C9" s="176">
        <v>18</v>
      </c>
      <c r="D9" s="14">
        <v>2.85</v>
      </c>
      <c r="E9" s="179">
        <v>1345</v>
      </c>
      <c r="F9" s="177">
        <v>56.7</v>
      </c>
      <c r="G9" s="15">
        <f t="shared" ref="G9:G10" si="0">E9*F9</f>
        <v>76261.5</v>
      </c>
      <c r="H9" s="16">
        <f t="shared" ref="H9:H10" si="1">F9*C9</f>
        <v>1020.6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17">
        <v>2</v>
      </c>
      <c r="B10" s="175" t="s">
        <v>232</v>
      </c>
      <c r="C10" s="176">
        <v>19</v>
      </c>
      <c r="D10" s="14">
        <v>2.85</v>
      </c>
      <c r="E10" s="179">
        <v>1313</v>
      </c>
      <c r="F10" s="177">
        <v>40.299999999999997</v>
      </c>
      <c r="G10" s="15">
        <f t="shared" si="0"/>
        <v>52913.899999999994</v>
      </c>
      <c r="H10" s="16">
        <f t="shared" si="1"/>
        <v>765.69999999999993</v>
      </c>
      <c r="I10" s="198" t="s">
        <v>44</v>
      </c>
      <c r="J10" s="199">
        <v>6.9444444444444441E-3</v>
      </c>
      <c r="K10" s="200" t="s">
        <v>44</v>
      </c>
    </row>
    <row r="11" spans="1:11" ht="16" x14ac:dyDescent="0.15">
      <c r="A11" s="178"/>
      <c r="B11" s="175"/>
      <c r="C11" s="176"/>
      <c r="D11" s="14"/>
      <c r="E11" s="179"/>
      <c r="F11" s="191"/>
      <c r="G11" s="15"/>
      <c r="H11" s="16"/>
      <c r="I11" s="201" t="s">
        <v>230</v>
      </c>
      <c r="J11" s="199">
        <v>6.9444444444444441E-3</v>
      </c>
      <c r="K11" s="200" t="s">
        <v>235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/>
      <c r="J12" s="199"/>
      <c r="K12" s="200"/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15">
      <c r="A14" s="178"/>
      <c r="B14" s="175"/>
      <c r="C14" s="203"/>
      <c r="D14" s="14"/>
      <c r="E14" s="204"/>
      <c r="F14" s="205"/>
      <c r="G14" s="15"/>
      <c r="H14" s="16"/>
      <c r="I14" s="20"/>
      <c r="J14" s="25"/>
      <c r="K14" s="21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97</v>
      </c>
      <c r="G22" s="47">
        <f>SUM(G9:G21)/F22</f>
        <v>1331.7051546391751</v>
      </c>
      <c r="H22" s="48">
        <f>SUM(H9:H21)/F22</f>
        <v>18.415463917525773</v>
      </c>
      <c r="I22" s="49" t="s">
        <v>22</v>
      </c>
      <c r="J22" s="174">
        <v>3.4722222222222224E-2</v>
      </c>
      <c r="K22" s="43"/>
    </row>
    <row r="23" spans="1:11" x14ac:dyDescent="0.15">
      <c r="E23" s="50"/>
      <c r="F23" s="51"/>
      <c r="I23" s="52" t="s">
        <v>23</v>
      </c>
      <c r="J23" s="53">
        <v>0.83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97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</f>
        <v>191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00000000-0002-0000-0100-000000000000}">
      <formula1>$I$41:$I$50</formula1>
    </dataValidation>
    <dataValidation type="list" allowBlank="1" showInputMessage="1" showErrorMessage="1" sqref="B20:B21" xr:uid="{00000000-0002-0000-0100-000001000000}">
      <formula1>$K$29:$K$40</formula1>
    </dataValidation>
    <dataValidation type="list" allowBlank="1" showInputMessage="1" showErrorMessage="1" sqref="B16:B19" xr:uid="{00000000-0002-0000-0100-000002000000}">
      <formula1>$K$29:$K$85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45811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232</v>
      </c>
      <c r="C9" s="176">
        <v>19</v>
      </c>
      <c r="D9" s="14">
        <v>2.85</v>
      </c>
      <c r="E9" s="179">
        <v>1208</v>
      </c>
      <c r="F9" s="177">
        <v>35.700000000000003</v>
      </c>
      <c r="G9" s="15">
        <f t="shared" ref="G9:G11" si="0">E9*F9</f>
        <v>43125.600000000006</v>
      </c>
      <c r="H9" s="16">
        <f t="shared" ref="H9:H11" si="1">F9*C9</f>
        <v>678.30000000000007</v>
      </c>
      <c r="I9" s="195" t="s">
        <v>20</v>
      </c>
      <c r="J9" s="196">
        <v>2.4305555555555556E-2</v>
      </c>
      <c r="K9" s="197" t="s">
        <v>234</v>
      </c>
    </row>
    <row r="10" spans="1:11" ht="17" x14ac:dyDescent="0.15">
      <c r="A10" s="17">
        <v>2</v>
      </c>
      <c r="B10" s="175" t="s">
        <v>232</v>
      </c>
      <c r="C10" s="176">
        <v>21</v>
      </c>
      <c r="D10" s="14">
        <v>2.85</v>
      </c>
      <c r="E10" s="179">
        <v>1117</v>
      </c>
      <c r="F10" s="177">
        <v>35.799999999999997</v>
      </c>
      <c r="G10" s="15">
        <f t="shared" si="0"/>
        <v>39988.6</v>
      </c>
      <c r="H10" s="16">
        <f t="shared" si="1"/>
        <v>751.8</v>
      </c>
      <c r="I10" s="198" t="s">
        <v>44</v>
      </c>
      <c r="J10" s="199">
        <v>1.3888888888888888E-2</v>
      </c>
      <c r="K10" s="200" t="s">
        <v>44</v>
      </c>
    </row>
    <row r="11" spans="1:11" ht="17" x14ac:dyDescent="0.15">
      <c r="A11" s="178">
        <v>3</v>
      </c>
      <c r="B11" s="175" t="s">
        <v>238</v>
      </c>
      <c r="C11" s="176">
        <v>19</v>
      </c>
      <c r="D11" s="14">
        <v>2.85</v>
      </c>
      <c r="E11" s="179">
        <v>1208</v>
      </c>
      <c r="F11" s="191">
        <v>10.5</v>
      </c>
      <c r="G11" s="15">
        <f t="shared" si="0"/>
        <v>12684</v>
      </c>
      <c r="H11" s="16">
        <f t="shared" si="1"/>
        <v>199.5</v>
      </c>
      <c r="I11" s="201" t="s">
        <v>239</v>
      </c>
      <c r="J11" s="199">
        <v>1.3888888888888888E-2</v>
      </c>
      <c r="K11" s="200" t="s">
        <v>240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 t="s">
        <v>241</v>
      </c>
      <c r="J12" s="199">
        <v>4.1666666666666664E-2</v>
      </c>
      <c r="K12" s="200" t="s">
        <v>242</v>
      </c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15">
      <c r="A14" s="178"/>
      <c r="B14" s="175"/>
      <c r="C14" s="203"/>
      <c r="D14" s="14"/>
      <c r="E14" s="204"/>
      <c r="F14" s="205"/>
      <c r="G14" s="15"/>
      <c r="H14" s="16"/>
      <c r="I14" s="20"/>
      <c r="J14" s="25"/>
      <c r="K14" s="21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82</v>
      </c>
      <c r="G22" s="47">
        <f>SUM(G9:G21)/F22</f>
        <v>1168.2707317073173</v>
      </c>
      <c r="H22" s="48">
        <f>SUM(H9:H21)/F22</f>
        <v>19.873170731707315</v>
      </c>
      <c r="I22" s="49" t="s">
        <v>22</v>
      </c>
      <c r="J22" s="174">
        <v>9.375E-2</v>
      </c>
      <c r="K22" s="43"/>
    </row>
    <row r="23" spans="1:11" x14ac:dyDescent="0.15">
      <c r="E23" s="50"/>
      <c r="F23" s="51"/>
      <c r="I23" s="52" t="s">
        <v>23</v>
      </c>
      <c r="J23" s="53">
        <v>2.25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82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</f>
        <v>273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4.25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0000000-0002-0000-0200-000000000000}">
      <formula1>$K$29:$K$85</formula1>
    </dataValidation>
    <dataValidation type="list" allowBlank="1" showInputMessage="1" showErrorMessage="1" sqref="B20:B21" xr:uid="{00000000-0002-0000-0200-000001000000}">
      <formula1>$K$29:$K$40</formula1>
    </dataValidation>
    <dataValidation type="list" allowBlank="1" showInputMessage="1" showErrorMessage="1" sqref="I50 K15:K21" xr:uid="{00000000-0002-0000-0200-000002000000}">
      <formula1>$I$41:$I$50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45812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232</v>
      </c>
      <c r="C9" s="176">
        <v>19</v>
      </c>
      <c r="D9" s="14">
        <v>2.85</v>
      </c>
      <c r="E9" s="179">
        <v>1128</v>
      </c>
      <c r="F9" s="177">
        <v>19</v>
      </c>
      <c r="G9" s="15">
        <f t="shared" ref="G9:G11" si="0">E9*F9</f>
        <v>21432</v>
      </c>
      <c r="H9" s="16">
        <f t="shared" ref="H9:H11" si="1">F9*C9</f>
        <v>361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17">
        <v>2</v>
      </c>
      <c r="B10" s="175" t="s">
        <v>238</v>
      </c>
      <c r="C10" s="176">
        <v>18</v>
      </c>
      <c r="D10" s="14">
        <v>2.85</v>
      </c>
      <c r="E10" s="179">
        <v>1321</v>
      </c>
      <c r="F10" s="177">
        <v>33</v>
      </c>
      <c r="G10" s="15">
        <f t="shared" si="0"/>
        <v>43593</v>
      </c>
      <c r="H10" s="16">
        <f t="shared" si="1"/>
        <v>594</v>
      </c>
      <c r="I10" s="198" t="s">
        <v>44</v>
      </c>
      <c r="J10" s="199">
        <v>6.9444444444444441E-3</v>
      </c>
      <c r="K10" s="200" t="s">
        <v>44</v>
      </c>
    </row>
    <row r="11" spans="1:11" ht="17" x14ac:dyDescent="0.15">
      <c r="A11" s="178">
        <v>3</v>
      </c>
      <c r="B11" s="175" t="s">
        <v>233</v>
      </c>
      <c r="C11" s="176">
        <v>20</v>
      </c>
      <c r="D11" s="14">
        <v>2.85</v>
      </c>
      <c r="E11" s="179">
        <v>1232</v>
      </c>
      <c r="F11" s="191">
        <v>26</v>
      </c>
      <c r="G11" s="15">
        <f t="shared" si="0"/>
        <v>32032</v>
      </c>
      <c r="H11" s="16">
        <f t="shared" si="1"/>
        <v>520</v>
      </c>
      <c r="I11" s="198" t="s">
        <v>230</v>
      </c>
      <c r="J11" s="199">
        <v>0.13194444444444445</v>
      </c>
      <c r="K11" s="200" t="s">
        <v>243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/>
      <c r="J12" s="199"/>
      <c r="K12" s="200"/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15">
      <c r="A14" s="178"/>
      <c r="B14" s="175"/>
      <c r="C14" s="203"/>
      <c r="D14" s="14"/>
      <c r="E14" s="204"/>
      <c r="F14" s="205"/>
      <c r="G14" s="15"/>
      <c r="H14" s="16"/>
      <c r="I14" s="20"/>
      <c r="J14" s="25"/>
      <c r="K14" s="21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78</v>
      </c>
      <c r="G22" s="47">
        <f>SUM(G9:G21)/F22</f>
        <v>1244.3205128205129</v>
      </c>
      <c r="H22" s="48">
        <f>SUM(H9:H21)/F22</f>
        <v>18.910256410256409</v>
      </c>
      <c r="I22" s="49" t="s">
        <v>22</v>
      </c>
      <c r="J22" s="174">
        <v>0.15972222222222221</v>
      </c>
      <c r="K22" s="43"/>
    </row>
    <row r="23" spans="1:11" x14ac:dyDescent="0.15">
      <c r="E23" s="50"/>
      <c r="F23" s="51"/>
      <c r="I23" s="52" t="s">
        <v>23</v>
      </c>
      <c r="J23" s="53">
        <v>3.83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78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</f>
        <v>351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8.08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00000000-0002-0000-0300-000000000000}">
      <formula1>$I$41:$I$50</formula1>
    </dataValidation>
    <dataValidation type="list" allowBlank="1" showInputMessage="1" showErrorMessage="1" sqref="B20:B21" xr:uid="{00000000-0002-0000-0300-000001000000}">
      <formula1>$K$29:$K$40</formula1>
    </dataValidation>
    <dataValidation type="list" allowBlank="1" showInputMessage="1" showErrorMessage="1" sqref="B16:B19" xr:uid="{00000000-0002-0000-0300-000002000000}">
      <formula1>$K$29:$K$85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45813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232</v>
      </c>
      <c r="C9" s="176">
        <v>18</v>
      </c>
      <c r="D9" s="14">
        <v>2.85</v>
      </c>
      <c r="E9" s="179">
        <v>1330</v>
      </c>
      <c r="F9" s="177">
        <v>5.0999999999999996</v>
      </c>
      <c r="G9" s="15">
        <f t="shared" ref="G9:G12" si="0">E9*F9</f>
        <v>6782.9999999999991</v>
      </c>
      <c r="H9" s="16">
        <f t="shared" ref="H9:H12" si="1">F9*C9</f>
        <v>91.8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17">
        <v>2</v>
      </c>
      <c r="B10" s="175" t="s">
        <v>238</v>
      </c>
      <c r="C10" s="176">
        <v>15</v>
      </c>
      <c r="D10" s="14">
        <v>2.85</v>
      </c>
      <c r="E10" s="179">
        <v>1352</v>
      </c>
      <c r="F10" s="177">
        <v>40.9</v>
      </c>
      <c r="G10" s="15">
        <f t="shared" si="0"/>
        <v>55296.799999999996</v>
      </c>
      <c r="H10" s="16">
        <f t="shared" si="1"/>
        <v>613.5</v>
      </c>
      <c r="I10" s="198" t="s">
        <v>44</v>
      </c>
      <c r="J10" s="199">
        <v>1.3888888888888888E-2</v>
      </c>
      <c r="K10" s="200" t="s">
        <v>44</v>
      </c>
    </row>
    <row r="11" spans="1:11" ht="17" x14ac:dyDescent="0.15">
      <c r="A11" s="178">
        <v>3</v>
      </c>
      <c r="B11" s="175" t="s">
        <v>244</v>
      </c>
      <c r="C11" s="176">
        <v>15</v>
      </c>
      <c r="D11" s="14">
        <v>2.85</v>
      </c>
      <c r="E11" s="179">
        <v>1225</v>
      </c>
      <c r="F11" s="191">
        <v>9</v>
      </c>
      <c r="G11" s="15">
        <f t="shared" si="0"/>
        <v>11025</v>
      </c>
      <c r="H11" s="16">
        <f t="shared" si="1"/>
        <v>135</v>
      </c>
      <c r="I11" s="198" t="s">
        <v>230</v>
      </c>
      <c r="J11" s="199">
        <v>4.1666666666666664E-2</v>
      </c>
      <c r="K11" s="200" t="s">
        <v>245</v>
      </c>
    </row>
    <row r="12" spans="1:11" ht="19.25" customHeight="1" x14ac:dyDescent="0.15">
      <c r="A12" s="17">
        <v>4</v>
      </c>
      <c r="B12" s="175" t="s">
        <v>244</v>
      </c>
      <c r="C12" s="192">
        <v>16</v>
      </c>
      <c r="D12" s="14">
        <v>2.85</v>
      </c>
      <c r="E12" s="193">
        <v>1225</v>
      </c>
      <c r="F12" s="194">
        <v>12</v>
      </c>
      <c r="G12" s="15">
        <f t="shared" si="0"/>
        <v>14700</v>
      </c>
      <c r="H12" s="16">
        <f t="shared" si="1"/>
        <v>192</v>
      </c>
      <c r="I12" s="201" t="s">
        <v>241</v>
      </c>
      <c r="J12" s="199">
        <v>4.1666666666666664E-2</v>
      </c>
      <c r="K12" s="200" t="s">
        <v>246</v>
      </c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 t="s">
        <v>247</v>
      </c>
      <c r="J13" s="199">
        <v>6.9444444444444441E-3</v>
      </c>
      <c r="K13" s="207" t="s">
        <v>247</v>
      </c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07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67</v>
      </c>
      <c r="G22" s="47">
        <f>SUM(G9:G21)/F22</f>
        <v>1310.5194029850745</v>
      </c>
      <c r="H22" s="48">
        <f>SUM(H9:H21)/F22</f>
        <v>15.407462686567163</v>
      </c>
      <c r="I22" s="49" t="s">
        <v>22</v>
      </c>
      <c r="J22" s="174">
        <v>0.125</v>
      </c>
      <c r="K22" s="43"/>
    </row>
    <row r="23" spans="1:11" x14ac:dyDescent="0.15">
      <c r="E23" s="50"/>
      <c r="F23" s="51"/>
      <c r="I23" s="52" t="s">
        <v>23</v>
      </c>
      <c r="J23" s="53">
        <v>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67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</f>
        <v>418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11.08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0000000-0002-0000-0400-000000000000}">
      <formula1>$K$29:$K$85</formula1>
    </dataValidation>
    <dataValidation type="list" allowBlank="1" showInputMessage="1" showErrorMessage="1" sqref="B20:B21" xr:uid="{00000000-0002-0000-0400-000001000000}">
      <formula1>$K$29:$K$40</formula1>
    </dataValidation>
    <dataValidation type="list" allowBlank="1" showInputMessage="1" showErrorMessage="1" sqref="I50 K15:K21" xr:uid="{00000000-0002-0000-0400-000002000000}">
      <formula1>$I$41:$I$50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45814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238</v>
      </c>
      <c r="C9" s="176">
        <v>15</v>
      </c>
      <c r="D9" s="14">
        <v>2.85</v>
      </c>
      <c r="E9" s="179">
        <v>1216</v>
      </c>
      <c r="F9" s="177">
        <v>71</v>
      </c>
      <c r="G9" s="15">
        <f t="shared" ref="G9" si="0">E9*F9</f>
        <v>86336</v>
      </c>
      <c r="H9" s="16">
        <f t="shared" ref="H9" si="1">F9*C9</f>
        <v>1065</v>
      </c>
      <c r="I9" s="195" t="s">
        <v>20</v>
      </c>
      <c r="J9" s="196">
        <v>2.4305555555555556E-2</v>
      </c>
      <c r="K9" s="197" t="s">
        <v>234</v>
      </c>
    </row>
    <row r="10" spans="1:11" ht="16" x14ac:dyDescent="0.15">
      <c r="A10" s="17"/>
      <c r="B10" s="175"/>
      <c r="C10" s="176"/>
      <c r="D10" s="14"/>
      <c r="E10" s="179"/>
      <c r="F10" s="177"/>
      <c r="G10" s="15"/>
      <c r="H10" s="16"/>
      <c r="I10" s="198" t="s">
        <v>230</v>
      </c>
      <c r="J10" s="199">
        <v>5.5555555555555552E-2</v>
      </c>
      <c r="K10" s="200" t="s">
        <v>245</v>
      </c>
    </row>
    <row r="11" spans="1:11" ht="16" x14ac:dyDescent="0.2">
      <c r="A11" s="178"/>
      <c r="B11" s="175"/>
      <c r="C11" s="176"/>
      <c r="D11" s="14"/>
      <c r="E11" s="179"/>
      <c r="F11" s="191"/>
      <c r="G11" s="15"/>
      <c r="H11" s="16"/>
      <c r="I11" s="201" t="s">
        <v>247</v>
      </c>
      <c r="J11" s="199">
        <v>2.0833333333333332E-2</v>
      </c>
      <c r="K11" s="207" t="s">
        <v>247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/>
      <c r="J12" s="199"/>
      <c r="K12" s="200"/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07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71</v>
      </c>
      <c r="G22" s="47">
        <f>SUM(G9:G21)/F22</f>
        <v>1216</v>
      </c>
      <c r="H22" s="48">
        <f>SUM(H9:H21)/F22</f>
        <v>15</v>
      </c>
      <c r="I22" s="49" t="s">
        <v>22</v>
      </c>
      <c r="J22" s="174">
        <v>0.10069444444444445</v>
      </c>
      <c r="K22" s="43"/>
    </row>
    <row r="23" spans="1:11" x14ac:dyDescent="0.15">
      <c r="E23" s="50"/>
      <c r="F23" s="51"/>
      <c r="I23" s="52" t="s">
        <v>23</v>
      </c>
      <c r="J23" s="53">
        <v>2.42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71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</f>
        <v>489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13.5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00000000-0002-0000-0500-000000000000}">
      <formula1>$I$41:$I$50</formula1>
    </dataValidation>
    <dataValidation type="list" allowBlank="1" showInputMessage="1" showErrorMessage="1" sqref="B20:B21" xr:uid="{00000000-0002-0000-0500-000001000000}">
      <formula1>$K$29:$K$40</formula1>
    </dataValidation>
    <dataValidation type="list" allowBlank="1" showInputMessage="1" showErrorMessage="1" sqref="B16:B19" xr:uid="{00000000-0002-0000-0500-000002000000}">
      <formula1>$K$29:$K$85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5"/>
  <sheetViews>
    <sheetView topLeftCell="A5" workbookViewId="0">
      <selection activeCell="A5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45815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238</v>
      </c>
      <c r="C9" s="176">
        <v>15</v>
      </c>
      <c r="D9" s="14">
        <v>2.85</v>
      </c>
      <c r="E9" s="179">
        <v>1170</v>
      </c>
      <c r="F9" s="177">
        <v>13.6</v>
      </c>
      <c r="G9" s="15">
        <f t="shared" ref="G9:G11" si="0">E9*F9</f>
        <v>15912</v>
      </c>
      <c r="H9" s="16">
        <f t="shared" ref="H9:H11" si="1">F9*C9</f>
        <v>204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17">
        <v>2</v>
      </c>
      <c r="B10" s="175" t="s">
        <v>248</v>
      </c>
      <c r="C10" s="176">
        <v>12.5</v>
      </c>
      <c r="D10" s="14">
        <v>2.85</v>
      </c>
      <c r="E10" s="179">
        <v>1341</v>
      </c>
      <c r="F10" s="177">
        <v>36.6</v>
      </c>
      <c r="G10" s="15">
        <f t="shared" si="0"/>
        <v>49080.6</v>
      </c>
      <c r="H10" s="16">
        <f t="shared" si="1"/>
        <v>457.5</v>
      </c>
      <c r="I10" s="198" t="s">
        <v>44</v>
      </c>
      <c r="J10" s="199">
        <v>2.0833333333333332E-2</v>
      </c>
      <c r="K10" s="200" t="s">
        <v>44</v>
      </c>
    </row>
    <row r="11" spans="1:11" ht="17" x14ac:dyDescent="0.2">
      <c r="A11" s="178">
        <v>3</v>
      </c>
      <c r="B11" s="175" t="s">
        <v>248</v>
      </c>
      <c r="C11" s="176">
        <v>13.5</v>
      </c>
      <c r="D11" s="14">
        <v>2.85</v>
      </c>
      <c r="E11" s="179">
        <v>1341</v>
      </c>
      <c r="F11" s="191">
        <v>5.8</v>
      </c>
      <c r="G11" s="15">
        <f t="shared" si="0"/>
        <v>7777.8</v>
      </c>
      <c r="H11" s="16">
        <f t="shared" si="1"/>
        <v>78.3</v>
      </c>
      <c r="I11" s="201" t="s">
        <v>247</v>
      </c>
      <c r="J11" s="199">
        <v>1.3888888888888888E-2</v>
      </c>
      <c r="K11" s="207" t="s">
        <v>247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 t="s">
        <v>230</v>
      </c>
      <c r="J12" s="199">
        <v>0.1388888888888889</v>
      </c>
      <c r="K12" s="200" t="s">
        <v>249</v>
      </c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07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56</v>
      </c>
      <c r="G22" s="47">
        <f>SUM(G9:G21)/F22</f>
        <v>1299.4714285714285</v>
      </c>
      <c r="H22" s="48">
        <f>SUM(H9:H21)/F22</f>
        <v>13.210714285714285</v>
      </c>
      <c r="I22" s="49" t="s">
        <v>22</v>
      </c>
      <c r="J22" s="174">
        <v>0.19444444444444445</v>
      </c>
      <c r="K22" s="43"/>
    </row>
    <row r="23" spans="1:11" x14ac:dyDescent="0.15">
      <c r="E23" s="50"/>
      <c r="F23" s="51"/>
      <c r="I23" s="52" t="s">
        <v>23</v>
      </c>
      <c r="J23" s="53">
        <v>4.67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56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</f>
        <v>545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18.170000000000002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0000000-0002-0000-0600-000000000000}">
      <formula1>$K$29:$K$85</formula1>
    </dataValidation>
    <dataValidation type="list" allowBlank="1" showInputMessage="1" showErrorMessage="1" sqref="B20:B21" xr:uid="{00000000-0002-0000-0600-000001000000}">
      <formula1>$K$29:$K$40</formula1>
    </dataValidation>
    <dataValidation type="list" allowBlank="1" showInputMessage="1" showErrorMessage="1" sqref="I50 K15:K21" xr:uid="{00000000-0002-0000-0600-000002000000}">
      <formula1>$I$41:$I$50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45816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238</v>
      </c>
      <c r="C9" s="176">
        <v>15</v>
      </c>
      <c r="D9" s="14">
        <v>2.85</v>
      </c>
      <c r="E9" s="179">
        <v>1248</v>
      </c>
      <c r="F9" s="177">
        <v>8</v>
      </c>
      <c r="G9" s="15">
        <f t="shared" ref="G9:G11" si="0">E9*F9</f>
        <v>9984</v>
      </c>
      <c r="H9" s="16">
        <f t="shared" ref="H9:H11" si="1">F9*C9</f>
        <v>120</v>
      </c>
      <c r="I9" s="195" t="s">
        <v>20</v>
      </c>
      <c r="J9" s="196">
        <v>2.7777777777777776E-2</v>
      </c>
      <c r="K9" s="197" t="s">
        <v>234</v>
      </c>
    </row>
    <row r="10" spans="1:11" ht="17" x14ac:dyDescent="0.15">
      <c r="A10" s="17">
        <v>2</v>
      </c>
      <c r="B10" s="175" t="s">
        <v>248</v>
      </c>
      <c r="C10" s="176">
        <v>12.5</v>
      </c>
      <c r="D10" s="14">
        <v>2.85</v>
      </c>
      <c r="E10" s="179">
        <v>1170</v>
      </c>
      <c r="F10" s="177">
        <v>6</v>
      </c>
      <c r="G10" s="15">
        <f t="shared" si="0"/>
        <v>7020</v>
      </c>
      <c r="H10" s="16">
        <f t="shared" si="1"/>
        <v>75</v>
      </c>
      <c r="I10" s="198" t="s">
        <v>44</v>
      </c>
      <c r="J10" s="199">
        <v>1.3888888888888888E-2</v>
      </c>
      <c r="K10" s="200" t="s">
        <v>44</v>
      </c>
    </row>
    <row r="11" spans="1:11" ht="17" x14ac:dyDescent="0.2">
      <c r="A11" s="178">
        <v>3</v>
      </c>
      <c r="B11" s="175" t="s">
        <v>250</v>
      </c>
      <c r="C11" s="176">
        <v>15</v>
      </c>
      <c r="D11" s="14">
        <v>2.85</v>
      </c>
      <c r="E11" s="179">
        <v>1330</v>
      </c>
      <c r="F11" s="191">
        <v>60</v>
      </c>
      <c r="G11" s="15">
        <f t="shared" si="0"/>
        <v>79800</v>
      </c>
      <c r="H11" s="16">
        <f t="shared" si="1"/>
        <v>900</v>
      </c>
      <c r="I11" s="201" t="s">
        <v>247</v>
      </c>
      <c r="J11" s="199">
        <v>1.3888888888888888E-2</v>
      </c>
      <c r="K11" s="207" t="s">
        <v>247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 t="s">
        <v>230</v>
      </c>
      <c r="J12" s="199">
        <v>2.4305555555555556E-2</v>
      </c>
      <c r="K12" s="200" t="s">
        <v>251</v>
      </c>
    </row>
    <row r="13" spans="1:11" ht="18" x14ac:dyDescent="0.2">
      <c r="A13" s="202"/>
      <c r="B13" s="175"/>
      <c r="C13" s="192"/>
      <c r="D13" s="14"/>
      <c r="E13" s="193"/>
      <c r="F13" s="194"/>
      <c r="G13" s="15"/>
      <c r="H13" s="16"/>
      <c r="I13" s="209"/>
      <c r="J13" s="208"/>
      <c r="K13" s="207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07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74</v>
      </c>
      <c r="G22" s="47">
        <f>SUM(G9:G21)/F22</f>
        <v>1308.1621621621621</v>
      </c>
      <c r="H22" s="48">
        <f>SUM(H9:H21)/F22</f>
        <v>14.797297297297296</v>
      </c>
      <c r="I22" s="49" t="s">
        <v>22</v>
      </c>
      <c r="J22" s="174">
        <v>7.9861111111111105E-2</v>
      </c>
      <c r="K22" s="43"/>
    </row>
    <row r="23" spans="1:11" x14ac:dyDescent="0.15">
      <c r="E23" s="50"/>
      <c r="F23" s="51"/>
      <c r="I23" s="52" t="s">
        <v>23</v>
      </c>
      <c r="J23" s="53">
        <v>1.92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74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</f>
        <v>619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20.079999999999998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00000000-0002-0000-0700-000000000000}">
      <formula1>$I$41:$I$50</formula1>
    </dataValidation>
    <dataValidation type="list" allowBlank="1" showInputMessage="1" showErrorMessage="1" sqref="B20:B21" xr:uid="{00000000-0002-0000-0700-000001000000}">
      <formula1>$K$29:$K$40</formula1>
    </dataValidation>
    <dataValidation type="list" allowBlank="1" showInputMessage="1" showErrorMessage="1" sqref="B16:B19" xr:uid="{00000000-0002-0000-0700-000002000000}">
      <formula1>$K$29:$K$85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45817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238</v>
      </c>
      <c r="C9" s="176">
        <v>16</v>
      </c>
      <c r="D9" s="14">
        <v>2.85</v>
      </c>
      <c r="E9" s="179">
        <v>1404</v>
      </c>
      <c r="F9" s="177">
        <v>29.3</v>
      </c>
      <c r="G9" s="15">
        <f t="shared" ref="G9:G11" si="0">E9*F9</f>
        <v>41137.200000000004</v>
      </c>
      <c r="H9" s="16">
        <f t="shared" ref="H9:H11" si="1">F9*C9</f>
        <v>468.8</v>
      </c>
      <c r="I9" s="195" t="s">
        <v>20</v>
      </c>
      <c r="J9" s="196">
        <v>2.7777777777777776E-2</v>
      </c>
      <c r="K9" s="197" t="s">
        <v>234</v>
      </c>
    </row>
    <row r="10" spans="1:11" ht="17" x14ac:dyDescent="0.15">
      <c r="A10" s="17">
        <v>2</v>
      </c>
      <c r="B10" s="175" t="s">
        <v>250</v>
      </c>
      <c r="C10" s="176">
        <v>15</v>
      </c>
      <c r="D10" s="14">
        <v>2.85</v>
      </c>
      <c r="E10" s="179">
        <v>1377</v>
      </c>
      <c r="F10" s="177">
        <v>48.2</v>
      </c>
      <c r="G10" s="15">
        <f t="shared" si="0"/>
        <v>66371.400000000009</v>
      </c>
      <c r="H10" s="16">
        <f t="shared" si="1"/>
        <v>723</v>
      </c>
      <c r="I10" s="198" t="s">
        <v>44</v>
      </c>
      <c r="J10" s="199">
        <v>2.4305555555555556E-2</v>
      </c>
      <c r="K10" s="200" t="s">
        <v>44</v>
      </c>
    </row>
    <row r="11" spans="1:11" ht="17" x14ac:dyDescent="0.2">
      <c r="A11" s="178">
        <v>3</v>
      </c>
      <c r="B11" s="175" t="s">
        <v>250</v>
      </c>
      <c r="C11" s="176">
        <v>16</v>
      </c>
      <c r="D11" s="14">
        <v>2.85</v>
      </c>
      <c r="E11" s="179">
        <v>1377</v>
      </c>
      <c r="F11" s="191">
        <v>2.5</v>
      </c>
      <c r="G11" s="15">
        <f t="shared" si="0"/>
        <v>3442.5</v>
      </c>
      <c r="H11" s="16">
        <f t="shared" si="1"/>
        <v>40</v>
      </c>
      <c r="I11" s="201" t="s">
        <v>247</v>
      </c>
      <c r="J11" s="199">
        <v>6.9444444444444441E-3</v>
      </c>
      <c r="K11" s="207" t="s">
        <v>247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/>
      <c r="J12" s="199"/>
      <c r="K12" s="200"/>
    </row>
    <row r="13" spans="1:11" ht="18" x14ac:dyDescent="0.2">
      <c r="A13" s="202"/>
      <c r="B13" s="175"/>
      <c r="C13" s="192"/>
      <c r="D13" s="14"/>
      <c r="E13" s="193"/>
      <c r="F13" s="194"/>
      <c r="G13" s="15"/>
      <c r="H13" s="16"/>
      <c r="I13" s="209"/>
      <c r="J13" s="208"/>
      <c r="K13" s="207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07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80</v>
      </c>
      <c r="G22" s="47">
        <f>SUM(G9:G21)/F22</f>
        <v>1386.8887500000001</v>
      </c>
      <c r="H22" s="48">
        <f>SUM(H9:H21)/F22</f>
        <v>15.397499999999999</v>
      </c>
      <c r="I22" s="49" t="s">
        <v>22</v>
      </c>
      <c r="J22" s="174">
        <v>5.9027777777777776E-2</v>
      </c>
      <c r="K22" s="43"/>
    </row>
    <row r="23" spans="1:11" x14ac:dyDescent="0.15">
      <c r="E23" s="50"/>
      <c r="F23" s="51"/>
      <c r="I23" s="52" t="s">
        <v>23</v>
      </c>
      <c r="J23" s="53">
        <v>1.42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</f>
        <v>699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21.5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0000000-0002-0000-0800-000000000000}">
      <formula1>$K$29:$K$85</formula1>
    </dataValidation>
    <dataValidation type="list" allowBlank="1" showInputMessage="1" showErrorMessage="1" sqref="B20:B21" xr:uid="{00000000-0002-0000-0800-000001000000}">
      <formula1>$K$29:$K$40</formula1>
    </dataValidation>
    <dataValidation type="list" allowBlank="1" showInputMessage="1" showErrorMessage="1" sqref="I50 K15:K21" xr:uid="{00000000-0002-0000-0800-000002000000}">
      <formula1>$I$41:$I$50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45818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238</v>
      </c>
      <c r="C9" s="176">
        <v>16</v>
      </c>
      <c r="D9" s="14">
        <v>2.85</v>
      </c>
      <c r="E9" s="179">
        <v>1386</v>
      </c>
      <c r="F9" s="177">
        <v>13</v>
      </c>
      <c r="G9" s="15">
        <f t="shared" ref="G9:G14" si="0">E9*F9</f>
        <v>18018</v>
      </c>
      <c r="H9" s="16">
        <f t="shared" ref="H9:H14" si="1">F9*C9</f>
        <v>208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17">
        <v>2</v>
      </c>
      <c r="B10" s="175" t="s">
        <v>250</v>
      </c>
      <c r="C10" s="176">
        <v>16</v>
      </c>
      <c r="D10" s="14">
        <v>2.85</v>
      </c>
      <c r="E10" s="179">
        <v>1386</v>
      </c>
      <c r="F10" s="177">
        <v>12.5</v>
      </c>
      <c r="G10" s="15">
        <f t="shared" si="0"/>
        <v>17325</v>
      </c>
      <c r="H10" s="16">
        <f t="shared" si="1"/>
        <v>200</v>
      </c>
      <c r="I10" s="198" t="s">
        <v>44</v>
      </c>
      <c r="J10" s="199">
        <v>3.125E-2</v>
      </c>
      <c r="K10" s="200" t="s">
        <v>44</v>
      </c>
    </row>
    <row r="11" spans="1:11" ht="17" x14ac:dyDescent="0.2">
      <c r="A11" s="178">
        <v>3</v>
      </c>
      <c r="B11" s="175" t="s">
        <v>250</v>
      </c>
      <c r="C11" s="176">
        <v>17</v>
      </c>
      <c r="D11" s="14">
        <v>2.85</v>
      </c>
      <c r="E11" s="179">
        <v>1386</v>
      </c>
      <c r="F11" s="191">
        <v>46.6</v>
      </c>
      <c r="G11" s="15">
        <f t="shared" si="0"/>
        <v>64587.6</v>
      </c>
      <c r="H11" s="16">
        <f t="shared" si="1"/>
        <v>792.2</v>
      </c>
      <c r="I11" s="201" t="s">
        <v>247</v>
      </c>
      <c r="J11" s="199">
        <v>2.4305555555555556E-2</v>
      </c>
      <c r="K11" s="207" t="s">
        <v>247</v>
      </c>
    </row>
    <row r="12" spans="1:11" ht="19.25" customHeight="1" x14ac:dyDescent="0.15">
      <c r="A12" s="17">
        <v>4</v>
      </c>
      <c r="B12" s="175" t="s">
        <v>250</v>
      </c>
      <c r="C12" s="192">
        <v>18</v>
      </c>
      <c r="D12" s="14">
        <v>2.85</v>
      </c>
      <c r="E12" s="193">
        <v>1359</v>
      </c>
      <c r="F12" s="194">
        <v>5.3</v>
      </c>
      <c r="G12" s="15">
        <f t="shared" si="0"/>
        <v>7202.7</v>
      </c>
      <c r="H12" s="16">
        <f t="shared" si="1"/>
        <v>95.399999999999991</v>
      </c>
      <c r="I12" s="201"/>
      <c r="J12" s="199"/>
      <c r="K12" s="200"/>
    </row>
    <row r="13" spans="1:11" ht="17" x14ac:dyDescent="0.2">
      <c r="A13" s="202">
        <v>5</v>
      </c>
      <c r="B13" s="175" t="s">
        <v>250</v>
      </c>
      <c r="C13" s="192">
        <v>19</v>
      </c>
      <c r="D13" s="14">
        <v>2.85</v>
      </c>
      <c r="E13" s="193">
        <v>1359</v>
      </c>
      <c r="F13" s="194">
        <v>6.6</v>
      </c>
      <c r="G13" s="15">
        <f t="shared" si="0"/>
        <v>8969.4</v>
      </c>
      <c r="H13" s="16">
        <f t="shared" si="1"/>
        <v>125.39999999999999</v>
      </c>
      <c r="I13" s="201"/>
      <c r="J13" s="199"/>
      <c r="K13" s="207"/>
    </row>
    <row r="14" spans="1:11" ht="17" x14ac:dyDescent="0.2">
      <c r="A14" s="178">
        <v>6</v>
      </c>
      <c r="B14" s="175" t="s">
        <v>232</v>
      </c>
      <c r="C14" s="203">
        <v>19</v>
      </c>
      <c r="D14" s="14">
        <v>2.85</v>
      </c>
      <c r="E14" s="204">
        <v>1345</v>
      </c>
      <c r="F14" s="205">
        <v>2</v>
      </c>
      <c r="G14" s="15">
        <f t="shared" si="0"/>
        <v>2690</v>
      </c>
      <c r="H14" s="16">
        <f t="shared" si="1"/>
        <v>38</v>
      </c>
      <c r="I14" s="20"/>
      <c r="J14" s="207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85.999999999999986</v>
      </c>
      <c r="G22" s="47">
        <f>SUM(G9:G21)/F22</f>
        <v>1381.3104651162794</v>
      </c>
      <c r="H22" s="48">
        <f>SUM(H9:H21)/F22</f>
        <v>16.965116279069772</v>
      </c>
      <c r="I22" s="49" t="s">
        <v>22</v>
      </c>
      <c r="J22" s="174">
        <v>7.6388888888888895E-2</v>
      </c>
      <c r="K22" s="43"/>
    </row>
    <row r="23" spans="1:11" x14ac:dyDescent="0.15">
      <c r="E23" s="50"/>
      <c r="F23" s="51"/>
      <c r="I23" s="52" t="s">
        <v>23</v>
      </c>
      <c r="J23" s="53">
        <v>1.83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85.999999999999986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</f>
        <v>785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23.33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00000000-0002-0000-0900-000000000000}">
      <formula1>$I$41:$I$50</formula1>
    </dataValidation>
    <dataValidation type="list" allowBlank="1" showInputMessage="1" showErrorMessage="1" sqref="B20:B21" xr:uid="{00000000-0002-0000-0900-000001000000}">
      <formula1>$K$29:$K$40</formula1>
    </dataValidation>
    <dataValidation type="list" allowBlank="1" showInputMessage="1" showErrorMessage="1" sqref="B16:B19" xr:uid="{00000000-0002-0000-0900-000002000000}">
      <formula1>$K$29:$K$85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238</v>
      </c>
      <c r="C9" s="176">
        <v>17</v>
      </c>
      <c r="D9" s="14">
        <v>2.85</v>
      </c>
      <c r="E9" s="179">
        <v>1232</v>
      </c>
      <c r="F9" s="177">
        <v>3.5</v>
      </c>
      <c r="G9" s="15">
        <f t="shared" ref="G9:G10" si="0">E9*F9</f>
        <v>4312</v>
      </c>
      <c r="H9" s="16">
        <f t="shared" ref="H9:H10" si="1">F9*C9</f>
        <v>59.5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17">
        <v>2</v>
      </c>
      <c r="B10" s="175" t="s">
        <v>232</v>
      </c>
      <c r="C10" s="176">
        <v>19</v>
      </c>
      <c r="D10" s="14">
        <v>2.85</v>
      </c>
      <c r="E10" s="179">
        <v>1292</v>
      </c>
      <c r="F10" s="177">
        <v>92.5</v>
      </c>
      <c r="G10" s="15">
        <f t="shared" si="0"/>
        <v>119510</v>
      </c>
      <c r="H10" s="16">
        <f t="shared" si="1"/>
        <v>1757.5</v>
      </c>
      <c r="I10" s="198" t="s">
        <v>44</v>
      </c>
      <c r="J10" s="199">
        <v>6.9444444444444441E-3</v>
      </c>
      <c r="K10" s="200" t="s">
        <v>44</v>
      </c>
    </row>
    <row r="11" spans="1:11" ht="16" x14ac:dyDescent="0.2">
      <c r="A11" s="178"/>
      <c r="B11" s="175"/>
      <c r="C11" s="176"/>
      <c r="D11" s="14"/>
      <c r="E11" s="179"/>
      <c r="F11" s="191"/>
      <c r="G11" s="15"/>
      <c r="H11" s="16"/>
      <c r="I11" s="201"/>
      <c r="J11" s="199"/>
      <c r="K11" s="207"/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/>
      <c r="J12" s="199"/>
      <c r="K12" s="200"/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07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96</v>
      </c>
      <c r="G22" s="47">
        <f>SUM(G9:G21)/F22</f>
        <v>1289.8125</v>
      </c>
      <c r="H22" s="48">
        <f>SUM(H9:H21)/F22</f>
        <v>18.927083333333332</v>
      </c>
      <c r="I22" s="49" t="s">
        <v>22</v>
      </c>
      <c r="J22" s="174">
        <v>2.7777777777777776E-2</v>
      </c>
      <c r="K22" s="43"/>
    </row>
    <row r="23" spans="1:11" x14ac:dyDescent="0.15">
      <c r="E23" s="50"/>
      <c r="F23" s="51"/>
      <c r="I23" s="52" t="s">
        <v>23</v>
      </c>
      <c r="J23" s="53">
        <v>0.67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96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</f>
        <v>881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24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0000000-0002-0000-0A00-000000000000}">
      <formula1>$K$29:$K$85</formula1>
    </dataValidation>
    <dataValidation type="list" allowBlank="1" showInputMessage="1" showErrorMessage="1" sqref="B20:B21" xr:uid="{00000000-0002-0000-0A00-000001000000}">
      <formula1>$K$29:$K$40</formula1>
    </dataValidation>
    <dataValidation type="list" allowBlank="1" showInputMessage="1" showErrorMessage="1" sqref="I50 K15:K21" xr:uid="{00000000-0002-0000-0A00-000002000000}">
      <formula1>$I$41:$I$50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5"/>
  <sheetViews>
    <sheetView workbookViewId="0">
      <selection activeCell="D16" sqref="D1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238</v>
      </c>
      <c r="C9" s="176">
        <v>18</v>
      </c>
      <c r="D9" s="14">
        <v>2.85</v>
      </c>
      <c r="E9" s="179">
        <v>1346</v>
      </c>
      <c r="F9" s="177">
        <v>1.5</v>
      </c>
      <c r="G9" s="15">
        <f t="shared" ref="G9:G11" si="0">E9*F9</f>
        <v>2019</v>
      </c>
      <c r="H9" s="16">
        <f t="shared" ref="H9:H11" si="1">F9*C9</f>
        <v>27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17">
        <v>2</v>
      </c>
      <c r="B10" s="175" t="s">
        <v>232</v>
      </c>
      <c r="C10" s="176">
        <v>19</v>
      </c>
      <c r="D10" s="14">
        <v>2.85</v>
      </c>
      <c r="E10" s="179">
        <v>1346</v>
      </c>
      <c r="F10" s="177">
        <v>23.5</v>
      </c>
      <c r="G10" s="15">
        <f t="shared" si="0"/>
        <v>31631</v>
      </c>
      <c r="H10" s="16">
        <f t="shared" si="1"/>
        <v>446.5</v>
      </c>
      <c r="I10" s="198" t="s">
        <v>241</v>
      </c>
      <c r="J10" s="199">
        <v>5.5555555555555552E-2</v>
      </c>
      <c r="K10" s="200" t="s">
        <v>253</v>
      </c>
    </row>
    <row r="11" spans="1:11" ht="17" x14ac:dyDescent="0.2">
      <c r="A11" s="178">
        <v>3</v>
      </c>
      <c r="B11" s="175" t="s">
        <v>248</v>
      </c>
      <c r="C11" s="176">
        <v>12.5</v>
      </c>
      <c r="D11" s="14">
        <v>2.85</v>
      </c>
      <c r="E11" s="179">
        <v>1333</v>
      </c>
      <c r="F11" s="191">
        <v>39</v>
      </c>
      <c r="G11" s="15">
        <f t="shared" si="0"/>
        <v>51987</v>
      </c>
      <c r="H11" s="16">
        <f t="shared" si="1"/>
        <v>487.5</v>
      </c>
      <c r="I11" s="201" t="s">
        <v>254</v>
      </c>
      <c r="J11" s="199">
        <v>2.0833333333333332E-2</v>
      </c>
      <c r="K11" s="207" t="s">
        <v>255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 t="s">
        <v>256</v>
      </c>
      <c r="J12" s="199">
        <v>6.25E-2</v>
      </c>
      <c r="K12" s="200" t="s">
        <v>257</v>
      </c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 t="s">
        <v>247</v>
      </c>
      <c r="J13" s="199">
        <v>6.9444444444444441E-3</v>
      </c>
      <c r="K13" s="207" t="s">
        <v>247</v>
      </c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07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64</v>
      </c>
      <c r="G22" s="47">
        <f>SUM(G9:G21)/F22</f>
        <v>1338.078125</v>
      </c>
      <c r="H22" s="48">
        <f>SUM(H9:H21)/F22</f>
        <v>15.015625</v>
      </c>
      <c r="I22" s="49" t="s">
        <v>22</v>
      </c>
      <c r="J22" s="174">
        <v>0.16666666666666666</v>
      </c>
      <c r="K22" s="43"/>
    </row>
    <row r="23" spans="1:11" x14ac:dyDescent="0.15">
      <c r="E23" s="50"/>
      <c r="F23" s="51"/>
      <c r="I23" s="52" t="s">
        <v>23</v>
      </c>
      <c r="J23" s="53">
        <v>4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64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</f>
        <v>945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28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00000000-0002-0000-0B00-000000000000}">
      <formula1>$I$41:$I$50</formula1>
    </dataValidation>
    <dataValidation type="list" allowBlank="1" showInputMessage="1" showErrorMessage="1" sqref="B20:B21" xr:uid="{00000000-0002-0000-0B00-000001000000}">
      <formula1>$K$29:$K$40</formula1>
    </dataValidation>
    <dataValidation type="list" allowBlank="1" showInputMessage="1" showErrorMessage="1" sqref="B16:B19" xr:uid="{00000000-0002-0000-0B00-000002000000}">
      <formula1>$K$29:$K$85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248</v>
      </c>
      <c r="C9" s="176">
        <v>12.5</v>
      </c>
      <c r="D9" s="14">
        <v>2.85</v>
      </c>
      <c r="E9" s="179">
        <v>1417</v>
      </c>
      <c r="F9" s="177">
        <v>48</v>
      </c>
      <c r="G9" s="15">
        <f t="shared" ref="G9" si="0">E9*F9</f>
        <v>68016</v>
      </c>
      <c r="H9" s="16">
        <f t="shared" ref="H9" si="1">F9*C9</f>
        <v>600</v>
      </c>
      <c r="I9" s="195" t="s">
        <v>20</v>
      </c>
      <c r="J9" s="196">
        <v>2.7777777777777776E-2</v>
      </c>
      <c r="K9" s="197" t="s">
        <v>234</v>
      </c>
    </row>
    <row r="10" spans="1:11" ht="16" x14ac:dyDescent="0.15">
      <c r="A10" s="17"/>
      <c r="B10" s="175"/>
      <c r="C10" s="176"/>
      <c r="D10" s="14"/>
      <c r="E10" s="179"/>
      <c r="F10" s="177"/>
      <c r="G10" s="15"/>
      <c r="H10" s="16"/>
      <c r="I10" s="198" t="s">
        <v>256</v>
      </c>
      <c r="J10" s="199">
        <v>0.26041666666666669</v>
      </c>
      <c r="K10" s="200" t="s">
        <v>258</v>
      </c>
    </row>
    <row r="11" spans="1:11" ht="16" x14ac:dyDescent="0.2">
      <c r="A11" s="178"/>
      <c r="B11" s="175"/>
      <c r="C11" s="176"/>
      <c r="D11" s="14"/>
      <c r="E11" s="179"/>
      <c r="F11" s="191"/>
      <c r="G11" s="15"/>
      <c r="H11" s="16"/>
      <c r="I11" s="201" t="s">
        <v>254</v>
      </c>
      <c r="J11" s="199">
        <v>1.3888888888888888E-2</v>
      </c>
      <c r="K11" s="207" t="s">
        <v>259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 t="s">
        <v>247</v>
      </c>
      <c r="J12" s="199">
        <v>2.0833333333333332E-2</v>
      </c>
      <c r="K12" s="200" t="s">
        <v>247</v>
      </c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 t="s">
        <v>260</v>
      </c>
      <c r="J13" s="199">
        <v>2.0833333333333332E-2</v>
      </c>
      <c r="K13" s="207" t="s">
        <v>261</v>
      </c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07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48</v>
      </c>
      <c r="G22" s="47">
        <f>SUM(G9:G21)/F22</f>
        <v>1417</v>
      </c>
      <c r="H22" s="48">
        <f>SUM(H9:H21)/F22</f>
        <v>12.5</v>
      </c>
      <c r="I22" s="49" t="s">
        <v>22</v>
      </c>
      <c r="J22" s="174">
        <v>0.34375</v>
      </c>
      <c r="K22" s="43"/>
    </row>
    <row r="23" spans="1:11" x14ac:dyDescent="0.15">
      <c r="E23" s="50"/>
      <c r="F23" s="51"/>
      <c r="I23" s="52" t="s">
        <v>23</v>
      </c>
      <c r="J23" s="53">
        <v>8.25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48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</f>
        <v>993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36.25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0000000-0002-0000-0C00-000000000000}">
      <formula1>$K$29:$K$85</formula1>
    </dataValidation>
    <dataValidation type="list" allowBlank="1" showInputMessage="1" showErrorMessage="1" sqref="B20:B21" xr:uid="{00000000-0002-0000-0C00-000001000000}">
      <formula1>$K$29:$K$40</formula1>
    </dataValidation>
    <dataValidation type="list" allowBlank="1" showInputMessage="1" showErrorMessage="1" sqref="I50 K15:K21" xr:uid="{00000000-0002-0000-0C00-000002000000}">
      <formula1>$I$41:$I$50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9C60-DD96-44C3-AB7E-0F6759DF9E9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248</v>
      </c>
      <c r="C9" s="176">
        <v>12.5</v>
      </c>
      <c r="D9" s="14">
        <v>2.85</v>
      </c>
      <c r="E9" s="179">
        <v>1476</v>
      </c>
      <c r="F9" s="177">
        <v>31</v>
      </c>
      <c r="G9" s="15">
        <f t="shared" ref="G9:G11" si="0">E9*F9</f>
        <v>45756</v>
      </c>
      <c r="H9" s="16">
        <f t="shared" ref="H9:H11" si="1">F9*C9</f>
        <v>387.5</v>
      </c>
      <c r="I9" s="195" t="s">
        <v>20</v>
      </c>
      <c r="J9" s="196">
        <v>2.7777777777777776E-2</v>
      </c>
      <c r="K9" s="197" t="s">
        <v>234</v>
      </c>
    </row>
    <row r="10" spans="1:11" ht="17" x14ac:dyDescent="0.15">
      <c r="A10" s="17">
        <v>2</v>
      </c>
      <c r="B10" s="175" t="s">
        <v>248</v>
      </c>
      <c r="C10" s="176">
        <v>13.5</v>
      </c>
      <c r="D10" s="14">
        <v>2.85</v>
      </c>
      <c r="E10" s="179">
        <v>1458</v>
      </c>
      <c r="F10" s="177">
        <v>12</v>
      </c>
      <c r="G10" s="15">
        <f t="shared" si="0"/>
        <v>17496</v>
      </c>
      <c r="H10" s="16">
        <f t="shared" si="1"/>
        <v>162</v>
      </c>
      <c r="I10" s="198" t="s">
        <v>256</v>
      </c>
      <c r="J10" s="199">
        <v>8.3333333333333329E-2</v>
      </c>
      <c r="K10" s="200" t="s">
        <v>258</v>
      </c>
    </row>
    <row r="11" spans="1:11" ht="17" x14ac:dyDescent="0.2">
      <c r="A11" s="178">
        <v>3</v>
      </c>
      <c r="B11" s="175" t="s">
        <v>248</v>
      </c>
      <c r="C11" s="176">
        <v>14</v>
      </c>
      <c r="D11" s="14">
        <v>2.85</v>
      </c>
      <c r="E11" s="179">
        <v>1303</v>
      </c>
      <c r="F11" s="191">
        <v>20</v>
      </c>
      <c r="G11" s="15">
        <f t="shared" si="0"/>
        <v>26060</v>
      </c>
      <c r="H11" s="16">
        <f t="shared" si="1"/>
        <v>280</v>
      </c>
      <c r="I11" s="201" t="s">
        <v>260</v>
      </c>
      <c r="J11" s="199">
        <v>2.7777777777777776E-2</v>
      </c>
      <c r="K11" s="207" t="s">
        <v>262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 t="s">
        <v>44</v>
      </c>
      <c r="J12" s="199">
        <v>2.0833333333333332E-2</v>
      </c>
      <c r="K12" s="200" t="s">
        <v>44</v>
      </c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 t="s">
        <v>230</v>
      </c>
      <c r="J13" s="199">
        <v>2.0833333333333332E-2</v>
      </c>
      <c r="K13" s="207" t="s">
        <v>235</v>
      </c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 t="s">
        <v>247</v>
      </c>
      <c r="J14" s="213">
        <v>6.9444444444444441E-3</v>
      </c>
      <c r="K14" s="207" t="s">
        <v>263</v>
      </c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63</v>
      </c>
      <c r="G22" s="47">
        <f>SUM(G9:G21)/F22</f>
        <v>1417.6507936507937</v>
      </c>
      <c r="H22" s="48">
        <f>SUM(H9:H21)/F22</f>
        <v>13.166666666666666</v>
      </c>
      <c r="I22" s="49" t="s">
        <v>22</v>
      </c>
      <c r="J22" s="174">
        <v>0.1875</v>
      </c>
      <c r="K22" s="43"/>
    </row>
    <row r="23" spans="1:11" x14ac:dyDescent="0.15">
      <c r="E23" s="50"/>
      <c r="F23" s="51"/>
      <c r="I23" s="52" t="s">
        <v>23</v>
      </c>
      <c r="J23" s="53">
        <v>4.5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63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</f>
        <v>1056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40.75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9C9E7B82-12DF-4ADF-A7F9-D017DC00D669}">
      <formula1>$I$41:$I$50</formula1>
    </dataValidation>
    <dataValidation type="list" allowBlank="1" showInputMessage="1" showErrorMessage="1" sqref="B20:B21" xr:uid="{EFA482B4-C48D-49BD-A724-66610A716BB7}">
      <formula1>$K$29:$K$40</formula1>
    </dataValidation>
    <dataValidation type="list" allowBlank="1" showInputMessage="1" showErrorMessage="1" sqref="B16:B19" xr:uid="{2D0A049F-7E77-47DE-9515-02C8B75773E4}">
      <formula1>$K$29:$K$85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C3CF-2C67-46DE-8F87-38C930C91B8E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78">
        <v>1</v>
      </c>
      <c r="B9" s="175" t="s">
        <v>248</v>
      </c>
      <c r="C9" s="176">
        <v>12.5</v>
      </c>
      <c r="D9" s="14">
        <v>2.85</v>
      </c>
      <c r="E9" s="179">
        <v>1418</v>
      </c>
      <c r="F9" s="177">
        <v>8.1</v>
      </c>
      <c r="G9" s="15">
        <f t="shared" ref="G9:G13" si="0">E9*F9</f>
        <v>11485.8</v>
      </c>
      <c r="H9" s="16">
        <f t="shared" ref="H9:H13" si="1">F9*C9</f>
        <v>101.25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17">
        <v>2</v>
      </c>
      <c r="B10" s="175" t="s">
        <v>248</v>
      </c>
      <c r="C10" s="176">
        <v>14</v>
      </c>
      <c r="D10" s="14">
        <v>2.85</v>
      </c>
      <c r="E10" s="179">
        <v>1336</v>
      </c>
      <c r="F10" s="177">
        <v>10.3</v>
      </c>
      <c r="G10" s="15">
        <f t="shared" si="0"/>
        <v>13760.800000000001</v>
      </c>
      <c r="H10" s="16">
        <f t="shared" si="1"/>
        <v>144.20000000000002</v>
      </c>
      <c r="I10" s="198" t="s">
        <v>256</v>
      </c>
      <c r="J10" s="199">
        <v>8.3333333333333329E-2</v>
      </c>
      <c r="K10" s="200" t="s">
        <v>258</v>
      </c>
    </row>
    <row r="11" spans="1:11" ht="17" x14ac:dyDescent="0.2">
      <c r="A11" s="178">
        <v>3</v>
      </c>
      <c r="B11" s="175" t="s">
        <v>250</v>
      </c>
      <c r="C11" s="176">
        <v>14</v>
      </c>
      <c r="D11" s="14">
        <v>2.85</v>
      </c>
      <c r="E11" s="179">
        <v>1360</v>
      </c>
      <c r="F11" s="191">
        <v>17.8</v>
      </c>
      <c r="G11" s="15">
        <f t="shared" si="0"/>
        <v>24208</v>
      </c>
      <c r="H11" s="16">
        <f t="shared" si="1"/>
        <v>249.20000000000002</v>
      </c>
      <c r="I11" s="201" t="s">
        <v>44</v>
      </c>
      <c r="J11" s="199">
        <v>2.7777777777777776E-2</v>
      </c>
      <c r="K11" s="207" t="s">
        <v>44</v>
      </c>
    </row>
    <row r="12" spans="1:11" ht="19.25" customHeight="1" x14ac:dyDescent="0.15">
      <c r="A12" s="17">
        <v>4</v>
      </c>
      <c r="B12" s="175" t="s">
        <v>250</v>
      </c>
      <c r="C12" s="192">
        <v>15</v>
      </c>
      <c r="D12" s="14">
        <v>2.85</v>
      </c>
      <c r="E12" s="193">
        <v>1417</v>
      </c>
      <c r="F12" s="194">
        <v>28.1</v>
      </c>
      <c r="G12" s="15">
        <f t="shared" si="0"/>
        <v>39817.700000000004</v>
      </c>
      <c r="H12" s="16">
        <f t="shared" si="1"/>
        <v>421.5</v>
      </c>
      <c r="I12" s="201" t="s">
        <v>260</v>
      </c>
      <c r="J12" s="199">
        <v>2.0833333333333332E-2</v>
      </c>
      <c r="K12" s="200" t="s">
        <v>264</v>
      </c>
    </row>
    <row r="13" spans="1:11" ht="17" x14ac:dyDescent="0.2">
      <c r="A13" s="202">
        <v>5</v>
      </c>
      <c r="B13" s="175" t="s">
        <v>238</v>
      </c>
      <c r="C13" s="192">
        <v>15</v>
      </c>
      <c r="D13" s="14">
        <v>2.85</v>
      </c>
      <c r="E13" s="193">
        <v>1440</v>
      </c>
      <c r="F13" s="194">
        <v>4.7</v>
      </c>
      <c r="G13" s="15">
        <f t="shared" si="0"/>
        <v>6768</v>
      </c>
      <c r="H13" s="16">
        <f t="shared" si="1"/>
        <v>70.5</v>
      </c>
      <c r="I13" s="201"/>
      <c r="J13" s="199"/>
      <c r="K13" s="207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69.000000000000014</v>
      </c>
      <c r="G22" s="47">
        <f>SUM(G9:G21)/F22</f>
        <v>1391.8884057971013</v>
      </c>
      <c r="H22" s="48">
        <f>SUM(H9:H21)/F22</f>
        <v>14.29927536231884</v>
      </c>
      <c r="I22" s="49" t="s">
        <v>22</v>
      </c>
      <c r="J22" s="174">
        <v>0.15277777777777779</v>
      </c>
      <c r="K22" s="43"/>
    </row>
    <row r="23" spans="1:11" x14ac:dyDescent="0.15">
      <c r="E23" s="50"/>
      <c r="F23" s="51"/>
      <c r="I23" s="52" t="s">
        <v>23</v>
      </c>
      <c r="J23" s="53">
        <v>3.67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69.000000000000014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</f>
        <v>1125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44.42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93FE5A0C-9A47-4118-8980-D772A01CC6FA}">
      <formula1>$K$29:$K$85</formula1>
    </dataValidation>
    <dataValidation type="list" allowBlank="1" showInputMessage="1" showErrorMessage="1" sqref="B20:B21" xr:uid="{9831A5D9-95A2-4404-9F17-F13C197C643A}">
      <formula1>$K$29:$K$40</formula1>
    </dataValidation>
    <dataValidation type="list" allowBlank="1" showInputMessage="1" showErrorMessage="1" sqref="I50 K15:K21" xr:uid="{31352389-8C29-4874-8AAB-D94D691B8DF8}">
      <formula1>$I$41:$I$50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3D17-3A0A-4B96-A213-7066B8089A41}">
  <dimension ref="A1:K85"/>
  <sheetViews>
    <sheetView workbookViewId="0">
      <selection activeCell="H19" sqref="H19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8" x14ac:dyDescent="0.15">
      <c r="A9" s="178"/>
      <c r="B9" s="175"/>
      <c r="C9" s="176"/>
      <c r="D9" s="14"/>
      <c r="E9" s="179"/>
      <c r="F9" s="177"/>
      <c r="G9" s="15"/>
      <c r="H9" s="16"/>
      <c r="I9" s="214" t="s">
        <v>265</v>
      </c>
      <c r="J9" s="215" t="s">
        <v>266</v>
      </c>
      <c r="K9" s="216" t="s">
        <v>267</v>
      </c>
    </row>
    <row r="10" spans="1:11" ht="16" x14ac:dyDescent="0.15">
      <c r="A10" s="17"/>
      <c r="B10" s="175"/>
      <c r="C10" s="176"/>
      <c r="D10" s="14"/>
      <c r="E10" s="179"/>
      <c r="F10" s="177"/>
      <c r="G10" s="15"/>
      <c r="H10" s="16"/>
      <c r="I10" s="198"/>
      <c r="J10" s="199"/>
      <c r="K10" s="200"/>
    </row>
    <row r="11" spans="1:11" ht="16" x14ac:dyDescent="0.2">
      <c r="A11" s="178"/>
      <c r="B11" s="175"/>
      <c r="C11" s="176"/>
      <c r="D11" s="14"/>
      <c r="E11" s="179"/>
      <c r="F11" s="191"/>
      <c r="G11" s="15"/>
      <c r="H11" s="16"/>
      <c r="I11" s="201"/>
      <c r="J11" s="199"/>
      <c r="K11" s="207"/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201"/>
      <c r="J12" s="199"/>
      <c r="K12" s="200"/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7" x14ac:dyDescent="0.2">
      <c r="A15" s="17"/>
      <c r="B15" s="175"/>
      <c r="C15" s="23"/>
      <c r="D15" s="14"/>
      <c r="E15" s="22" t="s">
        <v>268</v>
      </c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0</v>
      </c>
      <c r="G22" s="47" t="e">
        <f>SUM(G9:G21)/F22</f>
        <v>#DIV/0!</v>
      </c>
      <c r="H22" s="48" t="e">
        <f>SUM(H9:H21)/F22</f>
        <v>#DIV/0!</v>
      </c>
      <c r="I22" s="49" t="s">
        <v>22</v>
      </c>
      <c r="J22" s="174" t="s">
        <v>266</v>
      </c>
      <c r="K22" s="43"/>
    </row>
    <row r="23" spans="1:11" x14ac:dyDescent="0.15">
      <c r="E23" s="50"/>
      <c r="F23" s="51"/>
      <c r="I23" s="52" t="s">
        <v>23</v>
      </c>
      <c r="J23" s="53">
        <v>24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94+97+82+78+67+71+56+74+80+86+96+64+48+63+69+0</f>
        <v>1125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68.42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D8E453E1-F8B2-49E2-83CF-E1AFBFEF0BD8}">
      <formula1>$I$41:$I$50</formula1>
    </dataValidation>
    <dataValidation type="list" allowBlank="1" showInputMessage="1" showErrorMessage="1" sqref="B20:B21" xr:uid="{ACD4F5AC-1865-4668-BA81-5BA82467CE2F}">
      <formula1>$K$29:$K$40</formula1>
    </dataValidation>
    <dataValidation type="list" allowBlank="1" showInputMessage="1" showErrorMessage="1" sqref="B16:B19" xr:uid="{9CACA2B6-D972-46B6-9658-79B6E9FEEB77}">
      <formula1>$K$29:$K$85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A0AC-C7C7-42AD-A8DA-8DA0BAF9A664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250</v>
      </c>
      <c r="C9" s="176">
        <v>17</v>
      </c>
      <c r="D9" s="14">
        <v>2.85</v>
      </c>
      <c r="E9" s="179">
        <v>1016</v>
      </c>
      <c r="F9" s="177">
        <v>57</v>
      </c>
      <c r="G9" s="15">
        <f t="shared" ref="G9:G10" si="0">E9*F9</f>
        <v>57912</v>
      </c>
      <c r="H9" s="16">
        <f t="shared" ref="H9:H10" si="1">F9*C9</f>
        <v>969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219">
        <v>2</v>
      </c>
      <c r="B10" s="218" t="s">
        <v>250</v>
      </c>
      <c r="C10" s="176">
        <v>16</v>
      </c>
      <c r="D10" s="14">
        <v>2.85</v>
      </c>
      <c r="E10" s="179">
        <v>1016</v>
      </c>
      <c r="F10" s="177">
        <v>1</v>
      </c>
      <c r="G10" s="15">
        <f t="shared" si="0"/>
        <v>1016</v>
      </c>
      <c r="H10" s="16">
        <f t="shared" si="1"/>
        <v>16</v>
      </c>
      <c r="I10" s="198" t="s">
        <v>256</v>
      </c>
      <c r="J10" s="220">
        <v>4.1666666666666664E-2</v>
      </c>
      <c r="K10" s="221" t="s">
        <v>257</v>
      </c>
    </row>
    <row r="11" spans="1:11" ht="16" x14ac:dyDescent="0.15">
      <c r="A11" s="178"/>
      <c r="B11" s="175"/>
      <c r="C11" s="176"/>
      <c r="D11" s="14"/>
      <c r="E11" s="179"/>
      <c r="F11" s="191"/>
      <c r="G11" s="15"/>
      <c r="H11" s="16"/>
      <c r="I11" s="198" t="s">
        <v>44</v>
      </c>
      <c r="J11" s="220">
        <v>6.9444444444444441E-3</v>
      </c>
      <c r="K11" s="222" t="s">
        <v>44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198" t="s">
        <v>265</v>
      </c>
      <c r="J12" s="220">
        <v>9.375E-2</v>
      </c>
      <c r="K12" s="221" t="s">
        <v>269</v>
      </c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58</v>
      </c>
      <c r="G22" s="47">
        <f>SUM(G9:G21)/F22</f>
        <v>1016</v>
      </c>
      <c r="H22" s="48">
        <f>SUM(H9:H21)/F22</f>
        <v>16.982758620689655</v>
      </c>
      <c r="I22" s="49" t="s">
        <v>22</v>
      </c>
      <c r="J22" s="174">
        <v>0.16319444444444445</v>
      </c>
      <c r="K22" s="43"/>
    </row>
    <row r="23" spans="1:11" x14ac:dyDescent="0.15">
      <c r="E23" s="50"/>
      <c r="F23" s="51"/>
      <c r="I23" s="52" t="s">
        <v>23</v>
      </c>
      <c r="J23" s="53">
        <v>3.92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58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</f>
        <v>1183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72.33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E4DE3353-F7BF-4C6F-8015-C522E5B645E3}">
      <formula1>$I$41:$I$50</formula1>
    </dataValidation>
    <dataValidation type="list" allowBlank="1" showInputMessage="1" showErrorMessage="1" sqref="B20:B21" xr:uid="{298EE5E3-2DB9-46AA-B256-C81B037999B0}">
      <formula1>$K$29:$K$40</formula1>
    </dataValidation>
    <dataValidation type="list" allowBlank="1" showInputMessage="1" showErrorMessage="1" sqref="B16:B19" xr:uid="{CD4ABAFC-2BBF-448F-A6F6-37343735C5A5}">
      <formula1>$K$29:$K$85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6359-32D5-4066-B981-D92094ACB18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250</v>
      </c>
      <c r="C9" s="176">
        <v>15</v>
      </c>
      <c r="D9" s="14">
        <v>2.85</v>
      </c>
      <c r="E9" s="179">
        <v>1393</v>
      </c>
      <c r="F9" s="177">
        <v>52.8</v>
      </c>
      <c r="G9" s="15">
        <f t="shared" ref="G9:G10" si="0">E9*F9</f>
        <v>73550.399999999994</v>
      </c>
      <c r="H9" s="16">
        <f t="shared" ref="H9:H10" si="1">F9*C9</f>
        <v>792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219">
        <v>2</v>
      </c>
      <c r="B10" s="218" t="s">
        <v>250</v>
      </c>
      <c r="C10" s="176">
        <v>16</v>
      </c>
      <c r="D10" s="14">
        <v>2.85</v>
      </c>
      <c r="E10" s="179">
        <v>1353</v>
      </c>
      <c r="F10" s="177">
        <v>25.2</v>
      </c>
      <c r="G10" s="15">
        <f t="shared" si="0"/>
        <v>34095.599999999999</v>
      </c>
      <c r="H10" s="16">
        <f t="shared" si="1"/>
        <v>403.2</v>
      </c>
      <c r="I10" s="198" t="s">
        <v>44</v>
      </c>
      <c r="J10" s="220">
        <v>6.9444444444444441E-3</v>
      </c>
      <c r="K10" s="222" t="s">
        <v>44</v>
      </c>
    </row>
    <row r="11" spans="1:11" ht="16" x14ac:dyDescent="0.15">
      <c r="A11" s="178"/>
      <c r="B11" s="175"/>
      <c r="C11" s="176"/>
      <c r="D11" s="14"/>
      <c r="E11" s="179"/>
      <c r="F11" s="191"/>
      <c r="G11" s="15"/>
      <c r="H11" s="16"/>
      <c r="I11" s="198" t="s">
        <v>230</v>
      </c>
      <c r="J11" s="220">
        <v>2.4305555555555556E-2</v>
      </c>
      <c r="K11" s="222" t="s">
        <v>235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198" t="s">
        <v>247</v>
      </c>
      <c r="J12" s="220">
        <v>1.3888888888888888E-2</v>
      </c>
      <c r="K12" s="221" t="s">
        <v>247</v>
      </c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78</v>
      </c>
      <c r="G22" s="47">
        <f>SUM(G9:G21)/F22</f>
        <v>1380.0769230769231</v>
      </c>
      <c r="H22" s="48">
        <f>SUM(H9:H21)/F22</f>
        <v>15.323076923076924</v>
      </c>
      <c r="I22" s="49" t="s">
        <v>22</v>
      </c>
      <c r="J22" s="174">
        <v>6.5972222222222224E-2</v>
      </c>
      <c r="K22" s="43"/>
    </row>
    <row r="23" spans="1:11" x14ac:dyDescent="0.15">
      <c r="E23" s="50"/>
      <c r="F23" s="51"/>
      <c r="I23" s="52" t="s">
        <v>23</v>
      </c>
      <c r="J23" s="53">
        <v>1.58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78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</f>
        <v>1261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73.92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D4000473-4BCB-4EFF-A0E4-0435E62998FD}">
      <formula1>$K$29:$K$85</formula1>
    </dataValidation>
    <dataValidation type="list" allowBlank="1" showInputMessage="1" showErrorMessage="1" sqref="B20:B21" xr:uid="{22646409-8E08-4CE4-9C6F-5609C21AA256}">
      <formula1>$K$29:$K$40</formula1>
    </dataValidation>
    <dataValidation type="list" allowBlank="1" showInputMessage="1" showErrorMessage="1" sqref="I50 K15:K21" xr:uid="{FA5085E9-DF76-4F19-A216-59F16CBE2101}">
      <formula1>$I$41:$I$50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E885-2299-47CB-9C90-E4513B656167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250</v>
      </c>
      <c r="C9" s="176">
        <v>15</v>
      </c>
      <c r="D9" s="14">
        <v>2.85</v>
      </c>
      <c r="E9" s="179">
        <v>1330</v>
      </c>
      <c r="F9" s="177">
        <v>75</v>
      </c>
      <c r="G9" s="15">
        <f t="shared" ref="G9" si="0">E9*F9</f>
        <v>99750</v>
      </c>
      <c r="H9" s="16">
        <f t="shared" ref="H9" si="1">F9*C9</f>
        <v>1125</v>
      </c>
      <c r="I9" s="195" t="s">
        <v>20</v>
      </c>
      <c r="J9" s="196">
        <v>2.0833333333333332E-2</v>
      </c>
      <c r="K9" s="197" t="s">
        <v>234</v>
      </c>
    </row>
    <row r="10" spans="1:11" ht="16" x14ac:dyDescent="0.15">
      <c r="A10" s="219"/>
      <c r="B10" s="218"/>
      <c r="C10" s="176"/>
      <c r="D10" s="14"/>
      <c r="E10" s="179"/>
      <c r="F10" s="177"/>
      <c r="G10" s="15"/>
      <c r="H10" s="16"/>
      <c r="I10" s="198" t="s">
        <v>230</v>
      </c>
      <c r="J10" s="220">
        <v>2.7777777777777776E-2</v>
      </c>
      <c r="K10" s="222" t="s">
        <v>270</v>
      </c>
    </row>
    <row r="11" spans="1:11" ht="16" x14ac:dyDescent="0.15">
      <c r="A11" s="178"/>
      <c r="B11" s="175"/>
      <c r="C11" s="176"/>
      <c r="D11" s="14"/>
      <c r="E11" s="179"/>
      <c r="F11" s="191"/>
      <c r="G11" s="15"/>
      <c r="H11" s="16"/>
      <c r="I11" s="198" t="s">
        <v>239</v>
      </c>
      <c r="J11" s="220">
        <v>2.0833333333333332E-2</v>
      </c>
      <c r="K11" s="222" t="s">
        <v>271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198" t="s">
        <v>247</v>
      </c>
      <c r="J12" s="220">
        <v>1.7361111111111112E-2</v>
      </c>
      <c r="K12" s="221" t="s">
        <v>247</v>
      </c>
    </row>
    <row r="13" spans="1:11" ht="16" x14ac:dyDescent="0.2">
      <c r="A13" s="202"/>
      <c r="B13" s="175"/>
      <c r="C13" s="192"/>
      <c r="D13" s="14"/>
      <c r="E13" s="193"/>
      <c r="F13" s="194"/>
      <c r="G13" s="15"/>
      <c r="H13" s="16"/>
      <c r="I13" s="201"/>
      <c r="J13" s="199"/>
      <c r="K13" s="207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75</v>
      </c>
      <c r="G22" s="47">
        <f>SUM(G9:G21)/F22</f>
        <v>1330</v>
      </c>
      <c r="H22" s="48">
        <f>SUM(H9:H21)/F22</f>
        <v>15</v>
      </c>
      <c r="I22" s="49" t="s">
        <v>22</v>
      </c>
      <c r="J22" s="174">
        <v>8.6805555555555552E-2</v>
      </c>
      <c r="K22" s="43"/>
    </row>
    <row r="23" spans="1:11" x14ac:dyDescent="0.15">
      <c r="E23" s="50"/>
      <c r="F23" s="51"/>
      <c r="I23" s="52" t="s">
        <v>23</v>
      </c>
      <c r="J23" s="53">
        <v>2.08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75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</f>
        <v>1336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76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2765949C-ED27-4B31-9687-82DDBA4D4BC8}">
      <formula1>$I$41:$I$50</formula1>
    </dataValidation>
    <dataValidation type="list" allowBlank="1" showInputMessage="1" showErrorMessage="1" sqref="B20:B21" xr:uid="{956667CB-4DF0-40E4-9207-A8A3FBBB4EE1}">
      <formula1>$K$29:$K$40</formula1>
    </dataValidation>
    <dataValidation type="list" allowBlank="1" showInputMessage="1" showErrorMessage="1" sqref="B16:B19" xr:uid="{D3A77F2C-7393-4BF5-8D81-2C1C22616B22}">
      <formula1>$K$29:$K$85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EB89-9C94-487C-9C35-967343EAAD54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250</v>
      </c>
      <c r="C9" s="176">
        <v>15</v>
      </c>
      <c r="D9" s="14">
        <v>2.85</v>
      </c>
      <c r="E9" s="179">
        <v>1368</v>
      </c>
      <c r="F9" s="177">
        <v>67.5</v>
      </c>
      <c r="G9" s="15">
        <f t="shared" ref="G9:G10" si="0">E9*F9</f>
        <v>92340</v>
      </c>
      <c r="H9" s="16">
        <f t="shared" ref="H9:H10" si="1">F9*C9</f>
        <v>1012.5</v>
      </c>
      <c r="I9" s="195" t="s">
        <v>20</v>
      </c>
      <c r="J9" s="196">
        <v>1.3888888888888888E-2</v>
      </c>
      <c r="K9" s="197" t="s">
        <v>234</v>
      </c>
    </row>
    <row r="10" spans="1:11" ht="17" x14ac:dyDescent="0.15">
      <c r="A10" s="219">
        <v>2</v>
      </c>
      <c r="B10" s="218" t="s">
        <v>250</v>
      </c>
      <c r="C10" s="176">
        <v>14</v>
      </c>
      <c r="D10" s="14">
        <v>2.85</v>
      </c>
      <c r="E10" s="179">
        <v>1368</v>
      </c>
      <c r="F10" s="177">
        <v>8.5</v>
      </c>
      <c r="G10" s="15">
        <f t="shared" si="0"/>
        <v>11628</v>
      </c>
      <c r="H10" s="16">
        <f t="shared" si="1"/>
        <v>119</v>
      </c>
      <c r="I10" s="198" t="s">
        <v>44</v>
      </c>
      <c r="J10" s="220">
        <v>1.3888888888888888E-2</v>
      </c>
      <c r="K10" s="222" t="s">
        <v>44</v>
      </c>
    </row>
    <row r="11" spans="1:11" ht="16" x14ac:dyDescent="0.15">
      <c r="A11" s="178"/>
      <c r="B11" s="175"/>
      <c r="C11" s="176"/>
      <c r="D11" s="14"/>
      <c r="E11" s="179"/>
      <c r="F11" s="191"/>
      <c r="G11" s="15"/>
      <c r="H11" s="16"/>
      <c r="I11" s="198" t="s">
        <v>241</v>
      </c>
      <c r="J11" s="220">
        <v>2.0833333333333332E-2</v>
      </c>
      <c r="K11" s="222" t="s">
        <v>272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198" t="s">
        <v>239</v>
      </c>
      <c r="J12" s="220">
        <v>2.0833333333333332E-2</v>
      </c>
      <c r="K12" s="221" t="s">
        <v>273</v>
      </c>
    </row>
    <row r="13" spans="1:11" ht="16" x14ac:dyDescent="0.15">
      <c r="A13" s="202"/>
      <c r="B13" s="175"/>
      <c r="C13" s="192"/>
      <c r="D13" s="14"/>
      <c r="E13" s="193"/>
      <c r="F13" s="194"/>
      <c r="G13" s="15"/>
      <c r="H13" s="16"/>
      <c r="I13" s="198" t="s">
        <v>247</v>
      </c>
      <c r="J13" s="220">
        <v>1.3888888888888888E-2</v>
      </c>
      <c r="K13" s="223" t="s">
        <v>247</v>
      </c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76</v>
      </c>
      <c r="G22" s="47">
        <f>SUM(G9:G21)/F22</f>
        <v>1368</v>
      </c>
      <c r="H22" s="48">
        <f>SUM(H9:H21)/F22</f>
        <v>14.888157894736842</v>
      </c>
      <c r="I22" s="49" t="s">
        <v>22</v>
      </c>
      <c r="J22" s="174">
        <v>8.3333333333333329E-2</v>
      </c>
      <c r="K22" s="43"/>
    </row>
    <row r="23" spans="1:11" x14ac:dyDescent="0.15">
      <c r="E23" s="50"/>
      <c r="F23" s="51"/>
      <c r="I23" s="52" t="s">
        <v>23</v>
      </c>
      <c r="J23" s="53">
        <v>2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76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</f>
        <v>1412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78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9C88A554-6EAD-4DD9-BFD4-E3504DC32A5B}">
      <formula1>$K$29:$K$85</formula1>
    </dataValidation>
    <dataValidation type="list" allowBlank="1" showInputMessage="1" showErrorMessage="1" sqref="B20:B21" xr:uid="{B6EC93FD-FF37-4F02-BEBE-BF0421B5BE95}">
      <formula1>$K$29:$K$40</formula1>
    </dataValidation>
    <dataValidation type="list" allowBlank="1" showInputMessage="1" showErrorMessage="1" sqref="I50 K15:K21" xr:uid="{3E575BA1-F6F6-461C-B239-8A4FFF703F1E}">
      <formula1>$I$41:$I$50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9A58-3B2B-41E8-AA8E-CF4932108F84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45829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250</v>
      </c>
      <c r="C9" s="176">
        <v>15</v>
      </c>
      <c r="D9" s="14">
        <v>2.85</v>
      </c>
      <c r="E9" s="179">
        <v>1368</v>
      </c>
      <c r="F9" s="177">
        <v>12</v>
      </c>
      <c r="G9" s="15">
        <f t="shared" ref="G9:G11" si="0">E9*F9</f>
        <v>16416</v>
      </c>
      <c r="H9" s="16">
        <f t="shared" ref="H9:H11" si="1">F9*C9</f>
        <v>180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219">
        <v>2</v>
      </c>
      <c r="B10" s="218" t="s">
        <v>250</v>
      </c>
      <c r="C10" s="176">
        <v>14</v>
      </c>
      <c r="D10" s="14">
        <v>2.85</v>
      </c>
      <c r="E10" s="179">
        <v>1368</v>
      </c>
      <c r="F10" s="177">
        <v>23.6</v>
      </c>
      <c r="G10" s="15">
        <f t="shared" si="0"/>
        <v>32284.800000000003</v>
      </c>
      <c r="H10" s="16">
        <f t="shared" si="1"/>
        <v>330.40000000000003</v>
      </c>
      <c r="I10" s="198" t="s">
        <v>44</v>
      </c>
      <c r="J10" s="220">
        <v>2.0833333333333332E-2</v>
      </c>
      <c r="K10" s="222" t="s">
        <v>44</v>
      </c>
    </row>
    <row r="11" spans="1:11" ht="17" x14ac:dyDescent="0.15">
      <c r="A11" s="217">
        <v>3</v>
      </c>
      <c r="B11" s="218" t="s">
        <v>238</v>
      </c>
      <c r="C11" s="176">
        <v>15</v>
      </c>
      <c r="D11" s="14">
        <v>2.85</v>
      </c>
      <c r="E11" s="179">
        <v>1386</v>
      </c>
      <c r="F11" s="191">
        <v>42.4</v>
      </c>
      <c r="G11" s="15">
        <f t="shared" si="0"/>
        <v>58766.400000000001</v>
      </c>
      <c r="H11" s="16">
        <f t="shared" si="1"/>
        <v>636</v>
      </c>
      <c r="I11" s="198"/>
      <c r="J11" s="220"/>
      <c r="K11" s="222"/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198"/>
      <c r="J12" s="220"/>
      <c r="K12" s="221"/>
    </row>
    <row r="13" spans="1:11" ht="16" x14ac:dyDescent="0.15">
      <c r="A13" s="202"/>
      <c r="B13" s="175"/>
      <c r="C13" s="192"/>
      <c r="D13" s="14"/>
      <c r="E13" s="193"/>
      <c r="F13" s="194"/>
      <c r="G13" s="15"/>
      <c r="H13" s="16"/>
      <c r="I13" s="198"/>
      <c r="J13" s="220"/>
      <c r="K13" s="223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78</v>
      </c>
      <c r="G22" s="47">
        <f>SUM(G9:G21)/F22</f>
        <v>1377.7846153846156</v>
      </c>
      <c r="H22" s="48">
        <f>SUM(H9:H21)/F22</f>
        <v>14.697435897435899</v>
      </c>
      <c r="I22" s="49" t="s">
        <v>22</v>
      </c>
      <c r="J22" s="174">
        <v>4.1666666666666664E-2</v>
      </c>
      <c r="K22" s="43"/>
    </row>
    <row r="23" spans="1:11" x14ac:dyDescent="0.15">
      <c r="E23" s="50"/>
      <c r="F23" s="51"/>
      <c r="I23" s="52" t="s">
        <v>23</v>
      </c>
      <c r="J23" s="53">
        <v>1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78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94+97+82+78+67+71+56+74+80+86+96+64+48+63+69+58+78+75+76+78</f>
        <v>1490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79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7E7FBD21-937D-4084-8281-FA6B274A03D5}">
      <formula1>$I$41:$I$50</formula1>
    </dataValidation>
    <dataValidation type="list" allowBlank="1" showInputMessage="1" showErrorMessage="1" sqref="B20:B21" xr:uid="{80177E45-9610-404F-BA30-01B84E184081}">
      <formula1>$K$29:$K$40</formula1>
    </dataValidation>
    <dataValidation type="list" allowBlank="1" showInputMessage="1" showErrorMessage="1" sqref="B16:B19" xr:uid="{85ED5480-1628-4C9A-A7DF-EE096B7D38B3}">
      <formula1>$K$29:$K$85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5F85-4BD7-4509-9C3B-0E39D60CB9D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45830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238</v>
      </c>
      <c r="C9" s="176">
        <v>17</v>
      </c>
      <c r="D9" s="14">
        <v>2.85</v>
      </c>
      <c r="E9" s="179">
        <v>1320</v>
      </c>
      <c r="F9" s="177">
        <v>41</v>
      </c>
      <c r="G9" s="15">
        <f t="shared" ref="G9:G11" si="0">E9*F9</f>
        <v>54120</v>
      </c>
      <c r="H9" s="16">
        <f t="shared" ref="H9:H11" si="1">F9*C9</f>
        <v>697</v>
      </c>
      <c r="I9" s="195" t="s">
        <v>20</v>
      </c>
      <c r="J9" s="196">
        <v>1.3888888888888888E-2</v>
      </c>
      <c r="K9" s="197" t="s">
        <v>234</v>
      </c>
    </row>
    <row r="10" spans="1:11" ht="17" x14ac:dyDescent="0.15">
      <c r="A10" s="219">
        <v>2</v>
      </c>
      <c r="B10" s="218" t="s">
        <v>238</v>
      </c>
      <c r="C10" s="176">
        <v>16</v>
      </c>
      <c r="D10" s="14">
        <v>2.85</v>
      </c>
      <c r="E10" s="179">
        <v>1404</v>
      </c>
      <c r="F10" s="177">
        <v>3</v>
      </c>
      <c r="G10" s="15">
        <f t="shared" si="0"/>
        <v>4212</v>
      </c>
      <c r="H10" s="16">
        <f t="shared" si="1"/>
        <v>48</v>
      </c>
      <c r="I10" s="198" t="s">
        <v>44</v>
      </c>
      <c r="J10" s="220">
        <v>1.7361111111111112E-2</v>
      </c>
      <c r="K10" s="222" t="s">
        <v>44</v>
      </c>
    </row>
    <row r="11" spans="1:11" ht="17" x14ac:dyDescent="0.15">
      <c r="A11" s="217">
        <v>3</v>
      </c>
      <c r="B11" s="218" t="s">
        <v>238</v>
      </c>
      <c r="C11" s="176">
        <v>15</v>
      </c>
      <c r="D11" s="14">
        <v>2.85</v>
      </c>
      <c r="E11" s="179">
        <v>1417</v>
      </c>
      <c r="F11" s="191">
        <v>34</v>
      </c>
      <c r="G11" s="15">
        <f t="shared" si="0"/>
        <v>48178</v>
      </c>
      <c r="H11" s="16">
        <f t="shared" si="1"/>
        <v>510</v>
      </c>
      <c r="I11" s="198" t="s">
        <v>256</v>
      </c>
      <c r="J11" s="220">
        <v>6.25E-2</v>
      </c>
      <c r="K11" s="222" t="s">
        <v>274</v>
      </c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198"/>
      <c r="J12" s="220"/>
      <c r="K12" s="221"/>
    </row>
    <row r="13" spans="1:11" ht="16" x14ac:dyDescent="0.15">
      <c r="A13" s="202"/>
      <c r="B13" s="175"/>
      <c r="C13" s="192"/>
      <c r="D13" s="14"/>
      <c r="E13" s="193"/>
      <c r="F13" s="194"/>
      <c r="G13" s="15"/>
      <c r="H13" s="16"/>
      <c r="I13" s="198"/>
      <c r="J13" s="220"/>
      <c r="K13" s="223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78</v>
      </c>
      <c r="G22" s="47">
        <f>SUM(G9:G21)/F22</f>
        <v>1365.5128205128206</v>
      </c>
      <c r="H22" s="48">
        <f>SUM(H9:H21)/F22</f>
        <v>16.089743589743591</v>
      </c>
      <c r="I22" s="49" t="s">
        <v>22</v>
      </c>
      <c r="J22" s="174">
        <v>9.375E-2</v>
      </c>
      <c r="K22" s="43"/>
    </row>
    <row r="23" spans="1:11" x14ac:dyDescent="0.15">
      <c r="E23" s="50"/>
      <c r="F23" s="51"/>
      <c r="I23" s="52" t="s">
        <v>23</v>
      </c>
      <c r="J23" s="53">
        <v>2.25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78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94+97+82+78+67+71+56+74+80+86+96+64+48+63+69+58+78+75+76+78+78</f>
        <v>1568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81.25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A3C91955-8EE1-4D38-9F30-84DDBE0ABD42}">
      <formula1>$K$29:$K$85</formula1>
    </dataValidation>
    <dataValidation type="list" allowBlank="1" showInputMessage="1" showErrorMessage="1" sqref="B20:B21" xr:uid="{94E78B69-B671-42F7-AE1B-22EC30DE9E23}">
      <formula1>$K$29:$K$40</formula1>
    </dataValidation>
    <dataValidation type="list" allowBlank="1" showInputMessage="1" showErrorMessage="1" sqref="I50 K15:K21" xr:uid="{C7583317-BC87-46C0-9227-8D8700458ED6}">
      <formula1>$I$41:$I$50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95C4-C102-465F-B44F-B9E3A38C47E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45831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238</v>
      </c>
      <c r="C9" s="176">
        <v>14</v>
      </c>
      <c r="D9" s="14">
        <v>2.85</v>
      </c>
      <c r="E9" s="179">
        <v>1317</v>
      </c>
      <c r="F9" s="177">
        <v>27.5</v>
      </c>
      <c r="G9" s="15">
        <f t="shared" ref="G9:G11" si="0">E9*F9</f>
        <v>36217.5</v>
      </c>
      <c r="H9" s="16">
        <f t="shared" ref="H9:H11" si="1">F9*C9</f>
        <v>385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219">
        <v>2</v>
      </c>
      <c r="B10" s="218" t="s">
        <v>238</v>
      </c>
      <c r="C10" s="176">
        <v>15</v>
      </c>
      <c r="D10" s="14">
        <v>2.85</v>
      </c>
      <c r="E10" s="179">
        <v>1449</v>
      </c>
      <c r="F10" s="177">
        <v>23</v>
      </c>
      <c r="G10" s="15">
        <f t="shared" si="0"/>
        <v>33327</v>
      </c>
      <c r="H10" s="16">
        <f t="shared" si="1"/>
        <v>345</v>
      </c>
      <c r="I10" s="198" t="s">
        <v>44</v>
      </c>
      <c r="J10" s="220">
        <v>2.4305555555555556E-2</v>
      </c>
      <c r="K10" s="222" t="s">
        <v>44</v>
      </c>
    </row>
    <row r="11" spans="1:11" ht="17" x14ac:dyDescent="0.15">
      <c r="A11" s="217">
        <v>3</v>
      </c>
      <c r="B11" s="218" t="s">
        <v>232</v>
      </c>
      <c r="C11" s="176">
        <v>21</v>
      </c>
      <c r="D11" s="14">
        <v>2.85</v>
      </c>
      <c r="E11" s="179">
        <v>1108</v>
      </c>
      <c r="F11" s="191">
        <v>29.5</v>
      </c>
      <c r="G11" s="15">
        <f t="shared" si="0"/>
        <v>32686</v>
      </c>
      <c r="H11" s="16">
        <f t="shared" si="1"/>
        <v>619.5</v>
      </c>
      <c r="I11" s="198"/>
      <c r="J11" s="220"/>
      <c r="K11" s="222"/>
    </row>
    <row r="12" spans="1:11" ht="19.25" customHeight="1" x14ac:dyDescent="0.15">
      <c r="A12" s="17"/>
      <c r="B12" s="175"/>
      <c r="C12" s="192"/>
      <c r="D12" s="14"/>
      <c r="E12" s="193"/>
      <c r="F12" s="194"/>
      <c r="G12" s="15"/>
      <c r="H12" s="16"/>
      <c r="I12" s="198"/>
      <c r="J12" s="220"/>
      <c r="K12" s="221"/>
    </row>
    <row r="13" spans="1:11" ht="16" x14ac:dyDescent="0.15">
      <c r="A13" s="202"/>
      <c r="B13" s="175"/>
      <c r="C13" s="192"/>
      <c r="D13" s="14"/>
      <c r="E13" s="193"/>
      <c r="F13" s="194"/>
      <c r="G13" s="15"/>
      <c r="H13" s="16"/>
      <c r="I13" s="198"/>
      <c r="J13" s="220"/>
      <c r="K13" s="223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80</v>
      </c>
      <c r="G22" s="47">
        <f>SUM(G9:G21)/F22</f>
        <v>1277.8812499999999</v>
      </c>
      <c r="H22" s="48">
        <f>SUM(H9:H21)/F22</f>
        <v>16.868749999999999</v>
      </c>
      <c r="I22" s="49" t="s">
        <v>22</v>
      </c>
      <c r="J22" s="174">
        <v>4.5138888888888888E-2</v>
      </c>
      <c r="K22" s="43"/>
    </row>
    <row r="23" spans="1:11" x14ac:dyDescent="0.15">
      <c r="E23" s="50"/>
      <c r="F23" s="51"/>
      <c r="I23" s="52" t="s">
        <v>23</v>
      </c>
      <c r="J23" s="53">
        <v>1.08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80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94+97+82+78+67+71+56+74+80+86+96+64+48+63+69+58+78+75+76+78+78+80</f>
        <v>1648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82.33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28BABAE9-30D8-41D4-A78A-754393FB1FF6}">
      <formula1>$I$41:$I$50</formula1>
    </dataValidation>
    <dataValidation type="list" allowBlank="1" showInputMessage="1" showErrorMessage="1" sqref="B20:B21" xr:uid="{EC4A42F7-4A57-4C74-A99F-55BF207D8562}">
      <formula1>$K$29:$K$40</formula1>
    </dataValidation>
    <dataValidation type="list" allowBlank="1" showInputMessage="1" showErrorMessage="1" sqref="B16:B19" xr:uid="{A577A99D-F9A4-4AAC-9753-ABF2871C1591}">
      <formula1>$K$29:$K$85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364C-F5BD-44AB-85EF-F58D8E3C2E3E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45832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248</v>
      </c>
      <c r="C9" s="176">
        <v>12.5</v>
      </c>
      <c r="D9" s="14">
        <v>2.85</v>
      </c>
      <c r="E9" s="179">
        <v>1422</v>
      </c>
      <c r="F9" s="177">
        <v>31.2</v>
      </c>
      <c r="G9" s="15">
        <f t="shared" ref="G9:G13" si="0">E9*F9</f>
        <v>44366.400000000001</v>
      </c>
      <c r="H9" s="16">
        <f t="shared" ref="H9:H13" si="1">F9*C9</f>
        <v>390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219">
        <v>2</v>
      </c>
      <c r="B10" s="218" t="s">
        <v>248</v>
      </c>
      <c r="C10" s="176">
        <v>14</v>
      </c>
      <c r="D10" s="14">
        <v>2.85</v>
      </c>
      <c r="E10" s="179">
        <v>1404</v>
      </c>
      <c r="F10" s="177">
        <v>6.8</v>
      </c>
      <c r="G10" s="15">
        <f t="shared" si="0"/>
        <v>9547.1999999999989</v>
      </c>
      <c r="H10" s="16">
        <f t="shared" si="1"/>
        <v>95.2</v>
      </c>
      <c r="I10" s="198" t="s">
        <v>44</v>
      </c>
      <c r="J10" s="220">
        <v>3.4722222222222224E-2</v>
      </c>
      <c r="K10" s="222" t="s">
        <v>44</v>
      </c>
    </row>
    <row r="11" spans="1:11" ht="17" x14ac:dyDescent="0.15">
      <c r="A11" s="217">
        <v>3</v>
      </c>
      <c r="B11" s="218" t="s">
        <v>238</v>
      </c>
      <c r="C11" s="176">
        <v>16</v>
      </c>
      <c r="D11" s="14">
        <v>2.85</v>
      </c>
      <c r="E11" s="179">
        <v>1390</v>
      </c>
      <c r="F11" s="191">
        <v>11.5</v>
      </c>
      <c r="G11" s="15">
        <f t="shared" si="0"/>
        <v>15985</v>
      </c>
      <c r="H11" s="16">
        <f t="shared" si="1"/>
        <v>184</v>
      </c>
      <c r="I11" s="198" t="s">
        <v>241</v>
      </c>
      <c r="J11" s="220">
        <v>4.1666666666666664E-2</v>
      </c>
      <c r="K11" s="222" t="s">
        <v>272</v>
      </c>
    </row>
    <row r="12" spans="1:11" ht="19.25" customHeight="1" x14ac:dyDescent="0.15">
      <c r="A12" s="219">
        <v>4</v>
      </c>
      <c r="B12" s="218" t="s">
        <v>232</v>
      </c>
      <c r="C12" s="192">
        <v>21</v>
      </c>
      <c r="D12" s="14">
        <v>2.85</v>
      </c>
      <c r="E12" s="193">
        <v>1001</v>
      </c>
      <c r="F12" s="194">
        <v>13</v>
      </c>
      <c r="G12" s="15">
        <f t="shared" si="0"/>
        <v>13013</v>
      </c>
      <c r="H12" s="16">
        <f t="shared" si="1"/>
        <v>273</v>
      </c>
      <c r="I12" s="198"/>
      <c r="J12" s="220"/>
      <c r="K12" s="221"/>
    </row>
    <row r="13" spans="1:11" ht="17" x14ac:dyDescent="0.15">
      <c r="A13" s="224">
        <v>5</v>
      </c>
      <c r="B13" s="218" t="s">
        <v>233</v>
      </c>
      <c r="C13" s="192">
        <v>30</v>
      </c>
      <c r="D13" s="14">
        <v>2.85</v>
      </c>
      <c r="E13" s="193">
        <v>731</v>
      </c>
      <c r="F13" s="194">
        <v>5.5</v>
      </c>
      <c r="G13" s="15">
        <f t="shared" si="0"/>
        <v>4020.5</v>
      </c>
      <c r="H13" s="16">
        <f t="shared" si="1"/>
        <v>165</v>
      </c>
      <c r="I13" s="198"/>
      <c r="J13" s="220"/>
      <c r="K13" s="223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68</v>
      </c>
      <c r="G22" s="47">
        <f>SUM(G9:G21)/F22</f>
        <v>1278.4132352941178</v>
      </c>
      <c r="H22" s="48">
        <f>SUM(H9:H21)/F22</f>
        <v>16.28235294117647</v>
      </c>
      <c r="I22" s="49" t="s">
        <v>22</v>
      </c>
      <c r="J22" s="174">
        <v>9.7222222222222224E-2</v>
      </c>
      <c r="K22" s="43"/>
    </row>
    <row r="23" spans="1:11" x14ac:dyDescent="0.15">
      <c r="E23" s="50"/>
      <c r="F23" s="51"/>
      <c r="I23" s="52" t="s">
        <v>23</v>
      </c>
      <c r="J23" s="53">
        <v>2.33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68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94+97+82+78+67+71+56+74+80+86+96+64+48+63+69+58+78+75+76+78+78+80+68</f>
        <v>1716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84.67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DAA81CE0-3A91-48D4-83F4-574D4C3B94A7}">
      <formula1>$K$29:$K$85</formula1>
    </dataValidation>
    <dataValidation type="list" allowBlank="1" showInputMessage="1" showErrorMessage="1" sqref="B20:B21" xr:uid="{73625D73-378D-427C-AC51-348124704270}">
      <formula1>$K$29:$K$40</formula1>
    </dataValidation>
    <dataValidation type="list" allowBlank="1" showInputMessage="1" showErrorMessage="1" sqref="I50 K15:K21" xr:uid="{48153C79-7D6D-4225-9013-5199CBD872C1}">
      <formula1>$I$41:$I$50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161E-3E5A-46BC-8C4C-D7809B1D31D9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45833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248</v>
      </c>
      <c r="C9" s="176">
        <v>12.5</v>
      </c>
      <c r="D9" s="14">
        <v>2.85</v>
      </c>
      <c r="E9" s="179">
        <v>1404</v>
      </c>
      <c r="F9" s="177">
        <v>15.7</v>
      </c>
      <c r="G9" s="15">
        <f t="shared" ref="G9:G12" si="0">E9*F9</f>
        <v>22042.799999999999</v>
      </c>
      <c r="H9" s="16">
        <f t="shared" ref="H9:H12" si="1">F9*C9</f>
        <v>196.25</v>
      </c>
      <c r="I9" s="195" t="s">
        <v>20</v>
      </c>
      <c r="J9" s="196">
        <v>2.4305555555555556E-2</v>
      </c>
      <c r="K9" s="197" t="s">
        <v>234</v>
      </c>
    </row>
    <row r="10" spans="1:11" ht="17" x14ac:dyDescent="0.15">
      <c r="A10" s="219">
        <v>2</v>
      </c>
      <c r="B10" s="218" t="s">
        <v>248</v>
      </c>
      <c r="C10" s="176">
        <v>14</v>
      </c>
      <c r="D10" s="14">
        <v>2.85</v>
      </c>
      <c r="E10" s="179">
        <v>1422</v>
      </c>
      <c r="F10" s="177">
        <v>6</v>
      </c>
      <c r="G10" s="15">
        <f t="shared" si="0"/>
        <v>8532</v>
      </c>
      <c r="H10" s="16">
        <f t="shared" si="1"/>
        <v>84</v>
      </c>
      <c r="I10" s="198" t="s">
        <v>44</v>
      </c>
      <c r="J10" s="220">
        <v>2.7777777777777776E-2</v>
      </c>
      <c r="K10" s="222" t="s">
        <v>44</v>
      </c>
    </row>
    <row r="11" spans="1:11" ht="17" x14ac:dyDescent="0.15">
      <c r="A11" s="217">
        <v>3</v>
      </c>
      <c r="B11" s="218" t="s">
        <v>238</v>
      </c>
      <c r="C11" s="176">
        <v>14</v>
      </c>
      <c r="D11" s="14">
        <v>2.85</v>
      </c>
      <c r="E11" s="179">
        <v>1422</v>
      </c>
      <c r="F11" s="191">
        <v>18.8</v>
      </c>
      <c r="G11" s="15">
        <f t="shared" si="0"/>
        <v>26733.600000000002</v>
      </c>
      <c r="H11" s="16">
        <f t="shared" si="1"/>
        <v>263.2</v>
      </c>
      <c r="I11" s="198" t="s">
        <v>239</v>
      </c>
      <c r="J11" s="220">
        <v>1.0416666666666666E-2</v>
      </c>
      <c r="K11" s="222" t="s">
        <v>275</v>
      </c>
    </row>
    <row r="12" spans="1:11" ht="19.25" customHeight="1" x14ac:dyDescent="0.15">
      <c r="A12" s="219">
        <v>4</v>
      </c>
      <c r="B12" s="218" t="s">
        <v>238</v>
      </c>
      <c r="C12" s="192">
        <v>15</v>
      </c>
      <c r="D12" s="14">
        <v>2.85</v>
      </c>
      <c r="E12" s="193">
        <v>1443</v>
      </c>
      <c r="F12" s="194">
        <v>30.5</v>
      </c>
      <c r="G12" s="15">
        <f t="shared" si="0"/>
        <v>44011.5</v>
      </c>
      <c r="H12" s="16">
        <f t="shared" si="1"/>
        <v>457.5</v>
      </c>
      <c r="I12" s="198" t="s">
        <v>239</v>
      </c>
      <c r="J12" s="220">
        <v>2.0833333333333332E-2</v>
      </c>
      <c r="K12" s="221" t="s">
        <v>276</v>
      </c>
    </row>
    <row r="13" spans="1:11" ht="16" x14ac:dyDescent="0.15">
      <c r="A13" s="224"/>
      <c r="B13" s="218"/>
      <c r="C13" s="192"/>
      <c r="D13" s="14"/>
      <c r="E13" s="193"/>
      <c r="F13" s="194"/>
      <c r="G13" s="15"/>
      <c r="H13" s="16"/>
      <c r="I13" s="198" t="s">
        <v>247</v>
      </c>
      <c r="J13" s="220">
        <v>6.9444444444444441E-3</v>
      </c>
      <c r="K13" s="223" t="s">
        <v>247</v>
      </c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71</v>
      </c>
      <c r="G22" s="47">
        <f>SUM(G9:G21)/F22</f>
        <v>1427.0408450704224</v>
      </c>
      <c r="H22" s="48">
        <f>SUM(H9:H21)/F22</f>
        <v>14.097887323943663</v>
      </c>
      <c r="I22" s="49" t="s">
        <v>22</v>
      </c>
      <c r="J22" s="174">
        <v>9.0277777777777776E-2</v>
      </c>
      <c r="K22" s="43"/>
    </row>
    <row r="23" spans="1:11" x14ac:dyDescent="0.15">
      <c r="E23" s="50"/>
      <c r="F23" s="51"/>
      <c r="I23" s="52" t="s">
        <v>23</v>
      </c>
      <c r="J23" s="53">
        <v>2.17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71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94+97+82+78+67+71+56+74+80+86+96+64+48+63+69+58+78+75+76+78+78+80+68+71</f>
        <v>1787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86.83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8FDB2D9A-07E5-4BE0-AE9D-EB1BA44DBB31}">
      <formula1>$I$41:$I$50</formula1>
    </dataValidation>
    <dataValidation type="list" allowBlank="1" showInputMessage="1" showErrorMessage="1" sqref="B20:B21" xr:uid="{22A24727-8780-4733-A372-9D28563771EF}">
      <formula1>$K$29:$K$40</formula1>
    </dataValidation>
    <dataValidation type="list" allowBlank="1" showInputMessage="1" showErrorMessage="1" sqref="B16:B19" xr:uid="{3E710233-D38F-444B-BD76-F3F8C78E1448}">
      <formula1>$K$29:$K$85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318D-A8B3-446B-90E0-8865E1A8800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45834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248</v>
      </c>
      <c r="C9" s="176">
        <v>12.5</v>
      </c>
      <c r="D9" s="14">
        <v>2.85</v>
      </c>
      <c r="E9" s="179">
        <v>1430</v>
      </c>
      <c r="F9" s="177">
        <v>47.8</v>
      </c>
      <c r="G9" s="15">
        <f t="shared" ref="G9:G11" si="0">E9*F9</f>
        <v>68354</v>
      </c>
      <c r="H9" s="16">
        <f t="shared" ref="H9:H11" si="1">F9*C9</f>
        <v>597.5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219">
        <v>2</v>
      </c>
      <c r="B10" s="218" t="s">
        <v>238</v>
      </c>
      <c r="C10" s="176">
        <v>15</v>
      </c>
      <c r="D10" s="14">
        <v>2.85</v>
      </c>
      <c r="E10" s="179">
        <v>1485</v>
      </c>
      <c r="F10" s="177">
        <v>14.2</v>
      </c>
      <c r="G10" s="15">
        <f t="shared" si="0"/>
        <v>21087</v>
      </c>
      <c r="H10" s="16">
        <f t="shared" si="1"/>
        <v>213</v>
      </c>
      <c r="I10" s="198" t="s">
        <v>44</v>
      </c>
      <c r="J10" s="220">
        <v>3.4722222222222224E-2</v>
      </c>
      <c r="K10" s="222" t="s">
        <v>44</v>
      </c>
    </row>
    <row r="11" spans="1:11" ht="17" x14ac:dyDescent="0.15">
      <c r="A11" s="217">
        <v>3</v>
      </c>
      <c r="B11" s="218" t="s">
        <v>238</v>
      </c>
      <c r="C11" s="176">
        <v>16</v>
      </c>
      <c r="D11" s="14">
        <v>2.85</v>
      </c>
      <c r="E11" s="179">
        <v>1303</v>
      </c>
      <c r="F11" s="191">
        <v>8</v>
      </c>
      <c r="G11" s="15">
        <f t="shared" si="0"/>
        <v>10424</v>
      </c>
      <c r="H11" s="16">
        <f t="shared" si="1"/>
        <v>128</v>
      </c>
      <c r="I11" s="198" t="s">
        <v>278</v>
      </c>
      <c r="J11" s="220">
        <v>4.1666666666666664E-2</v>
      </c>
      <c r="K11" s="222" t="s">
        <v>277</v>
      </c>
    </row>
    <row r="12" spans="1:11" ht="19.25" customHeight="1" x14ac:dyDescent="0.15">
      <c r="A12" s="219"/>
      <c r="B12" s="218"/>
      <c r="C12" s="192"/>
      <c r="D12" s="14"/>
      <c r="E12" s="193"/>
      <c r="F12" s="194"/>
      <c r="G12" s="15"/>
      <c r="H12" s="16"/>
      <c r="I12" s="198"/>
      <c r="J12" s="220"/>
      <c r="K12" s="221"/>
    </row>
    <row r="13" spans="1:11" ht="16" x14ac:dyDescent="0.15">
      <c r="A13" s="224"/>
      <c r="B13" s="218"/>
      <c r="C13" s="192"/>
      <c r="D13" s="14"/>
      <c r="E13" s="193"/>
      <c r="F13" s="194"/>
      <c r="G13" s="15"/>
      <c r="H13" s="16"/>
      <c r="I13" s="198"/>
      <c r="J13" s="220"/>
      <c r="K13" s="223"/>
    </row>
    <row r="14" spans="1:11" ht="16" x14ac:dyDescent="0.2">
      <c r="A14" s="178"/>
      <c r="B14" s="175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70</v>
      </c>
      <c r="G22" s="47">
        <f>SUM(G9:G21)/F22</f>
        <v>1426.6428571428571</v>
      </c>
      <c r="H22" s="48">
        <f>SUM(H9:H21)/F22</f>
        <v>13.407142857142857</v>
      </c>
      <c r="I22" s="49" t="s">
        <v>22</v>
      </c>
      <c r="J22" s="174">
        <v>9.7222222222222224E-2</v>
      </c>
      <c r="K22" s="43"/>
    </row>
    <row r="23" spans="1:11" x14ac:dyDescent="0.15">
      <c r="E23" s="50"/>
      <c r="F23" s="51"/>
      <c r="I23" s="52" t="s">
        <v>23</v>
      </c>
      <c r="J23" s="53">
        <v>2.33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94+97+82+78+67+71+56+74+80+86+96+64+48+63+69+58+78+75+76+78+78+80+68+71+70</f>
        <v>1857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89.17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1ACBEFD-0F47-4129-84D9-5D784EA35BFE}">
      <formula1>$K$29:$K$85</formula1>
    </dataValidation>
    <dataValidation type="list" allowBlank="1" showInputMessage="1" showErrorMessage="1" sqref="B20:B21" xr:uid="{FCEE8FB4-3346-4F83-A488-E687DE873043}">
      <formula1>$K$29:$K$40</formula1>
    </dataValidation>
    <dataValidation type="list" allowBlank="1" showInputMessage="1" showErrorMessage="1" sqref="I50 K15:K21" xr:uid="{92A3B3F2-25FF-45F7-9407-128E402A6A47}">
      <formula1>$I$41:$I$50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D45B-5370-40E5-8BD1-56DE4AF23E1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45836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248</v>
      </c>
      <c r="C9" s="176">
        <v>12.5</v>
      </c>
      <c r="D9" s="14">
        <v>2.85</v>
      </c>
      <c r="E9" s="179">
        <v>1404</v>
      </c>
      <c r="F9" s="177">
        <v>16.5</v>
      </c>
      <c r="G9" s="15">
        <f t="shared" ref="G9:G14" si="0">E9*F9</f>
        <v>23166</v>
      </c>
      <c r="H9" s="16">
        <f t="shared" ref="H9:H14" si="1">F9*C9</f>
        <v>206.25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219">
        <v>2</v>
      </c>
      <c r="B10" s="218" t="s">
        <v>248</v>
      </c>
      <c r="C10" s="176">
        <v>13.5</v>
      </c>
      <c r="D10" s="14">
        <v>2.85</v>
      </c>
      <c r="E10" s="179">
        <v>1404</v>
      </c>
      <c r="F10" s="177">
        <v>9</v>
      </c>
      <c r="G10" s="15">
        <f t="shared" si="0"/>
        <v>12636</v>
      </c>
      <c r="H10" s="16">
        <f t="shared" si="1"/>
        <v>121.5</v>
      </c>
      <c r="I10" s="198" t="s">
        <v>44</v>
      </c>
      <c r="J10" s="220">
        <v>3.4722222222222224E-2</v>
      </c>
      <c r="K10" s="222" t="s">
        <v>44</v>
      </c>
    </row>
    <row r="11" spans="1:11" ht="17" x14ac:dyDescent="0.15">
      <c r="A11" s="217">
        <v>3</v>
      </c>
      <c r="B11" s="218" t="s">
        <v>248</v>
      </c>
      <c r="C11" s="176">
        <v>14</v>
      </c>
      <c r="D11" s="14">
        <v>2.85</v>
      </c>
      <c r="E11" s="179">
        <v>1404</v>
      </c>
      <c r="F11" s="191">
        <v>8</v>
      </c>
      <c r="G11" s="15">
        <f t="shared" si="0"/>
        <v>11232</v>
      </c>
      <c r="H11" s="16">
        <f t="shared" si="1"/>
        <v>112</v>
      </c>
      <c r="I11" s="198"/>
      <c r="J11" s="220"/>
      <c r="K11" s="222"/>
    </row>
    <row r="12" spans="1:11" ht="19.25" customHeight="1" x14ac:dyDescent="0.15">
      <c r="A12" s="219">
        <v>4</v>
      </c>
      <c r="B12" s="218" t="s">
        <v>238</v>
      </c>
      <c r="C12" s="192">
        <v>15</v>
      </c>
      <c r="D12" s="14">
        <v>2.85</v>
      </c>
      <c r="E12" s="193">
        <v>1476</v>
      </c>
      <c r="F12" s="194">
        <v>16.5</v>
      </c>
      <c r="G12" s="15">
        <f t="shared" si="0"/>
        <v>24354</v>
      </c>
      <c r="H12" s="16">
        <f t="shared" si="1"/>
        <v>247.5</v>
      </c>
      <c r="I12" s="198"/>
      <c r="J12" s="220"/>
      <c r="K12" s="221"/>
    </row>
    <row r="13" spans="1:11" ht="17" x14ac:dyDescent="0.15">
      <c r="A13" s="224">
        <v>5</v>
      </c>
      <c r="B13" s="218" t="s">
        <v>238</v>
      </c>
      <c r="C13" s="192">
        <v>16</v>
      </c>
      <c r="D13" s="14">
        <v>2.85</v>
      </c>
      <c r="E13" s="193">
        <v>1422</v>
      </c>
      <c r="F13" s="194">
        <v>3.5</v>
      </c>
      <c r="G13" s="15">
        <f t="shared" si="0"/>
        <v>4977</v>
      </c>
      <c r="H13" s="16">
        <f t="shared" si="1"/>
        <v>56</v>
      </c>
      <c r="I13" s="198"/>
      <c r="J13" s="220"/>
      <c r="K13" s="223"/>
    </row>
    <row r="14" spans="1:11" ht="17" x14ac:dyDescent="0.2">
      <c r="A14" s="217">
        <v>6</v>
      </c>
      <c r="B14" s="218" t="s">
        <v>232</v>
      </c>
      <c r="C14" s="203">
        <v>17</v>
      </c>
      <c r="D14" s="14">
        <v>2.85</v>
      </c>
      <c r="E14" s="204">
        <v>1326</v>
      </c>
      <c r="F14" s="205">
        <v>24.5</v>
      </c>
      <c r="G14" s="15">
        <f t="shared" si="0"/>
        <v>32487</v>
      </c>
      <c r="H14" s="16">
        <f t="shared" si="1"/>
        <v>416.5</v>
      </c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78</v>
      </c>
      <c r="G22" s="47">
        <f>SUM(G9:G21)/F22</f>
        <v>1395.5384615384614</v>
      </c>
      <c r="H22" s="48">
        <f>SUM(H9:H21)/F22</f>
        <v>14.868589743589743</v>
      </c>
      <c r="I22" s="49" t="s">
        <v>22</v>
      </c>
      <c r="J22" s="174">
        <v>5.5555555555555552E-2</v>
      </c>
      <c r="K22" s="43"/>
    </row>
    <row r="23" spans="1:11" x14ac:dyDescent="0.15">
      <c r="E23" s="50"/>
      <c r="F23" s="51"/>
      <c r="I23" s="52" t="s">
        <v>23</v>
      </c>
      <c r="J23" s="53">
        <v>1.33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78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94+97+82+78+67+71+56+74+80+86+96+64+48+63+69+58+78+75+76+78+78+80+68+71+70+78</f>
        <v>1935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90.5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3F618826-476C-427E-AFD5-91C392EB6686}">
      <formula1>$I$41:$I$50</formula1>
    </dataValidation>
    <dataValidation type="list" allowBlank="1" showInputMessage="1" showErrorMessage="1" sqref="B20:B21" xr:uid="{60997872-7CDA-4AE7-A786-AE1911E782BF}">
      <formula1>$K$29:$K$40</formula1>
    </dataValidation>
    <dataValidation type="list" allowBlank="1" showInputMessage="1" showErrorMessage="1" sqref="B16:B19" xr:uid="{A17C3AD9-00C3-495F-B237-8C8D69652179}">
      <formula1>$K$29:$K$85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EA5F-5646-4F55-AB99-410411CF14F3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45836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250</v>
      </c>
      <c r="C9" s="176">
        <v>17</v>
      </c>
      <c r="D9" s="14">
        <v>2.85</v>
      </c>
      <c r="E9" s="179">
        <v>774</v>
      </c>
      <c r="F9" s="177">
        <v>24</v>
      </c>
      <c r="G9" s="15">
        <f t="shared" ref="G9:G12" si="0">E9*F9</f>
        <v>18576</v>
      </c>
      <c r="H9" s="16">
        <f t="shared" ref="H9:H12" si="1">F9*C9</f>
        <v>408</v>
      </c>
      <c r="I9" s="195" t="s">
        <v>20</v>
      </c>
      <c r="J9" s="196">
        <v>6.9444444444444441E-3</v>
      </c>
      <c r="K9" s="197" t="s">
        <v>234</v>
      </c>
    </row>
    <row r="10" spans="1:11" ht="17" x14ac:dyDescent="0.15">
      <c r="A10" s="219">
        <v>2</v>
      </c>
      <c r="B10" s="218" t="s">
        <v>238</v>
      </c>
      <c r="C10" s="176">
        <v>16</v>
      </c>
      <c r="D10" s="14">
        <v>2.85</v>
      </c>
      <c r="E10" s="179">
        <v>1385</v>
      </c>
      <c r="F10" s="177">
        <v>2</v>
      </c>
      <c r="G10" s="15">
        <f t="shared" si="0"/>
        <v>2770</v>
      </c>
      <c r="H10" s="16">
        <f t="shared" si="1"/>
        <v>32</v>
      </c>
      <c r="I10" s="198" t="s">
        <v>256</v>
      </c>
      <c r="J10" s="220">
        <v>0.10416666666666667</v>
      </c>
      <c r="K10" s="222" t="s">
        <v>258</v>
      </c>
    </row>
    <row r="11" spans="1:11" ht="17" x14ac:dyDescent="0.15">
      <c r="A11" s="217">
        <v>3</v>
      </c>
      <c r="B11" s="218" t="s">
        <v>232</v>
      </c>
      <c r="C11" s="176">
        <v>17</v>
      </c>
      <c r="D11" s="14">
        <v>2.85</v>
      </c>
      <c r="E11" s="179">
        <v>1377</v>
      </c>
      <c r="F11" s="191">
        <v>3</v>
      </c>
      <c r="G11" s="15">
        <f t="shared" si="0"/>
        <v>4131</v>
      </c>
      <c r="H11" s="16">
        <f t="shared" si="1"/>
        <v>51</v>
      </c>
      <c r="I11" s="198" t="s">
        <v>279</v>
      </c>
      <c r="J11" s="220">
        <v>0.25</v>
      </c>
      <c r="K11" s="222" t="s">
        <v>56</v>
      </c>
    </row>
    <row r="12" spans="1:11" ht="19.25" customHeight="1" x14ac:dyDescent="0.15">
      <c r="A12" s="219">
        <v>4</v>
      </c>
      <c r="B12" s="218" t="s">
        <v>233</v>
      </c>
      <c r="C12" s="192">
        <v>22</v>
      </c>
      <c r="D12" s="14">
        <v>2.85</v>
      </c>
      <c r="E12" s="193">
        <v>533</v>
      </c>
      <c r="F12" s="194">
        <v>1</v>
      </c>
      <c r="G12" s="15">
        <f t="shared" si="0"/>
        <v>533</v>
      </c>
      <c r="H12" s="16">
        <f t="shared" si="1"/>
        <v>22</v>
      </c>
      <c r="I12" s="198" t="s">
        <v>241</v>
      </c>
      <c r="J12" s="220">
        <v>6.25E-2</v>
      </c>
      <c r="K12" s="221" t="s">
        <v>253</v>
      </c>
    </row>
    <row r="13" spans="1:11" ht="16" x14ac:dyDescent="0.15">
      <c r="A13" s="224"/>
      <c r="B13" s="218"/>
      <c r="C13" s="192"/>
      <c r="D13" s="14"/>
      <c r="E13" s="193"/>
      <c r="F13" s="194"/>
      <c r="G13" s="15"/>
      <c r="H13" s="16"/>
      <c r="I13" s="198"/>
      <c r="J13" s="220"/>
      <c r="K13" s="223"/>
    </row>
    <row r="14" spans="1:11" ht="16" x14ac:dyDescent="0.2">
      <c r="A14" s="217"/>
      <c r="B14" s="218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30</v>
      </c>
      <c r="G22" s="47">
        <f>SUM(G9:G21)/F22</f>
        <v>867</v>
      </c>
      <c r="H22" s="48">
        <f>SUM(H9:H21)/F22</f>
        <v>17.100000000000001</v>
      </c>
      <c r="I22" s="49" t="s">
        <v>22</v>
      </c>
      <c r="J22" s="174">
        <v>0.4236111111111111</v>
      </c>
      <c r="K22" s="43"/>
    </row>
    <row r="23" spans="1:11" x14ac:dyDescent="0.15">
      <c r="E23" s="50"/>
      <c r="F23" s="51"/>
      <c r="I23" s="52" t="s">
        <v>23</v>
      </c>
      <c r="J23" s="53">
        <v>10.17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30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94+97+82+78+67+71+56+74+80+86+96+64+48+63+69+58+78+75+76+78+78+80+68+71+70+78+30</f>
        <v>1965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100.67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2F21100-E532-433B-8A9B-6F1A08320E36}">
      <formula1>$K$29:$K$85</formula1>
    </dataValidation>
    <dataValidation type="list" allowBlank="1" showInputMessage="1" showErrorMessage="1" sqref="B20:B21" xr:uid="{4E08A956-C1AA-4FDB-8027-3056B0FA2E5C}">
      <formula1>$K$29:$K$40</formula1>
    </dataValidation>
    <dataValidation type="list" allowBlank="1" showInputMessage="1" showErrorMessage="1" sqref="I50 K15:K21" xr:uid="{ABB18EE6-B035-4CD9-9A7F-7C8109A836D8}">
      <formula1>$I$41:$I$50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869E-75A4-46F1-8647-7E2E0B750BC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45837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250</v>
      </c>
      <c r="C9" s="176">
        <v>15</v>
      </c>
      <c r="D9" s="14">
        <v>2.85</v>
      </c>
      <c r="E9" s="179">
        <v>1170</v>
      </c>
      <c r="F9" s="177">
        <v>42.5</v>
      </c>
      <c r="G9" s="15">
        <f t="shared" ref="G9:G11" si="0">E9*F9</f>
        <v>49725</v>
      </c>
      <c r="H9" s="16">
        <f t="shared" ref="H9:H11" si="1">F9*C9</f>
        <v>637.5</v>
      </c>
      <c r="I9" s="195" t="s">
        <v>20</v>
      </c>
      <c r="J9" s="196">
        <v>2.0833333333333332E-2</v>
      </c>
      <c r="K9" s="197" t="s">
        <v>234</v>
      </c>
    </row>
    <row r="10" spans="1:11" ht="17" x14ac:dyDescent="0.15">
      <c r="A10" s="219">
        <v>2</v>
      </c>
      <c r="B10" s="218" t="s">
        <v>250</v>
      </c>
      <c r="C10" s="176">
        <v>16</v>
      </c>
      <c r="D10" s="14">
        <v>2.85</v>
      </c>
      <c r="E10" s="179">
        <v>113.1</v>
      </c>
      <c r="F10" s="177">
        <v>13.4</v>
      </c>
      <c r="G10" s="15">
        <f t="shared" si="0"/>
        <v>1515.54</v>
      </c>
      <c r="H10" s="16">
        <f t="shared" si="1"/>
        <v>214.4</v>
      </c>
      <c r="I10" s="198" t="s">
        <v>44</v>
      </c>
      <c r="J10" s="220">
        <v>1.3888888888888888E-2</v>
      </c>
      <c r="K10" s="222" t="s">
        <v>44</v>
      </c>
    </row>
    <row r="11" spans="1:11" ht="17" x14ac:dyDescent="0.15">
      <c r="A11" s="217">
        <v>3</v>
      </c>
      <c r="B11" s="218" t="s">
        <v>250</v>
      </c>
      <c r="C11" s="176">
        <v>17</v>
      </c>
      <c r="D11" s="14">
        <v>2.85</v>
      </c>
      <c r="E11" s="179">
        <v>925</v>
      </c>
      <c r="F11" s="191">
        <v>8.1</v>
      </c>
      <c r="G11" s="15">
        <f t="shared" si="0"/>
        <v>7492.5</v>
      </c>
      <c r="H11" s="16">
        <f t="shared" si="1"/>
        <v>137.69999999999999</v>
      </c>
      <c r="I11" s="198" t="s">
        <v>247</v>
      </c>
      <c r="J11" s="220">
        <v>1.3888888888888888E-2</v>
      </c>
      <c r="K11" s="222" t="s">
        <v>247</v>
      </c>
    </row>
    <row r="12" spans="1:11" ht="19.25" customHeight="1" x14ac:dyDescent="0.15">
      <c r="A12" s="219"/>
      <c r="B12" s="218"/>
      <c r="C12" s="192"/>
      <c r="D12" s="14"/>
      <c r="E12" s="193"/>
      <c r="F12" s="194"/>
      <c r="G12" s="15"/>
      <c r="H12" s="16"/>
      <c r="I12" s="198"/>
      <c r="J12" s="220"/>
      <c r="K12" s="221"/>
    </row>
    <row r="13" spans="1:11" ht="16" x14ac:dyDescent="0.15">
      <c r="A13" s="224"/>
      <c r="B13" s="218"/>
      <c r="C13" s="192"/>
      <c r="D13" s="14"/>
      <c r="E13" s="193"/>
      <c r="F13" s="194"/>
      <c r="G13" s="15"/>
      <c r="H13" s="16"/>
      <c r="I13" s="198"/>
      <c r="J13" s="220"/>
      <c r="K13" s="223"/>
    </row>
    <row r="14" spans="1:11" ht="16" x14ac:dyDescent="0.2">
      <c r="A14" s="217"/>
      <c r="B14" s="218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64</v>
      </c>
      <c r="G22" s="47">
        <f>SUM(G9:G21)/F22</f>
        <v>917.70375000000001</v>
      </c>
      <c r="H22" s="48">
        <f>SUM(H9:H21)/F22</f>
        <v>15.462499999999999</v>
      </c>
      <c r="I22" s="49" t="s">
        <v>22</v>
      </c>
      <c r="J22" s="174">
        <v>4.8611111111111112E-2</v>
      </c>
      <c r="K22" s="43"/>
    </row>
    <row r="23" spans="1:11" x14ac:dyDescent="0.15">
      <c r="E23" s="50"/>
      <c r="F23" s="51"/>
      <c r="I23" s="52" t="s">
        <v>23</v>
      </c>
      <c r="J23" s="53">
        <v>1.17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64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94+97+82+78+67+71+56+74+80+86+96+64+48+63+69+58+78+75+76+78+78+80+68+71+70+78+30+64</f>
        <v>2029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101.83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66474797-7F76-472D-AB22-CCAE4FE2DFBF}">
      <formula1>$I$41:$I$50</formula1>
    </dataValidation>
    <dataValidation type="list" allowBlank="1" showInputMessage="1" showErrorMessage="1" sqref="B20:B21" xr:uid="{D5D51F29-9503-416A-A07D-053B7A0EE93A}">
      <formula1>$K$29:$K$40</formula1>
    </dataValidation>
    <dataValidation type="list" allowBlank="1" showInputMessage="1" showErrorMessage="1" sqref="B16:B19" xr:uid="{DFABCC15-BB36-40EE-B233-C373B482A184}">
      <formula1>$K$29:$K$85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82BF-D3D8-4A7F-858C-A8FC83425B3D}">
  <dimension ref="A1:K85"/>
  <sheetViews>
    <sheetView topLeftCell="A21" workbookViewId="0">
      <selection activeCell="K26" sqref="K2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64">
        <v>45838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7">
        <v>1</v>
      </c>
      <c r="B9" s="218" t="s">
        <v>250</v>
      </c>
      <c r="C9" s="176">
        <v>15</v>
      </c>
      <c r="D9" s="14">
        <v>2.85</v>
      </c>
      <c r="E9" s="179">
        <v>1345</v>
      </c>
      <c r="F9" s="177">
        <v>73</v>
      </c>
      <c r="G9" s="15">
        <f t="shared" ref="G9" si="0">E9*F9</f>
        <v>98185</v>
      </c>
      <c r="H9" s="16">
        <f t="shared" ref="H9" si="1">F9*C9</f>
        <v>1095</v>
      </c>
      <c r="I9" s="195" t="s">
        <v>20</v>
      </c>
      <c r="J9" s="196">
        <v>2.4305555555555556E-2</v>
      </c>
      <c r="K9" s="197" t="s">
        <v>234</v>
      </c>
    </row>
    <row r="10" spans="1:11" ht="16" x14ac:dyDescent="0.15">
      <c r="A10" s="219"/>
      <c r="B10" s="218"/>
      <c r="C10" s="176"/>
      <c r="D10" s="14"/>
      <c r="E10" s="179"/>
      <c r="F10" s="177"/>
      <c r="G10" s="15"/>
      <c r="H10" s="16"/>
      <c r="I10" s="198" t="s">
        <v>278</v>
      </c>
      <c r="J10" s="220">
        <v>1.7361111111111112E-2</v>
      </c>
      <c r="K10" s="222" t="s">
        <v>280</v>
      </c>
    </row>
    <row r="11" spans="1:11" ht="16" x14ac:dyDescent="0.15">
      <c r="A11" s="217"/>
      <c r="B11" s="218"/>
      <c r="C11" s="176"/>
      <c r="D11" s="14"/>
      <c r="E11" s="179"/>
      <c r="F11" s="191"/>
      <c r="G11" s="15"/>
      <c r="H11" s="16"/>
      <c r="I11" s="198" t="s">
        <v>247</v>
      </c>
      <c r="J11" s="220">
        <v>6.9444444444444441E-3</v>
      </c>
      <c r="K11" s="222" t="s">
        <v>247</v>
      </c>
    </row>
    <row r="12" spans="1:11" ht="19.25" customHeight="1" x14ac:dyDescent="0.15">
      <c r="A12" s="219"/>
      <c r="B12" s="218"/>
      <c r="C12" s="192"/>
      <c r="D12" s="14"/>
      <c r="E12" s="193"/>
      <c r="F12" s="194"/>
      <c r="G12" s="15"/>
      <c r="H12" s="16"/>
      <c r="I12" s="198"/>
      <c r="J12" s="220"/>
      <c r="K12" s="221"/>
    </row>
    <row r="13" spans="1:11" ht="16" x14ac:dyDescent="0.15">
      <c r="A13" s="224"/>
      <c r="B13" s="218"/>
      <c r="C13" s="192"/>
      <c r="D13" s="14"/>
      <c r="E13" s="193"/>
      <c r="F13" s="194"/>
      <c r="G13" s="15"/>
      <c r="H13" s="16"/>
      <c r="I13" s="198"/>
      <c r="J13" s="220"/>
      <c r="K13" s="223"/>
    </row>
    <row r="14" spans="1:11" ht="16" x14ac:dyDescent="0.2">
      <c r="A14" s="217"/>
      <c r="B14" s="218"/>
      <c r="C14" s="203"/>
      <c r="D14" s="14"/>
      <c r="E14" s="204"/>
      <c r="F14" s="205"/>
      <c r="G14" s="15"/>
      <c r="H14" s="16"/>
      <c r="I14" s="20"/>
      <c r="J14" s="213"/>
      <c r="K14" s="207"/>
    </row>
    <row r="15" spans="1:11" ht="16" x14ac:dyDescent="0.2">
      <c r="A15" s="17"/>
      <c r="B15" s="175"/>
      <c r="C15" s="23"/>
      <c r="D15" s="14"/>
      <c r="E15" s="22"/>
      <c r="F15" s="24"/>
      <c r="G15" s="15"/>
      <c r="H15" s="16"/>
      <c r="I15" s="29"/>
      <c r="J15" s="25"/>
      <c r="K15" s="21"/>
    </row>
    <row r="16" spans="1:11" ht="16" x14ac:dyDescent="0.2">
      <c r="A16" s="26"/>
      <c r="B16" s="27"/>
      <c r="C16" s="28"/>
      <c r="D16" s="14"/>
      <c r="E16" s="18"/>
      <c r="F16" s="28"/>
      <c r="G16" s="15"/>
      <c r="H16" s="16"/>
      <c r="I16" s="29"/>
      <c r="J16" s="25"/>
      <c r="K16" s="30"/>
    </row>
    <row r="17" spans="1:11" ht="16" x14ac:dyDescent="0.2">
      <c r="A17" s="26"/>
      <c r="B17" s="27"/>
      <c r="C17" s="28"/>
      <c r="D17" s="11"/>
      <c r="E17" s="22"/>
      <c r="F17" s="28"/>
      <c r="G17" s="19"/>
      <c r="H17" s="12"/>
      <c r="I17" s="29"/>
      <c r="J17" s="25"/>
      <c r="K17" s="30"/>
    </row>
    <row r="18" spans="1:11" ht="16" x14ac:dyDescent="0.2">
      <c r="A18" s="31"/>
      <c r="B18" s="32"/>
      <c r="C18" s="28"/>
      <c r="D18" s="11"/>
      <c r="E18" s="33"/>
      <c r="F18" s="34"/>
      <c r="G18" s="19"/>
      <c r="H18" s="12"/>
      <c r="I18" s="10"/>
      <c r="J18" s="13"/>
      <c r="K18" s="10"/>
    </row>
    <row r="19" spans="1:11" x14ac:dyDescent="0.15">
      <c r="A19" s="35"/>
      <c r="B19" s="36"/>
      <c r="C19" s="37"/>
      <c r="D19" s="38"/>
      <c r="E19" s="35"/>
      <c r="F19" s="37"/>
      <c r="G19" s="39"/>
      <c r="H19" s="37"/>
      <c r="I19" s="36"/>
      <c r="J19" s="40"/>
      <c r="K19" s="36"/>
    </row>
    <row r="20" spans="1:11" x14ac:dyDescent="0.15">
      <c r="A20" s="35"/>
      <c r="B20" s="36"/>
      <c r="C20" s="37"/>
      <c r="D20" s="38"/>
      <c r="E20" s="35"/>
      <c r="F20" s="37"/>
      <c r="G20" s="39"/>
      <c r="H20" s="37"/>
      <c r="I20" s="36"/>
      <c r="J20" s="40"/>
      <c r="K20" s="36"/>
    </row>
    <row r="21" spans="1:11" x14ac:dyDescent="0.15">
      <c r="A21" s="35"/>
      <c r="B21" s="36"/>
      <c r="C21" s="41"/>
      <c r="D21" s="35"/>
      <c r="E21" s="40"/>
      <c r="F21" s="41"/>
      <c r="G21" s="39"/>
      <c r="H21" s="37"/>
      <c r="I21" s="36"/>
      <c r="J21" s="40"/>
      <c r="K21" s="36"/>
    </row>
    <row r="22" spans="1:11" x14ac:dyDescent="0.15">
      <c r="A22" s="42"/>
      <c r="B22" s="43"/>
      <c r="C22" s="44"/>
      <c r="D22" s="44"/>
      <c r="E22" s="45" t="s">
        <v>21</v>
      </c>
      <c r="F22" s="46">
        <f>SUM(F9:F21)</f>
        <v>73</v>
      </c>
      <c r="G22" s="47">
        <f>SUM(G9:G21)/F22</f>
        <v>1345</v>
      </c>
      <c r="H22" s="48">
        <f>SUM(H9:H21)/F22</f>
        <v>15</v>
      </c>
      <c r="I22" s="49" t="s">
        <v>22</v>
      </c>
      <c r="J22" s="174">
        <v>4.8611111111111112E-2</v>
      </c>
      <c r="K22" s="43"/>
    </row>
    <row r="23" spans="1:11" x14ac:dyDescent="0.15">
      <c r="E23" s="50"/>
      <c r="F23" s="51"/>
      <c r="I23" s="52" t="s">
        <v>23</v>
      </c>
      <c r="J23" s="53">
        <v>1.17</v>
      </c>
    </row>
    <row r="24" spans="1:11" x14ac:dyDescent="0.15">
      <c r="A24" s="1"/>
      <c r="I24" s="54"/>
      <c r="J24" s="55"/>
    </row>
    <row r="25" spans="1:11" x14ac:dyDescent="0.15">
      <c r="A25" s="56" t="s">
        <v>24</v>
      </c>
      <c r="B25" s="56"/>
      <c r="C25" s="56"/>
      <c r="D25" s="41"/>
      <c r="H25" s="4" t="s">
        <v>25</v>
      </c>
      <c r="I25" s="4"/>
      <c r="J25" s="50">
        <f>F22</f>
        <v>73</v>
      </c>
      <c r="K25" s="1" t="s">
        <v>16</v>
      </c>
    </row>
    <row r="26" spans="1:11" x14ac:dyDescent="0.15">
      <c r="A26" s="56" t="s">
        <v>26</v>
      </c>
      <c r="B26" s="56"/>
      <c r="C26" s="56"/>
      <c r="D26" s="41"/>
      <c r="H26" s="4" t="s">
        <v>27</v>
      </c>
      <c r="I26" s="4"/>
      <c r="J26" s="50">
        <f>94+97+82+78+67+71+56+74+80+86+96+64+48+63+69+58+78+75+76+78+78+80+68+71+70+78+30+64+73</f>
        <v>2102</v>
      </c>
      <c r="K26" s="1" t="s">
        <v>16</v>
      </c>
    </row>
    <row r="27" spans="1:11" ht="15" thickBot="1" x14ac:dyDescent="0.2">
      <c r="A27" s="57"/>
      <c r="B27" s="57"/>
      <c r="C27" s="57"/>
      <c r="D27" s="57"/>
      <c r="E27" s="58"/>
      <c r="F27" s="58"/>
      <c r="G27" s="57"/>
      <c r="H27" s="59" t="s">
        <v>28</v>
      </c>
      <c r="I27" s="59"/>
      <c r="J27" s="60">
        <v>103</v>
      </c>
      <c r="K27" s="61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62" t="s">
        <v>42</v>
      </c>
      <c r="K41" s="2" t="s">
        <v>43</v>
      </c>
    </row>
    <row r="42" spans="9:11" ht="15" hidden="1" x14ac:dyDescent="0.15">
      <c r="I42" s="62" t="s">
        <v>44</v>
      </c>
      <c r="K42" s="2" t="s">
        <v>45</v>
      </c>
    </row>
    <row r="43" spans="9:11" hidden="1" x14ac:dyDescent="0.15">
      <c r="I43" s="63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5BE57BF8-56FD-4520-937D-839553520FEA}">
      <formula1>$K$29:$K$85</formula1>
    </dataValidation>
    <dataValidation type="list" allowBlank="1" showInputMessage="1" showErrorMessage="1" sqref="B20:B21" xr:uid="{4BF622F5-F74E-4204-95ED-2E51160B15ED}">
      <formula1>$K$29:$K$40</formula1>
    </dataValidation>
    <dataValidation type="list" allowBlank="1" showInputMessage="1" showErrorMessage="1" sqref="I50 K15:K21" xr:uid="{0055C484-B864-422D-948E-C12064AB42B9}">
      <formula1>$I$41:$I$50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W122"/>
  <sheetViews>
    <sheetView tabSelected="1" topLeftCell="W48" zoomScale="78" zoomScaleNormal="78" workbookViewId="0">
      <selection activeCell="D116" sqref="D116:D122"/>
    </sheetView>
  </sheetViews>
  <sheetFormatPr baseColWidth="10" defaultColWidth="9.1640625" defaultRowHeight="20" x14ac:dyDescent="0.2"/>
  <cols>
    <col min="1" max="1" width="4.5" style="171" customWidth="1"/>
    <col min="2" max="2" width="65.5" style="69" bestFit="1" customWidth="1"/>
    <col min="3" max="3" width="14.83203125" style="172" hidden="1" customWidth="1"/>
    <col min="4" max="4" width="12.1640625" style="69" customWidth="1"/>
    <col min="5" max="5" width="12.6640625" style="69" hidden="1" customWidth="1"/>
    <col min="6" max="6" width="17.33203125" style="69" hidden="1" customWidth="1"/>
    <col min="7" max="10" width="10.1640625" style="69" customWidth="1"/>
    <col min="11" max="11" width="12" style="69" bestFit="1" customWidth="1"/>
    <col min="12" max="24" width="11.6640625" style="69" bestFit="1" customWidth="1"/>
    <col min="25" max="36" width="11.6640625" style="69" customWidth="1"/>
    <col min="37" max="37" width="10.1640625" style="69" hidden="1" customWidth="1"/>
    <col min="38" max="38" width="11.6640625" style="69" hidden="1" customWidth="1"/>
    <col min="39" max="39" width="12.5" style="69" hidden="1" customWidth="1"/>
    <col min="40" max="40" width="11.6640625" style="69" hidden="1" customWidth="1"/>
    <col min="41" max="41" width="12" style="69" hidden="1" customWidth="1"/>
    <col min="42" max="42" width="12.1640625" style="69" hidden="1" customWidth="1"/>
    <col min="43" max="43" width="11.83203125" style="69" hidden="1" customWidth="1"/>
    <col min="44" max="44" width="11" style="69" hidden="1" customWidth="1"/>
    <col min="45" max="49" width="11.33203125" style="69" hidden="1" customWidth="1"/>
    <col min="50" max="50" width="13.1640625" style="69" hidden="1" customWidth="1"/>
    <col min="51" max="51" width="12.6640625" style="69" hidden="1" customWidth="1"/>
    <col min="52" max="58" width="11.33203125" style="69" hidden="1" customWidth="1"/>
    <col min="59" max="71" width="11" style="69" hidden="1" customWidth="1"/>
    <col min="72" max="72" width="34.33203125" style="173" customWidth="1"/>
    <col min="73" max="73" width="14.83203125" style="69" customWidth="1"/>
    <col min="74" max="74" width="13.5" style="69" customWidth="1"/>
    <col min="75" max="75" width="17" style="69" customWidth="1"/>
    <col min="76" max="76" width="10" style="69" customWidth="1"/>
    <col min="77" max="16384" width="9.1640625" style="69"/>
  </cols>
  <sheetData>
    <row r="1" spans="1:74" ht="23" x14ac:dyDescent="0.25">
      <c r="A1" s="65" t="s">
        <v>3</v>
      </c>
      <c r="B1" s="66" t="s">
        <v>236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8"/>
    </row>
    <row r="2" spans="1:74" ht="44.25" customHeight="1" x14ac:dyDescent="0.2">
      <c r="A2" s="70"/>
      <c r="B2" s="71" t="s">
        <v>95</v>
      </c>
      <c r="C2" s="71" t="s">
        <v>96</v>
      </c>
      <c r="D2" s="72" t="s">
        <v>97</v>
      </c>
      <c r="E2" s="72">
        <v>1</v>
      </c>
      <c r="F2" s="72">
        <v>2</v>
      </c>
      <c r="G2" s="72">
        <v>1</v>
      </c>
      <c r="H2" s="72">
        <v>2</v>
      </c>
      <c r="I2" s="72">
        <v>3</v>
      </c>
      <c r="J2" s="72">
        <v>4</v>
      </c>
      <c r="K2" s="72">
        <v>5</v>
      </c>
      <c r="L2" s="72">
        <v>6</v>
      </c>
      <c r="M2" s="72">
        <v>7</v>
      </c>
      <c r="N2" s="72">
        <v>8</v>
      </c>
      <c r="O2" s="72">
        <v>9</v>
      </c>
      <c r="P2" s="72">
        <v>10</v>
      </c>
      <c r="Q2" s="72">
        <v>11</v>
      </c>
      <c r="R2" s="72">
        <v>12</v>
      </c>
      <c r="S2" s="72">
        <v>13</v>
      </c>
      <c r="T2" s="72">
        <v>14</v>
      </c>
      <c r="U2" s="72">
        <v>15</v>
      </c>
      <c r="V2" s="72">
        <v>16</v>
      </c>
      <c r="W2" s="72">
        <v>17</v>
      </c>
      <c r="X2" s="72">
        <v>18</v>
      </c>
      <c r="Y2" s="72">
        <v>19</v>
      </c>
      <c r="Z2" s="72">
        <v>20</v>
      </c>
      <c r="AA2" s="72">
        <v>21</v>
      </c>
      <c r="AB2" s="72">
        <v>22</v>
      </c>
      <c r="AC2" s="72">
        <v>23</v>
      </c>
      <c r="AD2" s="72">
        <v>24</v>
      </c>
      <c r="AE2" s="72">
        <v>25</v>
      </c>
      <c r="AF2" s="72">
        <v>26</v>
      </c>
      <c r="AG2" s="72">
        <v>27</v>
      </c>
      <c r="AH2" s="72">
        <v>28</v>
      </c>
      <c r="AI2" s="72">
        <v>29</v>
      </c>
      <c r="AJ2" s="72">
        <v>30</v>
      </c>
      <c r="AK2" s="72">
        <v>7</v>
      </c>
      <c r="AL2" s="72">
        <v>8</v>
      </c>
      <c r="AM2" s="72">
        <v>9</v>
      </c>
      <c r="AN2" s="72">
        <v>10</v>
      </c>
      <c r="AO2" s="72">
        <v>11</v>
      </c>
      <c r="AP2" s="72">
        <v>12</v>
      </c>
      <c r="AQ2" s="72">
        <v>13</v>
      </c>
      <c r="AR2" s="72">
        <v>14</v>
      </c>
      <c r="AS2" s="72">
        <v>15</v>
      </c>
      <c r="AT2" s="72">
        <v>16</v>
      </c>
      <c r="AU2" s="72">
        <v>17</v>
      </c>
      <c r="AV2" s="72">
        <v>18</v>
      </c>
      <c r="AW2" s="72">
        <v>19</v>
      </c>
      <c r="AX2" s="72">
        <v>20</v>
      </c>
      <c r="AY2" s="72">
        <v>21</v>
      </c>
      <c r="AZ2" s="72">
        <v>22</v>
      </c>
      <c r="BA2" s="72">
        <v>23</v>
      </c>
      <c r="BB2" s="72">
        <v>24</v>
      </c>
      <c r="BC2" s="72">
        <v>25</v>
      </c>
      <c r="BD2" s="72">
        <v>26</v>
      </c>
      <c r="BE2" s="72">
        <v>27</v>
      </c>
      <c r="BF2" s="72">
        <v>28</v>
      </c>
      <c r="BG2" s="72">
        <v>16</v>
      </c>
      <c r="BH2" s="72">
        <v>17</v>
      </c>
      <c r="BI2" s="72">
        <v>18</v>
      </c>
      <c r="BJ2" s="72">
        <v>19</v>
      </c>
      <c r="BK2" s="72">
        <v>20</v>
      </c>
      <c r="BL2" s="72">
        <v>21</v>
      </c>
      <c r="BM2" s="72">
        <v>22</v>
      </c>
      <c r="BN2" s="72">
        <v>23</v>
      </c>
      <c r="BO2" s="72">
        <v>24</v>
      </c>
      <c r="BP2" s="72">
        <v>25</v>
      </c>
      <c r="BQ2" s="72">
        <v>26</v>
      </c>
      <c r="BR2" s="72">
        <v>27</v>
      </c>
      <c r="BS2" s="72">
        <v>28</v>
      </c>
      <c r="BT2" s="73" t="s">
        <v>98</v>
      </c>
    </row>
    <row r="3" spans="1:74" s="80" customFormat="1" x14ac:dyDescent="0.2">
      <c r="A3" s="74" t="s">
        <v>99</v>
      </c>
      <c r="B3" s="75" t="s">
        <v>100</v>
      </c>
      <c r="C3" s="76"/>
      <c r="D3" s="77" t="s">
        <v>101</v>
      </c>
      <c r="E3" s="78"/>
      <c r="F3" s="79"/>
      <c r="G3" s="79"/>
      <c r="H3" s="79"/>
      <c r="I3" s="228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30"/>
    </row>
    <row r="4" spans="1:74" x14ac:dyDescent="0.2">
      <c r="A4" s="81">
        <v>1</v>
      </c>
      <c r="B4" s="82" t="s">
        <v>102</v>
      </c>
      <c r="C4" s="83"/>
      <c r="D4" s="84" t="s">
        <v>16</v>
      </c>
      <c r="E4" s="78">
        <v>0</v>
      </c>
      <c r="F4" s="78">
        <v>0</v>
      </c>
      <c r="G4" s="85">
        <v>0</v>
      </c>
      <c r="H4" s="85">
        <v>0</v>
      </c>
      <c r="I4" s="85">
        <v>0</v>
      </c>
      <c r="J4" s="85">
        <v>0</v>
      </c>
      <c r="K4" s="85">
        <v>0</v>
      </c>
      <c r="L4" s="85">
        <v>0</v>
      </c>
      <c r="M4" s="85">
        <v>0</v>
      </c>
      <c r="N4" s="85">
        <v>0</v>
      </c>
      <c r="O4" s="85">
        <v>0</v>
      </c>
      <c r="P4" s="85">
        <v>0</v>
      </c>
      <c r="Q4" s="85">
        <v>0</v>
      </c>
      <c r="R4" s="85">
        <v>0</v>
      </c>
      <c r="S4" s="85">
        <v>0</v>
      </c>
      <c r="T4" s="85">
        <v>0</v>
      </c>
      <c r="U4" s="85">
        <v>0</v>
      </c>
      <c r="V4" s="85">
        <v>0</v>
      </c>
      <c r="W4" s="85">
        <v>0</v>
      </c>
      <c r="X4" s="85">
        <v>0</v>
      </c>
      <c r="Y4" s="85">
        <v>0</v>
      </c>
      <c r="Z4" s="85">
        <v>0</v>
      </c>
      <c r="AA4" s="85">
        <v>0</v>
      </c>
      <c r="AB4" s="85">
        <v>0</v>
      </c>
      <c r="AC4" s="85">
        <v>0</v>
      </c>
      <c r="AD4" s="85">
        <v>0</v>
      </c>
      <c r="AE4" s="85">
        <v>0</v>
      </c>
      <c r="AF4" s="85">
        <v>0</v>
      </c>
      <c r="AG4" s="85">
        <v>0</v>
      </c>
      <c r="AH4" s="85">
        <v>0</v>
      </c>
      <c r="AI4" s="85">
        <v>0</v>
      </c>
      <c r="AJ4" s="85">
        <v>0</v>
      </c>
      <c r="AK4" s="85"/>
      <c r="AL4" s="85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8">
        <f t="shared" ref="BT4:BT46" si="0">SUM(G4:BF4)</f>
        <v>0</v>
      </c>
      <c r="BU4" s="89"/>
    </row>
    <row r="5" spans="1:74" x14ac:dyDescent="0.2">
      <c r="A5" s="81">
        <v>2</v>
      </c>
      <c r="B5" s="82" t="s">
        <v>103</v>
      </c>
      <c r="C5" s="83"/>
      <c r="D5" s="84" t="s">
        <v>16</v>
      </c>
      <c r="E5" s="78"/>
      <c r="F5" s="78"/>
      <c r="G5" s="85">
        <v>29.425999999999998</v>
      </c>
      <c r="H5" s="85">
        <v>7.9169999999999998</v>
      </c>
      <c r="I5" s="85">
        <v>24.899000000000001</v>
      </c>
      <c r="J5" s="85">
        <v>24.143999999999998</v>
      </c>
      <c r="K5" s="85">
        <v>26.658999999999999</v>
      </c>
      <c r="L5" s="85">
        <v>29.173999999999999</v>
      </c>
      <c r="M5" s="85">
        <v>45.27</v>
      </c>
      <c r="N5" s="85">
        <v>62.372</v>
      </c>
      <c r="O5" s="85">
        <v>29.173999999999999</v>
      </c>
      <c r="P5" s="85">
        <v>25.652999999999999</v>
      </c>
      <c r="Q5" s="85">
        <v>27.161999999999999</v>
      </c>
      <c r="R5" s="85">
        <v>40.743000000000002</v>
      </c>
      <c r="S5" s="85">
        <v>33.198</v>
      </c>
      <c r="T5" s="85">
        <v>48.276000000000003</v>
      </c>
      <c r="U5" s="85">
        <v>47.276000000000003</v>
      </c>
      <c r="V5" s="85">
        <v>0</v>
      </c>
      <c r="W5" s="85">
        <v>29.928999999999998</v>
      </c>
      <c r="X5" s="85">
        <v>28.686</v>
      </c>
      <c r="Y5" s="85">
        <v>32.722999999999999</v>
      </c>
      <c r="Z5" s="85">
        <v>17.625</v>
      </c>
      <c r="AA5" s="85">
        <v>9.0719999999999992</v>
      </c>
      <c r="AB5" s="85">
        <v>10.08</v>
      </c>
      <c r="AC5" s="85">
        <v>9.0540000000000003</v>
      </c>
      <c r="AD5" s="85">
        <v>17.114000000000001</v>
      </c>
      <c r="AE5" s="85">
        <v>10.569000000000001</v>
      </c>
      <c r="AF5" s="85">
        <v>20.12</v>
      </c>
      <c r="AG5" s="85">
        <v>12.579000000000001</v>
      </c>
      <c r="AH5" s="85">
        <v>8.5530000000000008</v>
      </c>
      <c r="AI5" s="85">
        <v>16.102</v>
      </c>
      <c r="AJ5" s="85">
        <v>29.94</v>
      </c>
      <c r="AK5" s="85"/>
      <c r="AL5" s="85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8">
        <f t="shared" si="0"/>
        <v>753.48899999999992</v>
      </c>
      <c r="BU5" s="89"/>
      <c r="BV5" s="114"/>
    </row>
    <row r="6" spans="1:74" x14ac:dyDescent="0.2">
      <c r="A6" s="81">
        <v>3</v>
      </c>
      <c r="B6" s="82" t="s">
        <v>104</v>
      </c>
      <c r="C6" s="83"/>
      <c r="D6" s="84" t="s">
        <v>16</v>
      </c>
      <c r="E6" s="78">
        <v>0</v>
      </c>
      <c r="F6" s="78">
        <v>0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5">
        <v>0</v>
      </c>
      <c r="M6" s="85">
        <v>0</v>
      </c>
      <c r="N6" s="85">
        <v>0</v>
      </c>
      <c r="O6" s="85">
        <v>0</v>
      </c>
      <c r="P6" s="85">
        <v>0</v>
      </c>
      <c r="Q6" s="85">
        <v>0</v>
      </c>
      <c r="R6" s="85">
        <v>0</v>
      </c>
      <c r="S6" s="85">
        <v>0</v>
      </c>
      <c r="T6" s="85">
        <v>0</v>
      </c>
      <c r="U6" s="85">
        <v>0</v>
      </c>
      <c r="V6" s="85">
        <v>0</v>
      </c>
      <c r="W6" s="85">
        <v>0</v>
      </c>
      <c r="X6" s="85">
        <v>0</v>
      </c>
      <c r="Y6" s="85">
        <v>0</v>
      </c>
      <c r="Z6" s="85">
        <v>0</v>
      </c>
      <c r="AA6" s="85">
        <v>0</v>
      </c>
      <c r="AB6" s="85">
        <v>0</v>
      </c>
      <c r="AC6" s="85">
        <v>0</v>
      </c>
      <c r="AD6" s="85">
        <v>0</v>
      </c>
      <c r="AE6" s="85">
        <v>0</v>
      </c>
      <c r="AF6" s="85">
        <v>0</v>
      </c>
      <c r="AG6" s="85">
        <v>0</v>
      </c>
      <c r="AH6" s="85">
        <v>0</v>
      </c>
      <c r="AI6" s="85">
        <v>0</v>
      </c>
      <c r="AJ6" s="85">
        <v>0</v>
      </c>
      <c r="AK6" s="85"/>
      <c r="AL6" s="85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8">
        <f t="shared" si="0"/>
        <v>0</v>
      </c>
      <c r="BU6" s="89"/>
      <c r="BV6" s="114"/>
    </row>
    <row r="7" spans="1:74" x14ac:dyDescent="0.2">
      <c r="A7" s="81">
        <v>4</v>
      </c>
      <c r="B7" s="82" t="s">
        <v>105</v>
      </c>
      <c r="C7" s="83"/>
      <c r="D7" s="84" t="s">
        <v>16</v>
      </c>
      <c r="E7" s="78">
        <v>0</v>
      </c>
      <c r="F7" s="78">
        <v>0</v>
      </c>
      <c r="G7" s="85">
        <v>9.7889999999999997</v>
      </c>
      <c r="H7" s="85">
        <v>9.2870000000000008</v>
      </c>
      <c r="I7" s="85">
        <v>8.2829999999999995</v>
      </c>
      <c r="J7" s="85">
        <v>8.032</v>
      </c>
      <c r="K7" s="85">
        <v>13.052</v>
      </c>
      <c r="L7" s="85">
        <v>14.558</v>
      </c>
      <c r="M7" s="85">
        <v>0.502</v>
      </c>
      <c r="N7" s="85">
        <v>0</v>
      </c>
      <c r="O7" s="85">
        <v>13.052</v>
      </c>
      <c r="P7" s="85">
        <v>17.068000000000001</v>
      </c>
      <c r="Q7" s="85">
        <v>18.071999999999999</v>
      </c>
      <c r="R7" s="85">
        <v>3.012</v>
      </c>
      <c r="S7" s="85">
        <v>0</v>
      </c>
      <c r="T7" s="85">
        <v>0</v>
      </c>
      <c r="U7" s="85">
        <v>0</v>
      </c>
      <c r="V7" s="85">
        <v>0</v>
      </c>
      <c r="W7" s="85">
        <v>10.542</v>
      </c>
      <c r="X7" s="85">
        <v>14.055999999999999</v>
      </c>
      <c r="Y7" s="85">
        <v>12.55</v>
      </c>
      <c r="Z7" s="85">
        <v>21.084</v>
      </c>
      <c r="AA7" s="85">
        <v>29.116</v>
      </c>
      <c r="AB7" s="85">
        <v>30.12</v>
      </c>
      <c r="AC7" s="85">
        <v>26.103999999999999</v>
      </c>
      <c r="AD7" s="85">
        <v>0</v>
      </c>
      <c r="AE7" s="85">
        <v>9.7889999999999997</v>
      </c>
      <c r="AF7" s="85">
        <v>10.039999999999999</v>
      </c>
      <c r="AG7" s="85">
        <v>27.108000000000001</v>
      </c>
      <c r="AH7" s="85">
        <v>15.06</v>
      </c>
      <c r="AI7" s="85">
        <v>26.103999999999999</v>
      </c>
      <c r="AJ7" s="85">
        <v>8.032</v>
      </c>
      <c r="AK7" s="85"/>
      <c r="AL7" s="85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8">
        <f t="shared" si="0"/>
        <v>354.41199999999998</v>
      </c>
      <c r="BU7" s="89"/>
    </row>
    <row r="8" spans="1:74" x14ac:dyDescent="0.2">
      <c r="A8" s="81">
        <v>5</v>
      </c>
      <c r="B8" s="82" t="s">
        <v>106</v>
      </c>
      <c r="C8" s="83"/>
      <c r="D8" s="84" t="s">
        <v>16</v>
      </c>
      <c r="E8" s="78"/>
      <c r="F8" s="78"/>
      <c r="G8" s="85">
        <v>40.247999999999998</v>
      </c>
      <c r="H8" s="85">
        <v>38.183999999999997</v>
      </c>
      <c r="I8" s="85">
        <v>34.055999999999997</v>
      </c>
      <c r="J8" s="85">
        <v>33.024000000000001</v>
      </c>
      <c r="K8" s="85">
        <v>14.964</v>
      </c>
      <c r="L8" s="85">
        <v>14.964</v>
      </c>
      <c r="M8" s="85">
        <v>0.51600000000000001</v>
      </c>
      <c r="N8" s="85">
        <v>0</v>
      </c>
      <c r="O8" s="85">
        <v>20.123999999999999</v>
      </c>
      <c r="P8" s="85">
        <v>26.315999999999999</v>
      </c>
      <c r="Q8" s="85">
        <v>28.08</v>
      </c>
      <c r="R8" s="85">
        <v>4.68</v>
      </c>
      <c r="S8" s="85">
        <v>0</v>
      </c>
      <c r="T8" s="85">
        <v>0</v>
      </c>
      <c r="U8" s="85">
        <v>0</v>
      </c>
      <c r="V8" s="85">
        <v>0</v>
      </c>
      <c r="W8" s="85">
        <v>16.38</v>
      </c>
      <c r="X8" s="85">
        <v>21.84</v>
      </c>
      <c r="Y8" s="85">
        <v>19.5</v>
      </c>
      <c r="Z8" s="85">
        <v>24.44</v>
      </c>
      <c r="AA8" s="85">
        <v>30.16</v>
      </c>
      <c r="AB8" s="85">
        <v>31.2</v>
      </c>
      <c r="AC8" s="85">
        <v>27.04</v>
      </c>
      <c r="AD8" s="85">
        <v>0</v>
      </c>
      <c r="AE8" s="85">
        <v>0</v>
      </c>
      <c r="AF8" s="85">
        <v>0</v>
      </c>
      <c r="AG8" s="85">
        <v>11.44</v>
      </c>
      <c r="AH8" s="85">
        <v>7.8</v>
      </c>
      <c r="AI8" s="85">
        <v>13.52</v>
      </c>
      <c r="AJ8" s="85">
        <v>24.96</v>
      </c>
      <c r="AK8" s="85"/>
      <c r="AL8" s="85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8">
        <f t="shared" si="0"/>
        <v>483.43599999999998</v>
      </c>
      <c r="BU8" s="89"/>
    </row>
    <row r="9" spans="1:74" x14ac:dyDescent="0.2">
      <c r="A9" s="81">
        <v>6</v>
      </c>
      <c r="B9" s="82" t="s">
        <v>107</v>
      </c>
      <c r="C9" s="83"/>
      <c r="D9" s="84" t="s">
        <v>16</v>
      </c>
      <c r="E9" s="78"/>
      <c r="F9" s="78"/>
      <c r="G9" s="85">
        <v>0</v>
      </c>
      <c r="H9" s="85">
        <v>0</v>
      </c>
      <c r="I9" s="85">
        <v>0</v>
      </c>
      <c r="J9" s="85">
        <v>0</v>
      </c>
      <c r="K9" s="85">
        <v>0</v>
      </c>
      <c r="L9" s="85">
        <v>0</v>
      </c>
      <c r="M9" s="85">
        <v>0</v>
      </c>
      <c r="N9" s="85">
        <v>0</v>
      </c>
      <c r="O9" s="85">
        <v>0</v>
      </c>
      <c r="P9" s="85">
        <v>0</v>
      </c>
      <c r="Q9" s="85">
        <v>0</v>
      </c>
      <c r="R9" s="85">
        <v>0</v>
      </c>
      <c r="S9" s="85">
        <v>0</v>
      </c>
      <c r="T9" s="85">
        <v>0</v>
      </c>
      <c r="U9" s="85">
        <v>0</v>
      </c>
      <c r="V9" s="85">
        <v>0</v>
      </c>
      <c r="W9" s="85">
        <v>0</v>
      </c>
      <c r="X9" s="85">
        <v>0</v>
      </c>
      <c r="Y9" s="85">
        <v>0</v>
      </c>
      <c r="Z9" s="85">
        <v>0</v>
      </c>
      <c r="AA9" s="85">
        <v>0</v>
      </c>
      <c r="AB9" s="85">
        <v>0</v>
      </c>
      <c r="AC9" s="85">
        <v>0</v>
      </c>
      <c r="AD9" s="85">
        <v>0</v>
      </c>
      <c r="AE9" s="85">
        <v>0</v>
      </c>
      <c r="AF9" s="85">
        <v>0</v>
      </c>
      <c r="AG9" s="85">
        <v>0</v>
      </c>
      <c r="AH9" s="85">
        <v>0</v>
      </c>
      <c r="AI9" s="85">
        <v>0</v>
      </c>
      <c r="AJ9" s="85">
        <v>0</v>
      </c>
      <c r="AK9" s="85"/>
      <c r="AL9" s="85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8">
        <f t="shared" si="0"/>
        <v>0</v>
      </c>
      <c r="BU9" s="89"/>
    </row>
    <row r="10" spans="1:74" x14ac:dyDescent="0.2">
      <c r="A10" s="81">
        <v>7</v>
      </c>
      <c r="B10" s="82" t="s">
        <v>108</v>
      </c>
      <c r="C10" s="83"/>
      <c r="D10" s="84" t="s">
        <v>16</v>
      </c>
      <c r="E10" s="78"/>
      <c r="F10" s="78"/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5">
        <v>0</v>
      </c>
      <c r="M10" s="85">
        <v>0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5">
        <v>0</v>
      </c>
      <c r="AA10" s="85">
        <v>0</v>
      </c>
      <c r="AB10" s="85">
        <v>0</v>
      </c>
      <c r="AC10" s="85">
        <v>0</v>
      </c>
      <c r="AD10" s="85">
        <v>0</v>
      </c>
      <c r="AE10" s="85">
        <v>0</v>
      </c>
      <c r="AF10" s="85">
        <v>0</v>
      </c>
      <c r="AG10" s="85">
        <v>0</v>
      </c>
      <c r="AH10" s="85">
        <v>0</v>
      </c>
      <c r="AI10" s="85">
        <v>0</v>
      </c>
      <c r="AJ10" s="85">
        <v>0</v>
      </c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78"/>
      <c r="BH10" s="78"/>
      <c r="BI10" s="78"/>
      <c r="BJ10" s="78"/>
      <c r="BK10" s="78"/>
      <c r="BL10" s="78"/>
      <c r="BM10" s="87"/>
      <c r="BN10" s="87"/>
      <c r="BO10" s="87"/>
      <c r="BP10" s="87"/>
      <c r="BQ10" s="87"/>
      <c r="BR10" s="87"/>
      <c r="BS10" s="87"/>
      <c r="BT10" s="88">
        <f t="shared" si="0"/>
        <v>0</v>
      </c>
      <c r="BU10" s="89"/>
    </row>
    <row r="11" spans="1:74" x14ac:dyDescent="0.2">
      <c r="A11" s="81">
        <v>8</v>
      </c>
      <c r="B11" s="82" t="s">
        <v>109</v>
      </c>
      <c r="C11" s="83"/>
      <c r="D11" s="84" t="s">
        <v>16</v>
      </c>
      <c r="E11" s="78"/>
      <c r="F11" s="78"/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0</v>
      </c>
      <c r="AC11" s="85">
        <v>0</v>
      </c>
      <c r="AD11" s="85">
        <v>0</v>
      </c>
      <c r="AE11" s="85">
        <v>0</v>
      </c>
      <c r="AF11" s="85">
        <v>0</v>
      </c>
      <c r="AG11" s="85">
        <v>0</v>
      </c>
      <c r="AH11" s="85">
        <v>0</v>
      </c>
      <c r="AI11" s="85">
        <v>0</v>
      </c>
      <c r="AJ11" s="85">
        <v>0</v>
      </c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78"/>
      <c r="BH11" s="78"/>
      <c r="BI11" s="78"/>
      <c r="BJ11" s="78"/>
      <c r="BK11" s="78"/>
      <c r="BL11" s="78"/>
      <c r="BM11" s="87"/>
      <c r="BN11" s="87"/>
      <c r="BO11" s="87"/>
      <c r="BP11" s="87"/>
      <c r="BQ11" s="87"/>
      <c r="BR11" s="87"/>
      <c r="BS11" s="87"/>
      <c r="BT11" s="88">
        <f t="shared" si="0"/>
        <v>0</v>
      </c>
      <c r="BU11" s="89"/>
    </row>
    <row r="12" spans="1:74" x14ac:dyDescent="0.2">
      <c r="A12" s="81">
        <v>9</v>
      </c>
      <c r="B12" s="82" t="s">
        <v>110</v>
      </c>
      <c r="C12" s="83"/>
      <c r="D12" s="84" t="s">
        <v>16</v>
      </c>
      <c r="E12" s="78"/>
      <c r="F12" s="78"/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1.506</v>
      </c>
      <c r="N12" s="85">
        <v>3.012</v>
      </c>
      <c r="O12" s="85">
        <v>3.012</v>
      </c>
      <c r="P12" s="85">
        <v>3.5139999999999998</v>
      </c>
      <c r="Q12" s="85">
        <v>5.5220000000000002</v>
      </c>
      <c r="R12" s="85">
        <v>3.01</v>
      </c>
      <c r="S12" s="85">
        <v>3.012</v>
      </c>
      <c r="T12" s="85">
        <v>4.016</v>
      </c>
      <c r="U12" s="85">
        <v>3.2629999999999999</v>
      </c>
      <c r="V12" s="85">
        <v>0</v>
      </c>
      <c r="W12" s="85">
        <v>2.008</v>
      </c>
      <c r="X12" s="85">
        <v>2.15</v>
      </c>
      <c r="Y12" s="85">
        <v>2.5099999999999998</v>
      </c>
      <c r="Z12" s="85">
        <v>2.008</v>
      </c>
      <c r="AA12" s="85">
        <v>3.5139999999999998</v>
      </c>
      <c r="AB12" s="85">
        <v>3.5139999999999998</v>
      </c>
      <c r="AC12" s="85">
        <v>3.5139999999999998</v>
      </c>
      <c r="AD12" s="85">
        <v>0</v>
      </c>
      <c r="AE12" s="85">
        <v>0</v>
      </c>
      <c r="AF12" s="85">
        <v>0</v>
      </c>
      <c r="AG12" s="85">
        <v>0</v>
      </c>
      <c r="AH12" s="85">
        <v>0</v>
      </c>
      <c r="AI12" s="85">
        <v>0</v>
      </c>
      <c r="AJ12" s="85">
        <v>0</v>
      </c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78"/>
      <c r="BH12" s="78"/>
      <c r="BI12" s="78"/>
      <c r="BJ12" s="78"/>
      <c r="BK12" s="78"/>
      <c r="BL12" s="78"/>
      <c r="BM12" s="87"/>
      <c r="BN12" s="87"/>
      <c r="BO12" s="87"/>
      <c r="BP12" s="87"/>
      <c r="BQ12" s="87"/>
      <c r="BR12" s="87"/>
      <c r="BS12" s="87"/>
      <c r="BT12" s="88">
        <f t="shared" si="0"/>
        <v>49.085000000000008</v>
      </c>
      <c r="BU12" s="89"/>
    </row>
    <row r="13" spans="1:74" x14ac:dyDescent="0.2">
      <c r="A13" s="81">
        <v>10</v>
      </c>
      <c r="B13" s="82" t="s">
        <v>111</v>
      </c>
      <c r="C13" s="83"/>
      <c r="D13" s="84" t="s">
        <v>16</v>
      </c>
      <c r="E13" s="78"/>
      <c r="F13" s="78"/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0</v>
      </c>
      <c r="Z13" s="85">
        <v>0</v>
      </c>
      <c r="AA13" s="85">
        <v>0</v>
      </c>
      <c r="AB13" s="85">
        <v>0</v>
      </c>
      <c r="AC13" s="85">
        <v>0</v>
      </c>
      <c r="AD13" s="85">
        <v>0</v>
      </c>
      <c r="AE13" s="85">
        <v>0</v>
      </c>
      <c r="AF13" s="85">
        <v>0</v>
      </c>
      <c r="AG13" s="85">
        <v>0</v>
      </c>
      <c r="AH13" s="85">
        <v>0</v>
      </c>
      <c r="AI13" s="85">
        <v>0</v>
      </c>
      <c r="AJ13" s="85">
        <v>0</v>
      </c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78"/>
      <c r="BH13" s="78"/>
      <c r="BI13" s="78"/>
      <c r="BJ13" s="78"/>
      <c r="BK13" s="78"/>
      <c r="BL13" s="78"/>
      <c r="BM13" s="87"/>
      <c r="BN13" s="87"/>
      <c r="BO13" s="87"/>
      <c r="BP13" s="87"/>
      <c r="BQ13" s="87"/>
      <c r="BR13" s="87"/>
      <c r="BS13" s="87"/>
      <c r="BT13" s="88">
        <f t="shared" si="0"/>
        <v>0</v>
      </c>
      <c r="BU13" s="206"/>
    </row>
    <row r="14" spans="1:74" x14ac:dyDescent="0.2">
      <c r="A14" s="81">
        <v>11</v>
      </c>
      <c r="B14" s="82" t="s">
        <v>112</v>
      </c>
      <c r="C14" s="83"/>
      <c r="D14" s="84" t="s">
        <v>16</v>
      </c>
      <c r="E14" s="78"/>
      <c r="F14" s="78"/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5">
        <v>0</v>
      </c>
      <c r="T14" s="85">
        <v>0</v>
      </c>
      <c r="U14" s="85">
        <v>0</v>
      </c>
      <c r="V14" s="85">
        <v>0</v>
      </c>
      <c r="W14" s="85">
        <v>0</v>
      </c>
      <c r="X14" s="85">
        <v>0</v>
      </c>
      <c r="Y14" s="85">
        <v>0</v>
      </c>
      <c r="Z14" s="85">
        <v>0</v>
      </c>
      <c r="AA14" s="85">
        <v>0</v>
      </c>
      <c r="AB14" s="85">
        <v>0</v>
      </c>
      <c r="AC14" s="85">
        <v>0</v>
      </c>
      <c r="AD14" s="85">
        <v>0</v>
      </c>
      <c r="AE14" s="85">
        <v>0</v>
      </c>
      <c r="AF14" s="85">
        <v>0</v>
      </c>
      <c r="AG14" s="85">
        <v>0</v>
      </c>
      <c r="AH14" s="85">
        <v>0</v>
      </c>
      <c r="AI14" s="85">
        <v>0</v>
      </c>
      <c r="AJ14" s="85">
        <v>0</v>
      </c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78"/>
      <c r="BH14" s="78"/>
      <c r="BI14" s="78"/>
      <c r="BJ14" s="78"/>
      <c r="BK14" s="78"/>
      <c r="BL14" s="78"/>
      <c r="BM14" s="87"/>
      <c r="BN14" s="87"/>
      <c r="BO14" s="87"/>
      <c r="BP14" s="87"/>
      <c r="BQ14" s="87"/>
      <c r="BR14" s="87"/>
      <c r="BS14" s="87"/>
      <c r="BT14" s="88">
        <f t="shared" si="0"/>
        <v>0</v>
      </c>
      <c r="BU14" s="89"/>
    </row>
    <row r="15" spans="1:74" x14ac:dyDescent="0.2">
      <c r="A15" s="81">
        <v>12</v>
      </c>
      <c r="B15" s="82" t="s">
        <v>113</v>
      </c>
      <c r="C15" s="83"/>
      <c r="D15" s="84" t="s">
        <v>16</v>
      </c>
      <c r="E15" s="78"/>
      <c r="F15" s="78"/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1.494</v>
      </c>
      <c r="N15" s="85">
        <v>2.988</v>
      </c>
      <c r="O15" s="85">
        <v>2.988</v>
      </c>
      <c r="P15" s="85">
        <v>3.4860000000000002</v>
      </c>
      <c r="Q15" s="85">
        <v>5.4779999999999998</v>
      </c>
      <c r="R15" s="85">
        <v>3.4860000000000002</v>
      </c>
      <c r="S15" s="85">
        <v>2.988</v>
      </c>
      <c r="T15" s="85">
        <v>3.984</v>
      </c>
      <c r="U15" s="85">
        <v>3.2370000000000001</v>
      </c>
      <c r="V15" s="85">
        <v>0</v>
      </c>
      <c r="W15" s="85">
        <v>1.992</v>
      </c>
      <c r="X15" s="85">
        <v>2.4900000000000002</v>
      </c>
      <c r="Y15" s="85">
        <v>2.4900000000000002</v>
      </c>
      <c r="Z15" s="85">
        <v>1.992</v>
      </c>
      <c r="AA15" s="85">
        <v>3.4860000000000002</v>
      </c>
      <c r="AB15" s="85">
        <v>3.4860000000000002</v>
      </c>
      <c r="AC15" s="85">
        <v>3.4860000000000002</v>
      </c>
      <c r="AD15" s="85">
        <v>0</v>
      </c>
      <c r="AE15" s="85">
        <v>0</v>
      </c>
      <c r="AF15" s="85">
        <v>0</v>
      </c>
      <c r="AG15" s="85">
        <v>0</v>
      </c>
      <c r="AH15" s="85">
        <v>0</v>
      </c>
      <c r="AI15" s="85">
        <v>0</v>
      </c>
      <c r="AJ15" s="85">
        <v>0</v>
      </c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78"/>
      <c r="BH15" s="78"/>
      <c r="BI15" s="78"/>
      <c r="BJ15" s="78"/>
      <c r="BK15" s="78"/>
      <c r="BL15" s="78"/>
      <c r="BM15" s="87"/>
      <c r="BN15" s="87"/>
      <c r="BO15" s="87"/>
      <c r="BP15" s="87"/>
      <c r="BQ15" s="87"/>
      <c r="BR15" s="87"/>
      <c r="BS15" s="87"/>
      <c r="BT15" s="88">
        <f t="shared" si="0"/>
        <v>49.550999999999995</v>
      </c>
      <c r="BU15" s="89"/>
    </row>
    <row r="16" spans="1:74" x14ac:dyDescent="0.2">
      <c r="A16" s="81">
        <v>13</v>
      </c>
      <c r="B16" s="82" t="s">
        <v>231</v>
      </c>
      <c r="C16" s="83"/>
      <c r="D16" s="84" t="s">
        <v>16</v>
      </c>
      <c r="E16" s="78"/>
      <c r="F16" s="78"/>
      <c r="G16" s="85">
        <v>15.497999999999999</v>
      </c>
      <c r="H16" s="85">
        <v>15.497999999999999</v>
      </c>
      <c r="I16" s="85">
        <v>13.776</v>
      </c>
      <c r="J16" s="85">
        <v>12.054</v>
      </c>
      <c r="K16" s="85">
        <v>15.497999999999999</v>
      </c>
      <c r="L16" s="85">
        <v>10.332000000000001</v>
      </c>
      <c r="M16" s="85">
        <v>7.38</v>
      </c>
      <c r="N16" s="85">
        <v>4.4279999999999999</v>
      </c>
      <c r="O16" s="85">
        <v>4.4279999999999999</v>
      </c>
      <c r="P16" s="85">
        <v>5.1660000000000004</v>
      </c>
      <c r="Q16" s="85">
        <v>8.1180000000000003</v>
      </c>
      <c r="R16" s="85">
        <v>5.1660000000000004</v>
      </c>
      <c r="S16" s="85">
        <v>4.4279999999999999</v>
      </c>
      <c r="T16" s="85">
        <v>5.9039999999999999</v>
      </c>
      <c r="U16" s="85">
        <v>4.92</v>
      </c>
      <c r="V16" s="85">
        <v>0</v>
      </c>
      <c r="W16" s="85">
        <v>2.952</v>
      </c>
      <c r="X16" s="85">
        <v>3.69</v>
      </c>
      <c r="Y16" s="85">
        <v>3.69</v>
      </c>
      <c r="Z16" s="85">
        <v>2.952</v>
      </c>
      <c r="AA16" s="85">
        <v>5.1660000000000004</v>
      </c>
      <c r="AB16" s="85">
        <v>5.1660000000000004</v>
      </c>
      <c r="AC16" s="85">
        <v>6.8879999999999999</v>
      </c>
      <c r="AD16" s="85">
        <v>13.776</v>
      </c>
      <c r="AE16" s="85">
        <v>15.497999999999999</v>
      </c>
      <c r="AF16" s="85">
        <v>15.497999999999999</v>
      </c>
      <c r="AG16" s="85">
        <v>17.22</v>
      </c>
      <c r="AH16" s="85">
        <v>3.444</v>
      </c>
      <c r="AI16" s="85">
        <v>6.8879999999999999</v>
      </c>
      <c r="AJ16" s="85">
        <v>5.1660000000000004</v>
      </c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78"/>
      <c r="BH16" s="78"/>
      <c r="BI16" s="78"/>
      <c r="BJ16" s="78"/>
      <c r="BK16" s="78"/>
      <c r="BL16" s="78"/>
      <c r="BM16" s="87"/>
      <c r="BN16" s="87"/>
      <c r="BO16" s="87"/>
      <c r="BP16" s="87"/>
      <c r="BQ16" s="87"/>
      <c r="BR16" s="87"/>
      <c r="BS16" s="87"/>
      <c r="BT16" s="88">
        <f t="shared" si="0"/>
        <v>240.58799999999994</v>
      </c>
      <c r="BU16" s="89"/>
    </row>
    <row r="17" spans="1:73" x14ac:dyDescent="0.2">
      <c r="A17" s="81">
        <v>14</v>
      </c>
      <c r="B17" s="82" t="s">
        <v>237</v>
      </c>
      <c r="C17" s="83"/>
      <c r="D17" s="84" t="s">
        <v>16</v>
      </c>
      <c r="E17" s="78"/>
      <c r="F17" s="78"/>
      <c r="G17" s="85">
        <v>0</v>
      </c>
      <c r="H17" s="85">
        <v>20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5">
        <v>0</v>
      </c>
      <c r="Y17" s="85">
        <v>0</v>
      </c>
      <c r="Z17" s="85">
        <v>0</v>
      </c>
      <c r="AA17" s="85">
        <v>0</v>
      </c>
      <c r="AB17" s="85">
        <v>0</v>
      </c>
      <c r="AC17" s="85">
        <v>1.004</v>
      </c>
      <c r="AD17" s="85">
        <v>39.155999999999999</v>
      </c>
      <c r="AE17" s="85">
        <v>34.889000000000003</v>
      </c>
      <c r="AF17" s="85">
        <v>20.079999999999998</v>
      </c>
      <c r="AG17" s="85">
        <v>5.5220000000000002</v>
      </c>
      <c r="AH17" s="85">
        <v>0</v>
      </c>
      <c r="AI17" s="85">
        <v>0</v>
      </c>
      <c r="AJ17" s="85">
        <v>0</v>
      </c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78"/>
      <c r="BH17" s="78"/>
      <c r="BI17" s="78"/>
      <c r="BJ17" s="78"/>
      <c r="BK17" s="78"/>
      <c r="BL17" s="78"/>
      <c r="BM17" s="87"/>
      <c r="BN17" s="87"/>
      <c r="BO17" s="87"/>
      <c r="BP17" s="87"/>
      <c r="BQ17" s="87"/>
      <c r="BR17" s="87"/>
      <c r="BS17" s="87"/>
      <c r="BT17" s="88">
        <f t="shared" si="0"/>
        <v>120.65100000000001</v>
      </c>
      <c r="BU17" s="89"/>
    </row>
    <row r="18" spans="1:73" x14ac:dyDescent="0.2">
      <c r="A18" s="81"/>
      <c r="B18" s="90" t="s">
        <v>114</v>
      </c>
      <c r="C18" s="91"/>
      <c r="D18" s="92" t="s">
        <v>16</v>
      </c>
      <c r="E18" s="93">
        <f>SUM(E4:E7)</f>
        <v>0</v>
      </c>
      <c r="F18" s="93">
        <f>SUM(F4:F7)</f>
        <v>0</v>
      </c>
      <c r="G18" s="93">
        <f t="shared" ref="G18:L18" si="1">SUM(G4:G17)</f>
        <v>94.960999999999999</v>
      </c>
      <c r="H18" s="93">
        <f t="shared" si="1"/>
        <v>90.885999999999996</v>
      </c>
      <c r="I18" s="93">
        <f t="shared" si="1"/>
        <v>81.013999999999996</v>
      </c>
      <c r="J18" s="93">
        <f t="shared" si="1"/>
        <v>77.254000000000005</v>
      </c>
      <c r="K18" s="93">
        <f t="shared" si="1"/>
        <v>70.173000000000002</v>
      </c>
      <c r="L18" s="93">
        <f t="shared" si="1"/>
        <v>69.027999999999992</v>
      </c>
      <c r="M18" s="93">
        <f t="shared" ref="M18:R18" si="2">SUM(M4:M17)</f>
        <v>56.668000000000006</v>
      </c>
      <c r="N18" s="93">
        <f t="shared" si="2"/>
        <v>72.8</v>
      </c>
      <c r="O18" s="93">
        <f t="shared" si="2"/>
        <v>72.777999999999992</v>
      </c>
      <c r="P18" s="93">
        <f t="shared" si="2"/>
        <v>81.203000000000003</v>
      </c>
      <c r="Q18" s="93">
        <f t="shared" si="2"/>
        <v>92.431999999999988</v>
      </c>
      <c r="R18" s="93">
        <f t="shared" si="2"/>
        <v>60.096999999999994</v>
      </c>
      <c r="S18" s="93">
        <f t="shared" ref="S18:X18" si="3">SUM(S4:S17)</f>
        <v>43.625999999999998</v>
      </c>
      <c r="T18" s="93">
        <f t="shared" si="3"/>
        <v>62.180000000000007</v>
      </c>
      <c r="U18" s="93">
        <f t="shared" si="3"/>
        <v>58.696000000000005</v>
      </c>
      <c r="V18" s="93">
        <f t="shared" si="3"/>
        <v>0</v>
      </c>
      <c r="W18" s="93">
        <f t="shared" si="3"/>
        <v>63.802999999999997</v>
      </c>
      <c r="X18" s="93">
        <f t="shared" si="3"/>
        <v>72.911999999999992</v>
      </c>
      <c r="Y18" s="93">
        <f t="shared" ref="Y18:AD18" si="4">SUM(Y4:Y17)</f>
        <v>73.462999999999994</v>
      </c>
      <c r="Z18" s="93">
        <f t="shared" si="4"/>
        <v>70.100999999999999</v>
      </c>
      <c r="AA18" s="93">
        <f t="shared" si="4"/>
        <v>80.513999999999996</v>
      </c>
      <c r="AB18" s="93">
        <f t="shared" si="4"/>
        <v>83.566000000000003</v>
      </c>
      <c r="AC18" s="93">
        <f t="shared" si="4"/>
        <v>77.090000000000018</v>
      </c>
      <c r="AD18" s="93">
        <f t="shared" si="4"/>
        <v>70.045999999999992</v>
      </c>
      <c r="AE18" s="93">
        <f t="shared" ref="AE18:AJ18" si="5">SUM(AE4:AE17)</f>
        <v>70.745000000000005</v>
      </c>
      <c r="AF18" s="93">
        <f t="shared" si="5"/>
        <v>65.738</v>
      </c>
      <c r="AG18" s="93">
        <f t="shared" si="5"/>
        <v>73.869</v>
      </c>
      <c r="AH18" s="93">
        <f t="shared" si="5"/>
        <v>34.856999999999999</v>
      </c>
      <c r="AI18" s="93">
        <f t="shared" si="5"/>
        <v>62.613999999999997</v>
      </c>
      <c r="AJ18" s="93">
        <f t="shared" si="5"/>
        <v>68.097999999999999</v>
      </c>
      <c r="AK18" s="93">
        <f t="shared" ref="AK18:BC18" si="6">SUM(AK4:AK15)</f>
        <v>0</v>
      </c>
      <c r="AL18" s="93">
        <f t="shared" si="6"/>
        <v>0</v>
      </c>
      <c r="AM18" s="93">
        <f t="shared" si="6"/>
        <v>0</v>
      </c>
      <c r="AN18" s="93">
        <f t="shared" si="6"/>
        <v>0</v>
      </c>
      <c r="AO18" s="93">
        <f t="shared" si="6"/>
        <v>0</v>
      </c>
      <c r="AP18" s="93">
        <f t="shared" si="6"/>
        <v>0</v>
      </c>
      <c r="AQ18" s="93">
        <f t="shared" si="6"/>
        <v>0</v>
      </c>
      <c r="AR18" s="93">
        <f t="shared" si="6"/>
        <v>0</v>
      </c>
      <c r="AS18" s="93">
        <f t="shared" si="6"/>
        <v>0</v>
      </c>
      <c r="AT18" s="93">
        <f t="shared" si="6"/>
        <v>0</v>
      </c>
      <c r="AU18" s="93">
        <f t="shared" si="6"/>
        <v>0</v>
      </c>
      <c r="AV18" s="93">
        <f t="shared" si="6"/>
        <v>0</v>
      </c>
      <c r="AW18" s="93">
        <f t="shared" si="6"/>
        <v>0</v>
      </c>
      <c r="AX18" s="93">
        <f t="shared" si="6"/>
        <v>0</v>
      </c>
      <c r="AY18" s="93">
        <f t="shared" si="6"/>
        <v>0</v>
      </c>
      <c r="AZ18" s="93">
        <f t="shared" si="6"/>
        <v>0</v>
      </c>
      <c r="BA18" s="93">
        <f t="shared" si="6"/>
        <v>0</v>
      </c>
      <c r="BB18" s="93">
        <f t="shared" si="6"/>
        <v>0</v>
      </c>
      <c r="BC18" s="93">
        <f t="shared" si="6"/>
        <v>0</v>
      </c>
      <c r="BD18" s="93">
        <f>SUM(BD4:BD15)</f>
        <v>0</v>
      </c>
      <c r="BE18" s="93">
        <f t="shared" ref="BE18:BF18" si="7">SUM(BE4:BE13)</f>
        <v>0</v>
      </c>
      <c r="BF18" s="93">
        <f t="shared" si="7"/>
        <v>0</v>
      </c>
      <c r="BG18" s="93">
        <f t="shared" ref="BG18:BL18" si="8">SUM(BG4:BG9)</f>
        <v>0</v>
      </c>
      <c r="BH18" s="93">
        <f t="shared" si="8"/>
        <v>0</v>
      </c>
      <c r="BI18" s="93">
        <f t="shared" si="8"/>
        <v>0</v>
      </c>
      <c r="BJ18" s="93">
        <f t="shared" si="8"/>
        <v>0</v>
      </c>
      <c r="BK18" s="93">
        <f t="shared" si="8"/>
        <v>0</v>
      </c>
      <c r="BL18" s="93">
        <f t="shared" si="8"/>
        <v>0</v>
      </c>
      <c r="BM18" s="93">
        <f t="shared" ref="BM18:BS18" si="9">SUM(BM4:BM10)</f>
        <v>0</v>
      </c>
      <c r="BN18" s="93">
        <f t="shared" si="9"/>
        <v>0</v>
      </c>
      <c r="BO18" s="93">
        <f t="shared" si="9"/>
        <v>0</v>
      </c>
      <c r="BP18" s="93">
        <f t="shared" si="9"/>
        <v>0</v>
      </c>
      <c r="BQ18" s="93">
        <f t="shared" si="9"/>
        <v>0</v>
      </c>
      <c r="BR18" s="93">
        <f t="shared" si="9"/>
        <v>0</v>
      </c>
      <c r="BS18" s="93">
        <f t="shared" si="9"/>
        <v>0</v>
      </c>
      <c r="BT18" s="88">
        <f t="shared" si="0"/>
        <v>2051.2119999999995</v>
      </c>
      <c r="BU18" s="89"/>
    </row>
    <row r="19" spans="1:73" ht="25" x14ac:dyDescent="0.25">
      <c r="A19" s="74" t="s">
        <v>115</v>
      </c>
      <c r="B19" s="94" t="s">
        <v>116</v>
      </c>
      <c r="C19" s="95"/>
      <c r="D19" s="95"/>
      <c r="E19" s="95"/>
      <c r="F19" s="95"/>
      <c r="G19" s="95"/>
      <c r="H19" s="231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3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88">
        <f t="shared" si="0"/>
        <v>0</v>
      </c>
      <c r="BU19" s="89"/>
    </row>
    <row r="20" spans="1:73" x14ac:dyDescent="0.2">
      <c r="A20" s="81">
        <v>1</v>
      </c>
      <c r="B20" s="97" t="s">
        <v>117</v>
      </c>
      <c r="C20" s="83"/>
      <c r="D20" s="84" t="s">
        <v>118</v>
      </c>
      <c r="E20" s="78"/>
      <c r="F20" s="78"/>
      <c r="G20" s="78">
        <v>0</v>
      </c>
      <c r="H20" s="78">
        <v>0</v>
      </c>
      <c r="I20" s="78">
        <v>0</v>
      </c>
      <c r="J20" s="98">
        <v>0</v>
      </c>
      <c r="K20" s="9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  <c r="AI20" s="78">
        <v>0</v>
      </c>
      <c r="AJ20" s="78">
        <v>0</v>
      </c>
      <c r="AK20" s="78"/>
      <c r="AL20" s="78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8">
        <f t="shared" si="0"/>
        <v>0</v>
      </c>
      <c r="BU20" s="89"/>
    </row>
    <row r="21" spans="1:73" x14ac:dyDescent="0.2">
      <c r="A21" s="81">
        <v>2</v>
      </c>
      <c r="B21" s="97" t="s">
        <v>119</v>
      </c>
      <c r="C21" s="83"/>
      <c r="D21" s="84" t="s">
        <v>118</v>
      </c>
      <c r="E21" s="78"/>
      <c r="F21" s="78"/>
      <c r="G21" s="78">
        <v>30</v>
      </c>
      <c r="H21" s="78">
        <v>30</v>
      </c>
      <c r="I21" s="78">
        <v>23</v>
      </c>
      <c r="J21" s="78">
        <v>17</v>
      </c>
      <c r="K21" s="78">
        <v>24</v>
      </c>
      <c r="L21" s="78">
        <v>33</v>
      </c>
      <c r="M21" s="78">
        <v>19</v>
      </c>
      <c r="N21" s="78">
        <v>30</v>
      </c>
      <c r="O21" s="78">
        <v>28</v>
      </c>
      <c r="P21" s="78">
        <v>20</v>
      </c>
      <c r="Q21" s="78">
        <v>21</v>
      </c>
      <c r="R21" s="78">
        <v>20</v>
      </c>
      <c r="S21" s="78">
        <v>15</v>
      </c>
      <c r="T21" s="78">
        <v>18</v>
      </c>
      <c r="U21" s="99">
        <v>15</v>
      </c>
      <c r="V21" s="78">
        <v>0</v>
      </c>
      <c r="W21" s="78">
        <v>35</v>
      </c>
      <c r="X21" s="78">
        <v>30</v>
      </c>
      <c r="Y21" s="78">
        <v>31</v>
      </c>
      <c r="Z21" s="78">
        <v>38</v>
      </c>
      <c r="AA21" s="78">
        <v>31</v>
      </c>
      <c r="AB21" s="78">
        <v>26</v>
      </c>
      <c r="AC21" s="78">
        <v>21</v>
      </c>
      <c r="AD21" s="78">
        <v>23</v>
      </c>
      <c r="AE21" s="78">
        <v>24</v>
      </c>
      <c r="AF21" s="78">
        <v>25</v>
      </c>
      <c r="AG21" s="78">
        <v>24</v>
      </c>
      <c r="AH21" s="78">
        <v>20</v>
      </c>
      <c r="AI21" s="78">
        <v>22</v>
      </c>
      <c r="AJ21" s="78">
        <v>28</v>
      </c>
      <c r="AK21" s="99"/>
      <c r="AL21" s="78"/>
      <c r="AM21" s="87"/>
      <c r="AN21" s="100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8">
        <f t="shared" si="0"/>
        <v>721</v>
      </c>
      <c r="BU21" s="89"/>
    </row>
    <row r="22" spans="1:73" x14ac:dyDescent="0.2">
      <c r="A22" s="81">
        <v>3</v>
      </c>
      <c r="B22" s="97" t="s">
        <v>120</v>
      </c>
      <c r="C22" s="83"/>
      <c r="D22" s="84" t="s">
        <v>118</v>
      </c>
      <c r="E22" s="78"/>
      <c r="F22" s="78"/>
      <c r="G22" s="78">
        <v>0</v>
      </c>
      <c r="H22" s="78">
        <v>0</v>
      </c>
      <c r="I22" s="78">
        <v>20</v>
      </c>
      <c r="J22" s="78">
        <v>20</v>
      </c>
      <c r="K22" s="78">
        <v>20</v>
      </c>
      <c r="L22" s="78">
        <v>20</v>
      </c>
      <c r="M22" s="78">
        <v>20</v>
      </c>
      <c r="N22" s="78">
        <v>20</v>
      </c>
      <c r="O22" s="78">
        <v>20</v>
      </c>
      <c r="P22" s="78">
        <v>20</v>
      </c>
      <c r="Q22" s="78">
        <v>20</v>
      </c>
      <c r="R22" s="78">
        <v>20</v>
      </c>
      <c r="S22" s="78">
        <v>20</v>
      </c>
      <c r="T22" s="78">
        <v>20</v>
      </c>
      <c r="U22" s="78">
        <v>20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20</v>
      </c>
      <c r="AB22" s="78">
        <v>20</v>
      </c>
      <c r="AC22" s="78">
        <v>20</v>
      </c>
      <c r="AD22" s="78">
        <v>20</v>
      </c>
      <c r="AE22" s="78">
        <v>20</v>
      </c>
      <c r="AF22" s="78">
        <v>20</v>
      </c>
      <c r="AG22" s="78">
        <v>20</v>
      </c>
      <c r="AH22" s="78">
        <v>20</v>
      </c>
      <c r="AI22" s="78">
        <v>0</v>
      </c>
      <c r="AJ22" s="78">
        <v>0</v>
      </c>
      <c r="AK22" s="78"/>
      <c r="AL22" s="78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8">
        <f t="shared" si="0"/>
        <v>420</v>
      </c>
      <c r="BU22" s="89"/>
    </row>
    <row r="23" spans="1:73" x14ac:dyDescent="0.2">
      <c r="A23" s="81">
        <v>4</v>
      </c>
      <c r="B23" s="97" t="s">
        <v>223</v>
      </c>
      <c r="C23" s="83"/>
      <c r="D23" s="84" t="s">
        <v>118</v>
      </c>
      <c r="E23" s="78"/>
      <c r="F23" s="78"/>
      <c r="G23" s="78">
        <v>510</v>
      </c>
      <c r="H23" s="78">
        <v>560</v>
      </c>
      <c r="I23" s="78">
        <v>440</v>
      </c>
      <c r="J23" s="78">
        <v>410</v>
      </c>
      <c r="K23" s="78">
        <v>440</v>
      </c>
      <c r="L23" s="78">
        <v>320</v>
      </c>
      <c r="M23" s="78">
        <v>140</v>
      </c>
      <c r="N23" s="78">
        <v>70</v>
      </c>
      <c r="O23" s="78">
        <v>200</v>
      </c>
      <c r="P23" s="78">
        <v>80</v>
      </c>
      <c r="Q23" s="78">
        <v>750</v>
      </c>
      <c r="R23" s="78">
        <v>360</v>
      </c>
      <c r="S23" s="78">
        <v>150</v>
      </c>
      <c r="T23" s="78">
        <v>240</v>
      </c>
      <c r="U23" s="78">
        <v>130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360</v>
      </c>
      <c r="AB23" s="78">
        <v>370</v>
      </c>
      <c r="AC23" s="78">
        <v>400</v>
      </c>
      <c r="AD23" s="78">
        <v>360</v>
      </c>
      <c r="AE23" s="78">
        <v>350</v>
      </c>
      <c r="AF23" s="78">
        <v>330</v>
      </c>
      <c r="AG23" s="78">
        <v>410</v>
      </c>
      <c r="AH23" s="78">
        <v>90</v>
      </c>
      <c r="AI23" s="78">
        <v>0</v>
      </c>
      <c r="AJ23" s="78">
        <v>0</v>
      </c>
      <c r="AK23" s="78"/>
      <c r="AL23" s="78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8">
        <f t="shared" si="0"/>
        <v>7470</v>
      </c>
      <c r="BU23" s="89"/>
    </row>
    <row r="24" spans="1:73" x14ac:dyDescent="0.2">
      <c r="A24" s="81">
        <v>5</v>
      </c>
      <c r="B24" s="97" t="s">
        <v>121</v>
      </c>
      <c r="C24" s="83"/>
      <c r="D24" s="84" t="s">
        <v>118</v>
      </c>
      <c r="E24" s="78"/>
      <c r="F24" s="78"/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24</v>
      </c>
      <c r="N24" s="78">
        <v>3</v>
      </c>
      <c r="O24" s="78">
        <v>0</v>
      </c>
      <c r="P24" s="78">
        <v>0</v>
      </c>
      <c r="Q24" s="78">
        <v>0</v>
      </c>
      <c r="R24" s="78">
        <v>23</v>
      </c>
      <c r="S24" s="78">
        <v>22</v>
      </c>
      <c r="T24" s="78">
        <v>30</v>
      </c>
      <c r="U24" s="78">
        <v>8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F24" s="78">
        <v>0</v>
      </c>
      <c r="AG24" s="78">
        <v>0</v>
      </c>
      <c r="AH24" s="78">
        <v>0</v>
      </c>
      <c r="AI24" s="78">
        <v>0</v>
      </c>
      <c r="AJ24" s="78">
        <v>0</v>
      </c>
      <c r="AK24" s="78"/>
      <c r="AL24" s="78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8">
        <f t="shared" si="0"/>
        <v>110</v>
      </c>
      <c r="BU24" s="89"/>
    </row>
    <row r="25" spans="1:73" x14ac:dyDescent="0.2">
      <c r="A25" s="81">
        <v>6</v>
      </c>
      <c r="B25" s="97" t="s">
        <v>122</v>
      </c>
      <c r="C25" s="83"/>
      <c r="D25" s="84" t="s">
        <v>118</v>
      </c>
      <c r="E25" s="78"/>
      <c r="F25" s="78"/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99">
        <v>0</v>
      </c>
      <c r="Z25" s="99">
        <v>0</v>
      </c>
      <c r="AA25" s="99">
        <v>0</v>
      </c>
      <c r="AB25" s="99">
        <v>0</v>
      </c>
      <c r="AC25" s="99">
        <v>0</v>
      </c>
      <c r="AD25" s="99">
        <v>0</v>
      </c>
      <c r="AE25" s="99">
        <v>0</v>
      </c>
      <c r="AF25" s="99">
        <v>0</v>
      </c>
      <c r="AG25" s="99">
        <v>0</v>
      </c>
      <c r="AH25" s="99">
        <v>0</v>
      </c>
      <c r="AI25" s="99">
        <v>0</v>
      </c>
      <c r="AJ25" s="99">
        <v>0</v>
      </c>
      <c r="AK25" s="78"/>
      <c r="AL25" s="78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78"/>
      <c r="AX25" s="78"/>
      <c r="AY25" s="78"/>
      <c r="AZ25" s="78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8">
        <f t="shared" si="0"/>
        <v>0</v>
      </c>
      <c r="BU25" s="89"/>
    </row>
    <row r="26" spans="1:73" x14ac:dyDescent="0.2">
      <c r="A26" s="81">
        <v>7</v>
      </c>
      <c r="B26" s="97" t="s">
        <v>123</v>
      </c>
      <c r="C26" s="83"/>
      <c r="D26" s="84" t="s">
        <v>118</v>
      </c>
      <c r="E26" s="78"/>
      <c r="F26" s="78"/>
      <c r="G26" s="78">
        <v>142</v>
      </c>
      <c r="H26" s="78">
        <v>123</v>
      </c>
      <c r="I26" s="78">
        <v>130</v>
      </c>
      <c r="J26" s="78">
        <v>118</v>
      </c>
      <c r="K26" s="78">
        <v>82</v>
      </c>
      <c r="L26" s="78">
        <v>80</v>
      </c>
      <c r="M26" s="78">
        <v>60</v>
      </c>
      <c r="N26" s="78">
        <v>90</v>
      </c>
      <c r="O26" s="78">
        <v>104</v>
      </c>
      <c r="P26" s="78">
        <v>100</v>
      </c>
      <c r="Q26" s="78">
        <v>97</v>
      </c>
      <c r="R26" s="78">
        <v>72</v>
      </c>
      <c r="S26" s="78">
        <v>60</v>
      </c>
      <c r="T26" s="78">
        <v>70</v>
      </c>
      <c r="U26" s="78">
        <v>80</v>
      </c>
      <c r="V26" s="78">
        <v>0</v>
      </c>
      <c r="W26" s="78">
        <v>80</v>
      </c>
      <c r="X26" s="78">
        <v>94</v>
      </c>
      <c r="Y26" s="78">
        <v>91</v>
      </c>
      <c r="Z26" s="78">
        <v>92</v>
      </c>
      <c r="AA26" s="78">
        <v>82</v>
      </c>
      <c r="AB26" s="78">
        <v>72</v>
      </c>
      <c r="AC26" s="78">
        <v>76</v>
      </c>
      <c r="AD26" s="78">
        <v>74</v>
      </c>
      <c r="AE26" s="78">
        <v>84</v>
      </c>
      <c r="AF26" s="78">
        <v>75</v>
      </c>
      <c r="AG26" s="78">
        <v>79</v>
      </c>
      <c r="AH26" s="78">
        <v>37</v>
      </c>
      <c r="AI26" s="78">
        <v>63</v>
      </c>
      <c r="AJ26" s="78">
        <v>71</v>
      </c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87"/>
      <c r="AW26" s="78"/>
      <c r="AX26" s="78"/>
      <c r="AY26" s="78"/>
      <c r="AZ26" s="78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8">
        <f t="shared" si="0"/>
        <v>2478</v>
      </c>
      <c r="BU26" s="89"/>
    </row>
    <row r="27" spans="1:73" x14ac:dyDescent="0.2">
      <c r="A27" s="81">
        <v>8</v>
      </c>
      <c r="B27" s="97" t="s">
        <v>124</v>
      </c>
      <c r="C27" s="83"/>
      <c r="D27" s="84" t="s">
        <v>118</v>
      </c>
      <c r="E27" s="78"/>
      <c r="F27" s="78"/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41</v>
      </c>
      <c r="AC27" s="78">
        <v>85</v>
      </c>
      <c r="AD27" s="78">
        <v>71</v>
      </c>
      <c r="AE27" s="78">
        <v>82</v>
      </c>
      <c r="AF27" s="78">
        <v>77</v>
      </c>
      <c r="AG27" s="78">
        <v>70</v>
      </c>
      <c r="AH27" s="78">
        <v>26</v>
      </c>
      <c r="AI27" s="78">
        <v>66</v>
      </c>
      <c r="AJ27" s="78">
        <v>82</v>
      </c>
      <c r="AK27" s="78"/>
      <c r="AL27" s="78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78"/>
      <c r="AX27" s="78"/>
      <c r="AY27" s="78"/>
      <c r="AZ27" s="78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8">
        <f t="shared" si="0"/>
        <v>600</v>
      </c>
      <c r="BU27" s="89"/>
    </row>
    <row r="28" spans="1:73" x14ac:dyDescent="0.2">
      <c r="A28" s="81">
        <v>9</v>
      </c>
      <c r="B28" s="97" t="s">
        <v>125</v>
      </c>
      <c r="C28" s="83"/>
      <c r="D28" s="84" t="s">
        <v>118</v>
      </c>
      <c r="E28" s="78"/>
      <c r="F28" s="78"/>
      <c r="G28" s="78">
        <v>32</v>
      </c>
      <c r="H28" s="78">
        <v>48</v>
      </c>
      <c r="I28" s="78">
        <v>30</v>
      </c>
      <c r="J28" s="78">
        <v>30</v>
      </c>
      <c r="K28" s="78">
        <v>70</v>
      </c>
      <c r="L28" s="78">
        <v>70</v>
      </c>
      <c r="M28" s="78">
        <v>78</v>
      </c>
      <c r="N28" s="78">
        <v>71</v>
      </c>
      <c r="O28" s="78">
        <v>70</v>
      </c>
      <c r="P28" s="78">
        <v>68</v>
      </c>
      <c r="Q28" s="78">
        <v>59</v>
      </c>
      <c r="R28" s="78">
        <v>77</v>
      </c>
      <c r="S28" s="78">
        <v>65</v>
      </c>
      <c r="T28" s="78">
        <v>85</v>
      </c>
      <c r="U28" s="78">
        <v>70</v>
      </c>
      <c r="V28" s="78">
        <v>0</v>
      </c>
      <c r="W28" s="78">
        <v>37</v>
      </c>
      <c r="X28" s="78">
        <v>62</v>
      </c>
      <c r="Y28" s="78">
        <v>86</v>
      </c>
      <c r="Z28" s="78">
        <v>84</v>
      </c>
      <c r="AA28" s="78">
        <v>91</v>
      </c>
      <c r="AB28" s="78">
        <v>28</v>
      </c>
      <c r="AC28" s="78">
        <v>0</v>
      </c>
      <c r="AD28" s="78">
        <v>0</v>
      </c>
      <c r="AE28" s="78">
        <v>0</v>
      </c>
      <c r="AF28" s="78">
        <v>0</v>
      </c>
      <c r="AG28" s="78">
        <v>0</v>
      </c>
      <c r="AH28" s="78">
        <v>0</v>
      </c>
      <c r="AI28" s="78">
        <v>0</v>
      </c>
      <c r="AJ28" s="78">
        <v>0</v>
      </c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8">
        <f t="shared" si="0"/>
        <v>1311</v>
      </c>
      <c r="BU28" s="89"/>
    </row>
    <row r="29" spans="1:73" x14ac:dyDescent="0.2">
      <c r="A29" s="81">
        <v>10</v>
      </c>
      <c r="B29" s="97" t="s">
        <v>126</v>
      </c>
      <c r="C29" s="101"/>
      <c r="D29" s="84" t="s">
        <v>118</v>
      </c>
      <c r="E29" s="78"/>
      <c r="F29" s="78"/>
      <c r="G29" s="78">
        <v>0</v>
      </c>
      <c r="H29" s="78">
        <v>0</v>
      </c>
      <c r="I29" s="78">
        <v>0</v>
      </c>
      <c r="J29" s="78">
        <v>7</v>
      </c>
      <c r="K29" s="78">
        <v>0</v>
      </c>
      <c r="L29" s="78">
        <v>0</v>
      </c>
      <c r="M29" s="78">
        <v>5</v>
      </c>
      <c r="N29" s="78">
        <v>0</v>
      </c>
      <c r="O29" s="78">
        <v>0</v>
      </c>
      <c r="P29" s="78">
        <v>0</v>
      </c>
      <c r="Q29" s="78">
        <v>5</v>
      </c>
      <c r="R29" s="78">
        <v>3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78">
        <v>0</v>
      </c>
      <c r="AI29" s="78">
        <v>0</v>
      </c>
      <c r="AJ29" s="78">
        <v>0</v>
      </c>
      <c r="AK29" s="78"/>
      <c r="AL29" s="78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8">
        <f t="shared" si="0"/>
        <v>20</v>
      </c>
      <c r="BU29" s="89"/>
    </row>
    <row r="30" spans="1:73" x14ac:dyDescent="0.2">
      <c r="A30" s="81">
        <v>11</v>
      </c>
      <c r="B30" s="97" t="s">
        <v>127</v>
      </c>
      <c r="C30" s="83"/>
      <c r="D30" s="84" t="s">
        <v>118</v>
      </c>
      <c r="E30" s="78"/>
      <c r="F30" s="78"/>
      <c r="G30" s="78">
        <v>2</v>
      </c>
      <c r="H30" s="78">
        <v>2</v>
      </c>
      <c r="I30" s="78">
        <v>2</v>
      </c>
      <c r="J30" s="78">
        <v>2</v>
      </c>
      <c r="K30" s="78">
        <v>2</v>
      </c>
      <c r="L30" s="78">
        <v>2</v>
      </c>
      <c r="M30" s="78">
        <v>2</v>
      </c>
      <c r="N30" s="78">
        <v>2</v>
      </c>
      <c r="O30" s="78">
        <v>2</v>
      </c>
      <c r="P30" s="78">
        <v>2</v>
      </c>
      <c r="Q30" s="78">
        <v>2</v>
      </c>
      <c r="R30" s="78">
        <v>2</v>
      </c>
      <c r="S30" s="78">
        <v>2</v>
      </c>
      <c r="T30" s="78">
        <v>2</v>
      </c>
      <c r="U30" s="78">
        <v>2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2</v>
      </c>
      <c r="AB30" s="78">
        <v>2</v>
      </c>
      <c r="AC30" s="78">
        <v>2</v>
      </c>
      <c r="AD30" s="78">
        <v>2</v>
      </c>
      <c r="AE30" s="78">
        <v>2</v>
      </c>
      <c r="AF30" s="78">
        <v>2</v>
      </c>
      <c r="AG30" s="78">
        <v>2</v>
      </c>
      <c r="AH30" s="78">
        <v>1</v>
      </c>
      <c r="AI30" s="78">
        <v>0</v>
      </c>
      <c r="AJ30" s="78">
        <v>0</v>
      </c>
      <c r="AK30" s="78"/>
      <c r="AL30" s="78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8">
        <f t="shared" si="0"/>
        <v>45</v>
      </c>
      <c r="BU30" s="89"/>
    </row>
    <row r="31" spans="1:73" x14ac:dyDescent="0.2">
      <c r="A31" s="81">
        <v>12</v>
      </c>
      <c r="B31" s="97" t="s">
        <v>128</v>
      </c>
      <c r="C31" s="83"/>
      <c r="D31" s="84" t="s">
        <v>118</v>
      </c>
      <c r="E31" s="78"/>
      <c r="F31" s="78"/>
      <c r="G31" s="78">
        <v>3</v>
      </c>
      <c r="H31" s="78">
        <v>3</v>
      </c>
      <c r="I31" s="78">
        <v>3</v>
      </c>
      <c r="J31" s="78">
        <v>3</v>
      </c>
      <c r="K31" s="78">
        <v>3</v>
      </c>
      <c r="L31" s="78">
        <v>3</v>
      </c>
      <c r="M31" s="78">
        <v>3</v>
      </c>
      <c r="N31" s="78">
        <v>0</v>
      </c>
      <c r="O31" s="78">
        <v>1</v>
      </c>
      <c r="P31" s="78">
        <v>1</v>
      </c>
      <c r="Q31" s="78">
        <v>3</v>
      </c>
      <c r="R31" s="78">
        <v>3</v>
      </c>
      <c r="S31" s="78">
        <v>3</v>
      </c>
      <c r="T31" s="78">
        <v>3</v>
      </c>
      <c r="U31" s="99">
        <v>3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3</v>
      </c>
      <c r="AB31" s="78">
        <v>3</v>
      </c>
      <c r="AC31" s="78">
        <v>3</v>
      </c>
      <c r="AD31" s="78">
        <v>3</v>
      </c>
      <c r="AE31" s="78">
        <v>3</v>
      </c>
      <c r="AF31" s="78">
        <v>3</v>
      </c>
      <c r="AG31" s="78">
        <v>3</v>
      </c>
      <c r="AH31" s="78">
        <v>1</v>
      </c>
      <c r="AI31" s="78">
        <v>0</v>
      </c>
      <c r="AJ31" s="78">
        <v>0</v>
      </c>
      <c r="AK31" s="78"/>
      <c r="AL31" s="78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8">
        <f t="shared" si="0"/>
        <v>60</v>
      </c>
      <c r="BU31" s="89"/>
    </row>
    <row r="32" spans="1:73" x14ac:dyDescent="0.2">
      <c r="A32" s="81">
        <v>13</v>
      </c>
      <c r="B32" s="97" t="s">
        <v>129</v>
      </c>
      <c r="C32" s="83"/>
      <c r="D32" s="84" t="s">
        <v>118</v>
      </c>
      <c r="E32" s="78"/>
      <c r="F32" s="78"/>
      <c r="G32" s="78">
        <v>3</v>
      </c>
      <c r="H32" s="78">
        <v>3</v>
      </c>
      <c r="I32" s="78">
        <v>3</v>
      </c>
      <c r="J32" s="78">
        <v>3</v>
      </c>
      <c r="K32" s="78">
        <v>3</v>
      </c>
      <c r="L32" s="78">
        <v>3</v>
      </c>
      <c r="M32" s="78">
        <v>3</v>
      </c>
      <c r="N32" s="78">
        <v>0</v>
      </c>
      <c r="O32" s="78">
        <v>1</v>
      </c>
      <c r="P32" s="78">
        <v>1</v>
      </c>
      <c r="Q32" s="78">
        <v>3</v>
      </c>
      <c r="R32" s="78">
        <v>3</v>
      </c>
      <c r="S32" s="78">
        <v>3</v>
      </c>
      <c r="T32" s="78">
        <v>3</v>
      </c>
      <c r="U32" s="78">
        <v>3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3</v>
      </c>
      <c r="AB32" s="78">
        <v>3</v>
      </c>
      <c r="AC32" s="78">
        <v>3</v>
      </c>
      <c r="AD32" s="78">
        <v>3</v>
      </c>
      <c r="AE32" s="78">
        <v>3</v>
      </c>
      <c r="AF32" s="78">
        <v>3</v>
      </c>
      <c r="AG32" s="78">
        <v>3</v>
      </c>
      <c r="AH32" s="78">
        <v>1</v>
      </c>
      <c r="AI32" s="78">
        <v>0</v>
      </c>
      <c r="AJ32" s="78">
        <v>0</v>
      </c>
      <c r="AK32" s="78"/>
      <c r="AL32" s="78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8">
        <f t="shared" si="0"/>
        <v>60</v>
      </c>
      <c r="BU32" s="89"/>
    </row>
    <row r="33" spans="1:75" x14ac:dyDescent="0.2">
      <c r="A33" s="81">
        <v>14</v>
      </c>
      <c r="B33" s="97" t="s">
        <v>130</v>
      </c>
      <c r="C33" s="83"/>
      <c r="D33" s="84" t="s">
        <v>118</v>
      </c>
      <c r="E33" s="78"/>
      <c r="F33" s="78"/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  <c r="AF33" s="78">
        <v>0</v>
      </c>
      <c r="AG33" s="78">
        <v>0</v>
      </c>
      <c r="AH33" s="78">
        <v>0</v>
      </c>
      <c r="AI33" s="78">
        <v>0</v>
      </c>
      <c r="AJ33" s="78">
        <v>0</v>
      </c>
      <c r="AK33" s="78"/>
      <c r="AL33" s="78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102"/>
      <c r="BN33" s="87"/>
      <c r="BO33" s="87"/>
      <c r="BP33" s="87"/>
      <c r="BQ33" s="87"/>
      <c r="BR33" s="87"/>
      <c r="BS33" s="87"/>
      <c r="BT33" s="88">
        <f t="shared" si="0"/>
        <v>0</v>
      </c>
      <c r="BU33" s="89"/>
    </row>
    <row r="34" spans="1:75" x14ac:dyDescent="0.2">
      <c r="A34" s="81">
        <v>15</v>
      </c>
      <c r="B34" s="97" t="s">
        <v>131</v>
      </c>
      <c r="C34" s="101"/>
      <c r="D34" s="84" t="s">
        <v>118</v>
      </c>
      <c r="E34" s="78"/>
      <c r="F34" s="78"/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  <c r="AF34" s="78">
        <v>0</v>
      </c>
      <c r="AG34" s="78">
        <v>0</v>
      </c>
      <c r="AH34" s="78">
        <v>0</v>
      </c>
      <c r="AI34" s="78">
        <v>0</v>
      </c>
      <c r="AJ34" s="78">
        <v>0</v>
      </c>
      <c r="AK34" s="78"/>
      <c r="AL34" s="78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8">
        <f t="shared" si="0"/>
        <v>0</v>
      </c>
      <c r="BV34" s="80"/>
      <c r="BW34" s="89"/>
    </row>
    <row r="35" spans="1:75" x14ac:dyDescent="0.2">
      <c r="A35" s="81">
        <v>16</v>
      </c>
      <c r="B35" s="97" t="s">
        <v>132</v>
      </c>
      <c r="C35" s="83"/>
      <c r="D35" s="84" t="s">
        <v>118</v>
      </c>
      <c r="E35" s="78"/>
      <c r="F35" s="78"/>
      <c r="G35" s="78">
        <v>1</v>
      </c>
      <c r="H35" s="78">
        <v>1</v>
      </c>
      <c r="I35" s="78">
        <v>1</v>
      </c>
      <c r="J35" s="78">
        <v>1</v>
      </c>
      <c r="K35" s="78">
        <v>1</v>
      </c>
      <c r="L35" s="78">
        <v>1</v>
      </c>
      <c r="M35" s="78">
        <v>1</v>
      </c>
      <c r="N35" s="78">
        <v>1</v>
      </c>
      <c r="O35" s="78">
        <v>1</v>
      </c>
      <c r="P35" s="78">
        <v>1</v>
      </c>
      <c r="Q35" s="78">
        <v>1</v>
      </c>
      <c r="R35" s="78">
        <v>1</v>
      </c>
      <c r="S35" s="78">
        <v>1</v>
      </c>
      <c r="T35" s="78">
        <v>1</v>
      </c>
      <c r="U35" s="78">
        <v>2</v>
      </c>
      <c r="V35" s="78">
        <v>0</v>
      </c>
      <c r="W35" s="78">
        <v>2</v>
      </c>
      <c r="X35" s="78">
        <v>2</v>
      </c>
      <c r="Y35" s="78">
        <v>2</v>
      </c>
      <c r="Z35" s="78">
        <v>2</v>
      </c>
      <c r="AA35" s="78">
        <v>2</v>
      </c>
      <c r="AB35" s="78">
        <v>2</v>
      </c>
      <c r="AC35" s="78">
        <v>2</v>
      </c>
      <c r="AD35" s="78">
        <v>2</v>
      </c>
      <c r="AE35" s="78">
        <v>2</v>
      </c>
      <c r="AF35" s="78">
        <v>2</v>
      </c>
      <c r="AG35" s="78">
        <v>2</v>
      </c>
      <c r="AH35" s="78">
        <v>1</v>
      </c>
      <c r="AI35" s="78">
        <v>2</v>
      </c>
      <c r="AJ35" s="78">
        <v>2</v>
      </c>
      <c r="AK35" s="78"/>
      <c r="AL35" s="78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8">
        <f t="shared" si="0"/>
        <v>43</v>
      </c>
      <c r="BV35" s="80"/>
      <c r="BW35" s="89"/>
    </row>
    <row r="36" spans="1:75" x14ac:dyDescent="0.2">
      <c r="A36" s="81">
        <v>17</v>
      </c>
      <c r="B36" s="97" t="s">
        <v>133</v>
      </c>
      <c r="C36" s="83"/>
      <c r="D36" s="84" t="s">
        <v>118</v>
      </c>
      <c r="E36" s="78"/>
      <c r="F36" s="78"/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  <c r="AF36" s="78">
        <v>0</v>
      </c>
      <c r="AG36" s="78">
        <v>0</v>
      </c>
      <c r="AH36" s="78">
        <v>0</v>
      </c>
      <c r="AI36" s="78">
        <v>0</v>
      </c>
      <c r="AJ36" s="78">
        <v>0</v>
      </c>
      <c r="AK36" s="78"/>
      <c r="AL36" s="78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8">
        <f t="shared" si="0"/>
        <v>0</v>
      </c>
      <c r="BV36" s="80"/>
      <c r="BW36" s="89"/>
    </row>
    <row r="37" spans="1:75" x14ac:dyDescent="0.2">
      <c r="A37" s="81">
        <v>18</v>
      </c>
      <c r="B37" s="97" t="s">
        <v>134</v>
      </c>
      <c r="C37" s="83"/>
      <c r="D37" s="84" t="s">
        <v>118</v>
      </c>
      <c r="E37" s="78"/>
      <c r="F37" s="78"/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  <c r="AF37" s="78">
        <v>0</v>
      </c>
      <c r="AG37" s="78">
        <v>0</v>
      </c>
      <c r="AH37" s="78">
        <v>0</v>
      </c>
      <c r="AI37" s="78">
        <v>0</v>
      </c>
      <c r="AJ37" s="78">
        <v>0</v>
      </c>
      <c r="AK37" s="78"/>
      <c r="AL37" s="78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8">
        <f t="shared" si="0"/>
        <v>0</v>
      </c>
      <c r="BV37" s="80"/>
      <c r="BW37" s="89"/>
    </row>
    <row r="38" spans="1:75" x14ac:dyDescent="0.2">
      <c r="A38" s="81">
        <v>19</v>
      </c>
      <c r="B38" s="97" t="s">
        <v>135</v>
      </c>
      <c r="C38" s="101"/>
      <c r="D38" s="84" t="s">
        <v>118</v>
      </c>
      <c r="E38" s="78"/>
      <c r="F38" s="78"/>
      <c r="G38" s="78">
        <v>6</v>
      </c>
      <c r="H38" s="78">
        <v>6</v>
      </c>
      <c r="I38" s="78">
        <v>6</v>
      </c>
      <c r="J38" s="78">
        <v>5</v>
      </c>
      <c r="K38" s="78">
        <v>4</v>
      </c>
      <c r="L38" s="78">
        <v>5</v>
      </c>
      <c r="M38" s="78">
        <v>3</v>
      </c>
      <c r="N38" s="78">
        <v>7</v>
      </c>
      <c r="O38" s="78">
        <v>7</v>
      </c>
      <c r="P38" s="78">
        <v>10</v>
      </c>
      <c r="Q38" s="78">
        <v>6</v>
      </c>
      <c r="R38" s="78">
        <v>7</v>
      </c>
      <c r="S38" s="78">
        <v>4</v>
      </c>
      <c r="T38" s="78">
        <v>4</v>
      </c>
      <c r="U38" s="78">
        <v>8</v>
      </c>
      <c r="V38" s="78">
        <v>0</v>
      </c>
      <c r="W38" s="78">
        <v>8</v>
      </c>
      <c r="X38" s="78">
        <v>7</v>
      </c>
      <c r="Y38" s="78">
        <v>7</v>
      </c>
      <c r="Z38" s="78">
        <v>8</v>
      </c>
      <c r="AA38" s="78">
        <v>6</v>
      </c>
      <c r="AB38" s="78">
        <v>6</v>
      </c>
      <c r="AC38" s="78">
        <v>7</v>
      </c>
      <c r="AD38" s="78">
        <v>6</v>
      </c>
      <c r="AE38" s="78">
        <v>7</v>
      </c>
      <c r="AF38" s="78">
        <v>5</v>
      </c>
      <c r="AG38" s="78">
        <v>6</v>
      </c>
      <c r="AH38" s="78">
        <v>3</v>
      </c>
      <c r="AI38" s="78">
        <v>7</v>
      </c>
      <c r="AJ38" s="78">
        <v>5</v>
      </c>
      <c r="AK38" s="78"/>
      <c r="AL38" s="78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8">
        <f t="shared" si="0"/>
        <v>176</v>
      </c>
      <c r="BV38" s="80"/>
      <c r="BW38" s="89"/>
    </row>
    <row r="39" spans="1:75" x14ac:dyDescent="0.2">
      <c r="A39" s="81">
        <v>20</v>
      </c>
      <c r="B39" s="97" t="s">
        <v>136</v>
      </c>
      <c r="C39" s="101"/>
      <c r="D39" s="84" t="s">
        <v>118</v>
      </c>
      <c r="E39" s="78"/>
      <c r="F39" s="78"/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  <c r="AF39" s="78">
        <v>0</v>
      </c>
      <c r="AG39" s="78">
        <v>0</v>
      </c>
      <c r="AH39" s="78">
        <v>0</v>
      </c>
      <c r="AI39" s="78">
        <v>0</v>
      </c>
      <c r="AJ39" s="78">
        <v>0</v>
      </c>
      <c r="AK39" s="78"/>
      <c r="AL39" s="78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8">
        <f t="shared" si="0"/>
        <v>0</v>
      </c>
      <c r="BV39" s="80"/>
      <c r="BW39" s="89"/>
    </row>
    <row r="40" spans="1:75" x14ac:dyDescent="0.2">
      <c r="A40" s="81">
        <v>21</v>
      </c>
      <c r="B40" s="97" t="s">
        <v>137</v>
      </c>
      <c r="C40" s="83"/>
      <c r="D40" s="84" t="s">
        <v>118</v>
      </c>
      <c r="E40" s="78"/>
      <c r="F40" s="78"/>
      <c r="G40" s="78">
        <v>10</v>
      </c>
      <c r="H40" s="78">
        <v>10</v>
      </c>
      <c r="I40" s="78">
        <v>10</v>
      </c>
      <c r="J40" s="78">
        <v>8</v>
      </c>
      <c r="K40" s="78">
        <v>6</v>
      </c>
      <c r="L40" s="78">
        <v>6</v>
      </c>
      <c r="M40" s="78">
        <v>5</v>
      </c>
      <c r="N40" s="78">
        <v>10</v>
      </c>
      <c r="O40" s="78">
        <v>12</v>
      </c>
      <c r="P40" s="78">
        <v>13</v>
      </c>
      <c r="Q40" s="78">
        <v>8</v>
      </c>
      <c r="R40" s="78">
        <v>10</v>
      </c>
      <c r="S40" s="78">
        <v>6</v>
      </c>
      <c r="T40" s="78">
        <v>8</v>
      </c>
      <c r="U40" s="78">
        <v>15</v>
      </c>
      <c r="V40" s="78">
        <v>0</v>
      </c>
      <c r="W40" s="78">
        <v>15</v>
      </c>
      <c r="X40" s="78">
        <v>20</v>
      </c>
      <c r="Y40" s="78">
        <v>23</v>
      </c>
      <c r="Z40" s="78">
        <v>24</v>
      </c>
      <c r="AA40" s="78">
        <v>13</v>
      </c>
      <c r="AB40" s="78">
        <v>12</v>
      </c>
      <c r="AC40" s="78">
        <v>10</v>
      </c>
      <c r="AD40" s="78">
        <v>9</v>
      </c>
      <c r="AE40" s="78">
        <v>10</v>
      </c>
      <c r="AF40" s="78">
        <v>9</v>
      </c>
      <c r="AG40" s="78">
        <v>10</v>
      </c>
      <c r="AH40" s="78">
        <v>12</v>
      </c>
      <c r="AI40" s="78">
        <v>21</v>
      </c>
      <c r="AJ40" s="78">
        <v>28</v>
      </c>
      <c r="AK40" s="78"/>
      <c r="AL40" s="78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8">
        <f t="shared" si="0"/>
        <v>353</v>
      </c>
      <c r="BV40" s="103"/>
      <c r="BW40" s="89"/>
    </row>
    <row r="41" spans="1:75" x14ac:dyDescent="0.2">
      <c r="A41" s="81">
        <v>22</v>
      </c>
      <c r="B41" s="97" t="s">
        <v>138</v>
      </c>
      <c r="C41" s="83"/>
      <c r="D41" s="84" t="s">
        <v>118</v>
      </c>
      <c r="E41" s="78"/>
      <c r="F41" s="78"/>
      <c r="G41" s="78">
        <v>10</v>
      </c>
      <c r="H41" s="78">
        <v>10</v>
      </c>
      <c r="I41" s="78">
        <v>10</v>
      </c>
      <c r="J41" s="78">
        <v>10</v>
      </c>
      <c r="K41" s="78">
        <v>10</v>
      </c>
      <c r="L41" s="78">
        <v>10</v>
      </c>
      <c r="M41" s="78">
        <v>10</v>
      </c>
      <c r="N41" s="78">
        <v>10</v>
      </c>
      <c r="O41" s="78">
        <v>10</v>
      </c>
      <c r="P41" s="78">
        <v>10</v>
      </c>
      <c r="Q41" s="78">
        <v>8</v>
      </c>
      <c r="R41" s="78">
        <v>10</v>
      </c>
      <c r="S41" s="78">
        <v>10</v>
      </c>
      <c r="T41" s="78">
        <v>10</v>
      </c>
      <c r="U41" s="78">
        <v>10</v>
      </c>
      <c r="V41" s="78">
        <v>0</v>
      </c>
      <c r="W41" s="78">
        <v>10</v>
      </c>
      <c r="X41" s="78">
        <v>10</v>
      </c>
      <c r="Y41" s="78">
        <v>10</v>
      </c>
      <c r="Z41" s="78">
        <v>10</v>
      </c>
      <c r="AA41" s="78">
        <v>10</v>
      </c>
      <c r="AB41" s="78">
        <v>10</v>
      </c>
      <c r="AC41" s="78">
        <v>10</v>
      </c>
      <c r="AD41" s="78">
        <v>10</v>
      </c>
      <c r="AE41" s="78">
        <v>10</v>
      </c>
      <c r="AF41" s="78">
        <v>10</v>
      </c>
      <c r="AG41" s="78">
        <v>10</v>
      </c>
      <c r="AH41" s="78">
        <v>7</v>
      </c>
      <c r="AI41" s="78">
        <v>10</v>
      </c>
      <c r="AJ41" s="78">
        <v>10</v>
      </c>
      <c r="AK41" s="78"/>
      <c r="AL41" s="78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8">
        <f t="shared" si="0"/>
        <v>285</v>
      </c>
      <c r="BV41" s="103"/>
      <c r="BW41" s="89"/>
    </row>
    <row r="42" spans="1:75" x14ac:dyDescent="0.2">
      <c r="A42" s="81">
        <v>23</v>
      </c>
      <c r="B42" s="97" t="s">
        <v>139</v>
      </c>
      <c r="C42" s="83"/>
      <c r="D42" s="84" t="s">
        <v>118</v>
      </c>
      <c r="E42" s="78"/>
      <c r="F42" s="78"/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  <c r="AF42" s="78">
        <v>0</v>
      </c>
      <c r="AG42" s="78">
        <v>0</v>
      </c>
      <c r="AH42" s="78">
        <v>0</v>
      </c>
      <c r="AI42" s="78">
        <v>0</v>
      </c>
      <c r="AJ42" s="78">
        <v>0</v>
      </c>
      <c r="AK42" s="78"/>
      <c r="AL42" s="78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8">
        <f t="shared" si="0"/>
        <v>0</v>
      </c>
      <c r="BV42" s="103"/>
      <c r="BW42" s="89"/>
    </row>
    <row r="43" spans="1:75" x14ac:dyDescent="0.2">
      <c r="A43" s="81">
        <v>24</v>
      </c>
      <c r="B43" s="97" t="s">
        <v>140</v>
      </c>
      <c r="C43" s="83"/>
      <c r="D43" s="84" t="s">
        <v>118</v>
      </c>
      <c r="E43" s="78"/>
      <c r="F43" s="78"/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  <c r="AF43" s="78">
        <v>0</v>
      </c>
      <c r="AG43" s="78">
        <v>0</v>
      </c>
      <c r="AH43" s="78">
        <v>0</v>
      </c>
      <c r="AI43" s="78">
        <v>0</v>
      </c>
      <c r="AJ43" s="78">
        <v>0</v>
      </c>
      <c r="AK43" s="78"/>
      <c r="AL43" s="78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8">
        <f t="shared" si="0"/>
        <v>0</v>
      </c>
      <c r="BV43" s="103"/>
      <c r="BW43" s="89"/>
    </row>
    <row r="44" spans="1:75" x14ac:dyDescent="0.2">
      <c r="A44" s="81">
        <v>25</v>
      </c>
      <c r="B44" s="97" t="s">
        <v>141</v>
      </c>
      <c r="C44" s="83"/>
      <c r="D44" s="84" t="s">
        <v>118</v>
      </c>
      <c r="E44" s="78"/>
      <c r="F44" s="78"/>
      <c r="G44" s="78">
        <v>60</v>
      </c>
      <c r="H44" s="78">
        <v>100</v>
      </c>
      <c r="I44" s="78">
        <v>100</v>
      </c>
      <c r="J44" s="78">
        <v>100</v>
      </c>
      <c r="K44" s="78">
        <v>100</v>
      </c>
      <c r="L44" s="78">
        <v>60</v>
      </c>
      <c r="M44" s="78">
        <v>100</v>
      </c>
      <c r="N44" s="78">
        <v>50</v>
      </c>
      <c r="O44" s="78">
        <v>40</v>
      </c>
      <c r="P44" s="78">
        <v>40</v>
      </c>
      <c r="Q44" s="78">
        <v>50</v>
      </c>
      <c r="R44" s="78">
        <v>100</v>
      </c>
      <c r="S44" s="78">
        <v>100</v>
      </c>
      <c r="T44" s="78">
        <v>50</v>
      </c>
      <c r="U44" s="78">
        <v>80</v>
      </c>
      <c r="V44" s="78">
        <v>100</v>
      </c>
      <c r="W44" s="78">
        <v>50</v>
      </c>
      <c r="X44" s="78">
        <v>50</v>
      </c>
      <c r="Y44" s="78">
        <v>50</v>
      </c>
      <c r="Z44" s="78">
        <v>50</v>
      </c>
      <c r="AA44" s="78">
        <v>50</v>
      </c>
      <c r="AB44" s="78">
        <v>5</v>
      </c>
      <c r="AC44" s="78">
        <v>0</v>
      </c>
      <c r="AD44" s="78">
        <v>0</v>
      </c>
      <c r="AE44" s="78">
        <v>0</v>
      </c>
      <c r="AF44" s="78">
        <v>0</v>
      </c>
      <c r="AG44" s="78">
        <v>0</v>
      </c>
      <c r="AH44" s="78">
        <v>0</v>
      </c>
      <c r="AI44" s="78">
        <v>0</v>
      </c>
      <c r="AJ44" s="78">
        <v>0</v>
      </c>
      <c r="AK44" s="78"/>
      <c r="AL44" s="78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8">
        <f t="shared" si="0"/>
        <v>1485</v>
      </c>
      <c r="BV44" s="103"/>
      <c r="BW44" s="89"/>
    </row>
    <row r="45" spans="1:75" x14ac:dyDescent="0.2">
      <c r="A45" s="81">
        <v>26</v>
      </c>
      <c r="B45" s="97" t="s">
        <v>142</v>
      </c>
      <c r="C45" s="83"/>
      <c r="D45" s="84" t="s">
        <v>118</v>
      </c>
      <c r="E45" s="78"/>
      <c r="F45" s="78"/>
      <c r="G45" s="78">
        <v>0</v>
      </c>
      <c r="H45" s="78">
        <v>0</v>
      </c>
      <c r="I45" s="78">
        <v>50</v>
      </c>
      <c r="J45" s="78">
        <v>30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80</v>
      </c>
      <c r="U45" s="78">
        <v>0</v>
      </c>
      <c r="V45" s="78">
        <v>30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  <c r="AF45" s="78">
        <v>0</v>
      </c>
      <c r="AG45" s="78">
        <v>0</v>
      </c>
      <c r="AH45" s="78">
        <v>0</v>
      </c>
      <c r="AI45" s="78">
        <v>0</v>
      </c>
      <c r="AJ45" s="78">
        <v>0</v>
      </c>
      <c r="AK45" s="78"/>
      <c r="AL45" s="78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8">
        <f t="shared" si="0"/>
        <v>190</v>
      </c>
      <c r="BV45" s="103"/>
      <c r="BW45" s="89"/>
    </row>
    <row r="46" spans="1:75" x14ac:dyDescent="0.2">
      <c r="A46" s="81">
        <v>27</v>
      </c>
      <c r="B46" s="97" t="s">
        <v>143</v>
      </c>
      <c r="C46" s="83"/>
      <c r="D46" s="84" t="s">
        <v>118</v>
      </c>
      <c r="E46" s="78"/>
      <c r="F46" s="78"/>
      <c r="G46" s="78">
        <v>0</v>
      </c>
      <c r="H46" s="78">
        <v>0</v>
      </c>
      <c r="I46" s="78">
        <v>30</v>
      </c>
      <c r="J46" s="78">
        <v>20</v>
      </c>
      <c r="K46" s="78">
        <v>20</v>
      </c>
      <c r="L46" s="78">
        <v>20</v>
      </c>
      <c r="M46" s="78">
        <v>20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  <c r="AF46" s="78">
        <v>0</v>
      </c>
      <c r="AG46" s="78">
        <v>0</v>
      </c>
      <c r="AH46" s="78">
        <v>0</v>
      </c>
      <c r="AI46" s="78">
        <v>0</v>
      </c>
      <c r="AJ46" s="78">
        <v>0</v>
      </c>
      <c r="AK46" s="78"/>
      <c r="AL46" s="78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8">
        <f t="shared" si="0"/>
        <v>110</v>
      </c>
      <c r="BV46" s="103"/>
      <c r="BW46" s="89"/>
    </row>
    <row r="47" spans="1:75" x14ac:dyDescent="0.2">
      <c r="A47" s="81">
        <v>28</v>
      </c>
      <c r="B47" s="97" t="s">
        <v>252</v>
      </c>
      <c r="C47" s="83"/>
      <c r="D47" s="210"/>
      <c r="E47" s="211"/>
      <c r="F47" s="211"/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4.5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  <c r="AF47" s="78">
        <v>0</v>
      </c>
      <c r="AG47" s="78">
        <v>0</v>
      </c>
      <c r="AH47" s="78">
        <v>0</v>
      </c>
      <c r="AI47" s="78">
        <v>0</v>
      </c>
      <c r="AJ47" s="78">
        <v>0</v>
      </c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212">
        <f>SUM(G47:AJ47)</f>
        <v>4.5</v>
      </c>
      <c r="BV47" s="103"/>
      <c r="BW47" s="89"/>
    </row>
    <row r="48" spans="1:75" x14ac:dyDescent="0.2">
      <c r="A48" s="81"/>
      <c r="B48" s="180" t="s">
        <v>224</v>
      </c>
      <c r="C48" s="83"/>
      <c r="D48" s="225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226"/>
      <c r="AE48" s="226"/>
      <c r="AF48" s="226"/>
      <c r="AG48" s="226"/>
      <c r="AH48" s="226"/>
      <c r="AI48" s="226"/>
      <c r="AJ48" s="226"/>
      <c r="AK48" s="226"/>
      <c r="AL48" s="226"/>
      <c r="AM48" s="226"/>
      <c r="AN48" s="226"/>
      <c r="AO48" s="226"/>
      <c r="AP48" s="226"/>
      <c r="AQ48" s="226"/>
      <c r="AR48" s="226"/>
      <c r="AS48" s="226"/>
      <c r="AT48" s="226"/>
      <c r="AU48" s="226"/>
      <c r="AV48" s="226"/>
      <c r="AW48" s="226"/>
      <c r="AX48" s="226"/>
      <c r="AY48" s="226"/>
      <c r="AZ48" s="226"/>
      <c r="BA48" s="226"/>
      <c r="BB48" s="226"/>
      <c r="BC48" s="226"/>
      <c r="BD48" s="226"/>
      <c r="BE48" s="226"/>
      <c r="BF48" s="226"/>
      <c r="BG48" s="226"/>
      <c r="BH48" s="226"/>
      <c r="BI48" s="226"/>
      <c r="BJ48" s="226"/>
      <c r="BK48" s="226"/>
      <c r="BL48" s="226"/>
      <c r="BM48" s="226"/>
      <c r="BN48" s="226"/>
      <c r="BO48" s="226"/>
      <c r="BP48" s="226"/>
      <c r="BQ48" s="226"/>
      <c r="BR48" s="226"/>
      <c r="BS48" s="226"/>
      <c r="BT48" s="243"/>
      <c r="BV48" s="103"/>
      <c r="BW48" s="89"/>
    </row>
    <row r="49" spans="1:75" x14ac:dyDescent="0.2">
      <c r="A49" s="81">
        <v>28</v>
      </c>
      <c r="B49" s="97" t="s">
        <v>225</v>
      </c>
      <c r="C49" s="83"/>
      <c r="D49" s="84" t="s">
        <v>228</v>
      </c>
      <c r="E49" s="78"/>
      <c r="F49" s="78"/>
      <c r="G49" s="78">
        <v>802.5</v>
      </c>
      <c r="H49" s="78">
        <v>1087.5</v>
      </c>
      <c r="I49" s="78">
        <v>750</v>
      </c>
      <c r="J49" s="78">
        <v>877.5</v>
      </c>
      <c r="K49" s="78">
        <v>682.5</v>
      </c>
      <c r="L49" s="78">
        <v>900</v>
      </c>
      <c r="M49" s="78">
        <v>780</v>
      </c>
      <c r="N49" s="78">
        <v>967.5</v>
      </c>
      <c r="O49" s="78">
        <v>795</v>
      </c>
      <c r="P49" s="78">
        <v>1162.5</v>
      </c>
      <c r="Q49" s="78">
        <v>937.5</v>
      </c>
      <c r="R49" s="78">
        <v>802.5</v>
      </c>
      <c r="S49" s="78">
        <v>570</v>
      </c>
      <c r="T49" s="78">
        <v>952.5</v>
      </c>
      <c r="U49" s="78">
        <v>990</v>
      </c>
      <c r="V49" s="78">
        <v>255</v>
      </c>
      <c r="W49" s="78">
        <v>885</v>
      </c>
      <c r="X49" s="78">
        <v>1005</v>
      </c>
      <c r="Y49" s="78">
        <v>862.5</v>
      </c>
      <c r="Z49" s="78">
        <v>967.5</v>
      </c>
      <c r="AA49" s="78">
        <v>990</v>
      </c>
      <c r="AB49" s="78">
        <v>900</v>
      </c>
      <c r="AC49" s="78">
        <v>1042.5</v>
      </c>
      <c r="AD49" s="78">
        <v>907.5</v>
      </c>
      <c r="AE49" s="78">
        <v>937.5</v>
      </c>
      <c r="AF49" s="78">
        <v>1035</v>
      </c>
      <c r="AG49" s="78">
        <v>930</v>
      </c>
      <c r="AH49" s="78">
        <v>735</v>
      </c>
      <c r="AI49" s="78">
        <v>930</v>
      </c>
      <c r="AJ49" s="78">
        <v>1312.5</v>
      </c>
      <c r="AK49" s="78"/>
      <c r="AL49" s="78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8">
        <f>SUM(G49:BF49)</f>
        <v>26752.5</v>
      </c>
      <c r="BV49" s="103"/>
      <c r="BW49" s="89"/>
    </row>
    <row r="50" spans="1:75" x14ac:dyDescent="0.2">
      <c r="A50" s="81">
        <v>29</v>
      </c>
      <c r="B50" s="97" t="s">
        <v>226</v>
      </c>
      <c r="C50" s="83"/>
      <c r="D50" s="84" t="s">
        <v>229</v>
      </c>
      <c r="E50" s="78"/>
      <c r="F50" s="78"/>
      <c r="G50" s="78">
        <v>170</v>
      </c>
      <c r="H50" s="78">
        <v>264</v>
      </c>
      <c r="I50" s="78">
        <v>332</v>
      </c>
      <c r="J50" s="78">
        <v>250</v>
      </c>
      <c r="K50" s="78">
        <v>584</v>
      </c>
      <c r="L50" s="78">
        <v>78</v>
      </c>
      <c r="M50" s="78">
        <v>0</v>
      </c>
      <c r="N50" s="78">
        <v>200</v>
      </c>
      <c r="O50" s="78">
        <v>100</v>
      </c>
      <c r="P50" s="78">
        <v>150</v>
      </c>
      <c r="Q50" s="78">
        <v>202</v>
      </c>
      <c r="R50" s="78">
        <v>88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134</v>
      </c>
      <c r="Y50" s="78">
        <v>230</v>
      </c>
      <c r="Z50" s="78">
        <v>244</v>
      </c>
      <c r="AA50" s="78">
        <v>130</v>
      </c>
      <c r="AB50" s="78">
        <v>0</v>
      </c>
      <c r="AC50" s="78">
        <v>44</v>
      </c>
      <c r="AD50" s="78">
        <v>48</v>
      </c>
      <c r="AE50" s="78">
        <v>0</v>
      </c>
      <c r="AF50" s="78">
        <v>0</v>
      </c>
      <c r="AG50" s="78">
        <v>0</v>
      </c>
      <c r="AH50" s="78">
        <v>0</v>
      </c>
      <c r="AI50" s="78">
        <v>0</v>
      </c>
      <c r="AJ50" s="78">
        <v>252</v>
      </c>
      <c r="AK50" s="78"/>
      <c r="AL50" s="78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8">
        <f>SUM(G50:BF50)</f>
        <v>3500</v>
      </c>
      <c r="BV50" s="103"/>
      <c r="BW50" s="89"/>
    </row>
    <row r="51" spans="1:75" x14ac:dyDescent="0.2">
      <c r="A51" s="81">
        <v>30</v>
      </c>
      <c r="B51" s="97" t="s">
        <v>227</v>
      </c>
      <c r="C51" s="83"/>
      <c r="D51" s="84" t="s">
        <v>228</v>
      </c>
      <c r="E51" s="78"/>
      <c r="F51" s="78"/>
      <c r="G51" s="78">
        <v>345</v>
      </c>
      <c r="H51" s="78">
        <v>330</v>
      </c>
      <c r="I51" s="78">
        <v>315</v>
      </c>
      <c r="J51" s="78">
        <v>300</v>
      </c>
      <c r="K51" s="78">
        <v>285</v>
      </c>
      <c r="L51" s="78">
        <v>240</v>
      </c>
      <c r="M51" s="78">
        <v>210</v>
      </c>
      <c r="N51" s="78">
        <v>315</v>
      </c>
      <c r="O51" s="78">
        <v>270</v>
      </c>
      <c r="P51" s="78">
        <v>285</v>
      </c>
      <c r="Q51" s="78">
        <v>315</v>
      </c>
      <c r="R51" s="78">
        <v>225</v>
      </c>
      <c r="S51" s="78">
        <v>225</v>
      </c>
      <c r="T51" s="78">
        <v>195</v>
      </c>
      <c r="U51" s="78">
        <v>210</v>
      </c>
      <c r="V51" s="78">
        <v>45</v>
      </c>
      <c r="W51" s="78">
        <v>180</v>
      </c>
      <c r="X51" s="78">
        <v>285</v>
      </c>
      <c r="Y51" s="78">
        <v>270</v>
      </c>
      <c r="Z51" s="78">
        <v>300</v>
      </c>
      <c r="AA51" s="78">
        <v>300</v>
      </c>
      <c r="AB51" s="78">
        <v>270</v>
      </c>
      <c r="AC51" s="78">
        <v>285</v>
      </c>
      <c r="AD51" s="78">
        <v>330</v>
      </c>
      <c r="AE51" s="78">
        <v>285</v>
      </c>
      <c r="AF51" s="78">
        <v>300</v>
      </c>
      <c r="AG51" s="78">
        <v>285</v>
      </c>
      <c r="AH51" s="78">
        <v>240</v>
      </c>
      <c r="AI51" s="78">
        <v>255</v>
      </c>
      <c r="AJ51" s="78">
        <v>345</v>
      </c>
      <c r="AK51" s="78"/>
      <c r="AL51" s="78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8">
        <f>SUM(G51:BF51)</f>
        <v>8040</v>
      </c>
      <c r="BV51" s="103"/>
      <c r="BW51" s="89"/>
    </row>
    <row r="52" spans="1:75" x14ac:dyDescent="0.2">
      <c r="A52" s="244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  <c r="AJ52" s="226"/>
      <c r="AK52" s="226"/>
      <c r="AL52" s="226"/>
      <c r="AM52" s="226"/>
      <c r="AN52" s="226"/>
      <c r="AO52" s="226"/>
      <c r="AP52" s="226"/>
      <c r="AQ52" s="226"/>
      <c r="AR52" s="226"/>
      <c r="AS52" s="226"/>
      <c r="AT52" s="226"/>
      <c r="AU52" s="226"/>
      <c r="AV52" s="226"/>
      <c r="AW52" s="226"/>
      <c r="AX52" s="226"/>
      <c r="AY52" s="226"/>
      <c r="AZ52" s="226"/>
      <c r="BA52" s="226"/>
      <c r="BB52" s="226"/>
      <c r="BC52" s="226"/>
      <c r="BD52" s="226"/>
      <c r="BE52" s="226"/>
      <c r="BF52" s="226"/>
      <c r="BG52" s="226"/>
      <c r="BH52" s="226"/>
      <c r="BI52" s="226"/>
      <c r="BJ52" s="226"/>
      <c r="BK52" s="226"/>
      <c r="BL52" s="226"/>
      <c r="BM52" s="226"/>
      <c r="BN52" s="226"/>
      <c r="BO52" s="226"/>
      <c r="BP52" s="226"/>
      <c r="BQ52" s="226"/>
      <c r="BR52" s="226"/>
      <c r="BS52" s="226"/>
      <c r="BT52" s="243"/>
      <c r="BV52" s="103"/>
      <c r="BW52" s="89"/>
    </row>
    <row r="53" spans="1:75" x14ac:dyDescent="0.2">
      <c r="A53" s="81" t="s">
        <v>144</v>
      </c>
      <c r="B53" s="90" t="s">
        <v>145</v>
      </c>
      <c r="C53" s="91"/>
      <c r="D53" s="92" t="s">
        <v>16</v>
      </c>
      <c r="E53" s="104">
        <v>0</v>
      </c>
      <c r="F53" s="104">
        <v>0</v>
      </c>
      <c r="G53" s="104">
        <v>94</v>
      </c>
      <c r="H53" s="104">
        <v>97</v>
      </c>
      <c r="I53" s="104">
        <v>82</v>
      </c>
      <c r="J53" s="104">
        <v>78</v>
      </c>
      <c r="K53" s="104">
        <v>67</v>
      </c>
      <c r="L53" s="104">
        <v>71</v>
      </c>
      <c r="M53" s="104">
        <v>56</v>
      </c>
      <c r="N53" s="104">
        <v>74</v>
      </c>
      <c r="O53" s="104">
        <v>80</v>
      </c>
      <c r="P53" s="104">
        <v>86</v>
      </c>
      <c r="Q53" s="104">
        <v>96</v>
      </c>
      <c r="R53" s="104">
        <v>64</v>
      </c>
      <c r="S53" s="104">
        <v>48</v>
      </c>
      <c r="T53" s="104">
        <v>63</v>
      </c>
      <c r="U53" s="104">
        <v>69</v>
      </c>
      <c r="V53" s="104">
        <v>0</v>
      </c>
      <c r="W53" s="104">
        <v>58</v>
      </c>
      <c r="X53" s="104">
        <v>78</v>
      </c>
      <c r="Y53" s="104">
        <v>75</v>
      </c>
      <c r="Z53" s="104">
        <v>76</v>
      </c>
      <c r="AA53" s="104">
        <v>78</v>
      </c>
      <c r="AB53" s="104">
        <v>78</v>
      </c>
      <c r="AC53" s="104">
        <v>80</v>
      </c>
      <c r="AD53" s="104">
        <v>68</v>
      </c>
      <c r="AE53" s="104">
        <v>71</v>
      </c>
      <c r="AF53" s="104">
        <v>70</v>
      </c>
      <c r="AG53" s="104">
        <v>78</v>
      </c>
      <c r="AH53" s="104">
        <v>30</v>
      </c>
      <c r="AI53" s="104">
        <v>64</v>
      </c>
      <c r="AJ53" s="104">
        <v>73</v>
      </c>
      <c r="AK53" s="104"/>
      <c r="AL53" s="104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88">
        <f>SUM(G53:BF53)</f>
        <v>2102</v>
      </c>
      <c r="BV53" s="80"/>
      <c r="BW53" s="89"/>
    </row>
    <row r="54" spans="1:75" ht="21" thickBot="1" x14ac:dyDescent="0.25">
      <c r="A54" s="183" t="s">
        <v>146</v>
      </c>
      <c r="B54" s="184" t="s">
        <v>147</v>
      </c>
      <c r="C54" s="185"/>
      <c r="D54" s="186" t="s">
        <v>16</v>
      </c>
      <c r="E54" s="187">
        <f>E53*0.935</f>
        <v>0</v>
      </c>
      <c r="F54" s="187">
        <f t="shared" ref="F54" si="10">F53*0.935</f>
        <v>0</v>
      </c>
      <c r="G54" s="188">
        <v>62.746000000000002</v>
      </c>
      <c r="H54" s="188">
        <v>92.852999999999994</v>
      </c>
      <c r="I54" s="188">
        <v>74.183000000000007</v>
      </c>
      <c r="J54" s="188">
        <v>81.662999999999997</v>
      </c>
      <c r="K54" s="188">
        <v>54.338999999999999</v>
      </c>
      <c r="L54" s="188">
        <v>63.137999999999998</v>
      </c>
      <c r="M54" s="188">
        <v>47.597000000000001</v>
      </c>
      <c r="N54" s="188">
        <v>78.772999999999996</v>
      </c>
      <c r="O54" s="188">
        <v>64.686999999999998</v>
      </c>
      <c r="P54" s="188">
        <v>81.558999999999997</v>
      </c>
      <c r="Q54" s="188">
        <v>93.738</v>
      </c>
      <c r="R54" s="188">
        <v>62.45</v>
      </c>
      <c r="S54" s="188">
        <v>40.851999999999997</v>
      </c>
      <c r="T54" s="188">
        <v>56.396999999999998</v>
      </c>
      <c r="U54" s="188">
        <v>57.219000000000001</v>
      </c>
      <c r="V54" s="188">
        <v>13.041</v>
      </c>
      <c r="W54" s="188">
        <v>44.44</v>
      </c>
      <c r="X54" s="188">
        <v>75.385000000000005</v>
      </c>
      <c r="Y54" s="188">
        <v>66.578999999999994</v>
      </c>
      <c r="Z54" s="188">
        <v>63.085000000000001</v>
      </c>
      <c r="AA54" s="188">
        <v>65.311999999999998</v>
      </c>
      <c r="AB54" s="188">
        <v>71.641999999999996</v>
      </c>
      <c r="AC54" s="188">
        <v>82.081999999999994</v>
      </c>
      <c r="AD54" s="188">
        <v>65.620999999999995</v>
      </c>
      <c r="AE54" s="188">
        <v>63.191000000000003</v>
      </c>
      <c r="AF54" s="188">
        <v>72.953000000000003</v>
      </c>
      <c r="AG54" s="188">
        <v>61.612000000000002</v>
      </c>
      <c r="AH54" s="188">
        <v>49.171999999999997</v>
      </c>
      <c r="AI54" s="188">
        <v>63.819000000000003</v>
      </c>
      <c r="AJ54" s="188">
        <v>87.08</v>
      </c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  <c r="BD54" s="188"/>
      <c r="BE54" s="188"/>
      <c r="BF54" s="188"/>
      <c r="BG54" s="187">
        <f t="shared" ref="BG54:BQ54" si="11">BG53*0.94</f>
        <v>0</v>
      </c>
      <c r="BH54" s="187">
        <f t="shared" si="11"/>
        <v>0</v>
      </c>
      <c r="BI54" s="187">
        <f t="shared" si="11"/>
        <v>0</v>
      </c>
      <c r="BJ54" s="187">
        <f t="shared" si="11"/>
        <v>0</v>
      </c>
      <c r="BK54" s="187">
        <f t="shared" si="11"/>
        <v>0</v>
      </c>
      <c r="BL54" s="187">
        <f t="shared" si="11"/>
        <v>0</v>
      </c>
      <c r="BM54" s="187">
        <f t="shared" si="11"/>
        <v>0</v>
      </c>
      <c r="BN54" s="187">
        <f t="shared" si="11"/>
        <v>0</v>
      </c>
      <c r="BO54" s="187">
        <f t="shared" si="11"/>
        <v>0</v>
      </c>
      <c r="BP54" s="187">
        <f t="shared" si="11"/>
        <v>0</v>
      </c>
      <c r="BQ54" s="187">
        <f t="shared" si="11"/>
        <v>0</v>
      </c>
      <c r="BR54" s="189">
        <v>0</v>
      </c>
      <c r="BS54" s="189">
        <v>0</v>
      </c>
      <c r="BT54" s="190">
        <f>SUM(G54:BF54)</f>
        <v>1957.2079999999999</v>
      </c>
      <c r="BV54" s="80"/>
      <c r="BW54" s="89"/>
    </row>
    <row r="55" spans="1:75" hidden="1" x14ac:dyDescent="0.2">
      <c r="A55" s="181"/>
      <c r="B55" s="182"/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5"/>
      <c r="AN55" s="235"/>
      <c r="AO55" s="235"/>
      <c r="AP55" s="235"/>
      <c r="AQ55" s="235"/>
      <c r="AR55" s="235"/>
      <c r="AS55" s="235"/>
      <c r="AT55" s="235"/>
      <c r="AU55" s="235"/>
      <c r="AV55" s="235"/>
      <c r="AW55" s="235"/>
      <c r="AX55" s="235"/>
      <c r="AY55" s="235"/>
      <c r="AZ55" s="235"/>
      <c r="BA55" s="235"/>
      <c r="BB55" s="235"/>
      <c r="BC55" s="235"/>
      <c r="BD55" s="235"/>
      <c r="BE55" s="235"/>
      <c r="BF55" s="235"/>
      <c r="BG55" s="235"/>
      <c r="BH55" s="235"/>
      <c r="BI55" s="235"/>
      <c r="BJ55" s="235"/>
      <c r="BK55" s="235"/>
      <c r="BL55" s="235"/>
      <c r="BM55" s="235"/>
      <c r="BN55" s="235"/>
      <c r="BO55" s="235"/>
      <c r="BP55" s="235"/>
      <c r="BQ55" s="235"/>
      <c r="BR55" s="235"/>
      <c r="BS55" s="235"/>
      <c r="BT55" s="236"/>
      <c r="BV55" s="80"/>
      <c r="BW55" s="89"/>
    </row>
    <row r="56" spans="1:75" ht="23.25" hidden="1" customHeight="1" x14ac:dyDescent="0.25">
      <c r="A56" s="108" t="s">
        <v>148</v>
      </c>
      <c r="B56" s="109" t="s">
        <v>149</v>
      </c>
      <c r="C56" s="237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  <c r="AK56" s="238"/>
      <c r="AL56" s="238"/>
      <c r="AM56" s="238"/>
      <c r="AN56" s="238"/>
      <c r="AO56" s="238"/>
      <c r="AP56" s="238"/>
      <c r="AQ56" s="238"/>
      <c r="AR56" s="238"/>
      <c r="AS56" s="238"/>
      <c r="AT56" s="238"/>
      <c r="AU56" s="238"/>
      <c r="AV56" s="238"/>
      <c r="AW56" s="238"/>
      <c r="AX56" s="238"/>
      <c r="AY56" s="238"/>
      <c r="AZ56" s="238"/>
      <c r="BA56" s="238"/>
      <c r="BB56" s="238"/>
      <c r="BC56" s="238"/>
      <c r="BD56" s="238"/>
      <c r="BE56" s="238"/>
      <c r="BF56" s="238"/>
      <c r="BG56" s="238"/>
      <c r="BH56" s="238"/>
      <c r="BI56" s="238"/>
      <c r="BJ56" s="238"/>
      <c r="BK56" s="238"/>
      <c r="BL56" s="238"/>
      <c r="BM56" s="238"/>
      <c r="BN56" s="238"/>
      <c r="BO56" s="238"/>
      <c r="BP56" s="238"/>
      <c r="BQ56" s="238"/>
      <c r="BR56" s="238"/>
      <c r="BS56" s="238"/>
      <c r="BT56" s="239"/>
    </row>
    <row r="57" spans="1:75" hidden="1" x14ac:dyDescent="0.2">
      <c r="A57" s="108">
        <v>1</v>
      </c>
      <c r="B57" s="107" t="s">
        <v>150</v>
      </c>
      <c r="C57" s="110"/>
      <c r="D57" s="111" t="s">
        <v>16</v>
      </c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12">
        <f>SUM(E57:AK57)</f>
        <v>0</v>
      </c>
      <c r="BV57" s="80"/>
      <c r="BW57" s="89"/>
    </row>
    <row r="58" spans="1:75" ht="15.75" hidden="1" customHeight="1" x14ac:dyDescent="0.2">
      <c r="A58" s="108">
        <v>2</v>
      </c>
      <c r="B58" s="107" t="s">
        <v>151</v>
      </c>
      <c r="C58" s="110"/>
      <c r="D58" s="111" t="s">
        <v>16</v>
      </c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12">
        <f>SUM(E58:AK58)</f>
        <v>0</v>
      </c>
      <c r="BV58" s="113"/>
      <c r="BW58" s="89"/>
    </row>
    <row r="59" spans="1:75" ht="17.25" hidden="1" customHeight="1" x14ac:dyDescent="0.2">
      <c r="A59" s="108">
        <v>3</v>
      </c>
      <c r="B59" s="107" t="s">
        <v>152</v>
      </c>
      <c r="C59" s="110"/>
      <c r="D59" s="111" t="s">
        <v>153</v>
      </c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12">
        <f>SUM(E59:AK59)</f>
        <v>0</v>
      </c>
      <c r="BW59" s="114"/>
    </row>
    <row r="60" spans="1:75" ht="19.5" hidden="1" customHeight="1" x14ac:dyDescent="0.2">
      <c r="A60" s="106">
        <v>4</v>
      </c>
      <c r="B60" s="115" t="s">
        <v>154</v>
      </c>
      <c r="C60" s="116"/>
      <c r="D60" s="117" t="s">
        <v>29</v>
      </c>
      <c r="E60" s="118"/>
      <c r="F60" s="118"/>
      <c r="G60" s="118"/>
      <c r="H60" s="118"/>
      <c r="I60" s="118" t="e">
        <f>#REF!</f>
        <v>#REF!</v>
      </c>
      <c r="J60" s="118" t="e">
        <f>#REF!</f>
        <v>#REF!</v>
      </c>
      <c r="K60" s="118" t="e">
        <f>#REF!</f>
        <v>#REF!</v>
      </c>
      <c r="L60" s="118" t="e">
        <f>#REF!</f>
        <v>#REF!</v>
      </c>
      <c r="M60" s="118" t="e">
        <f>#REF!</f>
        <v>#REF!</v>
      </c>
      <c r="N60" s="118" t="e">
        <f>#REF!</f>
        <v>#REF!</v>
      </c>
      <c r="O60" s="118" t="e">
        <f>#REF!</f>
        <v>#REF!</v>
      </c>
      <c r="P60" s="118" t="e">
        <f>#REF!</f>
        <v>#REF!</v>
      </c>
      <c r="Q60" s="118" t="e">
        <f>#REF!</f>
        <v>#REF!</v>
      </c>
      <c r="R60" s="118" t="e">
        <f>#REF!</f>
        <v>#REF!</v>
      </c>
      <c r="S60" s="118" t="e">
        <f>#REF!</f>
        <v>#REF!</v>
      </c>
      <c r="T60" s="118" t="e">
        <f>#REF!</f>
        <v>#REF!</v>
      </c>
      <c r="U60" s="118" t="e">
        <f>#REF!</f>
        <v>#REF!</v>
      </c>
      <c r="V60" s="118" t="e">
        <f>#REF!</f>
        <v>#REF!</v>
      </c>
      <c r="W60" s="118" t="e">
        <f>#REF!</f>
        <v>#REF!</v>
      </c>
      <c r="X60" s="118" t="e">
        <f>#REF!</f>
        <v>#REF!</v>
      </c>
      <c r="Y60" s="118" t="e">
        <f>#REF!</f>
        <v>#REF!</v>
      </c>
      <c r="Z60" s="118" t="e">
        <f>#REF!</f>
        <v>#REF!</v>
      </c>
      <c r="AA60" s="118" t="e">
        <f>#REF!</f>
        <v>#REF!</v>
      </c>
      <c r="AB60" s="118" t="e">
        <f>#REF!</f>
        <v>#REF!</v>
      </c>
      <c r="AC60" s="118" t="e">
        <f>#REF!</f>
        <v>#REF!</v>
      </c>
      <c r="AD60" s="118" t="e">
        <f>#REF!</f>
        <v>#REF!</v>
      </c>
      <c r="AE60" s="118" t="e">
        <f>#REF!</f>
        <v>#REF!</v>
      </c>
      <c r="AF60" s="118" t="e">
        <f>#REF!</f>
        <v>#REF!</v>
      </c>
      <c r="AG60" s="118" t="e">
        <f>#REF!</f>
        <v>#REF!</v>
      </c>
      <c r="AH60" s="118" t="e">
        <f>#REF!</f>
        <v>#REF!</v>
      </c>
      <c r="AI60" s="118" t="e">
        <f>#REF!</f>
        <v>#REF!</v>
      </c>
      <c r="AJ60" s="118" t="e">
        <f>#REF!</f>
        <v>#REF!</v>
      </c>
      <c r="AK60" s="118" t="e">
        <f>#REF!</f>
        <v>#REF!</v>
      </c>
      <c r="AL60" s="118" t="e">
        <f>#REF!</f>
        <v>#REF!</v>
      </c>
      <c r="AM60" s="119" t="e">
        <f>#REF!</f>
        <v>#REF!</v>
      </c>
      <c r="AN60" s="119" t="e">
        <f>#REF!</f>
        <v>#REF!</v>
      </c>
      <c r="AO60" s="119" t="e">
        <f>#REF!</f>
        <v>#REF!</v>
      </c>
      <c r="AP60" s="119" t="e">
        <f>#REF!</f>
        <v>#REF!</v>
      </c>
      <c r="AQ60" s="119" t="e">
        <f>#REF!</f>
        <v>#REF!</v>
      </c>
      <c r="AR60" s="119" t="e">
        <f>#REF!</f>
        <v>#REF!</v>
      </c>
      <c r="AS60" s="119" t="e">
        <f>#REF!</f>
        <v>#REF!</v>
      </c>
      <c r="AT60" s="119" t="e">
        <f>#REF!</f>
        <v>#REF!</v>
      </c>
      <c r="AU60" s="119" t="e">
        <f>#REF!</f>
        <v>#REF!</v>
      </c>
      <c r="AV60" s="119" t="e">
        <f>#REF!</f>
        <v>#REF!</v>
      </c>
      <c r="AW60" s="119" t="e">
        <f>#REF!</f>
        <v>#REF!</v>
      </c>
      <c r="AX60" s="119" t="e">
        <f>#REF!</f>
        <v>#REF!</v>
      </c>
      <c r="AY60" s="119" t="e">
        <f>#REF!</f>
        <v>#REF!</v>
      </c>
      <c r="AZ60" s="119" t="e">
        <f>#REF!</f>
        <v>#REF!</v>
      </c>
      <c r="BA60" s="119" t="e">
        <f>#REF!</f>
        <v>#REF!</v>
      </c>
      <c r="BB60" s="119" t="e">
        <f>#REF!</f>
        <v>#REF!</v>
      </c>
      <c r="BC60" s="119" t="e">
        <f>#REF!</f>
        <v>#REF!</v>
      </c>
      <c r="BD60" s="119" t="e">
        <f>#REF!</f>
        <v>#REF!</v>
      </c>
      <c r="BE60" s="119" t="e">
        <f>#REF!</f>
        <v>#REF!</v>
      </c>
      <c r="BF60" s="119" t="e">
        <f>#REF!</f>
        <v>#REF!</v>
      </c>
      <c r="BG60" s="119" t="e">
        <f>#REF!</f>
        <v>#REF!</v>
      </c>
      <c r="BH60" s="119" t="e">
        <f>#REF!</f>
        <v>#REF!</v>
      </c>
      <c r="BI60" s="119">
        <v>2</v>
      </c>
      <c r="BJ60" s="119">
        <v>2</v>
      </c>
      <c r="BK60" s="119">
        <v>2</v>
      </c>
      <c r="BL60" s="119">
        <v>2</v>
      </c>
      <c r="BM60" s="119">
        <v>2</v>
      </c>
      <c r="BN60" s="119">
        <v>2</v>
      </c>
      <c r="BO60" s="119">
        <v>2</v>
      </c>
      <c r="BP60" s="119">
        <v>2</v>
      </c>
      <c r="BQ60" s="119">
        <v>2</v>
      </c>
      <c r="BR60" s="119"/>
      <c r="BS60" s="119"/>
      <c r="BT60" s="112" t="e">
        <f>SUM(I60:BR60)</f>
        <v>#REF!</v>
      </c>
      <c r="BW60" s="114"/>
    </row>
    <row r="61" spans="1:75" ht="23.25" hidden="1" customHeight="1" x14ac:dyDescent="0.2">
      <c r="A61" s="108">
        <v>5</v>
      </c>
      <c r="B61" s="107" t="s">
        <v>155</v>
      </c>
      <c r="C61" s="110"/>
      <c r="D61" s="107" t="s">
        <v>156</v>
      </c>
      <c r="E61" s="120"/>
      <c r="F61" s="120"/>
      <c r="G61" s="120"/>
      <c r="H61" s="120"/>
      <c r="I61" s="120">
        <f t="shared" ref="I61:BQ61" si="12">I18/I54</f>
        <v>1.0920830918134881</v>
      </c>
      <c r="J61" s="120">
        <f t="shared" si="12"/>
        <v>0.94600982084909946</v>
      </c>
      <c r="K61" s="120">
        <f t="shared" si="12"/>
        <v>1.2913929222105671</v>
      </c>
      <c r="L61" s="120">
        <f t="shared" ref="L61:AJ61" si="13">L18/L54</f>
        <v>1.0932877189648071</v>
      </c>
      <c r="M61" s="120">
        <f t="shared" si="13"/>
        <v>1.1905792381872808</v>
      </c>
      <c r="N61" s="120">
        <f t="shared" si="13"/>
        <v>0.92417452680486967</v>
      </c>
      <c r="O61" s="120">
        <f t="shared" si="13"/>
        <v>1.1250792276655277</v>
      </c>
      <c r="P61" s="120">
        <f t="shared" si="13"/>
        <v>0.99563506173444993</v>
      </c>
      <c r="Q61" s="120">
        <f t="shared" si="13"/>
        <v>0.98606754997973056</v>
      </c>
      <c r="R61" s="120">
        <f t="shared" si="13"/>
        <v>0.96232185748598864</v>
      </c>
      <c r="S61" s="120">
        <f t="shared" si="13"/>
        <v>1.0679036522079703</v>
      </c>
      <c r="T61" s="120">
        <f t="shared" si="13"/>
        <v>1.102540915296913</v>
      </c>
      <c r="U61" s="120">
        <f t="shared" si="13"/>
        <v>1.0258131040388683</v>
      </c>
      <c r="V61" s="120">
        <f t="shared" si="13"/>
        <v>0</v>
      </c>
      <c r="W61" s="120">
        <f t="shared" si="13"/>
        <v>1.4357110711071108</v>
      </c>
      <c r="X61" s="120">
        <f t="shared" si="13"/>
        <v>0.96719506533129918</v>
      </c>
      <c r="Y61" s="120">
        <f t="shared" si="13"/>
        <v>1.1033959656948888</v>
      </c>
      <c r="Z61" s="120">
        <f t="shared" si="13"/>
        <v>1.1112150273440595</v>
      </c>
      <c r="AA61" s="120">
        <f t="shared" si="13"/>
        <v>1.2327596766291034</v>
      </c>
      <c r="AB61" s="120">
        <f t="shared" si="13"/>
        <v>1.1664386812205132</v>
      </c>
      <c r="AC61" s="120">
        <f t="shared" si="13"/>
        <v>0.93918276845106141</v>
      </c>
      <c r="AD61" s="120">
        <f t="shared" si="13"/>
        <v>1.0674326816110695</v>
      </c>
      <c r="AE61" s="120">
        <f t="shared" si="13"/>
        <v>1.1195423398901743</v>
      </c>
      <c r="AF61" s="120">
        <f t="shared" si="13"/>
        <v>0.90110070867544856</v>
      </c>
      <c r="AG61" s="120">
        <f t="shared" si="13"/>
        <v>1.1989385184704278</v>
      </c>
      <c r="AH61" s="120">
        <f t="shared" si="13"/>
        <v>0.70887903685024001</v>
      </c>
      <c r="AI61" s="120">
        <f t="shared" si="13"/>
        <v>0.98111847568905808</v>
      </c>
      <c r="AJ61" s="120">
        <f t="shared" si="13"/>
        <v>0.78201653651814429</v>
      </c>
      <c r="AK61" s="120" t="e">
        <f t="shared" si="12"/>
        <v>#DIV/0!</v>
      </c>
      <c r="AL61" s="120" t="e">
        <f t="shared" si="12"/>
        <v>#DIV/0!</v>
      </c>
      <c r="AM61" s="120" t="e">
        <f t="shared" si="12"/>
        <v>#DIV/0!</v>
      </c>
      <c r="AN61" s="120" t="e">
        <f t="shared" si="12"/>
        <v>#DIV/0!</v>
      </c>
      <c r="AO61" s="120" t="e">
        <f t="shared" si="12"/>
        <v>#DIV/0!</v>
      </c>
      <c r="AP61" s="120" t="e">
        <f t="shared" si="12"/>
        <v>#DIV/0!</v>
      </c>
      <c r="AQ61" s="120" t="e">
        <f t="shared" si="12"/>
        <v>#DIV/0!</v>
      </c>
      <c r="AR61" s="120" t="e">
        <f t="shared" si="12"/>
        <v>#DIV/0!</v>
      </c>
      <c r="AS61" s="120" t="e">
        <f t="shared" si="12"/>
        <v>#DIV/0!</v>
      </c>
      <c r="AT61" s="120" t="e">
        <f t="shared" si="12"/>
        <v>#DIV/0!</v>
      </c>
      <c r="AU61" s="120" t="e">
        <f t="shared" si="12"/>
        <v>#DIV/0!</v>
      </c>
      <c r="AV61" s="120" t="e">
        <f t="shared" si="12"/>
        <v>#DIV/0!</v>
      </c>
      <c r="AW61" s="120" t="e">
        <f t="shared" si="12"/>
        <v>#DIV/0!</v>
      </c>
      <c r="AX61" s="120" t="e">
        <f t="shared" si="12"/>
        <v>#DIV/0!</v>
      </c>
      <c r="AY61" s="120" t="e">
        <f t="shared" si="12"/>
        <v>#DIV/0!</v>
      </c>
      <c r="AZ61" s="120" t="e">
        <f t="shared" si="12"/>
        <v>#DIV/0!</v>
      </c>
      <c r="BA61" s="120" t="e">
        <f t="shared" si="12"/>
        <v>#DIV/0!</v>
      </c>
      <c r="BB61" s="120" t="e">
        <f t="shared" si="12"/>
        <v>#DIV/0!</v>
      </c>
      <c r="BC61" s="120" t="e">
        <f t="shared" si="12"/>
        <v>#DIV/0!</v>
      </c>
      <c r="BD61" s="120" t="e">
        <f t="shared" si="12"/>
        <v>#DIV/0!</v>
      </c>
      <c r="BE61" s="120" t="e">
        <f t="shared" si="12"/>
        <v>#DIV/0!</v>
      </c>
      <c r="BF61" s="120" t="e">
        <f t="shared" si="12"/>
        <v>#DIV/0!</v>
      </c>
      <c r="BG61" s="120" t="e">
        <f t="shared" si="12"/>
        <v>#DIV/0!</v>
      </c>
      <c r="BH61" s="120" t="e">
        <f t="shared" si="12"/>
        <v>#DIV/0!</v>
      </c>
      <c r="BI61" s="120" t="e">
        <f t="shared" si="12"/>
        <v>#DIV/0!</v>
      </c>
      <c r="BJ61" s="120" t="e">
        <f t="shared" si="12"/>
        <v>#DIV/0!</v>
      </c>
      <c r="BK61" s="120" t="e">
        <f t="shared" si="12"/>
        <v>#DIV/0!</v>
      </c>
      <c r="BL61" s="120" t="e">
        <f t="shared" si="12"/>
        <v>#DIV/0!</v>
      </c>
      <c r="BM61" s="120" t="e">
        <f t="shared" si="12"/>
        <v>#DIV/0!</v>
      </c>
      <c r="BN61" s="120" t="e">
        <f t="shared" si="12"/>
        <v>#DIV/0!</v>
      </c>
      <c r="BO61" s="120" t="e">
        <f t="shared" si="12"/>
        <v>#DIV/0!</v>
      </c>
      <c r="BP61" s="120" t="e">
        <f t="shared" si="12"/>
        <v>#DIV/0!</v>
      </c>
      <c r="BQ61" s="120" t="e">
        <f t="shared" si="12"/>
        <v>#DIV/0!</v>
      </c>
      <c r="BR61" s="121"/>
      <c r="BS61" s="121"/>
      <c r="BT61" s="122" t="e">
        <f xml:space="preserve"> AVERAGE(E61:BR61)</f>
        <v>#DIV/0!</v>
      </c>
    </row>
    <row r="62" spans="1:75" ht="23.25" hidden="1" customHeight="1" x14ac:dyDescent="0.2">
      <c r="A62" s="108"/>
      <c r="B62" s="107"/>
      <c r="C62" s="240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1"/>
      <c r="AK62" s="241"/>
      <c r="AL62" s="241"/>
      <c r="AM62" s="241"/>
      <c r="AN62" s="241"/>
      <c r="AO62" s="241"/>
      <c r="AP62" s="241"/>
      <c r="AQ62" s="241"/>
      <c r="AR62" s="241"/>
      <c r="AS62" s="241"/>
      <c r="AT62" s="241"/>
      <c r="AU62" s="241"/>
      <c r="AV62" s="241"/>
      <c r="AW62" s="241"/>
      <c r="AX62" s="241"/>
      <c r="AY62" s="241"/>
      <c r="AZ62" s="241"/>
      <c r="BA62" s="241"/>
      <c r="BB62" s="241"/>
      <c r="BC62" s="241"/>
      <c r="BD62" s="241"/>
      <c r="BE62" s="241"/>
      <c r="BF62" s="241"/>
      <c r="BG62" s="241"/>
      <c r="BH62" s="241"/>
      <c r="BI62" s="241"/>
      <c r="BJ62" s="241"/>
      <c r="BK62" s="241"/>
      <c r="BL62" s="241"/>
      <c r="BM62" s="241"/>
      <c r="BN62" s="241"/>
      <c r="BO62" s="241"/>
      <c r="BP62" s="241"/>
      <c r="BQ62" s="241"/>
      <c r="BR62" s="241"/>
      <c r="BS62" s="241"/>
      <c r="BT62" s="242"/>
    </row>
    <row r="63" spans="1:75" hidden="1" x14ac:dyDescent="0.2">
      <c r="A63" s="108" t="s">
        <v>157</v>
      </c>
      <c r="B63" s="107" t="s">
        <v>158</v>
      </c>
      <c r="C63" s="110"/>
      <c r="D63" s="111" t="s">
        <v>159</v>
      </c>
      <c r="E63" s="118" t="e">
        <f>E57/E54</f>
        <v>#DIV/0!</v>
      </c>
      <c r="F63" s="118" t="e">
        <f>F57/F54</f>
        <v>#DIV/0!</v>
      </c>
      <c r="G63" s="118">
        <f>G57/G54</f>
        <v>0</v>
      </c>
      <c r="H63" s="118"/>
      <c r="I63" s="118">
        <f t="shared" ref="I63:AP63" si="14">I57/I54</f>
        <v>0</v>
      </c>
      <c r="J63" s="118">
        <f t="shared" si="14"/>
        <v>0</v>
      </c>
      <c r="K63" s="118">
        <f t="shared" si="14"/>
        <v>0</v>
      </c>
      <c r="L63" s="118">
        <f t="shared" ref="L63:AJ63" si="15">L57/L54</f>
        <v>0</v>
      </c>
      <c r="M63" s="118">
        <f t="shared" si="15"/>
        <v>0</v>
      </c>
      <c r="N63" s="118">
        <f t="shared" si="15"/>
        <v>0</v>
      </c>
      <c r="O63" s="118">
        <f t="shared" si="15"/>
        <v>0</v>
      </c>
      <c r="P63" s="118">
        <f t="shared" si="15"/>
        <v>0</v>
      </c>
      <c r="Q63" s="118">
        <f t="shared" si="15"/>
        <v>0</v>
      </c>
      <c r="R63" s="118">
        <f t="shared" si="15"/>
        <v>0</v>
      </c>
      <c r="S63" s="118">
        <f t="shared" si="15"/>
        <v>0</v>
      </c>
      <c r="T63" s="118">
        <f t="shared" si="15"/>
        <v>0</v>
      </c>
      <c r="U63" s="118">
        <f t="shared" si="15"/>
        <v>0</v>
      </c>
      <c r="V63" s="118">
        <f t="shared" si="15"/>
        <v>0</v>
      </c>
      <c r="W63" s="118">
        <f t="shared" si="15"/>
        <v>0</v>
      </c>
      <c r="X63" s="118">
        <f t="shared" si="15"/>
        <v>0</v>
      </c>
      <c r="Y63" s="118">
        <f t="shared" si="15"/>
        <v>0</v>
      </c>
      <c r="Z63" s="118">
        <f t="shared" si="15"/>
        <v>0</v>
      </c>
      <c r="AA63" s="118">
        <f t="shared" si="15"/>
        <v>0</v>
      </c>
      <c r="AB63" s="118">
        <f t="shared" si="15"/>
        <v>0</v>
      </c>
      <c r="AC63" s="118">
        <f t="shared" si="15"/>
        <v>0</v>
      </c>
      <c r="AD63" s="118">
        <f t="shared" si="15"/>
        <v>0</v>
      </c>
      <c r="AE63" s="118">
        <f t="shared" si="15"/>
        <v>0</v>
      </c>
      <c r="AF63" s="118">
        <f t="shared" si="15"/>
        <v>0</v>
      </c>
      <c r="AG63" s="118">
        <f t="shared" si="15"/>
        <v>0</v>
      </c>
      <c r="AH63" s="118">
        <f t="shared" si="15"/>
        <v>0</v>
      </c>
      <c r="AI63" s="118">
        <f t="shared" si="15"/>
        <v>0</v>
      </c>
      <c r="AJ63" s="118">
        <f t="shared" si="15"/>
        <v>0</v>
      </c>
      <c r="AK63" s="118" t="e">
        <f t="shared" si="14"/>
        <v>#DIV/0!</v>
      </c>
      <c r="AL63" s="118" t="e">
        <f t="shared" si="14"/>
        <v>#DIV/0!</v>
      </c>
      <c r="AM63" s="118" t="e">
        <f t="shared" si="14"/>
        <v>#DIV/0!</v>
      </c>
      <c r="AN63" s="118" t="e">
        <f t="shared" si="14"/>
        <v>#DIV/0!</v>
      </c>
      <c r="AO63" s="118" t="e">
        <f t="shared" si="14"/>
        <v>#DIV/0!</v>
      </c>
      <c r="AP63" s="118" t="e">
        <f t="shared" si="14"/>
        <v>#DIV/0!</v>
      </c>
      <c r="AQ63" s="119">
        <v>0</v>
      </c>
      <c r="AR63" s="119">
        <v>0</v>
      </c>
      <c r="AS63" s="119">
        <v>0</v>
      </c>
      <c r="AT63" s="119">
        <v>0</v>
      </c>
      <c r="AU63" s="119">
        <v>0</v>
      </c>
      <c r="AV63" s="119">
        <v>0</v>
      </c>
      <c r="AW63" s="119">
        <v>0</v>
      </c>
      <c r="AX63" s="119">
        <v>0</v>
      </c>
      <c r="AY63" s="119">
        <v>0</v>
      </c>
      <c r="AZ63" s="119">
        <v>0</v>
      </c>
      <c r="BA63" s="119">
        <v>0</v>
      </c>
      <c r="BB63" s="119">
        <v>0</v>
      </c>
      <c r="BC63" s="119">
        <v>0</v>
      </c>
      <c r="BD63" s="119">
        <v>0</v>
      </c>
      <c r="BE63" s="119">
        <v>0</v>
      </c>
      <c r="BF63" s="119">
        <v>0</v>
      </c>
      <c r="BG63" s="119">
        <v>0</v>
      </c>
      <c r="BH63" s="119">
        <v>0</v>
      </c>
      <c r="BI63" s="119">
        <v>0</v>
      </c>
      <c r="BJ63" s="119">
        <v>0</v>
      </c>
      <c r="BK63" s="119">
        <v>0</v>
      </c>
      <c r="BL63" s="119">
        <v>0</v>
      </c>
      <c r="BM63" s="119">
        <v>0</v>
      </c>
      <c r="BN63" s="119">
        <v>0</v>
      </c>
      <c r="BO63" s="119">
        <v>0</v>
      </c>
      <c r="BP63" s="119">
        <v>0</v>
      </c>
      <c r="BQ63" s="119">
        <v>0</v>
      </c>
      <c r="BR63" s="119"/>
      <c r="BS63" s="119"/>
      <c r="BT63" s="112">
        <f>BT57/BT54</f>
        <v>0</v>
      </c>
      <c r="BW63" s="114"/>
    </row>
    <row r="64" spans="1:75" hidden="1" x14ac:dyDescent="0.2">
      <c r="A64" s="108" t="s">
        <v>160</v>
      </c>
      <c r="B64" s="107" t="s">
        <v>161</v>
      </c>
      <c r="C64" s="110"/>
      <c r="D64" s="111" t="s">
        <v>162</v>
      </c>
      <c r="E64" s="99" t="e">
        <f>E58*1000/E54</f>
        <v>#DIV/0!</v>
      </c>
      <c r="F64" s="99" t="e">
        <f>F58*1000/F54</f>
        <v>#DIV/0!</v>
      </c>
      <c r="G64" s="99">
        <f>G58*1000/G54</f>
        <v>0</v>
      </c>
      <c r="H64" s="99"/>
      <c r="I64" s="99">
        <f t="shared" ref="I64:AP64" si="16">I58*1000/I54</f>
        <v>0</v>
      </c>
      <c r="J64" s="99">
        <f t="shared" si="16"/>
        <v>0</v>
      </c>
      <c r="K64" s="99">
        <f t="shared" si="16"/>
        <v>0</v>
      </c>
      <c r="L64" s="99">
        <f t="shared" ref="L64:AJ64" si="17">L58*1000/L54</f>
        <v>0</v>
      </c>
      <c r="M64" s="99">
        <f t="shared" si="17"/>
        <v>0</v>
      </c>
      <c r="N64" s="99">
        <f t="shared" si="17"/>
        <v>0</v>
      </c>
      <c r="O64" s="99">
        <f t="shared" si="17"/>
        <v>0</v>
      </c>
      <c r="P64" s="99">
        <f t="shared" si="17"/>
        <v>0</v>
      </c>
      <c r="Q64" s="99">
        <f t="shared" si="17"/>
        <v>0</v>
      </c>
      <c r="R64" s="99">
        <f t="shared" si="17"/>
        <v>0</v>
      </c>
      <c r="S64" s="99">
        <f t="shared" si="17"/>
        <v>0</v>
      </c>
      <c r="T64" s="99">
        <f t="shared" si="17"/>
        <v>0</v>
      </c>
      <c r="U64" s="99">
        <f t="shared" si="17"/>
        <v>0</v>
      </c>
      <c r="V64" s="99">
        <f t="shared" si="17"/>
        <v>0</v>
      </c>
      <c r="W64" s="99">
        <f t="shared" si="17"/>
        <v>0</v>
      </c>
      <c r="X64" s="99">
        <f t="shared" si="17"/>
        <v>0</v>
      </c>
      <c r="Y64" s="99">
        <f t="shared" si="17"/>
        <v>0</v>
      </c>
      <c r="Z64" s="99">
        <f t="shared" si="17"/>
        <v>0</v>
      </c>
      <c r="AA64" s="99">
        <f t="shared" si="17"/>
        <v>0</v>
      </c>
      <c r="AB64" s="99">
        <f t="shared" si="17"/>
        <v>0</v>
      </c>
      <c r="AC64" s="99">
        <f t="shared" si="17"/>
        <v>0</v>
      </c>
      <c r="AD64" s="99">
        <f t="shared" si="17"/>
        <v>0</v>
      </c>
      <c r="AE64" s="99">
        <f t="shared" si="17"/>
        <v>0</v>
      </c>
      <c r="AF64" s="99">
        <f t="shared" si="17"/>
        <v>0</v>
      </c>
      <c r="AG64" s="99">
        <f t="shared" si="17"/>
        <v>0</v>
      </c>
      <c r="AH64" s="99">
        <f t="shared" si="17"/>
        <v>0</v>
      </c>
      <c r="AI64" s="99">
        <f t="shared" si="17"/>
        <v>0</v>
      </c>
      <c r="AJ64" s="99">
        <f t="shared" si="17"/>
        <v>0</v>
      </c>
      <c r="AK64" s="99" t="e">
        <f t="shared" si="16"/>
        <v>#DIV/0!</v>
      </c>
      <c r="AL64" s="99" t="e">
        <f t="shared" si="16"/>
        <v>#DIV/0!</v>
      </c>
      <c r="AM64" s="99" t="e">
        <f t="shared" si="16"/>
        <v>#DIV/0!</v>
      </c>
      <c r="AN64" s="99" t="e">
        <f t="shared" si="16"/>
        <v>#DIV/0!</v>
      </c>
      <c r="AO64" s="99" t="e">
        <f t="shared" si="16"/>
        <v>#DIV/0!</v>
      </c>
      <c r="AP64" s="99" t="e">
        <f t="shared" si="16"/>
        <v>#DIV/0!</v>
      </c>
      <c r="AQ64" s="100">
        <v>0</v>
      </c>
      <c r="AR64" s="100">
        <v>0</v>
      </c>
      <c r="AS64" s="100">
        <v>0</v>
      </c>
      <c r="AT64" s="100">
        <v>0</v>
      </c>
      <c r="AU64" s="100">
        <v>0</v>
      </c>
      <c r="AV64" s="100">
        <v>0</v>
      </c>
      <c r="AW64" s="100">
        <v>0</v>
      </c>
      <c r="AX64" s="100">
        <v>0</v>
      </c>
      <c r="AY64" s="100">
        <v>0</v>
      </c>
      <c r="AZ64" s="100">
        <v>0</v>
      </c>
      <c r="BA64" s="100">
        <v>0</v>
      </c>
      <c r="BB64" s="100">
        <v>0</v>
      </c>
      <c r="BC64" s="100">
        <v>0</v>
      </c>
      <c r="BD64" s="100">
        <v>0</v>
      </c>
      <c r="BE64" s="100">
        <v>0</v>
      </c>
      <c r="BF64" s="100">
        <v>0</v>
      </c>
      <c r="BG64" s="100">
        <v>0</v>
      </c>
      <c r="BH64" s="100">
        <v>0</v>
      </c>
      <c r="BI64" s="100">
        <v>0</v>
      </c>
      <c r="BJ64" s="100">
        <v>0</v>
      </c>
      <c r="BK64" s="100">
        <v>0</v>
      </c>
      <c r="BL64" s="100">
        <v>0</v>
      </c>
      <c r="BM64" s="100">
        <v>0</v>
      </c>
      <c r="BN64" s="100">
        <v>0</v>
      </c>
      <c r="BO64" s="100">
        <v>0</v>
      </c>
      <c r="BP64" s="100">
        <v>0</v>
      </c>
      <c r="BQ64" s="100">
        <v>0</v>
      </c>
      <c r="BR64" s="100"/>
      <c r="BS64" s="100"/>
      <c r="BT64" s="112">
        <f>BT58*1000/BT54</f>
        <v>0</v>
      </c>
      <c r="BW64" s="114"/>
    </row>
    <row r="65" spans="1:75" hidden="1" x14ac:dyDescent="0.2">
      <c r="A65" s="108" t="s">
        <v>163</v>
      </c>
      <c r="B65" s="107" t="s">
        <v>164</v>
      </c>
      <c r="C65" s="110"/>
      <c r="D65" s="111" t="s">
        <v>165</v>
      </c>
      <c r="E65" s="118" t="e">
        <f>E59/E54</f>
        <v>#DIV/0!</v>
      </c>
      <c r="F65" s="118" t="e">
        <f>F59/F54</f>
        <v>#DIV/0!</v>
      </c>
      <c r="G65" s="118">
        <f>G59/G54</f>
        <v>0</v>
      </c>
      <c r="H65" s="118"/>
      <c r="I65" s="118">
        <f t="shared" ref="I65:AP65" si="18">I59/I54</f>
        <v>0</v>
      </c>
      <c r="J65" s="118">
        <f t="shared" si="18"/>
        <v>0</v>
      </c>
      <c r="K65" s="118">
        <f t="shared" si="18"/>
        <v>0</v>
      </c>
      <c r="L65" s="118">
        <f t="shared" ref="L65:AJ65" si="19">L59/L54</f>
        <v>0</v>
      </c>
      <c r="M65" s="118">
        <f t="shared" si="19"/>
        <v>0</v>
      </c>
      <c r="N65" s="118">
        <f t="shared" si="19"/>
        <v>0</v>
      </c>
      <c r="O65" s="118">
        <f t="shared" si="19"/>
        <v>0</v>
      </c>
      <c r="P65" s="118">
        <f t="shared" si="19"/>
        <v>0</v>
      </c>
      <c r="Q65" s="118">
        <f t="shared" si="19"/>
        <v>0</v>
      </c>
      <c r="R65" s="118">
        <f t="shared" si="19"/>
        <v>0</v>
      </c>
      <c r="S65" s="118">
        <f t="shared" si="19"/>
        <v>0</v>
      </c>
      <c r="T65" s="118">
        <f t="shared" si="19"/>
        <v>0</v>
      </c>
      <c r="U65" s="118">
        <f t="shared" si="19"/>
        <v>0</v>
      </c>
      <c r="V65" s="118">
        <f t="shared" si="19"/>
        <v>0</v>
      </c>
      <c r="W65" s="118">
        <f t="shared" si="19"/>
        <v>0</v>
      </c>
      <c r="X65" s="118">
        <f t="shared" si="19"/>
        <v>0</v>
      </c>
      <c r="Y65" s="118">
        <f t="shared" si="19"/>
        <v>0</v>
      </c>
      <c r="Z65" s="118">
        <f t="shared" si="19"/>
        <v>0</v>
      </c>
      <c r="AA65" s="118">
        <f t="shared" si="19"/>
        <v>0</v>
      </c>
      <c r="AB65" s="118">
        <f t="shared" si="19"/>
        <v>0</v>
      </c>
      <c r="AC65" s="118">
        <f t="shared" si="19"/>
        <v>0</v>
      </c>
      <c r="AD65" s="118">
        <f t="shared" si="19"/>
        <v>0</v>
      </c>
      <c r="AE65" s="118">
        <f t="shared" si="19"/>
        <v>0</v>
      </c>
      <c r="AF65" s="118">
        <f t="shared" si="19"/>
        <v>0</v>
      </c>
      <c r="AG65" s="118">
        <f t="shared" si="19"/>
        <v>0</v>
      </c>
      <c r="AH65" s="118">
        <f t="shared" si="19"/>
        <v>0</v>
      </c>
      <c r="AI65" s="118">
        <f t="shared" si="19"/>
        <v>0</v>
      </c>
      <c r="AJ65" s="118">
        <f t="shared" si="19"/>
        <v>0</v>
      </c>
      <c r="AK65" s="118" t="e">
        <f t="shared" si="18"/>
        <v>#DIV/0!</v>
      </c>
      <c r="AL65" s="118" t="e">
        <f t="shared" si="18"/>
        <v>#DIV/0!</v>
      </c>
      <c r="AM65" s="118" t="e">
        <f t="shared" si="18"/>
        <v>#DIV/0!</v>
      </c>
      <c r="AN65" s="118" t="e">
        <f t="shared" si="18"/>
        <v>#DIV/0!</v>
      </c>
      <c r="AO65" s="118" t="e">
        <f t="shared" si="18"/>
        <v>#DIV/0!</v>
      </c>
      <c r="AP65" s="118" t="e">
        <f t="shared" si="18"/>
        <v>#DIV/0!</v>
      </c>
      <c r="AQ65" s="119">
        <v>0</v>
      </c>
      <c r="AR65" s="119">
        <v>0</v>
      </c>
      <c r="AS65" s="119">
        <v>0</v>
      </c>
      <c r="AT65" s="119">
        <v>0</v>
      </c>
      <c r="AU65" s="119">
        <v>0</v>
      </c>
      <c r="AV65" s="119">
        <v>0</v>
      </c>
      <c r="AW65" s="119">
        <v>0</v>
      </c>
      <c r="AX65" s="119">
        <v>0</v>
      </c>
      <c r="AY65" s="119">
        <v>0</v>
      </c>
      <c r="AZ65" s="119">
        <v>0</v>
      </c>
      <c r="BA65" s="119">
        <v>0</v>
      </c>
      <c r="BB65" s="119">
        <v>0</v>
      </c>
      <c r="BC65" s="119">
        <v>0</v>
      </c>
      <c r="BD65" s="119">
        <v>0</v>
      </c>
      <c r="BE65" s="119">
        <v>0</v>
      </c>
      <c r="BF65" s="119">
        <v>0</v>
      </c>
      <c r="BG65" s="119">
        <v>0</v>
      </c>
      <c r="BH65" s="119">
        <v>0</v>
      </c>
      <c r="BI65" s="119">
        <v>0</v>
      </c>
      <c r="BJ65" s="119">
        <v>0</v>
      </c>
      <c r="BK65" s="119">
        <v>0</v>
      </c>
      <c r="BL65" s="119">
        <v>0</v>
      </c>
      <c r="BM65" s="119">
        <v>0</v>
      </c>
      <c r="BN65" s="119">
        <v>0</v>
      </c>
      <c r="BO65" s="119">
        <v>0</v>
      </c>
      <c r="BP65" s="119">
        <v>0</v>
      </c>
      <c r="BQ65" s="119">
        <v>0</v>
      </c>
      <c r="BR65" s="119"/>
      <c r="BS65" s="119"/>
      <c r="BT65" s="112">
        <f>BT59/BT54</f>
        <v>0</v>
      </c>
      <c r="BW65" s="114"/>
    </row>
    <row r="66" spans="1:75" hidden="1" x14ac:dyDescent="0.2">
      <c r="A66" s="108" t="s">
        <v>166</v>
      </c>
      <c r="B66" s="107" t="s">
        <v>167</v>
      </c>
      <c r="C66" s="110"/>
      <c r="D66" s="111" t="s">
        <v>168</v>
      </c>
      <c r="E66" s="123"/>
      <c r="F66" s="123"/>
      <c r="G66" s="123"/>
      <c r="H66" s="123"/>
      <c r="I66" s="123">
        <v>0</v>
      </c>
      <c r="J66" s="123">
        <v>0</v>
      </c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4"/>
      <c r="BH66" s="124"/>
      <c r="BI66" s="124"/>
      <c r="BJ66" s="124"/>
      <c r="BK66" s="124"/>
      <c r="BL66" s="124"/>
      <c r="BM66" s="124"/>
      <c r="BN66" s="124"/>
      <c r="BO66" s="124"/>
      <c r="BP66" s="124"/>
      <c r="BQ66" s="124"/>
      <c r="BR66" s="124"/>
      <c r="BS66" s="124"/>
      <c r="BT66" s="125" t="e">
        <f>+#REF!</f>
        <v>#REF!</v>
      </c>
      <c r="BU66" s="114"/>
    </row>
    <row r="67" spans="1:75" hidden="1" x14ac:dyDescent="0.2">
      <c r="A67" s="108" t="s">
        <v>169</v>
      </c>
      <c r="B67" s="107" t="s">
        <v>170</v>
      </c>
      <c r="C67" s="110"/>
      <c r="D67" s="111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126" t="s">
        <v>171</v>
      </c>
      <c r="BU67" s="114"/>
    </row>
    <row r="68" spans="1:75" hidden="1" x14ac:dyDescent="0.2">
      <c r="A68" s="108" t="s">
        <v>157</v>
      </c>
      <c r="B68" s="107" t="s">
        <v>172</v>
      </c>
      <c r="C68" s="110"/>
      <c r="D68" s="111" t="s">
        <v>173</v>
      </c>
      <c r="E68" s="99" t="e">
        <f>E54*100/#REF!</f>
        <v>#REF!</v>
      </c>
      <c r="F68" s="99" t="e">
        <f>F54*100/#REF!</f>
        <v>#REF!</v>
      </c>
      <c r="G68" s="99" t="e">
        <f>G54*100/#REF!</f>
        <v>#REF!</v>
      </c>
      <c r="H68" s="99" t="e">
        <f>H54*100/#REF!</f>
        <v>#REF!</v>
      </c>
      <c r="I68" s="99" t="e">
        <f>I54*100/#REF!</f>
        <v>#REF!</v>
      </c>
      <c r="J68" s="99" t="e">
        <f>J54*100/#REF!</f>
        <v>#REF!</v>
      </c>
      <c r="K68" s="99" t="e">
        <f>K54*100/#REF!</f>
        <v>#REF!</v>
      </c>
      <c r="L68" s="99" t="e">
        <f>L54*100/#REF!</f>
        <v>#REF!</v>
      </c>
      <c r="M68" s="99" t="e">
        <f>M54*100/#REF!</f>
        <v>#REF!</v>
      </c>
      <c r="N68" s="99" t="e">
        <f>N54*100/#REF!</f>
        <v>#REF!</v>
      </c>
      <c r="O68" s="99" t="e">
        <f>O54*100/#REF!</f>
        <v>#REF!</v>
      </c>
      <c r="P68" s="99" t="e">
        <f>P54*100/#REF!</f>
        <v>#REF!</v>
      </c>
      <c r="Q68" s="99" t="e">
        <f>Q54*100/#REF!</f>
        <v>#REF!</v>
      </c>
      <c r="R68" s="99" t="e">
        <f>R54*100/#REF!</f>
        <v>#REF!</v>
      </c>
      <c r="S68" s="99" t="e">
        <f>S54*100/#REF!</f>
        <v>#REF!</v>
      </c>
      <c r="T68" s="99" t="e">
        <f>T54*100/#REF!</f>
        <v>#REF!</v>
      </c>
      <c r="U68" s="99" t="e">
        <f>U54*100/#REF!</f>
        <v>#REF!</v>
      </c>
      <c r="V68" s="99" t="e">
        <f>V54*100/#REF!</f>
        <v>#REF!</v>
      </c>
      <c r="W68" s="99" t="e">
        <f>W54*100/#REF!</f>
        <v>#REF!</v>
      </c>
      <c r="X68" s="99" t="e">
        <f>X54*100/#REF!</f>
        <v>#REF!</v>
      </c>
      <c r="Y68" s="99" t="e">
        <f>Y54*100/#REF!</f>
        <v>#REF!</v>
      </c>
      <c r="Z68" s="99" t="e">
        <f>Z54*100/#REF!</f>
        <v>#REF!</v>
      </c>
      <c r="AA68" s="99" t="e">
        <f>AA54*100/#REF!</f>
        <v>#REF!</v>
      </c>
      <c r="AB68" s="99" t="e">
        <f>AB54*100/#REF!</f>
        <v>#REF!</v>
      </c>
      <c r="AC68" s="99" t="e">
        <f>AC54*100/#REF!</f>
        <v>#REF!</v>
      </c>
      <c r="AD68" s="99" t="e">
        <f>AD54*100/#REF!</f>
        <v>#REF!</v>
      </c>
      <c r="AE68" s="99" t="e">
        <f>AE54*100/#REF!</f>
        <v>#REF!</v>
      </c>
      <c r="AF68" s="99" t="e">
        <f>AF54*100/#REF!</f>
        <v>#REF!</v>
      </c>
      <c r="AG68" s="99" t="e">
        <f>AG54*100/#REF!</f>
        <v>#REF!</v>
      </c>
      <c r="AH68" s="99" t="e">
        <f>AH54*100/#REF!</f>
        <v>#REF!</v>
      </c>
      <c r="AI68" s="99" t="e">
        <f>AI54*100/#REF!</f>
        <v>#REF!</v>
      </c>
      <c r="AJ68" s="99" t="e">
        <f>AJ54*100/#REF!</f>
        <v>#REF!</v>
      </c>
      <c r="AK68" s="99" t="e">
        <f>AK54*100/#REF!</f>
        <v>#REF!</v>
      </c>
      <c r="AL68" s="99" t="e">
        <f>AL54*100/#REF!</f>
        <v>#REF!</v>
      </c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26" t="s">
        <v>174</v>
      </c>
      <c r="BU68" s="114"/>
    </row>
    <row r="69" spans="1:75" hidden="1" x14ac:dyDescent="0.2">
      <c r="A69" s="108" t="s">
        <v>160</v>
      </c>
      <c r="B69" s="107" t="s">
        <v>175</v>
      </c>
      <c r="C69" s="110"/>
      <c r="D69" s="111" t="s">
        <v>176</v>
      </c>
      <c r="E69" s="99" t="e">
        <f>#REF!*E63</f>
        <v>#REF!</v>
      </c>
      <c r="F69" s="123" t="e">
        <f>#REF!*F63</f>
        <v>#REF!</v>
      </c>
      <c r="G69" s="123" t="e">
        <f>#REF!*G63</f>
        <v>#REF!</v>
      </c>
      <c r="H69" s="123" t="e">
        <f>#REF!*H63</f>
        <v>#REF!</v>
      </c>
      <c r="I69" s="123" t="e">
        <f>#REF!*I63</f>
        <v>#REF!</v>
      </c>
      <c r="J69" s="123" t="e">
        <f>#REF!*J63</f>
        <v>#REF!</v>
      </c>
      <c r="K69" s="123" t="e">
        <f>#REF!*K63</f>
        <v>#REF!</v>
      </c>
      <c r="L69" s="123" t="e">
        <f>#REF!*L63</f>
        <v>#REF!</v>
      </c>
      <c r="M69" s="123" t="e">
        <f>#REF!*M63</f>
        <v>#REF!</v>
      </c>
      <c r="N69" s="123" t="e">
        <f>#REF!*N63</f>
        <v>#REF!</v>
      </c>
      <c r="O69" s="123" t="e">
        <f>#REF!*O63</f>
        <v>#REF!</v>
      </c>
      <c r="P69" s="123" t="e">
        <f>#REF!*P63</f>
        <v>#REF!</v>
      </c>
      <c r="Q69" s="123" t="e">
        <f>#REF!*Q63</f>
        <v>#REF!</v>
      </c>
      <c r="R69" s="123" t="e">
        <f>#REF!*R63</f>
        <v>#REF!</v>
      </c>
      <c r="S69" s="123" t="e">
        <f>#REF!*S63</f>
        <v>#REF!</v>
      </c>
      <c r="T69" s="123" t="e">
        <f>#REF!*T63</f>
        <v>#REF!</v>
      </c>
      <c r="U69" s="123" t="e">
        <f>#REF!*U63</f>
        <v>#REF!</v>
      </c>
      <c r="V69" s="123" t="e">
        <f>#REF!*V63</f>
        <v>#REF!</v>
      </c>
      <c r="W69" s="123" t="e">
        <f>#REF!*W63</f>
        <v>#REF!</v>
      </c>
      <c r="X69" s="123" t="e">
        <f>#REF!*X63</f>
        <v>#REF!</v>
      </c>
      <c r="Y69" s="123" t="e">
        <f>#REF!*Y63</f>
        <v>#REF!</v>
      </c>
      <c r="Z69" s="123" t="e">
        <f>#REF!*Z63</f>
        <v>#REF!</v>
      </c>
      <c r="AA69" s="123" t="e">
        <f>#REF!*AA63</f>
        <v>#REF!</v>
      </c>
      <c r="AB69" s="123" t="e">
        <f>#REF!*AB63</f>
        <v>#REF!</v>
      </c>
      <c r="AC69" s="123" t="e">
        <f>#REF!*AC63</f>
        <v>#REF!</v>
      </c>
      <c r="AD69" s="123" t="e">
        <f>#REF!*AD63</f>
        <v>#REF!</v>
      </c>
      <c r="AE69" s="123" t="e">
        <f>#REF!*AE63</f>
        <v>#REF!</v>
      </c>
      <c r="AF69" s="123" t="e">
        <f>#REF!*AF63</f>
        <v>#REF!</v>
      </c>
      <c r="AG69" s="123" t="e">
        <f>#REF!*AG63</f>
        <v>#REF!</v>
      </c>
      <c r="AH69" s="123" t="e">
        <f>#REF!*AH63</f>
        <v>#REF!</v>
      </c>
      <c r="AI69" s="123" t="e">
        <f>#REF!*AI63</f>
        <v>#REF!</v>
      </c>
      <c r="AJ69" s="123" t="e">
        <f>#REF!*AJ63</f>
        <v>#REF!</v>
      </c>
      <c r="AK69" s="123" t="e">
        <f>#REF!*AK63</f>
        <v>#REF!</v>
      </c>
      <c r="AL69" s="123" t="e">
        <f>#REF!*AL63</f>
        <v>#REF!</v>
      </c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  <c r="BE69" s="124"/>
      <c r="BF69" s="124"/>
      <c r="BG69" s="124"/>
      <c r="BH69" s="124"/>
      <c r="BI69" s="124"/>
      <c r="BJ69" s="124"/>
      <c r="BK69" s="124"/>
      <c r="BL69" s="124"/>
      <c r="BM69" s="124"/>
      <c r="BN69" s="124"/>
      <c r="BO69" s="124"/>
      <c r="BP69" s="124"/>
      <c r="BQ69" s="124"/>
      <c r="BR69" s="124"/>
      <c r="BS69" s="124"/>
      <c r="BT69" s="127" t="e">
        <f>BT63*#REF!</f>
        <v>#REF!</v>
      </c>
      <c r="BU69" s="114"/>
    </row>
    <row r="70" spans="1:75" hidden="1" x14ac:dyDescent="0.2">
      <c r="A70" s="108" t="s">
        <v>163</v>
      </c>
      <c r="B70" s="107" t="s">
        <v>177</v>
      </c>
      <c r="C70" s="110"/>
      <c r="D70" s="111" t="s">
        <v>176</v>
      </c>
      <c r="E70" s="99" t="e">
        <f>#REF!*E64</f>
        <v>#REF!</v>
      </c>
      <c r="F70" s="123" t="e">
        <f>#REF!*F64</f>
        <v>#REF!</v>
      </c>
      <c r="G70" s="123" t="e">
        <f>#REF!*G64</f>
        <v>#REF!</v>
      </c>
      <c r="H70" s="123" t="e">
        <f>#REF!*H64</f>
        <v>#REF!</v>
      </c>
      <c r="I70" s="123" t="e">
        <f>#REF!*I64</f>
        <v>#REF!</v>
      </c>
      <c r="J70" s="123" t="e">
        <f>#REF!*J64</f>
        <v>#REF!</v>
      </c>
      <c r="K70" s="123" t="e">
        <f>#REF!*K64</f>
        <v>#REF!</v>
      </c>
      <c r="L70" s="123" t="e">
        <f>#REF!*L64</f>
        <v>#REF!</v>
      </c>
      <c r="M70" s="123" t="e">
        <f>#REF!*M64</f>
        <v>#REF!</v>
      </c>
      <c r="N70" s="123" t="e">
        <f>#REF!*N64</f>
        <v>#REF!</v>
      </c>
      <c r="O70" s="123" t="e">
        <f>#REF!*O64</f>
        <v>#REF!</v>
      </c>
      <c r="P70" s="123" t="e">
        <f>#REF!*P64</f>
        <v>#REF!</v>
      </c>
      <c r="Q70" s="123" t="e">
        <f>#REF!*Q64</f>
        <v>#REF!</v>
      </c>
      <c r="R70" s="123" t="e">
        <f>#REF!*R64</f>
        <v>#REF!</v>
      </c>
      <c r="S70" s="123" t="e">
        <f>#REF!*S64</f>
        <v>#REF!</v>
      </c>
      <c r="T70" s="123" t="e">
        <f>#REF!*T64</f>
        <v>#REF!</v>
      </c>
      <c r="U70" s="123" t="e">
        <f>#REF!*U64</f>
        <v>#REF!</v>
      </c>
      <c r="V70" s="123" t="e">
        <f>#REF!*V64</f>
        <v>#REF!</v>
      </c>
      <c r="W70" s="123" t="e">
        <f>#REF!*W64</f>
        <v>#REF!</v>
      </c>
      <c r="X70" s="123" t="e">
        <f>#REF!*X64</f>
        <v>#REF!</v>
      </c>
      <c r="Y70" s="123" t="e">
        <f>#REF!*Y64</f>
        <v>#REF!</v>
      </c>
      <c r="Z70" s="123" t="e">
        <f>#REF!*Z64</f>
        <v>#REF!</v>
      </c>
      <c r="AA70" s="123" t="e">
        <f>#REF!*AA64</f>
        <v>#REF!</v>
      </c>
      <c r="AB70" s="123" t="e">
        <f>#REF!*AB64</f>
        <v>#REF!</v>
      </c>
      <c r="AC70" s="123" t="e">
        <f>#REF!*AC64</f>
        <v>#REF!</v>
      </c>
      <c r="AD70" s="123" t="e">
        <f>#REF!*AD64</f>
        <v>#REF!</v>
      </c>
      <c r="AE70" s="123" t="e">
        <f>#REF!*AE64</f>
        <v>#REF!</v>
      </c>
      <c r="AF70" s="123" t="e">
        <f>#REF!*AF64</f>
        <v>#REF!</v>
      </c>
      <c r="AG70" s="123" t="e">
        <f>#REF!*AG64</f>
        <v>#REF!</v>
      </c>
      <c r="AH70" s="123" t="e">
        <f>#REF!*AH64</f>
        <v>#REF!</v>
      </c>
      <c r="AI70" s="123" t="e">
        <f>#REF!*AI64</f>
        <v>#REF!</v>
      </c>
      <c r="AJ70" s="123" t="e">
        <f>#REF!*AJ64</f>
        <v>#REF!</v>
      </c>
      <c r="AK70" s="123" t="e">
        <f>#REF!*AK64</f>
        <v>#REF!</v>
      </c>
      <c r="AL70" s="123" t="e">
        <f>#REF!*AL64</f>
        <v>#REF!</v>
      </c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4"/>
      <c r="BJ70" s="124"/>
      <c r="BK70" s="124"/>
      <c r="BL70" s="124"/>
      <c r="BM70" s="124"/>
      <c r="BN70" s="124"/>
      <c r="BO70" s="124"/>
      <c r="BP70" s="124"/>
      <c r="BQ70" s="124"/>
      <c r="BR70" s="124"/>
      <c r="BS70" s="124"/>
      <c r="BT70" s="127" t="e">
        <f>BT64*#REF!</f>
        <v>#REF!</v>
      </c>
      <c r="BU70" s="114"/>
    </row>
    <row r="71" spans="1:75" hidden="1" x14ac:dyDescent="0.2">
      <c r="A71" s="108" t="s">
        <v>166</v>
      </c>
      <c r="B71" s="107" t="s">
        <v>178</v>
      </c>
      <c r="C71" s="110"/>
      <c r="D71" s="111" t="s">
        <v>176</v>
      </c>
      <c r="E71" s="99" t="e">
        <f>#REF!*E65</f>
        <v>#REF!</v>
      </c>
      <c r="F71" s="123" t="e">
        <f>#REF!*F65</f>
        <v>#REF!</v>
      </c>
      <c r="G71" s="123" t="e">
        <f>#REF!*G65</f>
        <v>#REF!</v>
      </c>
      <c r="H71" s="123" t="e">
        <f>#REF!*H65</f>
        <v>#REF!</v>
      </c>
      <c r="I71" s="123" t="e">
        <f>#REF!*I65</f>
        <v>#REF!</v>
      </c>
      <c r="J71" s="123" t="e">
        <f>#REF!*J65</f>
        <v>#REF!</v>
      </c>
      <c r="K71" s="123" t="e">
        <f>#REF!*K65</f>
        <v>#REF!</v>
      </c>
      <c r="L71" s="123" t="e">
        <f>#REF!*L65</f>
        <v>#REF!</v>
      </c>
      <c r="M71" s="123" t="e">
        <f>#REF!*M65</f>
        <v>#REF!</v>
      </c>
      <c r="N71" s="123" t="e">
        <f>#REF!*N65</f>
        <v>#REF!</v>
      </c>
      <c r="O71" s="123" t="e">
        <f>#REF!*O65</f>
        <v>#REF!</v>
      </c>
      <c r="P71" s="123" t="e">
        <f>#REF!*P65</f>
        <v>#REF!</v>
      </c>
      <c r="Q71" s="123" t="e">
        <f>#REF!*Q65</f>
        <v>#REF!</v>
      </c>
      <c r="R71" s="123" t="e">
        <f>#REF!*R65</f>
        <v>#REF!</v>
      </c>
      <c r="S71" s="123" t="e">
        <f>#REF!*S65</f>
        <v>#REF!</v>
      </c>
      <c r="T71" s="123" t="e">
        <f>#REF!*T65</f>
        <v>#REF!</v>
      </c>
      <c r="U71" s="123" t="e">
        <f>#REF!*U65</f>
        <v>#REF!</v>
      </c>
      <c r="V71" s="123" t="e">
        <f>#REF!*V65</f>
        <v>#REF!</v>
      </c>
      <c r="W71" s="123" t="e">
        <f>#REF!*W65</f>
        <v>#REF!</v>
      </c>
      <c r="X71" s="123" t="e">
        <f>#REF!*X65</f>
        <v>#REF!</v>
      </c>
      <c r="Y71" s="123" t="e">
        <f>#REF!*Y65</f>
        <v>#REF!</v>
      </c>
      <c r="Z71" s="123" t="e">
        <f>#REF!*Z65</f>
        <v>#REF!</v>
      </c>
      <c r="AA71" s="123" t="e">
        <f>#REF!*AA65</f>
        <v>#REF!</v>
      </c>
      <c r="AB71" s="123" t="e">
        <f>#REF!*AB65</f>
        <v>#REF!</v>
      </c>
      <c r="AC71" s="123" t="e">
        <f>#REF!*AC65</f>
        <v>#REF!</v>
      </c>
      <c r="AD71" s="123" t="e">
        <f>#REF!*AD65</f>
        <v>#REF!</v>
      </c>
      <c r="AE71" s="123" t="e">
        <f>#REF!*AE65</f>
        <v>#REF!</v>
      </c>
      <c r="AF71" s="123" t="e">
        <f>#REF!*AF65</f>
        <v>#REF!</v>
      </c>
      <c r="AG71" s="123" t="e">
        <f>#REF!*AG65</f>
        <v>#REF!</v>
      </c>
      <c r="AH71" s="123" t="e">
        <f>#REF!*AH65</f>
        <v>#REF!</v>
      </c>
      <c r="AI71" s="123" t="e">
        <f>#REF!*AI65</f>
        <v>#REF!</v>
      </c>
      <c r="AJ71" s="123" t="e">
        <f>#REF!*AJ65</f>
        <v>#REF!</v>
      </c>
      <c r="AK71" s="123" t="e">
        <f>#REF!*AK65</f>
        <v>#REF!</v>
      </c>
      <c r="AL71" s="123" t="e">
        <f>#REF!*AL65</f>
        <v>#REF!</v>
      </c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24"/>
      <c r="BK71" s="124"/>
      <c r="BL71" s="124"/>
      <c r="BM71" s="124"/>
      <c r="BN71" s="124"/>
      <c r="BO71" s="124"/>
      <c r="BP71" s="124"/>
      <c r="BQ71" s="124"/>
      <c r="BR71" s="124"/>
      <c r="BS71" s="124"/>
      <c r="BT71" s="127" t="e">
        <f>BT65*#REF!</f>
        <v>#REF!</v>
      </c>
      <c r="BU71" s="114"/>
    </row>
    <row r="72" spans="1:75" hidden="1" x14ac:dyDescent="0.2">
      <c r="A72" s="108" t="s">
        <v>179</v>
      </c>
      <c r="B72" s="107" t="s">
        <v>180</v>
      </c>
      <c r="C72" s="110"/>
      <c r="D72" s="111" t="s">
        <v>176</v>
      </c>
      <c r="E72" s="99" t="e">
        <f>#REF!*E66</f>
        <v>#REF!</v>
      </c>
      <c r="F72" s="123" t="e">
        <f>#REF!*F66</f>
        <v>#REF!</v>
      </c>
      <c r="G72" s="123" t="e">
        <f>#REF!*G66</f>
        <v>#REF!</v>
      </c>
      <c r="H72" s="123" t="e">
        <f>#REF!*H66</f>
        <v>#REF!</v>
      </c>
      <c r="I72" s="123" t="e">
        <f>#REF!*I66</f>
        <v>#REF!</v>
      </c>
      <c r="J72" s="123" t="e">
        <f>#REF!*J66</f>
        <v>#REF!</v>
      </c>
      <c r="K72" s="123" t="e">
        <f>#REF!*K66</f>
        <v>#REF!</v>
      </c>
      <c r="L72" s="123" t="e">
        <f>#REF!*L66</f>
        <v>#REF!</v>
      </c>
      <c r="M72" s="123" t="e">
        <f>#REF!*M66</f>
        <v>#REF!</v>
      </c>
      <c r="N72" s="123" t="e">
        <f>#REF!*N66</f>
        <v>#REF!</v>
      </c>
      <c r="O72" s="123" t="e">
        <f>#REF!*O66</f>
        <v>#REF!</v>
      </c>
      <c r="P72" s="123" t="e">
        <f>#REF!*P66</f>
        <v>#REF!</v>
      </c>
      <c r="Q72" s="123" t="e">
        <f>#REF!*Q66</f>
        <v>#REF!</v>
      </c>
      <c r="R72" s="123" t="e">
        <f>#REF!*R66</f>
        <v>#REF!</v>
      </c>
      <c r="S72" s="123" t="e">
        <f>#REF!*S66</f>
        <v>#REF!</v>
      </c>
      <c r="T72" s="123" t="e">
        <f>#REF!*T66</f>
        <v>#REF!</v>
      </c>
      <c r="U72" s="123" t="e">
        <f>#REF!*U66</f>
        <v>#REF!</v>
      </c>
      <c r="V72" s="123" t="e">
        <f>#REF!*V66</f>
        <v>#REF!</v>
      </c>
      <c r="W72" s="123" t="e">
        <f>#REF!*W66</f>
        <v>#REF!</v>
      </c>
      <c r="X72" s="123" t="e">
        <f>#REF!*X66</f>
        <v>#REF!</v>
      </c>
      <c r="Y72" s="123" t="e">
        <f>#REF!*Y66</f>
        <v>#REF!</v>
      </c>
      <c r="Z72" s="123" t="e">
        <f>#REF!*Z66</f>
        <v>#REF!</v>
      </c>
      <c r="AA72" s="123" t="e">
        <f>#REF!*AA66</f>
        <v>#REF!</v>
      </c>
      <c r="AB72" s="123" t="e">
        <f>#REF!*AB66</f>
        <v>#REF!</v>
      </c>
      <c r="AC72" s="123" t="e">
        <f>#REF!*AC66</f>
        <v>#REF!</v>
      </c>
      <c r="AD72" s="123" t="e">
        <f>#REF!*AD66</f>
        <v>#REF!</v>
      </c>
      <c r="AE72" s="123" t="e">
        <f>#REF!*AE66</f>
        <v>#REF!</v>
      </c>
      <c r="AF72" s="123" t="e">
        <f>#REF!*AF66</f>
        <v>#REF!</v>
      </c>
      <c r="AG72" s="123" t="e">
        <f>#REF!*AG66</f>
        <v>#REF!</v>
      </c>
      <c r="AH72" s="123" t="e">
        <f>#REF!*AH66</f>
        <v>#REF!</v>
      </c>
      <c r="AI72" s="123" t="e">
        <f>#REF!*AI66</f>
        <v>#REF!</v>
      </c>
      <c r="AJ72" s="123" t="e">
        <f>#REF!*AJ66</f>
        <v>#REF!</v>
      </c>
      <c r="AK72" s="123" t="e">
        <f>#REF!*AK66</f>
        <v>#REF!</v>
      </c>
      <c r="AL72" s="123" t="e">
        <f>#REF!*AL66</f>
        <v>#REF!</v>
      </c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  <c r="BJ72" s="124"/>
      <c r="BK72" s="124"/>
      <c r="BL72" s="124"/>
      <c r="BM72" s="124"/>
      <c r="BN72" s="124"/>
      <c r="BO72" s="124"/>
      <c r="BP72" s="124"/>
      <c r="BQ72" s="124"/>
      <c r="BR72" s="124"/>
      <c r="BS72" s="124"/>
      <c r="BT72" s="127" t="e">
        <f>BT66*#REF!</f>
        <v>#REF!</v>
      </c>
      <c r="BU72" s="114"/>
    </row>
    <row r="73" spans="1:75" hidden="1" x14ac:dyDescent="0.2">
      <c r="A73" s="108" t="s">
        <v>181</v>
      </c>
      <c r="B73" s="107" t="s">
        <v>182</v>
      </c>
      <c r="C73" s="110"/>
      <c r="D73" s="111" t="s">
        <v>176</v>
      </c>
      <c r="E73" s="99" t="e">
        <f>#REF!/E54</f>
        <v>#REF!</v>
      </c>
      <c r="F73" s="123" t="e">
        <f>#REF!/F54</f>
        <v>#REF!</v>
      </c>
      <c r="G73" s="123" t="e">
        <f>#REF!/G54</f>
        <v>#REF!</v>
      </c>
      <c r="H73" s="123" t="e">
        <f>#REF!/H54</f>
        <v>#REF!</v>
      </c>
      <c r="I73" s="123" t="e">
        <f>#REF!/I54</f>
        <v>#REF!</v>
      </c>
      <c r="J73" s="123" t="e">
        <f>#REF!/J54</f>
        <v>#REF!</v>
      </c>
      <c r="K73" s="123" t="e">
        <f>#REF!/K54</f>
        <v>#REF!</v>
      </c>
      <c r="L73" s="123" t="e">
        <f>#REF!/L54</f>
        <v>#REF!</v>
      </c>
      <c r="M73" s="123" t="e">
        <f>#REF!/M54</f>
        <v>#REF!</v>
      </c>
      <c r="N73" s="123" t="e">
        <f>#REF!/N54</f>
        <v>#REF!</v>
      </c>
      <c r="O73" s="123" t="e">
        <f>#REF!/O54</f>
        <v>#REF!</v>
      </c>
      <c r="P73" s="123" t="e">
        <f>#REF!/P54</f>
        <v>#REF!</v>
      </c>
      <c r="Q73" s="123" t="e">
        <f>#REF!/Q54</f>
        <v>#REF!</v>
      </c>
      <c r="R73" s="123" t="e">
        <f>#REF!/R54</f>
        <v>#REF!</v>
      </c>
      <c r="S73" s="123" t="e">
        <f>#REF!/S54</f>
        <v>#REF!</v>
      </c>
      <c r="T73" s="123" t="e">
        <f>#REF!/T54</f>
        <v>#REF!</v>
      </c>
      <c r="U73" s="123" t="e">
        <f>#REF!/U54</f>
        <v>#REF!</v>
      </c>
      <c r="V73" s="123" t="e">
        <f>#REF!/V54</f>
        <v>#REF!</v>
      </c>
      <c r="W73" s="123" t="e">
        <f>#REF!/W54</f>
        <v>#REF!</v>
      </c>
      <c r="X73" s="123" t="e">
        <f>#REF!/X54</f>
        <v>#REF!</v>
      </c>
      <c r="Y73" s="123" t="e">
        <f>#REF!/Y54</f>
        <v>#REF!</v>
      </c>
      <c r="Z73" s="123" t="e">
        <f>#REF!/Z54</f>
        <v>#REF!</v>
      </c>
      <c r="AA73" s="123" t="e">
        <f>#REF!/AA54</f>
        <v>#REF!</v>
      </c>
      <c r="AB73" s="123" t="e">
        <f>#REF!/AB54</f>
        <v>#REF!</v>
      </c>
      <c r="AC73" s="123" t="e">
        <f>#REF!/AC54</f>
        <v>#REF!</v>
      </c>
      <c r="AD73" s="123" t="e">
        <f>#REF!/AD54</f>
        <v>#REF!</v>
      </c>
      <c r="AE73" s="123" t="e">
        <f>#REF!/AE54</f>
        <v>#REF!</v>
      </c>
      <c r="AF73" s="123" t="e">
        <f>#REF!/AF54</f>
        <v>#REF!</v>
      </c>
      <c r="AG73" s="123" t="e">
        <f>#REF!/AG54</f>
        <v>#REF!</v>
      </c>
      <c r="AH73" s="123" t="e">
        <f>#REF!/AH54</f>
        <v>#REF!</v>
      </c>
      <c r="AI73" s="123" t="e">
        <f>#REF!/AI54</f>
        <v>#REF!</v>
      </c>
      <c r="AJ73" s="123" t="e">
        <f>#REF!/AJ54</f>
        <v>#REF!</v>
      </c>
      <c r="AK73" s="123" t="e">
        <f>#REF!/AK54</f>
        <v>#REF!</v>
      </c>
      <c r="AL73" s="123" t="e">
        <f>#REF!/AL54</f>
        <v>#REF!</v>
      </c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  <c r="BJ73" s="124"/>
      <c r="BK73" s="124"/>
      <c r="BL73" s="124"/>
      <c r="BM73" s="124"/>
      <c r="BN73" s="124"/>
      <c r="BO73" s="124"/>
      <c r="BP73" s="124"/>
      <c r="BQ73" s="124"/>
      <c r="BR73" s="124"/>
      <c r="BS73" s="124"/>
      <c r="BT73" s="127" t="e">
        <f>#REF!/BT54</f>
        <v>#REF!</v>
      </c>
      <c r="BU73" s="114"/>
    </row>
    <row r="74" spans="1:75" hidden="1" x14ac:dyDescent="0.2">
      <c r="A74" s="108" t="s">
        <v>183</v>
      </c>
      <c r="B74" s="107" t="s">
        <v>184</v>
      </c>
      <c r="C74" s="110"/>
      <c r="D74" s="111" t="s">
        <v>176</v>
      </c>
      <c r="E74" s="123">
        <v>291</v>
      </c>
      <c r="F74" s="123">
        <v>291</v>
      </c>
      <c r="G74" s="123">
        <v>291</v>
      </c>
      <c r="H74" s="123">
        <v>291</v>
      </c>
      <c r="I74" s="123">
        <v>291</v>
      </c>
      <c r="J74" s="123">
        <v>291</v>
      </c>
      <c r="K74" s="123">
        <v>291</v>
      </c>
      <c r="L74" s="123">
        <v>291</v>
      </c>
      <c r="M74" s="123">
        <v>291</v>
      </c>
      <c r="N74" s="123">
        <v>291</v>
      </c>
      <c r="O74" s="123">
        <v>291</v>
      </c>
      <c r="P74" s="123">
        <v>291</v>
      </c>
      <c r="Q74" s="123">
        <v>291</v>
      </c>
      <c r="R74" s="123">
        <v>291</v>
      </c>
      <c r="S74" s="123">
        <v>291</v>
      </c>
      <c r="T74" s="123">
        <v>291</v>
      </c>
      <c r="U74" s="123">
        <v>291</v>
      </c>
      <c r="V74" s="123">
        <v>291</v>
      </c>
      <c r="W74" s="123">
        <v>291</v>
      </c>
      <c r="X74" s="123">
        <v>291</v>
      </c>
      <c r="Y74" s="123">
        <v>291</v>
      </c>
      <c r="Z74" s="123">
        <v>291</v>
      </c>
      <c r="AA74" s="123">
        <v>291</v>
      </c>
      <c r="AB74" s="123">
        <v>291</v>
      </c>
      <c r="AC74" s="123">
        <v>291</v>
      </c>
      <c r="AD74" s="123">
        <v>291</v>
      </c>
      <c r="AE74" s="123">
        <v>291</v>
      </c>
      <c r="AF74" s="123">
        <v>291</v>
      </c>
      <c r="AG74" s="123">
        <v>291</v>
      </c>
      <c r="AH74" s="123">
        <v>291</v>
      </c>
      <c r="AI74" s="123">
        <v>291</v>
      </c>
      <c r="AJ74" s="123">
        <v>291</v>
      </c>
      <c r="AK74" s="123">
        <v>291</v>
      </c>
      <c r="AL74" s="123">
        <v>291</v>
      </c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  <c r="BJ74" s="124"/>
      <c r="BK74" s="124"/>
      <c r="BL74" s="124"/>
      <c r="BM74" s="124"/>
      <c r="BN74" s="124"/>
      <c r="BO74" s="124"/>
      <c r="BP74" s="124"/>
      <c r="BQ74" s="124"/>
      <c r="BR74" s="124"/>
      <c r="BS74" s="124"/>
      <c r="BT74" s="127">
        <f>AVERAGE(E74:AK74)</f>
        <v>291</v>
      </c>
      <c r="BU74" s="114"/>
    </row>
    <row r="75" spans="1:75" ht="20.25" hidden="1" customHeight="1" x14ac:dyDescent="0.2">
      <c r="A75" s="108"/>
      <c r="B75" s="107"/>
      <c r="C75" s="110"/>
      <c r="D75" s="240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1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  <c r="AI75" s="241"/>
      <c r="AJ75" s="241"/>
      <c r="AK75" s="241"/>
      <c r="AL75" s="241"/>
      <c r="AM75" s="241"/>
      <c r="AN75" s="241"/>
      <c r="AO75" s="241"/>
      <c r="AP75" s="241"/>
      <c r="AQ75" s="241"/>
      <c r="AR75" s="241"/>
      <c r="AS75" s="241"/>
      <c r="AT75" s="241"/>
      <c r="AU75" s="241"/>
      <c r="AV75" s="241"/>
      <c r="AW75" s="241"/>
      <c r="AX75" s="241"/>
      <c r="AY75" s="241"/>
      <c r="AZ75" s="241"/>
      <c r="BA75" s="241"/>
      <c r="BB75" s="241"/>
      <c r="BC75" s="241"/>
      <c r="BD75" s="241"/>
      <c r="BE75" s="241"/>
      <c r="BF75" s="241"/>
      <c r="BG75" s="241"/>
      <c r="BH75" s="241"/>
      <c r="BI75" s="241"/>
      <c r="BJ75" s="241"/>
      <c r="BK75" s="241"/>
      <c r="BL75" s="241"/>
      <c r="BM75" s="241"/>
      <c r="BN75" s="241"/>
      <c r="BO75" s="241"/>
      <c r="BP75" s="241"/>
      <c r="BQ75" s="241"/>
      <c r="BR75" s="241"/>
      <c r="BS75" s="241"/>
      <c r="BT75" s="242"/>
      <c r="BU75" s="114"/>
    </row>
    <row r="76" spans="1:75" hidden="1" x14ac:dyDescent="0.2">
      <c r="A76" s="108" t="s">
        <v>179</v>
      </c>
      <c r="B76" s="107" t="s">
        <v>185</v>
      </c>
      <c r="C76" s="110"/>
      <c r="D76" s="111"/>
      <c r="E76" s="128"/>
      <c r="F76" s="129"/>
      <c r="G76" s="129"/>
      <c r="H76" s="129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1"/>
      <c r="BN76" s="131"/>
      <c r="BO76" s="131"/>
      <c r="BP76" s="131"/>
      <c r="BQ76" s="131"/>
      <c r="BR76" s="131"/>
      <c r="BS76" s="131"/>
      <c r="BT76" s="112" t="s">
        <v>186</v>
      </c>
      <c r="BU76" s="114"/>
    </row>
    <row r="77" spans="1:75" hidden="1" x14ac:dyDescent="0.2">
      <c r="A77" s="108"/>
      <c r="B77" s="132" t="s">
        <v>187</v>
      </c>
      <c r="C77" s="133"/>
      <c r="D77" s="111"/>
      <c r="E77" s="128"/>
      <c r="F77" s="129"/>
      <c r="G77" s="129"/>
      <c r="H77" s="134"/>
      <c r="I77" s="225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7"/>
      <c r="AL77" s="135"/>
      <c r="AM77" s="135"/>
      <c r="AN77" s="135"/>
      <c r="AO77" s="135"/>
      <c r="AP77" s="135"/>
      <c r="AQ77" s="135"/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6" t="s">
        <v>187</v>
      </c>
      <c r="BU77" s="114"/>
    </row>
    <row r="78" spans="1:75" hidden="1" x14ac:dyDescent="0.2">
      <c r="A78" s="137" t="s">
        <v>157</v>
      </c>
      <c r="B78" s="107" t="s">
        <v>188</v>
      </c>
      <c r="C78" s="110"/>
      <c r="D78" s="111" t="s">
        <v>16</v>
      </c>
      <c r="E78" s="99"/>
      <c r="F78" s="99"/>
      <c r="G78" s="99"/>
      <c r="H78" s="99"/>
      <c r="I78" s="138">
        <v>1.6</v>
      </c>
      <c r="J78" s="138">
        <v>3.5</v>
      </c>
      <c r="K78" s="138">
        <v>12</v>
      </c>
      <c r="L78" s="138">
        <v>26.5</v>
      </c>
      <c r="M78" s="138">
        <v>26.5</v>
      </c>
      <c r="N78" s="138">
        <v>26.5</v>
      </c>
      <c r="O78" s="138">
        <v>26.5</v>
      </c>
      <c r="P78" s="138">
        <v>26.5</v>
      </c>
      <c r="Q78" s="138">
        <v>26.5</v>
      </c>
      <c r="R78" s="138">
        <v>26.5</v>
      </c>
      <c r="S78" s="138">
        <v>26.5</v>
      </c>
      <c r="T78" s="138">
        <v>26.5</v>
      </c>
      <c r="U78" s="138">
        <v>26.5</v>
      </c>
      <c r="V78" s="138">
        <v>26.5</v>
      </c>
      <c r="W78" s="138">
        <v>26.5</v>
      </c>
      <c r="X78" s="138">
        <v>26.5</v>
      </c>
      <c r="Y78" s="138">
        <v>26.5</v>
      </c>
      <c r="Z78" s="138">
        <v>26.5</v>
      </c>
      <c r="AA78" s="138">
        <v>26.5</v>
      </c>
      <c r="AB78" s="138">
        <v>26.5</v>
      </c>
      <c r="AC78" s="138">
        <v>26.5</v>
      </c>
      <c r="AD78" s="138">
        <v>26.5</v>
      </c>
      <c r="AE78" s="138">
        <v>26.5</v>
      </c>
      <c r="AF78" s="138">
        <v>26.5</v>
      </c>
      <c r="AG78" s="138">
        <v>26.5</v>
      </c>
      <c r="AH78" s="138">
        <v>26.5</v>
      </c>
      <c r="AI78" s="138">
        <v>26.5</v>
      </c>
      <c r="AJ78" s="138">
        <v>26.5</v>
      </c>
      <c r="AK78" s="138">
        <v>12</v>
      </c>
      <c r="AL78" s="138">
        <v>17.5</v>
      </c>
      <c r="AM78" s="139">
        <v>26</v>
      </c>
      <c r="AN78" s="139">
        <v>2.5</v>
      </c>
      <c r="AO78" s="139">
        <v>0</v>
      </c>
      <c r="AP78" s="139">
        <v>0</v>
      </c>
      <c r="AQ78" s="139">
        <v>23.5</v>
      </c>
      <c r="AR78" s="139">
        <v>2.5</v>
      </c>
      <c r="AS78" s="139">
        <v>2.5</v>
      </c>
      <c r="AT78" s="139">
        <v>2.5</v>
      </c>
      <c r="AU78" s="139">
        <v>2.5</v>
      </c>
      <c r="AV78" s="139">
        <v>2.5</v>
      </c>
      <c r="AW78" s="139">
        <v>2.5</v>
      </c>
      <c r="AX78" s="139">
        <v>2.5</v>
      </c>
      <c r="AY78" s="139">
        <v>2.5</v>
      </c>
      <c r="AZ78" s="139">
        <v>2.5</v>
      </c>
      <c r="BA78" s="139">
        <v>2.5</v>
      </c>
      <c r="BB78" s="139">
        <v>2.5</v>
      </c>
      <c r="BC78" s="139">
        <v>2.5</v>
      </c>
      <c r="BD78" s="139">
        <v>2.5</v>
      </c>
      <c r="BE78" s="139">
        <v>2.5</v>
      </c>
      <c r="BF78" s="139">
        <v>2.5</v>
      </c>
      <c r="BG78" s="139">
        <v>2.5</v>
      </c>
      <c r="BH78" s="139">
        <v>2.5</v>
      </c>
      <c r="BI78" s="139">
        <v>2.5</v>
      </c>
      <c r="BJ78" s="139">
        <v>2.5</v>
      </c>
      <c r="BK78" s="139">
        <v>2.5</v>
      </c>
      <c r="BL78" s="139">
        <v>2.5</v>
      </c>
      <c r="BM78" s="139">
        <v>2.5</v>
      </c>
      <c r="BN78" s="139">
        <v>2.5</v>
      </c>
      <c r="BO78" s="139">
        <v>2.5</v>
      </c>
      <c r="BP78" s="139">
        <v>2.5</v>
      </c>
      <c r="BQ78" s="139">
        <v>2.5</v>
      </c>
      <c r="BR78" s="139"/>
      <c r="BS78" s="139"/>
      <c r="BT78" s="112">
        <f>SUM(I78:BR78)</f>
        <v>826.1</v>
      </c>
      <c r="BU78" s="114"/>
    </row>
    <row r="79" spans="1:75" hidden="1" x14ac:dyDescent="0.2">
      <c r="A79" s="137" t="s">
        <v>160</v>
      </c>
      <c r="B79" s="107" t="s">
        <v>189</v>
      </c>
      <c r="C79" s="110"/>
      <c r="D79" s="111" t="s">
        <v>16</v>
      </c>
      <c r="E79" s="99"/>
      <c r="F79" s="99"/>
      <c r="G79" s="99"/>
      <c r="H79" s="99"/>
      <c r="I79" s="99">
        <v>0</v>
      </c>
      <c r="J79" s="99">
        <v>0</v>
      </c>
      <c r="K79" s="99">
        <v>0</v>
      </c>
      <c r="L79" s="99">
        <v>0</v>
      </c>
      <c r="M79" s="99">
        <v>0</v>
      </c>
      <c r="N79" s="99">
        <v>0</v>
      </c>
      <c r="O79" s="99">
        <v>0</v>
      </c>
      <c r="P79" s="99">
        <v>0</v>
      </c>
      <c r="Q79" s="99">
        <v>0</v>
      </c>
      <c r="R79" s="99">
        <v>0</v>
      </c>
      <c r="S79" s="99">
        <v>0</v>
      </c>
      <c r="T79" s="99">
        <v>0</v>
      </c>
      <c r="U79" s="99">
        <v>0</v>
      </c>
      <c r="V79" s="99">
        <v>0</v>
      </c>
      <c r="W79" s="99">
        <v>0</v>
      </c>
      <c r="X79" s="99">
        <v>0</v>
      </c>
      <c r="Y79" s="99">
        <v>0</v>
      </c>
      <c r="Z79" s="99">
        <v>0</v>
      </c>
      <c r="AA79" s="99">
        <v>0</v>
      </c>
      <c r="AB79" s="99">
        <v>0</v>
      </c>
      <c r="AC79" s="99">
        <v>0</v>
      </c>
      <c r="AD79" s="99">
        <v>0</v>
      </c>
      <c r="AE79" s="99">
        <v>0</v>
      </c>
      <c r="AF79" s="99">
        <v>0</v>
      </c>
      <c r="AG79" s="99">
        <v>0</v>
      </c>
      <c r="AH79" s="99">
        <v>0</v>
      </c>
      <c r="AI79" s="99">
        <v>0</v>
      </c>
      <c r="AJ79" s="99">
        <v>0</v>
      </c>
      <c r="AK79" s="99">
        <v>0</v>
      </c>
      <c r="AL79" s="99">
        <v>0</v>
      </c>
      <c r="AM79" s="100">
        <v>0</v>
      </c>
      <c r="AN79" s="100">
        <v>0</v>
      </c>
      <c r="AO79" s="100">
        <v>15</v>
      </c>
      <c r="AP79" s="100">
        <v>0</v>
      </c>
      <c r="AQ79" s="100">
        <v>0</v>
      </c>
      <c r="AR79" s="100">
        <v>12.5</v>
      </c>
      <c r="AS79" s="100">
        <v>12.5</v>
      </c>
      <c r="AT79" s="100">
        <v>12.5</v>
      </c>
      <c r="AU79" s="100">
        <v>12.5</v>
      </c>
      <c r="AV79" s="100">
        <v>12.5</v>
      </c>
      <c r="AW79" s="100">
        <v>12.5</v>
      </c>
      <c r="AX79" s="100">
        <v>12.5</v>
      </c>
      <c r="AY79" s="100">
        <v>12.5</v>
      </c>
      <c r="AZ79" s="100">
        <v>12.5</v>
      </c>
      <c r="BA79" s="100">
        <v>12.5</v>
      </c>
      <c r="BB79" s="100">
        <v>12.5</v>
      </c>
      <c r="BC79" s="100">
        <v>12.5</v>
      </c>
      <c r="BD79" s="100">
        <v>12.5</v>
      </c>
      <c r="BE79" s="100">
        <v>12.5</v>
      </c>
      <c r="BF79" s="100">
        <v>12.5</v>
      </c>
      <c r="BG79" s="100">
        <v>12.5</v>
      </c>
      <c r="BH79" s="100">
        <v>12.5</v>
      </c>
      <c r="BI79" s="100">
        <v>12.5</v>
      </c>
      <c r="BJ79" s="100">
        <v>12.5</v>
      </c>
      <c r="BK79" s="100">
        <v>12.5</v>
      </c>
      <c r="BL79" s="100">
        <v>12.5</v>
      </c>
      <c r="BM79" s="100">
        <v>12.5</v>
      </c>
      <c r="BN79" s="100">
        <v>12.5</v>
      </c>
      <c r="BO79" s="100">
        <v>12.5</v>
      </c>
      <c r="BP79" s="100">
        <v>12.5</v>
      </c>
      <c r="BQ79" s="100">
        <v>12.5</v>
      </c>
      <c r="BR79" s="100"/>
      <c r="BS79" s="100"/>
      <c r="BT79" s="112">
        <f>SUM(I79:BR79)</f>
        <v>340</v>
      </c>
      <c r="BU79" s="114"/>
    </row>
    <row r="80" spans="1:75" hidden="1" x14ac:dyDescent="0.2">
      <c r="A80" s="137" t="s">
        <v>163</v>
      </c>
      <c r="B80" s="107" t="s">
        <v>190</v>
      </c>
      <c r="C80" s="110"/>
      <c r="D80" s="111" t="s">
        <v>16</v>
      </c>
      <c r="E80" s="99"/>
      <c r="F80" s="99"/>
      <c r="G80" s="99"/>
      <c r="H80" s="99"/>
      <c r="I80" s="99">
        <v>0</v>
      </c>
      <c r="J80" s="99">
        <v>0</v>
      </c>
      <c r="K80" s="99">
        <v>0</v>
      </c>
      <c r="L80" s="99">
        <v>0</v>
      </c>
      <c r="M80" s="99">
        <v>0</v>
      </c>
      <c r="N80" s="99">
        <v>0</v>
      </c>
      <c r="O80" s="99">
        <v>0</v>
      </c>
      <c r="P80" s="99">
        <v>0</v>
      </c>
      <c r="Q80" s="99">
        <v>0</v>
      </c>
      <c r="R80" s="99">
        <v>0</v>
      </c>
      <c r="S80" s="99">
        <v>0</v>
      </c>
      <c r="T80" s="99">
        <v>0</v>
      </c>
      <c r="U80" s="99">
        <v>0</v>
      </c>
      <c r="V80" s="99">
        <v>0</v>
      </c>
      <c r="W80" s="99">
        <v>0</v>
      </c>
      <c r="X80" s="99">
        <v>0</v>
      </c>
      <c r="Y80" s="99">
        <v>0</v>
      </c>
      <c r="Z80" s="99">
        <v>0</v>
      </c>
      <c r="AA80" s="99">
        <v>0</v>
      </c>
      <c r="AB80" s="99">
        <v>0</v>
      </c>
      <c r="AC80" s="99">
        <v>0</v>
      </c>
      <c r="AD80" s="99">
        <v>0</v>
      </c>
      <c r="AE80" s="99">
        <v>0</v>
      </c>
      <c r="AF80" s="99">
        <v>0</v>
      </c>
      <c r="AG80" s="99">
        <v>0</v>
      </c>
      <c r="AH80" s="99">
        <v>0</v>
      </c>
      <c r="AI80" s="99">
        <v>0</v>
      </c>
      <c r="AJ80" s="99">
        <v>0</v>
      </c>
      <c r="AK80" s="99">
        <v>0</v>
      </c>
      <c r="AL80" s="99">
        <v>0</v>
      </c>
      <c r="AM80" s="100">
        <v>0</v>
      </c>
      <c r="AN80" s="100">
        <v>32.5</v>
      </c>
      <c r="AO80" s="100">
        <v>5.5</v>
      </c>
      <c r="AP80" s="100">
        <v>32.5</v>
      </c>
      <c r="AQ80" s="100">
        <v>23.5</v>
      </c>
      <c r="AR80" s="100">
        <v>38</v>
      </c>
      <c r="AS80" s="100">
        <v>38</v>
      </c>
      <c r="AT80" s="100">
        <v>38</v>
      </c>
      <c r="AU80" s="100">
        <v>38</v>
      </c>
      <c r="AV80" s="100">
        <v>38</v>
      </c>
      <c r="AW80" s="100">
        <v>38</v>
      </c>
      <c r="AX80" s="100">
        <v>38</v>
      </c>
      <c r="AY80" s="100">
        <v>38</v>
      </c>
      <c r="AZ80" s="100">
        <v>38</v>
      </c>
      <c r="BA80" s="100">
        <v>38</v>
      </c>
      <c r="BB80" s="100">
        <v>38</v>
      </c>
      <c r="BC80" s="100">
        <v>38</v>
      </c>
      <c r="BD80" s="100">
        <v>38</v>
      </c>
      <c r="BE80" s="100">
        <v>38</v>
      </c>
      <c r="BF80" s="100">
        <v>38</v>
      </c>
      <c r="BG80" s="100">
        <v>38</v>
      </c>
      <c r="BH80" s="100">
        <v>38</v>
      </c>
      <c r="BI80" s="100">
        <v>38</v>
      </c>
      <c r="BJ80" s="100">
        <v>38</v>
      </c>
      <c r="BK80" s="100">
        <v>38</v>
      </c>
      <c r="BL80" s="100">
        <v>38</v>
      </c>
      <c r="BM80" s="100">
        <v>38</v>
      </c>
      <c r="BN80" s="100">
        <v>38</v>
      </c>
      <c r="BO80" s="100">
        <v>38</v>
      </c>
      <c r="BP80" s="100">
        <v>38</v>
      </c>
      <c r="BQ80" s="100">
        <v>38</v>
      </c>
      <c r="BR80" s="100"/>
      <c r="BS80" s="100"/>
      <c r="BT80" s="112">
        <f>SUM(I80:BR80)</f>
        <v>1082</v>
      </c>
      <c r="BU80" s="114"/>
    </row>
    <row r="81" spans="1:73" hidden="1" x14ac:dyDescent="0.2">
      <c r="A81" s="137" t="s">
        <v>166</v>
      </c>
      <c r="B81" s="107" t="s">
        <v>191</v>
      </c>
      <c r="C81" s="110"/>
      <c r="D81" s="111" t="s">
        <v>16</v>
      </c>
      <c r="E81" s="99"/>
      <c r="F81" s="99"/>
      <c r="G81" s="99"/>
      <c r="H81" s="99"/>
      <c r="I81" s="99">
        <v>0</v>
      </c>
      <c r="J81" s="99">
        <v>0</v>
      </c>
      <c r="K81" s="99">
        <v>0</v>
      </c>
      <c r="L81" s="99">
        <v>0</v>
      </c>
      <c r="M81" s="99">
        <v>0</v>
      </c>
      <c r="N81" s="99">
        <v>0</v>
      </c>
      <c r="O81" s="99">
        <v>0</v>
      </c>
      <c r="P81" s="99">
        <v>0</v>
      </c>
      <c r="Q81" s="99">
        <v>0</v>
      </c>
      <c r="R81" s="99">
        <v>0</v>
      </c>
      <c r="S81" s="99">
        <v>0</v>
      </c>
      <c r="T81" s="99">
        <v>0</v>
      </c>
      <c r="U81" s="99">
        <v>0</v>
      </c>
      <c r="V81" s="99">
        <v>0</v>
      </c>
      <c r="W81" s="99">
        <v>0</v>
      </c>
      <c r="X81" s="99">
        <v>0</v>
      </c>
      <c r="Y81" s="99">
        <v>0</v>
      </c>
      <c r="Z81" s="99">
        <v>0</v>
      </c>
      <c r="AA81" s="99">
        <v>0</v>
      </c>
      <c r="AB81" s="99">
        <v>0</v>
      </c>
      <c r="AC81" s="99">
        <v>0</v>
      </c>
      <c r="AD81" s="99">
        <v>0</v>
      </c>
      <c r="AE81" s="99">
        <v>0</v>
      </c>
      <c r="AF81" s="99">
        <v>0</v>
      </c>
      <c r="AG81" s="99">
        <v>0</v>
      </c>
      <c r="AH81" s="99">
        <v>0</v>
      </c>
      <c r="AI81" s="99">
        <v>0</v>
      </c>
      <c r="AJ81" s="99">
        <v>0</v>
      </c>
      <c r="AK81" s="99">
        <v>0</v>
      </c>
      <c r="AL81" s="99">
        <v>0</v>
      </c>
      <c r="AM81" s="100">
        <v>0</v>
      </c>
      <c r="AN81" s="100">
        <v>0</v>
      </c>
      <c r="AO81" s="100">
        <v>0</v>
      </c>
      <c r="AP81" s="100">
        <v>0</v>
      </c>
      <c r="AQ81" s="100">
        <v>0</v>
      </c>
      <c r="AR81" s="100">
        <v>0</v>
      </c>
      <c r="AS81" s="100">
        <v>0</v>
      </c>
      <c r="AT81" s="100">
        <v>0</v>
      </c>
      <c r="AU81" s="100">
        <v>0</v>
      </c>
      <c r="AV81" s="100">
        <v>0</v>
      </c>
      <c r="AW81" s="100">
        <v>0</v>
      </c>
      <c r="AX81" s="100">
        <v>0</v>
      </c>
      <c r="AY81" s="100">
        <v>0</v>
      </c>
      <c r="AZ81" s="100">
        <v>0</v>
      </c>
      <c r="BA81" s="100">
        <v>0</v>
      </c>
      <c r="BB81" s="100">
        <v>0</v>
      </c>
      <c r="BC81" s="100">
        <v>0</v>
      </c>
      <c r="BD81" s="100">
        <v>0</v>
      </c>
      <c r="BE81" s="100">
        <v>0</v>
      </c>
      <c r="BF81" s="100">
        <v>0</v>
      </c>
      <c r="BG81" s="100">
        <v>0</v>
      </c>
      <c r="BH81" s="100">
        <v>0</v>
      </c>
      <c r="BI81" s="100">
        <v>0</v>
      </c>
      <c r="BJ81" s="100">
        <v>0</v>
      </c>
      <c r="BK81" s="100">
        <v>0</v>
      </c>
      <c r="BL81" s="100">
        <v>0</v>
      </c>
      <c r="BM81" s="100">
        <v>0</v>
      </c>
      <c r="BN81" s="100">
        <v>0</v>
      </c>
      <c r="BO81" s="100">
        <v>0</v>
      </c>
      <c r="BP81" s="100">
        <v>0</v>
      </c>
      <c r="BQ81" s="100">
        <v>0</v>
      </c>
      <c r="BR81" s="100"/>
      <c r="BS81" s="100"/>
      <c r="BT81" s="112">
        <f>SUM(I81:BR81)</f>
        <v>0</v>
      </c>
      <c r="BU81" s="114"/>
    </row>
    <row r="82" spans="1:73" hidden="1" x14ac:dyDescent="0.2">
      <c r="A82" s="140"/>
      <c r="B82" s="107" t="s">
        <v>192</v>
      </c>
      <c r="C82" s="110"/>
      <c r="D82" s="111" t="s">
        <v>16</v>
      </c>
      <c r="E82" s="141">
        <f t="shared" ref="E82:BT82" si="20">SUM(E78:E81)</f>
        <v>0</v>
      </c>
      <c r="F82" s="141">
        <f t="shared" si="20"/>
        <v>0</v>
      </c>
      <c r="G82" s="141">
        <f t="shared" si="20"/>
        <v>0</v>
      </c>
      <c r="H82" s="141">
        <f t="shared" si="20"/>
        <v>0</v>
      </c>
      <c r="I82" s="141">
        <f t="shared" si="20"/>
        <v>1.6</v>
      </c>
      <c r="J82" s="141">
        <f t="shared" si="20"/>
        <v>3.5</v>
      </c>
      <c r="K82" s="141">
        <f t="shared" si="20"/>
        <v>12</v>
      </c>
      <c r="L82" s="141">
        <f t="shared" ref="L82:AJ82" si="21">SUM(L78:L81)</f>
        <v>26.5</v>
      </c>
      <c r="M82" s="141">
        <f t="shared" si="21"/>
        <v>26.5</v>
      </c>
      <c r="N82" s="141">
        <f t="shared" si="21"/>
        <v>26.5</v>
      </c>
      <c r="O82" s="141">
        <f t="shared" si="21"/>
        <v>26.5</v>
      </c>
      <c r="P82" s="141">
        <f t="shared" si="21"/>
        <v>26.5</v>
      </c>
      <c r="Q82" s="141">
        <f t="shared" si="21"/>
        <v>26.5</v>
      </c>
      <c r="R82" s="141">
        <f t="shared" si="21"/>
        <v>26.5</v>
      </c>
      <c r="S82" s="141">
        <f t="shared" si="21"/>
        <v>26.5</v>
      </c>
      <c r="T82" s="141">
        <f t="shared" si="21"/>
        <v>26.5</v>
      </c>
      <c r="U82" s="141">
        <f t="shared" si="21"/>
        <v>26.5</v>
      </c>
      <c r="V82" s="141">
        <f t="shared" si="21"/>
        <v>26.5</v>
      </c>
      <c r="W82" s="141">
        <f t="shared" si="21"/>
        <v>26.5</v>
      </c>
      <c r="X82" s="141">
        <f t="shared" si="21"/>
        <v>26.5</v>
      </c>
      <c r="Y82" s="141">
        <f t="shared" si="21"/>
        <v>26.5</v>
      </c>
      <c r="Z82" s="141">
        <f t="shared" si="21"/>
        <v>26.5</v>
      </c>
      <c r="AA82" s="141">
        <f t="shared" si="21"/>
        <v>26.5</v>
      </c>
      <c r="AB82" s="141">
        <f t="shared" si="21"/>
        <v>26.5</v>
      </c>
      <c r="AC82" s="141">
        <f t="shared" si="21"/>
        <v>26.5</v>
      </c>
      <c r="AD82" s="141">
        <f t="shared" si="21"/>
        <v>26.5</v>
      </c>
      <c r="AE82" s="141">
        <f t="shared" si="21"/>
        <v>26.5</v>
      </c>
      <c r="AF82" s="141">
        <f t="shared" si="21"/>
        <v>26.5</v>
      </c>
      <c r="AG82" s="141">
        <f t="shared" si="21"/>
        <v>26.5</v>
      </c>
      <c r="AH82" s="141">
        <f t="shared" si="21"/>
        <v>26.5</v>
      </c>
      <c r="AI82" s="141">
        <f t="shared" si="21"/>
        <v>26.5</v>
      </c>
      <c r="AJ82" s="141">
        <f t="shared" si="21"/>
        <v>26.5</v>
      </c>
      <c r="AK82" s="141">
        <f t="shared" si="20"/>
        <v>12</v>
      </c>
      <c r="AL82" s="141">
        <f t="shared" si="20"/>
        <v>17.5</v>
      </c>
      <c r="AM82" s="141">
        <f t="shared" si="20"/>
        <v>26</v>
      </c>
      <c r="AN82" s="141">
        <f t="shared" si="20"/>
        <v>35</v>
      </c>
      <c r="AO82" s="141">
        <f t="shared" si="20"/>
        <v>20.5</v>
      </c>
      <c r="AP82" s="141">
        <f t="shared" si="20"/>
        <v>32.5</v>
      </c>
      <c r="AQ82" s="141">
        <f t="shared" si="20"/>
        <v>47</v>
      </c>
      <c r="AR82" s="141">
        <f t="shared" si="20"/>
        <v>53</v>
      </c>
      <c r="AS82" s="141">
        <f t="shared" si="20"/>
        <v>53</v>
      </c>
      <c r="AT82" s="141">
        <f t="shared" si="20"/>
        <v>53</v>
      </c>
      <c r="AU82" s="141">
        <f t="shared" si="20"/>
        <v>53</v>
      </c>
      <c r="AV82" s="141">
        <f t="shared" si="20"/>
        <v>53</v>
      </c>
      <c r="AW82" s="141">
        <f t="shared" si="20"/>
        <v>53</v>
      </c>
      <c r="AX82" s="141">
        <f t="shared" si="20"/>
        <v>53</v>
      </c>
      <c r="AY82" s="141">
        <f t="shared" si="20"/>
        <v>53</v>
      </c>
      <c r="AZ82" s="141">
        <f t="shared" si="20"/>
        <v>53</v>
      </c>
      <c r="BA82" s="141">
        <f t="shared" si="20"/>
        <v>53</v>
      </c>
      <c r="BB82" s="141">
        <f t="shared" si="20"/>
        <v>53</v>
      </c>
      <c r="BC82" s="141">
        <f t="shared" si="20"/>
        <v>53</v>
      </c>
      <c r="BD82" s="141">
        <f t="shared" si="20"/>
        <v>53</v>
      </c>
      <c r="BE82" s="141">
        <f t="shared" si="20"/>
        <v>53</v>
      </c>
      <c r="BF82" s="141">
        <f t="shared" si="20"/>
        <v>53</v>
      </c>
      <c r="BG82" s="141">
        <f t="shared" si="20"/>
        <v>53</v>
      </c>
      <c r="BH82" s="141">
        <f t="shared" si="20"/>
        <v>53</v>
      </c>
      <c r="BI82" s="141">
        <f t="shared" si="20"/>
        <v>53</v>
      </c>
      <c r="BJ82" s="141">
        <f t="shared" si="20"/>
        <v>53</v>
      </c>
      <c r="BK82" s="141">
        <f t="shared" si="20"/>
        <v>53</v>
      </c>
      <c r="BL82" s="141">
        <f t="shared" si="20"/>
        <v>53</v>
      </c>
      <c r="BM82" s="141">
        <f t="shared" si="20"/>
        <v>53</v>
      </c>
      <c r="BN82" s="141">
        <f t="shared" si="20"/>
        <v>53</v>
      </c>
      <c r="BO82" s="141">
        <f t="shared" si="20"/>
        <v>53</v>
      </c>
      <c r="BP82" s="141">
        <f t="shared" si="20"/>
        <v>53</v>
      </c>
      <c r="BQ82" s="141">
        <f t="shared" si="20"/>
        <v>53</v>
      </c>
      <c r="BR82" s="142"/>
      <c r="BS82" s="142"/>
      <c r="BT82" s="126">
        <f t="shared" si="20"/>
        <v>2248.1</v>
      </c>
      <c r="BU82" s="114"/>
    </row>
    <row r="83" spans="1:73" hidden="1" x14ac:dyDescent="0.2">
      <c r="A83" s="140"/>
      <c r="B83" s="132" t="s">
        <v>193</v>
      </c>
      <c r="C83" s="133"/>
      <c r="D83" s="129"/>
      <c r="E83" s="129"/>
      <c r="F83" s="129"/>
      <c r="G83" s="129"/>
      <c r="H83" s="129"/>
      <c r="I83" s="225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7"/>
      <c r="AL83" s="135"/>
      <c r="AM83" s="135"/>
      <c r="AN83" s="135"/>
      <c r="AO83" s="135"/>
      <c r="AP83" s="135"/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43" t="s">
        <v>193</v>
      </c>
      <c r="BU83" s="114"/>
    </row>
    <row r="84" spans="1:73" hidden="1" x14ac:dyDescent="0.2">
      <c r="A84" s="137" t="s">
        <v>157</v>
      </c>
      <c r="B84" s="107" t="s">
        <v>188</v>
      </c>
      <c r="C84" s="110"/>
      <c r="D84" s="111" t="s">
        <v>16</v>
      </c>
      <c r="E84" s="99"/>
      <c r="F84" s="99"/>
      <c r="G84" s="99"/>
      <c r="H84" s="99"/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Z84" s="99">
        <v>0</v>
      </c>
      <c r="AA84" s="99">
        <v>0</v>
      </c>
      <c r="AB84" s="99">
        <v>0</v>
      </c>
      <c r="AC84" s="99">
        <v>0</v>
      </c>
      <c r="AD84" s="99">
        <v>0</v>
      </c>
      <c r="AE84" s="99">
        <v>0</v>
      </c>
      <c r="AF84" s="99">
        <v>0</v>
      </c>
      <c r="AG84" s="99">
        <v>0</v>
      </c>
      <c r="AH84" s="99">
        <v>0</v>
      </c>
      <c r="AI84" s="99">
        <v>0</v>
      </c>
      <c r="AJ84" s="99">
        <v>0</v>
      </c>
      <c r="AK84" s="99">
        <v>0</v>
      </c>
      <c r="AL84" s="99">
        <v>0</v>
      </c>
      <c r="AM84" s="100">
        <v>0</v>
      </c>
      <c r="AN84" s="100">
        <v>0</v>
      </c>
      <c r="AO84" s="100">
        <v>0</v>
      </c>
      <c r="AP84" s="100">
        <v>0</v>
      </c>
      <c r="AQ84" s="100">
        <v>0</v>
      </c>
      <c r="AR84" s="100">
        <v>0</v>
      </c>
      <c r="AS84" s="100">
        <v>0</v>
      </c>
      <c r="AT84" s="100">
        <v>0</v>
      </c>
      <c r="AU84" s="100">
        <v>0</v>
      </c>
      <c r="AV84" s="100">
        <v>0</v>
      </c>
      <c r="AW84" s="100">
        <v>0</v>
      </c>
      <c r="AX84" s="100">
        <v>0</v>
      </c>
      <c r="AY84" s="100">
        <v>0</v>
      </c>
      <c r="AZ84" s="100">
        <v>0</v>
      </c>
      <c r="BA84" s="100">
        <v>0</v>
      </c>
      <c r="BB84" s="100">
        <v>0</v>
      </c>
      <c r="BC84" s="100">
        <v>0</v>
      </c>
      <c r="BD84" s="100">
        <v>0</v>
      </c>
      <c r="BE84" s="100">
        <v>0</v>
      </c>
      <c r="BF84" s="100">
        <v>0</v>
      </c>
      <c r="BG84" s="100">
        <v>0</v>
      </c>
      <c r="BH84" s="100">
        <v>0</v>
      </c>
      <c r="BI84" s="100">
        <v>0</v>
      </c>
      <c r="BJ84" s="100">
        <v>0</v>
      </c>
      <c r="BK84" s="100">
        <v>0</v>
      </c>
      <c r="BL84" s="100">
        <v>0</v>
      </c>
      <c r="BM84" s="100">
        <v>0</v>
      </c>
      <c r="BN84" s="100">
        <v>0</v>
      </c>
      <c r="BO84" s="100">
        <v>0</v>
      </c>
      <c r="BP84" s="100">
        <v>0</v>
      </c>
      <c r="BQ84" s="100">
        <v>0</v>
      </c>
      <c r="BR84" s="100"/>
      <c r="BS84" s="100"/>
      <c r="BT84" s="112">
        <f>SUM(E84:AK84)</f>
        <v>0</v>
      </c>
      <c r="BU84" s="114"/>
    </row>
    <row r="85" spans="1:73" hidden="1" x14ac:dyDescent="0.2">
      <c r="A85" s="137" t="s">
        <v>160</v>
      </c>
      <c r="B85" s="107" t="s">
        <v>189</v>
      </c>
      <c r="C85" s="110"/>
      <c r="D85" s="111" t="s">
        <v>16</v>
      </c>
      <c r="E85" s="99"/>
      <c r="F85" s="99"/>
      <c r="G85" s="99"/>
      <c r="H85" s="99"/>
      <c r="I85" s="99">
        <v>0</v>
      </c>
      <c r="J85" s="99">
        <v>0</v>
      </c>
      <c r="K85" s="99">
        <v>0</v>
      </c>
      <c r="L85" s="99">
        <v>0</v>
      </c>
      <c r="M85" s="99">
        <v>0</v>
      </c>
      <c r="N85" s="99">
        <v>0</v>
      </c>
      <c r="O85" s="99">
        <v>0</v>
      </c>
      <c r="P85" s="99">
        <v>0</v>
      </c>
      <c r="Q85" s="99">
        <v>0</v>
      </c>
      <c r="R85" s="99">
        <v>0</v>
      </c>
      <c r="S85" s="99">
        <v>0</v>
      </c>
      <c r="T85" s="99">
        <v>0</v>
      </c>
      <c r="U85" s="99">
        <v>0</v>
      </c>
      <c r="V85" s="99">
        <v>0</v>
      </c>
      <c r="W85" s="99">
        <v>0</v>
      </c>
      <c r="X85" s="99">
        <v>0</v>
      </c>
      <c r="Y85" s="99">
        <v>0</v>
      </c>
      <c r="Z85" s="99">
        <v>0</v>
      </c>
      <c r="AA85" s="99">
        <v>0</v>
      </c>
      <c r="AB85" s="99">
        <v>0</v>
      </c>
      <c r="AC85" s="99">
        <v>0</v>
      </c>
      <c r="AD85" s="99">
        <v>0</v>
      </c>
      <c r="AE85" s="99">
        <v>0</v>
      </c>
      <c r="AF85" s="99">
        <v>0</v>
      </c>
      <c r="AG85" s="99">
        <v>0</v>
      </c>
      <c r="AH85" s="99">
        <v>0</v>
      </c>
      <c r="AI85" s="99">
        <v>0</v>
      </c>
      <c r="AJ85" s="99">
        <v>0</v>
      </c>
      <c r="AK85" s="99">
        <v>0</v>
      </c>
      <c r="AL85" s="99">
        <v>0</v>
      </c>
      <c r="AM85" s="100">
        <v>0</v>
      </c>
      <c r="AN85" s="100">
        <v>0</v>
      </c>
      <c r="AO85" s="100">
        <v>0</v>
      </c>
      <c r="AP85" s="100">
        <v>0</v>
      </c>
      <c r="AQ85" s="100">
        <v>0</v>
      </c>
      <c r="AR85" s="100">
        <v>0</v>
      </c>
      <c r="AS85" s="100">
        <v>0</v>
      </c>
      <c r="AT85" s="100">
        <v>0</v>
      </c>
      <c r="AU85" s="100">
        <v>0</v>
      </c>
      <c r="AV85" s="100">
        <v>0</v>
      </c>
      <c r="AW85" s="100">
        <v>0</v>
      </c>
      <c r="AX85" s="100">
        <v>0</v>
      </c>
      <c r="AY85" s="100">
        <v>0</v>
      </c>
      <c r="AZ85" s="100">
        <v>0</v>
      </c>
      <c r="BA85" s="100">
        <v>0</v>
      </c>
      <c r="BB85" s="100">
        <v>0</v>
      </c>
      <c r="BC85" s="100">
        <v>0</v>
      </c>
      <c r="BD85" s="100">
        <v>0</v>
      </c>
      <c r="BE85" s="100">
        <v>0</v>
      </c>
      <c r="BF85" s="100">
        <v>0</v>
      </c>
      <c r="BG85" s="100">
        <v>0</v>
      </c>
      <c r="BH85" s="100">
        <v>0</v>
      </c>
      <c r="BI85" s="100">
        <v>0</v>
      </c>
      <c r="BJ85" s="100">
        <v>0</v>
      </c>
      <c r="BK85" s="100">
        <v>0</v>
      </c>
      <c r="BL85" s="100">
        <v>0</v>
      </c>
      <c r="BM85" s="100">
        <v>0</v>
      </c>
      <c r="BN85" s="100">
        <v>0</v>
      </c>
      <c r="BO85" s="100">
        <v>0</v>
      </c>
      <c r="BP85" s="100">
        <v>0</v>
      </c>
      <c r="BQ85" s="100">
        <v>0</v>
      </c>
      <c r="BR85" s="100"/>
      <c r="BS85" s="100"/>
      <c r="BT85" s="112">
        <f>SUM(E85:AK85)</f>
        <v>0</v>
      </c>
      <c r="BU85" s="114"/>
    </row>
    <row r="86" spans="1:73" hidden="1" x14ac:dyDescent="0.2">
      <c r="A86" s="137" t="s">
        <v>163</v>
      </c>
      <c r="B86" s="107" t="s">
        <v>190</v>
      </c>
      <c r="C86" s="110"/>
      <c r="D86" s="111" t="s">
        <v>16</v>
      </c>
      <c r="E86" s="99"/>
      <c r="F86" s="99"/>
      <c r="G86" s="99"/>
      <c r="H86" s="99"/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Z86" s="99">
        <v>0</v>
      </c>
      <c r="AA86" s="99">
        <v>0</v>
      </c>
      <c r="AB86" s="99">
        <v>0</v>
      </c>
      <c r="AC86" s="99">
        <v>0</v>
      </c>
      <c r="AD86" s="99">
        <v>0</v>
      </c>
      <c r="AE86" s="99">
        <v>0</v>
      </c>
      <c r="AF86" s="99">
        <v>0</v>
      </c>
      <c r="AG86" s="99">
        <v>0</v>
      </c>
      <c r="AH86" s="99">
        <v>0</v>
      </c>
      <c r="AI86" s="99">
        <v>0</v>
      </c>
      <c r="AJ86" s="99">
        <v>0</v>
      </c>
      <c r="AK86" s="99">
        <v>0</v>
      </c>
      <c r="AL86" s="99">
        <v>0</v>
      </c>
      <c r="AM86" s="100">
        <v>0</v>
      </c>
      <c r="AN86" s="100">
        <v>0</v>
      </c>
      <c r="AO86" s="100">
        <v>0</v>
      </c>
      <c r="AP86" s="100">
        <v>0</v>
      </c>
      <c r="AQ86" s="100">
        <v>0</v>
      </c>
      <c r="AR86" s="100">
        <v>0</v>
      </c>
      <c r="AS86" s="100">
        <v>0</v>
      </c>
      <c r="AT86" s="100">
        <v>0</v>
      </c>
      <c r="AU86" s="100">
        <v>0</v>
      </c>
      <c r="AV86" s="100">
        <v>0</v>
      </c>
      <c r="AW86" s="100">
        <v>0</v>
      </c>
      <c r="AX86" s="100">
        <v>0</v>
      </c>
      <c r="AY86" s="100">
        <v>0</v>
      </c>
      <c r="AZ86" s="100">
        <v>0</v>
      </c>
      <c r="BA86" s="100">
        <v>0</v>
      </c>
      <c r="BB86" s="100">
        <v>0</v>
      </c>
      <c r="BC86" s="100">
        <v>0</v>
      </c>
      <c r="BD86" s="100">
        <v>0</v>
      </c>
      <c r="BE86" s="100">
        <v>0</v>
      </c>
      <c r="BF86" s="100">
        <v>0</v>
      </c>
      <c r="BG86" s="100">
        <v>0</v>
      </c>
      <c r="BH86" s="100">
        <v>0</v>
      </c>
      <c r="BI86" s="100">
        <v>0</v>
      </c>
      <c r="BJ86" s="100">
        <v>0</v>
      </c>
      <c r="BK86" s="100">
        <v>0</v>
      </c>
      <c r="BL86" s="100">
        <v>0</v>
      </c>
      <c r="BM86" s="100">
        <v>0</v>
      </c>
      <c r="BN86" s="100">
        <v>0</v>
      </c>
      <c r="BO86" s="100">
        <v>0</v>
      </c>
      <c r="BP86" s="100">
        <v>0</v>
      </c>
      <c r="BQ86" s="100">
        <v>0</v>
      </c>
      <c r="BR86" s="100"/>
      <c r="BS86" s="100"/>
      <c r="BT86" s="112">
        <f>SUM(E86:AK86)</f>
        <v>0</v>
      </c>
      <c r="BU86" s="114"/>
    </row>
    <row r="87" spans="1:73" hidden="1" x14ac:dyDescent="0.2">
      <c r="A87" s="137" t="s">
        <v>166</v>
      </c>
      <c r="B87" s="107" t="s">
        <v>191</v>
      </c>
      <c r="C87" s="110"/>
      <c r="D87" s="111" t="s">
        <v>16</v>
      </c>
      <c r="E87" s="99"/>
      <c r="F87" s="99"/>
      <c r="G87" s="99"/>
      <c r="H87" s="99"/>
      <c r="I87" s="99">
        <v>0</v>
      </c>
      <c r="J87" s="99">
        <v>0</v>
      </c>
      <c r="K87" s="99">
        <v>0</v>
      </c>
      <c r="L87" s="99">
        <v>0</v>
      </c>
      <c r="M87" s="99">
        <v>0</v>
      </c>
      <c r="N87" s="99">
        <v>0</v>
      </c>
      <c r="O87" s="99">
        <v>0</v>
      </c>
      <c r="P87" s="99">
        <v>0</v>
      </c>
      <c r="Q87" s="99">
        <v>0</v>
      </c>
      <c r="R87" s="99">
        <v>0</v>
      </c>
      <c r="S87" s="99">
        <v>0</v>
      </c>
      <c r="T87" s="99">
        <v>0</v>
      </c>
      <c r="U87" s="99">
        <v>0</v>
      </c>
      <c r="V87" s="99">
        <v>0</v>
      </c>
      <c r="W87" s="99">
        <v>0</v>
      </c>
      <c r="X87" s="99">
        <v>0</v>
      </c>
      <c r="Y87" s="99">
        <v>0</v>
      </c>
      <c r="Z87" s="99">
        <v>0</v>
      </c>
      <c r="AA87" s="99">
        <v>0</v>
      </c>
      <c r="AB87" s="99">
        <v>0</v>
      </c>
      <c r="AC87" s="99">
        <v>0</v>
      </c>
      <c r="AD87" s="99">
        <v>0</v>
      </c>
      <c r="AE87" s="99">
        <v>0</v>
      </c>
      <c r="AF87" s="99">
        <v>0</v>
      </c>
      <c r="AG87" s="99">
        <v>0</v>
      </c>
      <c r="AH87" s="99">
        <v>0</v>
      </c>
      <c r="AI87" s="99">
        <v>0</v>
      </c>
      <c r="AJ87" s="99">
        <v>0</v>
      </c>
      <c r="AK87" s="99">
        <v>0</v>
      </c>
      <c r="AL87" s="99">
        <v>0</v>
      </c>
      <c r="AM87" s="100">
        <v>0</v>
      </c>
      <c r="AN87" s="100">
        <v>0</v>
      </c>
      <c r="AO87" s="100">
        <v>0</v>
      </c>
      <c r="AP87" s="100">
        <v>0</v>
      </c>
      <c r="AQ87" s="100">
        <v>0</v>
      </c>
      <c r="AR87" s="100">
        <v>0</v>
      </c>
      <c r="AS87" s="100">
        <v>0</v>
      </c>
      <c r="AT87" s="100">
        <v>0</v>
      </c>
      <c r="AU87" s="100">
        <v>0</v>
      </c>
      <c r="AV87" s="100">
        <v>0</v>
      </c>
      <c r="AW87" s="100">
        <v>0</v>
      </c>
      <c r="AX87" s="100">
        <v>0</v>
      </c>
      <c r="AY87" s="100">
        <v>0</v>
      </c>
      <c r="AZ87" s="100">
        <v>0</v>
      </c>
      <c r="BA87" s="100">
        <v>0</v>
      </c>
      <c r="BB87" s="100">
        <v>0</v>
      </c>
      <c r="BC87" s="100">
        <v>0</v>
      </c>
      <c r="BD87" s="100">
        <v>0</v>
      </c>
      <c r="BE87" s="100">
        <v>0</v>
      </c>
      <c r="BF87" s="100">
        <v>0</v>
      </c>
      <c r="BG87" s="100">
        <v>0</v>
      </c>
      <c r="BH87" s="100">
        <v>0</v>
      </c>
      <c r="BI87" s="100">
        <v>0</v>
      </c>
      <c r="BJ87" s="100">
        <v>0</v>
      </c>
      <c r="BK87" s="100">
        <v>0</v>
      </c>
      <c r="BL87" s="100">
        <v>0</v>
      </c>
      <c r="BM87" s="100">
        <v>0</v>
      </c>
      <c r="BN87" s="100">
        <v>0</v>
      </c>
      <c r="BO87" s="100">
        <v>0</v>
      </c>
      <c r="BP87" s="100">
        <v>0</v>
      </c>
      <c r="BQ87" s="100">
        <v>0</v>
      </c>
      <c r="BR87" s="100"/>
      <c r="BS87" s="100"/>
      <c r="BT87" s="112">
        <f>SUM(E87:AK87)</f>
        <v>0</v>
      </c>
      <c r="BU87" s="114"/>
    </row>
    <row r="88" spans="1:73" hidden="1" x14ac:dyDescent="0.2">
      <c r="A88" s="137" t="s">
        <v>179</v>
      </c>
      <c r="B88" s="107" t="s">
        <v>194</v>
      </c>
      <c r="C88" s="110"/>
      <c r="D88" s="111" t="s">
        <v>16</v>
      </c>
      <c r="E88" s="99"/>
      <c r="F88" s="99"/>
      <c r="G88" s="99"/>
      <c r="H88" s="99"/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Z88" s="99">
        <v>0</v>
      </c>
      <c r="AA88" s="99">
        <v>0</v>
      </c>
      <c r="AB88" s="99">
        <v>0</v>
      </c>
      <c r="AC88" s="99">
        <v>0</v>
      </c>
      <c r="AD88" s="99">
        <v>0</v>
      </c>
      <c r="AE88" s="99">
        <v>0</v>
      </c>
      <c r="AF88" s="99">
        <v>0</v>
      </c>
      <c r="AG88" s="99">
        <v>0</v>
      </c>
      <c r="AH88" s="99">
        <v>0</v>
      </c>
      <c r="AI88" s="99">
        <v>0</v>
      </c>
      <c r="AJ88" s="99">
        <v>0</v>
      </c>
      <c r="AK88" s="99">
        <v>0</v>
      </c>
      <c r="AL88" s="99">
        <v>0</v>
      </c>
      <c r="AM88" s="100">
        <v>0</v>
      </c>
      <c r="AN88" s="100">
        <v>0</v>
      </c>
      <c r="AO88" s="100">
        <v>0</v>
      </c>
      <c r="AP88" s="100">
        <v>0</v>
      </c>
      <c r="AQ88" s="100">
        <v>0</v>
      </c>
      <c r="AR88" s="100">
        <v>0</v>
      </c>
      <c r="AS88" s="100">
        <v>0</v>
      </c>
      <c r="AT88" s="100">
        <v>0</v>
      </c>
      <c r="AU88" s="100">
        <v>0</v>
      </c>
      <c r="AV88" s="100">
        <v>0</v>
      </c>
      <c r="AW88" s="100">
        <v>0</v>
      </c>
      <c r="AX88" s="100">
        <v>0</v>
      </c>
      <c r="AY88" s="100">
        <v>0</v>
      </c>
      <c r="AZ88" s="100">
        <v>0</v>
      </c>
      <c r="BA88" s="100">
        <v>0</v>
      </c>
      <c r="BB88" s="100">
        <v>0</v>
      </c>
      <c r="BC88" s="100">
        <v>0</v>
      </c>
      <c r="BD88" s="100">
        <v>0</v>
      </c>
      <c r="BE88" s="100">
        <v>0</v>
      </c>
      <c r="BF88" s="100">
        <v>0</v>
      </c>
      <c r="BG88" s="100">
        <v>0</v>
      </c>
      <c r="BH88" s="100">
        <v>0</v>
      </c>
      <c r="BI88" s="100">
        <v>0</v>
      </c>
      <c r="BJ88" s="100">
        <v>0</v>
      </c>
      <c r="BK88" s="100">
        <v>0</v>
      </c>
      <c r="BL88" s="100">
        <v>0</v>
      </c>
      <c r="BM88" s="100">
        <v>0</v>
      </c>
      <c r="BN88" s="100">
        <v>0</v>
      </c>
      <c r="BO88" s="100">
        <v>0</v>
      </c>
      <c r="BP88" s="100">
        <v>0</v>
      </c>
      <c r="BQ88" s="100">
        <v>0</v>
      </c>
      <c r="BR88" s="100"/>
      <c r="BS88" s="100"/>
      <c r="BT88" s="112">
        <f>SUM(E88:AK88)</f>
        <v>0</v>
      </c>
      <c r="BU88" s="114"/>
    </row>
    <row r="89" spans="1:73" hidden="1" x14ac:dyDescent="0.2">
      <c r="A89" s="140"/>
      <c r="B89" s="107" t="s">
        <v>192</v>
      </c>
      <c r="C89" s="110"/>
      <c r="D89" s="111" t="s">
        <v>16</v>
      </c>
      <c r="E89" s="141">
        <f t="shared" ref="E89:BT89" si="22">SUM(E84:E88)</f>
        <v>0</v>
      </c>
      <c r="F89" s="141">
        <f t="shared" si="22"/>
        <v>0</v>
      </c>
      <c r="G89" s="141">
        <f t="shared" si="22"/>
        <v>0</v>
      </c>
      <c r="H89" s="141">
        <f t="shared" si="22"/>
        <v>0</v>
      </c>
      <c r="I89" s="141">
        <f t="shared" si="22"/>
        <v>0</v>
      </c>
      <c r="J89" s="141">
        <f t="shared" si="22"/>
        <v>0</v>
      </c>
      <c r="K89" s="141">
        <f t="shared" si="22"/>
        <v>0</v>
      </c>
      <c r="L89" s="141">
        <f t="shared" ref="L89:AJ89" si="23">SUM(L84:L88)</f>
        <v>0</v>
      </c>
      <c r="M89" s="141">
        <f t="shared" si="23"/>
        <v>0</v>
      </c>
      <c r="N89" s="141">
        <f t="shared" si="23"/>
        <v>0</v>
      </c>
      <c r="O89" s="141">
        <f t="shared" si="23"/>
        <v>0</v>
      </c>
      <c r="P89" s="141">
        <f t="shared" si="23"/>
        <v>0</v>
      </c>
      <c r="Q89" s="141">
        <f t="shared" si="23"/>
        <v>0</v>
      </c>
      <c r="R89" s="141">
        <f t="shared" si="23"/>
        <v>0</v>
      </c>
      <c r="S89" s="141">
        <f t="shared" si="23"/>
        <v>0</v>
      </c>
      <c r="T89" s="141">
        <f t="shared" si="23"/>
        <v>0</v>
      </c>
      <c r="U89" s="141">
        <f t="shared" si="23"/>
        <v>0</v>
      </c>
      <c r="V89" s="141">
        <f t="shared" si="23"/>
        <v>0</v>
      </c>
      <c r="W89" s="141">
        <f t="shared" si="23"/>
        <v>0</v>
      </c>
      <c r="X89" s="141">
        <f t="shared" si="23"/>
        <v>0</v>
      </c>
      <c r="Y89" s="141">
        <f t="shared" si="23"/>
        <v>0</v>
      </c>
      <c r="Z89" s="141">
        <f t="shared" si="23"/>
        <v>0</v>
      </c>
      <c r="AA89" s="141">
        <f t="shared" si="23"/>
        <v>0</v>
      </c>
      <c r="AB89" s="141">
        <f t="shared" si="23"/>
        <v>0</v>
      </c>
      <c r="AC89" s="141">
        <f t="shared" si="23"/>
        <v>0</v>
      </c>
      <c r="AD89" s="141">
        <f t="shared" si="23"/>
        <v>0</v>
      </c>
      <c r="AE89" s="141">
        <f t="shared" si="23"/>
        <v>0</v>
      </c>
      <c r="AF89" s="141">
        <f t="shared" si="23"/>
        <v>0</v>
      </c>
      <c r="AG89" s="141">
        <f t="shared" si="23"/>
        <v>0</v>
      </c>
      <c r="AH89" s="141">
        <f t="shared" si="23"/>
        <v>0</v>
      </c>
      <c r="AI89" s="141">
        <f t="shared" si="23"/>
        <v>0</v>
      </c>
      <c r="AJ89" s="141">
        <f t="shared" si="23"/>
        <v>0</v>
      </c>
      <c r="AK89" s="141">
        <f t="shared" si="22"/>
        <v>0</v>
      </c>
      <c r="AL89" s="141">
        <f t="shared" si="22"/>
        <v>0</v>
      </c>
      <c r="AM89" s="141">
        <f t="shared" si="22"/>
        <v>0</v>
      </c>
      <c r="AN89" s="142">
        <v>0</v>
      </c>
      <c r="AO89" s="142">
        <v>0</v>
      </c>
      <c r="AP89" s="142">
        <v>0</v>
      </c>
      <c r="AQ89" s="142">
        <v>0</v>
      </c>
      <c r="AR89" s="142">
        <v>0</v>
      </c>
      <c r="AS89" s="142">
        <v>0</v>
      </c>
      <c r="AT89" s="142">
        <v>0</v>
      </c>
      <c r="AU89" s="142">
        <v>0</v>
      </c>
      <c r="AV89" s="142">
        <v>0</v>
      </c>
      <c r="AW89" s="142">
        <v>0</v>
      </c>
      <c r="AX89" s="142">
        <v>0</v>
      </c>
      <c r="AY89" s="142">
        <v>0</v>
      </c>
      <c r="AZ89" s="142">
        <v>0</v>
      </c>
      <c r="BA89" s="142">
        <v>0</v>
      </c>
      <c r="BB89" s="142">
        <v>0</v>
      </c>
      <c r="BC89" s="142">
        <v>0</v>
      </c>
      <c r="BD89" s="142">
        <v>0</v>
      </c>
      <c r="BE89" s="142">
        <v>0</v>
      </c>
      <c r="BF89" s="142">
        <v>0</v>
      </c>
      <c r="BG89" s="142">
        <v>0</v>
      </c>
      <c r="BH89" s="142">
        <v>0</v>
      </c>
      <c r="BI89" s="142">
        <v>0</v>
      </c>
      <c r="BJ89" s="142">
        <v>0</v>
      </c>
      <c r="BK89" s="142">
        <v>0</v>
      </c>
      <c r="BL89" s="142">
        <v>0</v>
      </c>
      <c r="BM89" s="142">
        <v>0</v>
      </c>
      <c r="BN89" s="142">
        <v>0</v>
      </c>
      <c r="BO89" s="142">
        <v>0</v>
      </c>
      <c r="BP89" s="142">
        <v>0</v>
      </c>
      <c r="BQ89" s="142">
        <v>0</v>
      </c>
      <c r="BR89" s="142"/>
      <c r="BS89" s="142"/>
      <c r="BT89" s="112">
        <f t="shared" si="22"/>
        <v>0</v>
      </c>
    </row>
    <row r="90" spans="1:73" hidden="1" x14ac:dyDescent="0.2">
      <c r="A90" s="140"/>
      <c r="B90" s="107" t="s">
        <v>195</v>
      </c>
      <c r="C90" s="110"/>
      <c r="D90" s="111" t="s">
        <v>16</v>
      </c>
      <c r="E90" s="141">
        <f t="shared" ref="E90:BT90" si="24">E82+E89</f>
        <v>0</v>
      </c>
      <c r="F90" s="141">
        <f t="shared" si="24"/>
        <v>0</v>
      </c>
      <c r="G90" s="141">
        <f t="shared" si="24"/>
        <v>0</v>
      </c>
      <c r="H90" s="141">
        <f t="shared" si="24"/>
        <v>0</v>
      </c>
      <c r="I90" s="141">
        <f t="shared" si="24"/>
        <v>1.6</v>
      </c>
      <c r="J90" s="141">
        <f t="shared" si="24"/>
        <v>3.5</v>
      </c>
      <c r="K90" s="141">
        <f t="shared" si="24"/>
        <v>12</v>
      </c>
      <c r="L90" s="141">
        <f t="shared" ref="L90:AJ90" si="25">L82+L89</f>
        <v>26.5</v>
      </c>
      <c r="M90" s="141">
        <f t="shared" si="25"/>
        <v>26.5</v>
      </c>
      <c r="N90" s="141">
        <f t="shared" si="25"/>
        <v>26.5</v>
      </c>
      <c r="O90" s="141">
        <f t="shared" si="25"/>
        <v>26.5</v>
      </c>
      <c r="P90" s="141">
        <f t="shared" si="25"/>
        <v>26.5</v>
      </c>
      <c r="Q90" s="141">
        <f t="shared" si="25"/>
        <v>26.5</v>
      </c>
      <c r="R90" s="141">
        <f t="shared" si="25"/>
        <v>26.5</v>
      </c>
      <c r="S90" s="141">
        <f t="shared" si="25"/>
        <v>26.5</v>
      </c>
      <c r="T90" s="141">
        <f t="shared" si="25"/>
        <v>26.5</v>
      </c>
      <c r="U90" s="141">
        <f t="shared" si="25"/>
        <v>26.5</v>
      </c>
      <c r="V90" s="141">
        <f t="shared" si="25"/>
        <v>26.5</v>
      </c>
      <c r="W90" s="141">
        <f t="shared" si="25"/>
        <v>26.5</v>
      </c>
      <c r="X90" s="141">
        <f t="shared" si="25"/>
        <v>26.5</v>
      </c>
      <c r="Y90" s="141">
        <f t="shared" si="25"/>
        <v>26.5</v>
      </c>
      <c r="Z90" s="141">
        <f t="shared" si="25"/>
        <v>26.5</v>
      </c>
      <c r="AA90" s="141">
        <f t="shared" si="25"/>
        <v>26.5</v>
      </c>
      <c r="AB90" s="141">
        <f t="shared" si="25"/>
        <v>26.5</v>
      </c>
      <c r="AC90" s="141">
        <f t="shared" si="25"/>
        <v>26.5</v>
      </c>
      <c r="AD90" s="141">
        <f t="shared" si="25"/>
        <v>26.5</v>
      </c>
      <c r="AE90" s="141">
        <f t="shared" si="25"/>
        <v>26.5</v>
      </c>
      <c r="AF90" s="141">
        <f t="shared" si="25"/>
        <v>26.5</v>
      </c>
      <c r="AG90" s="141">
        <f t="shared" si="25"/>
        <v>26.5</v>
      </c>
      <c r="AH90" s="141">
        <f t="shared" si="25"/>
        <v>26.5</v>
      </c>
      <c r="AI90" s="141">
        <f t="shared" si="25"/>
        <v>26.5</v>
      </c>
      <c r="AJ90" s="141">
        <f t="shared" si="25"/>
        <v>26.5</v>
      </c>
      <c r="AK90" s="141">
        <f t="shared" si="24"/>
        <v>12</v>
      </c>
      <c r="AL90" s="141">
        <f t="shared" si="24"/>
        <v>17.5</v>
      </c>
      <c r="AM90" s="141">
        <f t="shared" si="24"/>
        <v>26</v>
      </c>
      <c r="AN90" s="141">
        <f t="shared" si="24"/>
        <v>35</v>
      </c>
      <c r="AO90" s="141">
        <f t="shared" si="24"/>
        <v>20.5</v>
      </c>
      <c r="AP90" s="141">
        <f t="shared" si="24"/>
        <v>32.5</v>
      </c>
      <c r="AQ90" s="141">
        <f t="shared" si="24"/>
        <v>47</v>
      </c>
      <c r="AR90" s="141">
        <f t="shared" si="24"/>
        <v>53</v>
      </c>
      <c r="AS90" s="141">
        <f t="shared" si="24"/>
        <v>53</v>
      </c>
      <c r="AT90" s="141">
        <f t="shared" si="24"/>
        <v>53</v>
      </c>
      <c r="AU90" s="141">
        <f t="shared" si="24"/>
        <v>53</v>
      </c>
      <c r="AV90" s="141">
        <f t="shared" si="24"/>
        <v>53</v>
      </c>
      <c r="AW90" s="141">
        <f t="shared" si="24"/>
        <v>53</v>
      </c>
      <c r="AX90" s="141">
        <f t="shared" si="24"/>
        <v>53</v>
      </c>
      <c r="AY90" s="141">
        <f t="shared" si="24"/>
        <v>53</v>
      </c>
      <c r="AZ90" s="141">
        <f t="shared" si="24"/>
        <v>53</v>
      </c>
      <c r="BA90" s="141">
        <f t="shared" si="24"/>
        <v>53</v>
      </c>
      <c r="BB90" s="141">
        <f t="shared" si="24"/>
        <v>53</v>
      </c>
      <c r="BC90" s="141">
        <f t="shared" si="24"/>
        <v>53</v>
      </c>
      <c r="BD90" s="141">
        <f t="shared" si="24"/>
        <v>53</v>
      </c>
      <c r="BE90" s="141">
        <f t="shared" si="24"/>
        <v>53</v>
      </c>
      <c r="BF90" s="141">
        <f t="shared" si="24"/>
        <v>53</v>
      </c>
      <c r="BG90" s="141">
        <f t="shared" si="24"/>
        <v>53</v>
      </c>
      <c r="BH90" s="141">
        <f t="shared" si="24"/>
        <v>53</v>
      </c>
      <c r="BI90" s="141">
        <f t="shared" si="24"/>
        <v>53</v>
      </c>
      <c r="BJ90" s="141">
        <f t="shared" si="24"/>
        <v>53</v>
      </c>
      <c r="BK90" s="141">
        <f t="shared" si="24"/>
        <v>53</v>
      </c>
      <c r="BL90" s="141">
        <f t="shared" si="24"/>
        <v>53</v>
      </c>
      <c r="BM90" s="141">
        <f t="shared" si="24"/>
        <v>53</v>
      </c>
      <c r="BN90" s="141">
        <f t="shared" si="24"/>
        <v>53</v>
      </c>
      <c r="BO90" s="141">
        <f t="shared" si="24"/>
        <v>53</v>
      </c>
      <c r="BP90" s="141">
        <f t="shared" si="24"/>
        <v>53</v>
      </c>
      <c r="BQ90" s="141">
        <f t="shared" si="24"/>
        <v>53</v>
      </c>
      <c r="BR90" s="142"/>
      <c r="BS90" s="142"/>
      <c r="BT90" s="112">
        <f t="shared" si="24"/>
        <v>2248.1</v>
      </c>
    </row>
    <row r="91" spans="1:73" ht="21" hidden="1" thickBot="1" x14ac:dyDescent="0.25">
      <c r="A91" s="144"/>
      <c r="B91" s="145" t="s">
        <v>11</v>
      </c>
      <c r="C91" s="146"/>
      <c r="D91" s="147" t="s">
        <v>196</v>
      </c>
      <c r="E91" s="148">
        <f>E95</f>
        <v>0</v>
      </c>
      <c r="F91" s="148">
        <f t="shared" ref="F91:BQ91" si="26">F95</f>
        <v>0</v>
      </c>
      <c r="G91" s="148">
        <v>12.5</v>
      </c>
      <c r="H91" s="148">
        <f t="shared" si="26"/>
        <v>0</v>
      </c>
      <c r="I91" s="148">
        <f t="shared" si="26"/>
        <v>26</v>
      </c>
      <c r="J91" s="148">
        <f t="shared" si="26"/>
        <v>17</v>
      </c>
      <c r="K91" s="148">
        <f t="shared" si="26"/>
        <v>17</v>
      </c>
      <c r="L91" s="148">
        <f t="shared" ref="L91:AJ91" si="27">L95</f>
        <v>17</v>
      </c>
      <c r="M91" s="148">
        <f t="shared" si="27"/>
        <v>17</v>
      </c>
      <c r="N91" s="148">
        <f t="shared" si="27"/>
        <v>17</v>
      </c>
      <c r="O91" s="148">
        <f t="shared" si="27"/>
        <v>17</v>
      </c>
      <c r="P91" s="148">
        <f t="shared" si="27"/>
        <v>17</v>
      </c>
      <c r="Q91" s="148">
        <f t="shared" si="27"/>
        <v>17</v>
      </c>
      <c r="R91" s="148">
        <f t="shared" si="27"/>
        <v>17</v>
      </c>
      <c r="S91" s="148">
        <f t="shared" si="27"/>
        <v>17</v>
      </c>
      <c r="T91" s="148">
        <f t="shared" si="27"/>
        <v>17</v>
      </c>
      <c r="U91" s="148">
        <f t="shared" si="27"/>
        <v>17</v>
      </c>
      <c r="V91" s="148">
        <f t="shared" si="27"/>
        <v>17</v>
      </c>
      <c r="W91" s="148">
        <f t="shared" si="27"/>
        <v>17</v>
      </c>
      <c r="X91" s="148">
        <f t="shared" si="27"/>
        <v>17</v>
      </c>
      <c r="Y91" s="148">
        <f t="shared" si="27"/>
        <v>17</v>
      </c>
      <c r="Z91" s="148">
        <f t="shared" si="27"/>
        <v>17</v>
      </c>
      <c r="AA91" s="148">
        <f t="shared" si="27"/>
        <v>17</v>
      </c>
      <c r="AB91" s="148">
        <f t="shared" si="27"/>
        <v>17</v>
      </c>
      <c r="AC91" s="148">
        <f t="shared" si="27"/>
        <v>17</v>
      </c>
      <c r="AD91" s="148">
        <f t="shared" si="27"/>
        <v>17</v>
      </c>
      <c r="AE91" s="148">
        <f t="shared" si="27"/>
        <v>17</v>
      </c>
      <c r="AF91" s="148">
        <f t="shared" si="27"/>
        <v>17</v>
      </c>
      <c r="AG91" s="148">
        <f t="shared" si="27"/>
        <v>17</v>
      </c>
      <c r="AH91" s="148">
        <f t="shared" si="27"/>
        <v>17</v>
      </c>
      <c r="AI91" s="148">
        <f t="shared" si="27"/>
        <v>17</v>
      </c>
      <c r="AJ91" s="148">
        <f t="shared" si="27"/>
        <v>17</v>
      </c>
      <c r="AK91" s="148">
        <f t="shared" si="26"/>
        <v>17</v>
      </c>
      <c r="AL91" s="148">
        <f t="shared" si="26"/>
        <v>15</v>
      </c>
      <c r="AM91" s="148">
        <f t="shared" si="26"/>
        <v>15</v>
      </c>
      <c r="AN91" s="148">
        <f t="shared" si="26"/>
        <v>15</v>
      </c>
      <c r="AO91" s="148">
        <f t="shared" si="26"/>
        <v>13.2</v>
      </c>
      <c r="AP91" s="148" t="e">
        <f t="shared" si="26"/>
        <v>#REF!</v>
      </c>
      <c r="AQ91" s="148" t="e">
        <f t="shared" si="26"/>
        <v>#REF!</v>
      </c>
      <c r="AR91" s="148" t="e">
        <f t="shared" si="26"/>
        <v>#REF!</v>
      </c>
      <c r="AS91" s="148" t="e">
        <f t="shared" si="26"/>
        <v>#REF!</v>
      </c>
      <c r="AT91" s="148" t="e">
        <f t="shared" si="26"/>
        <v>#REF!</v>
      </c>
      <c r="AU91" s="148" t="e">
        <f t="shared" si="26"/>
        <v>#REF!</v>
      </c>
      <c r="AV91" s="148" t="e">
        <f t="shared" si="26"/>
        <v>#REF!</v>
      </c>
      <c r="AW91" s="148" t="e">
        <f t="shared" si="26"/>
        <v>#REF!</v>
      </c>
      <c r="AX91" s="148" t="e">
        <f t="shared" si="26"/>
        <v>#REF!</v>
      </c>
      <c r="AY91" s="148" t="e">
        <f t="shared" si="26"/>
        <v>#REF!</v>
      </c>
      <c r="AZ91" s="148" t="e">
        <f t="shared" si="26"/>
        <v>#REF!</v>
      </c>
      <c r="BA91" s="148" t="e">
        <f t="shared" si="26"/>
        <v>#REF!</v>
      </c>
      <c r="BB91" s="148" t="e">
        <f t="shared" si="26"/>
        <v>#REF!</v>
      </c>
      <c r="BC91" s="148" t="e">
        <f t="shared" si="26"/>
        <v>#REF!</v>
      </c>
      <c r="BD91" s="148" t="e">
        <f t="shared" si="26"/>
        <v>#REF!</v>
      </c>
      <c r="BE91" s="148" t="e">
        <f t="shared" si="26"/>
        <v>#REF!</v>
      </c>
      <c r="BF91" s="148" t="e">
        <f t="shared" si="26"/>
        <v>#REF!</v>
      </c>
      <c r="BG91" s="148" t="e">
        <f t="shared" si="26"/>
        <v>#REF!</v>
      </c>
      <c r="BH91" s="148" t="e">
        <f t="shared" si="26"/>
        <v>#REF!</v>
      </c>
      <c r="BI91" s="148" t="e">
        <f t="shared" si="26"/>
        <v>#REF!</v>
      </c>
      <c r="BJ91" s="148" t="e">
        <f t="shared" si="26"/>
        <v>#REF!</v>
      </c>
      <c r="BK91" s="148" t="e">
        <f t="shared" si="26"/>
        <v>#REF!</v>
      </c>
      <c r="BL91" s="148" t="e">
        <f t="shared" si="26"/>
        <v>#REF!</v>
      </c>
      <c r="BM91" s="148" t="e">
        <f t="shared" si="26"/>
        <v>#REF!</v>
      </c>
      <c r="BN91" s="148" t="e">
        <f t="shared" si="26"/>
        <v>#REF!</v>
      </c>
      <c r="BO91" s="148" t="e">
        <f t="shared" si="26"/>
        <v>#REF!</v>
      </c>
      <c r="BP91" s="148" t="e">
        <f t="shared" si="26"/>
        <v>#REF!</v>
      </c>
      <c r="BQ91" s="148" t="e">
        <f t="shared" si="26"/>
        <v>#REF!</v>
      </c>
      <c r="BR91" s="149"/>
      <c r="BS91" s="149"/>
      <c r="BT91" s="150">
        <f>+BT95</f>
        <v>16.975757575757576</v>
      </c>
    </row>
    <row r="92" spans="1:73" ht="21" hidden="1" thickBot="1" x14ac:dyDescent="0.25">
      <c r="A92" s="151"/>
      <c r="B92" s="152"/>
      <c r="C92" s="153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49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2"/>
      <c r="BL92" s="152"/>
      <c r="BM92" s="152"/>
      <c r="BN92" s="152"/>
      <c r="BO92" s="152"/>
      <c r="BP92" s="152"/>
      <c r="BQ92" s="152"/>
      <c r="BR92" s="152"/>
      <c r="BS92" s="152"/>
      <c r="BT92" s="154"/>
    </row>
    <row r="93" spans="1:73" hidden="1" x14ac:dyDescent="0.2">
      <c r="A93" s="155" t="s">
        <v>197</v>
      </c>
      <c r="B93" s="156" t="s">
        <v>198</v>
      </c>
      <c r="C93" s="156"/>
      <c r="D93" s="157"/>
      <c r="E93" s="157"/>
      <c r="F93" s="158" t="s">
        <v>199</v>
      </c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  <c r="AM93" s="159"/>
      <c r="AN93" s="159"/>
      <c r="AO93" s="159"/>
      <c r="AP93" s="159"/>
      <c r="AQ93" s="159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60"/>
      <c r="BD93" s="160"/>
      <c r="BE93" s="160"/>
      <c r="BF93" s="160"/>
      <c r="BG93" s="160"/>
      <c r="BH93" s="160"/>
      <c r="BI93" s="160"/>
      <c r="BJ93" s="160"/>
      <c r="BK93" s="160"/>
      <c r="BL93" s="160"/>
      <c r="BM93" s="160"/>
      <c r="BN93" s="160"/>
      <c r="BO93" s="160"/>
      <c r="BP93" s="160"/>
      <c r="BQ93" s="160"/>
      <c r="BR93" s="161"/>
      <c r="BS93" s="161"/>
      <c r="BT93" s="152"/>
    </row>
    <row r="94" spans="1:73" hidden="1" x14ac:dyDescent="0.2">
      <c r="A94" s="108"/>
      <c r="B94" s="129"/>
      <c r="C94" s="162"/>
      <c r="D94" s="111" t="s">
        <v>101</v>
      </c>
      <c r="E94" s="111">
        <v>1</v>
      </c>
      <c r="F94" s="111">
        <v>2</v>
      </c>
      <c r="G94" s="111">
        <v>3</v>
      </c>
      <c r="H94" s="111">
        <v>4</v>
      </c>
      <c r="I94" s="111">
        <v>5</v>
      </c>
      <c r="J94" s="111">
        <v>6</v>
      </c>
      <c r="K94" s="111">
        <v>7</v>
      </c>
      <c r="L94" s="111">
        <v>8</v>
      </c>
      <c r="M94" s="111">
        <v>8</v>
      </c>
      <c r="N94" s="111">
        <v>8</v>
      </c>
      <c r="O94" s="111">
        <v>8</v>
      </c>
      <c r="P94" s="111">
        <v>8</v>
      </c>
      <c r="Q94" s="111">
        <v>8</v>
      </c>
      <c r="R94" s="111">
        <v>8</v>
      </c>
      <c r="S94" s="111">
        <v>8</v>
      </c>
      <c r="T94" s="111">
        <v>8</v>
      </c>
      <c r="U94" s="111">
        <v>8</v>
      </c>
      <c r="V94" s="111">
        <v>8</v>
      </c>
      <c r="W94" s="111">
        <v>8</v>
      </c>
      <c r="X94" s="111">
        <v>8</v>
      </c>
      <c r="Y94" s="111">
        <v>8</v>
      </c>
      <c r="Z94" s="111">
        <v>8</v>
      </c>
      <c r="AA94" s="111">
        <v>8</v>
      </c>
      <c r="AB94" s="111">
        <v>8</v>
      </c>
      <c r="AC94" s="111">
        <v>8</v>
      </c>
      <c r="AD94" s="111">
        <v>8</v>
      </c>
      <c r="AE94" s="111">
        <v>8</v>
      </c>
      <c r="AF94" s="111">
        <v>8</v>
      </c>
      <c r="AG94" s="111">
        <v>8</v>
      </c>
      <c r="AH94" s="111">
        <v>8</v>
      </c>
      <c r="AI94" s="111">
        <v>8</v>
      </c>
      <c r="AJ94" s="111">
        <v>8</v>
      </c>
      <c r="AK94" s="111">
        <v>9</v>
      </c>
      <c r="AL94" s="111">
        <v>10</v>
      </c>
      <c r="AM94" s="163">
        <v>11</v>
      </c>
      <c r="AN94" s="163">
        <v>12</v>
      </c>
      <c r="AO94" s="163">
        <v>13</v>
      </c>
      <c r="AP94" s="163">
        <v>14</v>
      </c>
      <c r="AQ94" s="163">
        <v>15</v>
      </c>
      <c r="AR94" s="163">
        <v>16</v>
      </c>
      <c r="AS94" s="163">
        <v>16</v>
      </c>
      <c r="AT94" s="163">
        <v>16</v>
      </c>
      <c r="AU94" s="163">
        <v>16</v>
      </c>
      <c r="AV94" s="163">
        <v>16</v>
      </c>
      <c r="AW94" s="163">
        <v>16</v>
      </c>
      <c r="AX94" s="163">
        <v>16</v>
      </c>
      <c r="AY94" s="163">
        <v>16</v>
      </c>
      <c r="AZ94" s="163">
        <v>16</v>
      </c>
      <c r="BA94" s="163">
        <v>16</v>
      </c>
      <c r="BB94" s="163">
        <v>16</v>
      </c>
      <c r="BC94" s="163">
        <v>16</v>
      </c>
      <c r="BD94" s="163">
        <v>16</v>
      </c>
      <c r="BE94" s="163">
        <v>16</v>
      </c>
      <c r="BF94" s="163">
        <v>16</v>
      </c>
      <c r="BG94" s="163">
        <v>16</v>
      </c>
      <c r="BH94" s="163">
        <v>16</v>
      </c>
      <c r="BI94" s="163">
        <v>16</v>
      </c>
      <c r="BJ94" s="163">
        <v>16</v>
      </c>
      <c r="BK94" s="163">
        <v>16</v>
      </c>
      <c r="BL94" s="163">
        <v>16</v>
      </c>
      <c r="BM94" s="163">
        <v>16</v>
      </c>
      <c r="BN94" s="163">
        <v>16</v>
      </c>
      <c r="BO94" s="163">
        <v>16</v>
      </c>
      <c r="BP94" s="163">
        <v>16</v>
      </c>
      <c r="BQ94" s="163">
        <v>16</v>
      </c>
      <c r="BR94" s="163"/>
      <c r="BS94" s="163"/>
      <c r="BT94" s="164" t="s">
        <v>192</v>
      </c>
    </row>
    <row r="95" spans="1:73" hidden="1" x14ac:dyDescent="0.2">
      <c r="A95" s="137" t="s">
        <v>157</v>
      </c>
      <c r="B95" s="129" t="s">
        <v>200</v>
      </c>
      <c r="C95" s="162"/>
      <c r="D95" s="165" t="s">
        <v>196</v>
      </c>
      <c r="E95" s="118"/>
      <c r="F95" s="118"/>
      <c r="G95" s="118"/>
      <c r="H95" s="118"/>
      <c r="I95" s="118">
        <v>26</v>
      </c>
      <c r="J95" s="118">
        <v>17</v>
      </c>
      <c r="K95" s="118">
        <v>17</v>
      </c>
      <c r="L95" s="118">
        <v>17</v>
      </c>
      <c r="M95" s="118">
        <v>17</v>
      </c>
      <c r="N95" s="118">
        <v>17</v>
      </c>
      <c r="O95" s="118">
        <v>17</v>
      </c>
      <c r="P95" s="118">
        <v>17</v>
      </c>
      <c r="Q95" s="118">
        <v>17</v>
      </c>
      <c r="R95" s="118">
        <v>17</v>
      </c>
      <c r="S95" s="118">
        <v>17</v>
      </c>
      <c r="T95" s="118">
        <v>17</v>
      </c>
      <c r="U95" s="118">
        <v>17</v>
      </c>
      <c r="V95" s="118">
        <v>17</v>
      </c>
      <c r="W95" s="118">
        <v>17</v>
      </c>
      <c r="X95" s="118">
        <v>17</v>
      </c>
      <c r="Y95" s="118">
        <v>17</v>
      </c>
      <c r="Z95" s="118">
        <v>17</v>
      </c>
      <c r="AA95" s="118">
        <v>17</v>
      </c>
      <c r="AB95" s="118">
        <v>17</v>
      </c>
      <c r="AC95" s="118">
        <v>17</v>
      </c>
      <c r="AD95" s="118">
        <v>17</v>
      </c>
      <c r="AE95" s="118">
        <v>17</v>
      </c>
      <c r="AF95" s="118">
        <v>17</v>
      </c>
      <c r="AG95" s="118">
        <v>17</v>
      </c>
      <c r="AH95" s="118">
        <v>17</v>
      </c>
      <c r="AI95" s="118">
        <v>17</v>
      </c>
      <c r="AJ95" s="118">
        <v>17</v>
      </c>
      <c r="AK95" s="118">
        <v>17</v>
      </c>
      <c r="AL95" s="118">
        <v>15</v>
      </c>
      <c r="AM95" s="119">
        <v>15</v>
      </c>
      <c r="AN95" s="119">
        <v>15</v>
      </c>
      <c r="AO95" s="119">
        <v>13.2</v>
      </c>
      <c r="AP95" s="119" t="e">
        <f>#REF!</f>
        <v>#REF!</v>
      </c>
      <c r="AQ95" s="119" t="e">
        <f>#REF!</f>
        <v>#REF!</v>
      </c>
      <c r="AR95" s="119" t="e">
        <f>#REF!</f>
        <v>#REF!</v>
      </c>
      <c r="AS95" s="119" t="e">
        <f>#REF!</f>
        <v>#REF!</v>
      </c>
      <c r="AT95" s="119" t="e">
        <f>#REF!</f>
        <v>#REF!</v>
      </c>
      <c r="AU95" s="119" t="e">
        <f>#REF!</f>
        <v>#REF!</v>
      </c>
      <c r="AV95" s="119" t="e">
        <f>#REF!</f>
        <v>#REF!</v>
      </c>
      <c r="AW95" s="119" t="e">
        <f>#REF!</f>
        <v>#REF!</v>
      </c>
      <c r="AX95" s="119" t="e">
        <f>#REF!</f>
        <v>#REF!</v>
      </c>
      <c r="AY95" s="119" t="e">
        <f>#REF!</f>
        <v>#REF!</v>
      </c>
      <c r="AZ95" s="119" t="e">
        <f>#REF!</f>
        <v>#REF!</v>
      </c>
      <c r="BA95" s="119" t="e">
        <f>#REF!</f>
        <v>#REF!</v>
      </c>
      <c r="BB95" s="119" t="e">
        <f>#REF!</f>
        <v>#REF!</v>
      </c>
      <c r="BC95" s="119" t="e">
        <f>#REF!</f>
        <v>#REF!</v>
      </c>
      <c r="BD95" s="119" t="e">
        <f>#REF!</f>
        <v>#REF!</v>
      </c>
      <c r="BE95" s="119" t="e">
        <f>#REF!</f>
        <v>#REF!</v>
      </c>
      <c r="BF95" s="119" t="e">
        <f>#REF!</f>
        <v>#REF!</v>
      </c>
      <c r="BG95" s="119" t="e">
        <f>#REF!</f>
        <v>#REF!</v>
      </c>
      <c r="BH95" s="119" t="e">
        <f>#REF!</f>
        <v>#REF!</v>
      </c>
      <c r="BI95" s="119" t="e">
        <f>#REF!</f>
        <v>#REF!</v>
      </c>
      <c r="BJ95" s="119" t="e">
        <f>#REF!</f>
        <v>#REF!</v>
      </c>
      <c r="BK95" s="119" t="e">
        <f>#REF!</f>
        <v>#REF!</v>
      </c>
      <c r="BL95" s="119" t="e">
        <f>#REF!</f>
        <v>#REF!</v>
      </c>
      <c r="BM95" s="119" t="e">
        <f>#REF!</f>
        <v>#REF!</v>
      </c>
      <c r="BN95" s="119" t="e">
        <f>#REF!</f>
        <v>#REF!</v>
      </c>
      <c r="BO95" s="119" t="e">
        <f>#REF!</f>
        <v>#REF!</v>
      </c>
      <c r="BP95" s="119" t="e">
        <f>#REF!</f>
        <v>#REF!</v>
      </c>
      <c r="BQ95" s="119" t="e">
        <f>#REF!</f>
        <v>#REF!</v>
      </c>
      <c r="BR95" s="119"/>
      <c r="BS95" s="119"/>
      <c r="BT95" s="166">
        <f>AVERAGE(E95:AO95)</f>
        <v>16.975757575757576</v>
      </c>
    </row>
    <row r="96" spans="1:73" hidden="1" x14ac:dyDescent="0.2">
      <c r="A96" s="137" t="s">
        <v>160</v>
      </c>
      <c r="B96" s="129" t="s">
        <v>201</v>
      </c>
      <c r="C96" s="162"/>
      <c r="D96" s="165" t="s">
        <v>14</v>
      </c>
      <c r="E96" s="118"/>
      <c r="F96" s="118"/>
      <c r="G96" s="118"/>
      <c r="H96" s="118"/>
      <c r="I96" s="118">
        <v>2.85</v>
      </c>
      <c r="J96" s="118">
        <v>2.85</v>
      </c>
      <c r="K96" s="118">
        <v>2.85</v>
      </c>
      <c r="L96" s="118">
        <v>2.85</v>
      </c>
      <c r="M96" s="118">
        <v>2.85</v>
      </c>
      <c r="N96" s="118">
        <v>2.85</v>
      </c>
      <c r="O96" s="118">
        <v>2.85</v>
      </c>
      <c r="P96" s="118">
        <v>2.85</v>
      </c>
      <c r="Q96" s="118">
        <v>2.85</v>
      </c>
      <c r="R96" s="118">
        <v>2.85</v>
      </c>
      <c r="S96" s="118">
        <v>2.85</v>
      </c>
      <c r="T96" s="118">
        <v>2.85</v>
      </c>
      <c r="U96" s="118">
        <v>2.85</v>
      </c>
      <c r="V96" s="118">
        <v>2.85</v>
      </c>
      <c r="W96" s="118">
        <v>2.85</v>
      </c>
      <c r="X96" s="118">
        <v>2.85</v>
      </c>
      <c r="Y96" s="118">
        <v>2.85</v>
      </c>
      <c r="Z96" s="118">
        <v>2.85</v>
      </c>
      <c r="AA96" s="118">
        <v>2.85</v>
      </c>
      <c r="AB96" s="118">
        <v>2.85</v>
      </c>
      <c r="AC96" s="118">
        <v>2.85</v>
      </c>
      <c r="AD96" s="118">
        <v>2.85</v>
      </c>
      <c r="AE96" s="118">
        <v>2.85</v>
      </c>
      <c r="AF96" s="118">
        <v>2.85</v>
      </c>
      <c r="AG96" s="118">
        <v>2.85</v>
      </c>
      <c r="AH96" s="118">
        <v>2.85</v>
      </c>
      <c r="AI96" s="118">
        <v>2.85</v>
      </c>
      <c r="AJ96" s="118">
        <v>2.85</v>
      </c>
      <c r="AK96" s="118">
        <v>2.85</v>
      </c>
      <c r="AL96" s="118">
        <v>2.85</v>
      </c>
      <c r="AM96" s="119">
        <v>2.85</v>
      </c>
      <c r="AN96" s="119">
        <v>2.85</v>
      </c>
      <c r="AO96" s="119">
        <v>2.85</v>
      </c>
      <c r="AP96" s="119">
        <v>2.85</v>
      </c>
      <c r="AQ96" s="119">
        <v>2.85</v>
      </c>
      <c r="AR96" s="119">
        <v>2.85</v>
      </c>
      <c r="AS96" s="119">
        <v>2.85</v>
      </c>
      <c r="AT96" s="119">
        <v>2.85</v>
      </c>
      <c r="AU96" s="119">
        <v>2.85</v>
      </c>
      <c r="AV96" s="119">
        <v>2.85</v>
      </c>
      <c r="AW96" s="119">
        <v>2.85</v>
      </c>
      <c r="AX96" s="119">
        <v>2.85</v>
      </c>
      <c r="AY96" s="119">
        <v>2.85</v>
      </c>
      <c r="AZ96" s="119">
        <v>2.85</v>
      </c>
      <c r="BA96" s="119">
        <v>2.85</v>
      </c>
      <c r="BB96" s="119">
        <v>2.85</v>
      </c>
      <c r="BC96" s="119">
        <v>2.85</v>
      </c>
      <c r="BD96" s="119">
        <v>2.85</v>
      </c>
      <c r="BE96" s="119">
        <v>2.85</v>
      </c>
      <c r="BF96" s="119">
        <v>2.85</v>
      </c>
      <c r="BG96" s="119">
        <v>2.85</v>
      </c>
      <c r="BH96" s="119">
        <v>2.85</v>
      </c>
      <c r="BI96" s="119">
        <v>2.85</v>
      </c>
      <c r="BJ96" s="119">
        <v>2.85</v>
      </c>
      <c r="BK96" s="119">
        <v>2.85</v>
      </c>
      <c r="BL96" s="119">
        <v>2.85</v>
      </c>
      <c r="BM96" s="119">
        <v>2.85</v>
      </c>
      <c r="BN96" s="119">
        <v>2.85</v>
      </c>
      <c r="BO96" s="119">
        <v>2.85</v>
      </c>
      <c r="BP96" s="119">
        <v>2.85</v>
      </c>
      <c r="BQ96" s="119">
        <v>2.85</v>
      </c>
      <c r="BR96" s="119"/>
      <c r="BS96" s="119"/>
      <c r="BT96" s="166">
        <f>AVERAGE(E96:AK96)</f>
        <v>2.8499999999999996</v>
      </c>
    </row>
    <row r="97" spans="1:72" hidden="1" x14ac:dyDescent="0.2">
      <c r="A97" s="137" t="s">
        <v>163</v>
      </c>
      <c r="B97" s="129" t="s">
        <v>202</v>
      </c>
      <c r="C97" s="162"/>
      <c r="D97" s="165" t="s">
        <v>203</v>
      </c>
      <c r="E97" s="99"/>
      <c r="F97" s="99"/>
      <c r="G97" s="99"/>
      <c r="H97" s="99"/>
      <c r="I97" s="99" t="e">
        <f>#REF!</f>
        <v>#REF!</v>
      </c>
      <c r="J97" s="99" t="e">
        <f>#REF!</f>
        <v>#REF!</v>
      </c>
      <c r="K97" s="99" t="e">
        <f>#REF!</f>
        <v>#REF!</v>
      </c>
      <c r="L97" s="99" t="e">
        <f>#REF!</f>
        <v>#REF!</v>
      </c>
      <c r="M97" s="99" t="e">
        <f>#REF!</f>
        <v>#REF!</v>
      </c>
      <c r="N97" s="99" t="e">
        <f>#REF!</f>
        <v>#REF!</v>
      </c>
      <c r="O97" s="99" t="e">
        <f>#REF!</f>
        <v>#REF!</v>
      </c>
      <c r="P97" s="99" t="e">
        <f>#REF!</f>
        <v>#REF!</v>
      </c>
      <c r="Q97" s="99" t="e">
        <f>#REF!</f>
        <v>#REF!</v>
      </c>
      <c r="R97" s="99" t="e">
        <f>#REF!</f>
        <v>#REF!</v>
      </c>
      <c r="S97" s="99" t="e">
        <f>#REF!</f>
        <v>#REF!</v>
      </c>
      <c r="T97" s="99" t="e">
        <f>#REF!</f>
        <v>#REF!</v>
      </c>
      <c r="U97" s="99" t="e">
        <f>#REF!</f>
        <v>#REF!</v>
      </c>
      <c r="V97" s="99" t="e">
        <f>#REF!</f>
        <v>#REF!</v>
      </c>
      <c r="W97" s="99" t="e">
        <f>#REF!</f>
        <v>#REF!</v>
      </c>
      <c r="X97" s="99" t="e">
        <f>#REF!</f>
        <v>#REF!</v>
      </c>
      <c r="Y97" s="99" t="e">
        <f>#REF!</f>
        <v>#REF!</v>
      </c>
      <c r="Z97" s="99" t="e">
        <f>#REF!</f>
        <v>#REF!</v>
      </c>
      <c r="AA97" s="99" t="e">
        <f>#REF!</f>
        <v>#REF!</v>
      </c>
      <c r="AB97" s="99" t="e">
        <f>#REF!</f>
        <v>#REF!</v>
      </c>
      <c r="AC97" s="99" t="e">
        <f>#REF!</f>
        <v>#REF!</v>
      </c>
      <c r="AD97" s="99" t="e">
        <f>#REF!</f>
        <v>#REF!</v>
      </c>
      <c r="AE97" s="99" t="e">
        <f>#REF!</f>
        <v>#REF!</v>
      </c>
      <c r="AF97" s="99" t="e">
        <f>#REF!</f>
        <v>#REF!</v>
      </c>
      <c r="AG97" s="99" t="e">
        <f>#REF!</f>
        <v>#REF!</v>
      </c>
      <c r="AH97" s="99" t="e">
        <f>#REF!</f>
        <v>#REF!</v>
      </c>
      <c r="AI97" s="99" t="e">
        <f>#REF!</f>
        <v>#REF!</v>
      </c>
      <c r="AJ97" s="99" t="e">
        <f>#REF!</f>
        <v>#REF!</v>
      </c>
      <c r="AK97" s="99" t="e">
        <f>#REF!</f>
        <v>#REF!</v>
      </c>
      <c r="AL97" s="99" t="e">
        <f>#REF!</f>
        <v>#REF!</v>
      </c>
      <c r="AM97" s="99" t="e">
        <f>#REF!</f>
        <v>#REF!</v>
      </c>
      <c r="AN97" s="100" t="e">
        <f>#REF!</f>
        <v>#REF!</v>
      </c>
      <c r="AO97" s="100" t="e">
        <f>#REF!</f>
        <v>#REF!</v>
      </c>
      <c r="AP97" s="100" t="e">
        <f>#REF!</f>
        <v>#REF!</v>
      </c>
      <c r="AQ97" s="100" t="e">
        <f>#REF!</f>
        <v>#REF!</v>
      </c>
      <c r="AR97" s="100" t="e">
        <f>#REF!</f>
        <v>#REF!</v>
      </c>
      <c r="AS97" s="100" t="e">
        <f>#REF!</f>
        <v>#REF!</v>
      </c>
      <c r="AT97" s="100" t="e">
        <f>#REF!</f>
        <v>#REF!</v>
      </c>
      <c r="AU97" s="100" t="e">
        <f>#REF!</f>
        <v>#REF!</v>
      </c>
      <c r="AV97" s="100" t="e">
        <f>#REF!</f>
        <v>#REF!</v>
      </c>
      <c r="AW97" s="100" t="e">
        <f>#REF!</f>
        <v>#REF!</v>
      </c>
      <c r="AX97" s="100" t="e">
        <f>#REF!</f>
        <v>#REF!</v>
      </c>
      <c r="AY97" s="100" t="e">
        <f>#REF!</f>
        <v>#REF!</v>
      </c>
      <c r="AZ97" s="100" t="e">
        <f>#REF!</f>
        <v>#REF!</v>
      </c>
      <c r="BA97" s="100" t="e">
        <f>#REF!</f>
        <v>#REF!</v>
      </c>
      <c r="BB97" s="100" t="e">
        <f>#REF!</f>
        <v>#REF!</v>
      </c>
      <c r="BC97" s="100" t="e">
        <f>#REF!</f>
        <v>#REF!</v>
      </c>
      <c r="BD97" s="100" t="e">
        <f>#REF!</f>
        <v>#REF!</v>
      </c>
      <c r="BE97" s="100" t="e">
        <f>#REF!</f>
        <v>#REF!</v>
      </c>
      <c r="BF97" s="100" t="e">
        <f>#REF!</f>
        <v>#REF!</v>
      </c>
      <c r="BG97" s="100" t="e">
        <f>#REF!</f>
        <v>#REF!</v>
      </c>
      <c r="BH97" s="100" t="e">
        <f>#REF!</f>
        <v>#REF!</v>
      </c>
      <c r="BI97" s="100" t="e">
        <f>#REF!</f>
        <v>#REF!</v>
      </c>
      <c r="BJ97" s="100" t="e">
        <f>#REF!</f>
        <v>#REF!</v>
      </c>
      <c r="BK97" s="100" t="e">
        <f>#REF!</f>
        <v>#REF!</v>
      </c>
      <c r="BL97" s="100" t="e">
        <f>#REF!</f>
        <v>#REF!</v>
      </c>
      <c r="BM97" s="100" t="e">
        <f>#REF!</f>
        <v>#REF!</v>
      </c>
      <c r="BN97" s="100" t="e">
        <f>#REF!</f>
        <v>#REF!</v>
      </c>
      <c r="BO97" s="100" t="e">
        <f>#REF!</f>
        <v>#REF!</v>
      </c>
      <c r="BP97" s="100" t="e">
        <f>#REF!</f>
        <v>#REF!</v>
      </c>
      <c r="BQ97" s="100" t="e">
        <f>#REF!</f>
        <v>#REF!</v>
      </c>
      <c r="BR97" s="100"/>
      <c r="BS97" s="100"/>
      <c r="BT97" s="166" t="e">
        <f>AVERAGE(E97:AO97)</f>
        <v>#REF!</v>
      </c>
    </row>
    <row r="98" spans="1:72" hidden="1" x14ac:dyDescent="0.2">
      <c r="A98" s="137" t="s">
        <v>166</v>
      </c>
      <c r="B98" s="129" t="s">
        <v>204</v>
      </c>
      <c r="C98" s="162"/>
      <c r="D98" s="165" t="s">
        <v>16</v>
      </c>
      <c r="E98" s="118"/>
      <c r="F98" s="118"/>
      <c r="G98" s="118"/>
      <c r="H98" s="118"/>
      <c r="I98" s="118">
        <f t="shared" ref="I98:BQ98" si="28">+I90</f>
        <v>1.6</v>
      </c>
      <c r="J98" s="118">
        <f t="shared" si="28"/>
        <v>3.5</v>
      </c>
      <c r="K98" s="118">
        <f t="shared" si="28"/>
        <v>12</v>
      </c>
      <c r="L98" s="118">
        <f t="shared" ref="L98:AJ98" si="29">+L90</f>
        <v>26.5</v>
      </c>
      <c r="M98" s="118">
        <f t="shared" si="29"/>
        <v>26.5</v>
      </c>
      <c r="N98" s="118">
        <f t="shared" si="29"/>
        <v>26.5</v>
      </c>
      <c r="O98" s="118">
        <f t="shared" si="29"/>
        <v>26.5</v>
      </c>
      <c r="P98" s="118">
        <f t="shared" si="29"/>
        <v>26.5</v>
      </c>
      <c r="Q98" s="118">
        <f t="shared" si="29"/>
        <v>26.5</v>
      </c>
      <c r="R98" s="118">
        <f t="shared" si="29"/>
        <v>26.5</v>
      </c>
      <c r="S98" s="118">
        <f t="shared" si="29"/>
        <v>26.5</v>
      </c>
      <c r="T98" s="118">
        <f t="shared" si="29"/>
        <v>26.5</v>
      </c>
      <c r="U98" s="118">
        <f t="shared" si="29"/>
        <v>26.5</v>
      </c>
      <c r="V98" s="118">
        <f t="shared" si="29"/>
        <v>26.5</v>
      </c>
      <c r="W98" s="118">
        <f t="shared" si="29"/>
        <v>26.5</v>
      </c>
      <c r="X98" s="118">
        <f t="shared" si="29"/>
        <v>26.5</v>
      </c>
      <c r="Y98" s="118">
        <f t="shared" si="29"/>
        <v>26.5</v>
      </c>
      <c r="Z98" s="118">
        <f t="shared" si="29"/>
        <v>26.5</v>
      </c>
      <c r="AA98" s="118">
        <f t="shared" si="29"/>
        <v>26.5</v>
      </c>
      <c r="AB98" s="118">
        <f t="shared" si="29"/>
        <v>26.5</v>
      </c>
      <c r="AC98" s="118">
        <f t="shared" si="29"/>
        <v>26.5</v>
      </c>
      <c r="AD98" s="118">
        <f t="shared" si="29"/>
        <v>26.5</v>
      </c>
      <c r="AE98" s="118">
        <f t="shared" si="29"/>
        <v>26.5</v>
      </c>
      <c r="AF98" s="118">
        <f t="shared" si="29"/>
        <v>26.5</v>
      </c>
      <c r="AG98" s="118">
        <f t="shared" si="29"/>
        <v>26.5</v>
      </c>
      <c r="AH98" s="118">
        <f t="shared" si="29"/>
        <v>26.5</v>
      </c>
      <c r="AI98" s="118">
        <f t="shared" si="29"/>
        <v>26.5</v>
      </c>
      <c r="AJ98" s="118">
        <f t="shared" si="29"/>
        <v>26.5</v>
      </c>
      <c r="AK98" s="118">
        <f t="shared" si="28"/>
        <v>12</v>
      </c>
      <c r="AL98" s="118">
        <f t="shared" si="28"/>
        <v>17.5</v>
      </c>
      <c r="AM98" s="118">
        <f t="shared" si="28"/>
        <v>26</v>
      </c>
      <c r="AN98" s="118">
        <f t="shared" si="28"/>
        <v>35</v>
      </c>
      <c r="AO98" s="118">
        <f t="shared" si="28"/>
        <v>20.5</v>
      </c>
      <c r="AP98" s="118">
        <f t="shared" si="28"/>
        <v>32.5</v>
      </c>
      <c r="AQ98" s="118">
        <f t="shared" si="28"/>
        <v>47</v>
      </c>
      <c r="AR98" s="118">
        <f t="shared" si="28"/>
        <v>53</v>
      </c>
      <c r="AS98" s="118">
        <f t="shared" si="28"/>
        <v>53</v>
      </c>
      <c r="AT98" s="118">
        <f t="shared" si="28"/>
        <v>53</v>
      </c>
      <c r="AU98" s="118">
        <f t="shared" si="28"/>
        <v>53</v>
      </c>
      <c r="AV98" s="118">
        <f t="shared" si="28"/>
        <v>53</v>
      </c>
      <c r="AW98" s="118">
        <f t="shared" si="28"/>
        <v>53</v>
      </c>
      <c r="AX98" s="118">
        <f t="shared" si="28"/>
        <v>53</v>
      </c>
      <c r="AY98" s="118">
        <f t="shared" si="28"/>
        <v>53</v>
      </c>
      <c r="AZ98" s="118">
        <f t="shared" si="28"/>
        <v>53</v>
      </c>
      <c r="BA98" s="118">
        <f t="shared" si="28"/>
        <v>53</v>
      </c>
      <c r="BB98" s="118">
        <f t="shared" si="28"/>
        <v>53</v>
      </c>
      <c r="BC98" s="118">
        <f t="shared" si="28"/>
        <v>53</v>
      </c>
      <c r="BD98" s="118">
        <f t="shared" si="28"/>
        <v>53</v>
      </c>
      <c r="BE98" s="118">
        <f t="shared" si="28"/>
        <v>53</v>
      </c>
      <c r="BF98" s="118">
        <f t="shared" si="28"/>
        <v>53</v>
      </c>
      <c r="BG98" s="118">
        <f t="shared" si="28"/>
        <v>53</v>
      </c>
      <c r="BH98" s="118">
        <f t="shared" si="28"/>
        <v>53</v>
      </c>
      <c r="BI98" s="118">
        <f t="shared" si="28"/>
        <v>53</v>
      </c>
      <c r="BJ98" s="118">
        <f t="shared" si="28"/>
        <v>53</v>
      </c>
      <c r="BK98" s="118">
        <f t="shared" si="28"/>
        <v>53</v>
      </c>
      <c r="BL98" s="118">
        <f t="shared" si="28"/>
        <v>53</v>
      </c>
      <c r="BM98" s="118">
        <f t="shared" si="28"/>
        <v>53</v>
      </c>
      <c r="BN98" s="118">
        <f t="shared" si="28"/>
        <v>53</v>
      </c>
      <c r="BO98" s="118">
        <f t="shared" si="28"/>
        <v>53</v>
      </c>
      <c r="BP98" s="118">
        <f t="shared" si="28"/>
        <v>53</v>
      </c>
      <c r="BQ98" s="118">
        <f t="shared" si="28"/>
        <v>53</v>
      </c>
      <c r="BR98" s="119"/>
      <c r="BS98" s="119"/>
      <c r="BT98" s="166">
        <f>SUM(E98:AO98)</f>
        <v>790.6</v>
      </c>
    </row>
    <row r="99" spans="1:72" hidden="1" x14ac:dyDescent="0.2">
      <c r="A99" s="137" t="s">
        <v>179</v>
      </c>
      <c r="B99" s="129" t="s">
        <v>205</v>
      </c>
      <c r="C99" s="162"/>
      <c r="D99" s="165" t="s">
        <v>206</v>
      </c>
      <c r="E99" s="99">
        <v>24</v>
      </c>
      <c r="F99" s="99">
        <v>24</v>
      </c>
      <c r="G99" s="99">
        <v>24</v>
      </c>
      <c r="H99" s="99"/>
      <c r="I99" s="99">
        <v>24</v>
      </c>
      <c r="J99" s="99">
        <v>24</v>
      </c>
      <c r="K99" s="99">
        <v>24</v>
      </c>
      <c r="L99" s="99">
        <v>24</v>
      </c>
      <c r="M99" s="99">
        <v>24</v>
      </c>
      <c r="N99" s="99">
        <v>24</v>
      </c>
      <c r="O99" s="99">
        <v>24</v>
      </c>
      <c r="P99" s="99">
        <v>24</v>
      </c>
      <c r="Q99" s="99">
        <v>24</v>
      </c>
      <c r="R99" s="99">
        <v>24</v>
      </c>
      <c r="S99" s="99">
        <v>24</v>
      </c>
      <c r="T99" s="99">
        <v>24</v>
      </c>
      <c r="U99" s="99">
        <v>24</v>
      </c>
      <c r="V99" s="99">
        <v>24</v>
      </c>
      <c r="W99" s="99">
        <v>24</v>
      </c>
      <c r="X99" s="99">
        <v>24</v>
      </c>
      <c r="Y99" s="99">
        <v>24</v>
      </c>
      <c r="Z99" s="99">
        <v>24</v>
      </c>
      <c r="AA99" s="99">
        <v>24</v>
      </c>
      <c r="AB99" s="99">
        <v>24</v>
      </c>
      <c r="AC99" s="99">
        <v>24</v>
      </c>
      <c r="AD99" s="99">
        <v>24</v>
      </c>
      <c r="AE99" s="99">
        <v>24</v>
      </c>
      <c r="AF99" s="99">
        <v>24</v>
      </c>
      <c r="AG99" s="99">
        <v>24</v>
      </c>
      <c r="AH99" s="99">
        <v>24</v>
      </c>
      <c r="AI99" s="99">
        <v>24</v>
      </c>
      <c r="AJ99" s="99">
        <v>24</v>
      </c>
      <c r="AK99" s="99">
        <v>24</v>
      </c>
      <c r="AL99" s="99">
        <v>24</v>
      </c>
      <c r="AM99" s="99">
        <v>24</v>
      </c>
      <c r="AN99" s="99">
        <v>24</v>
      </c>
      <c r="AO99" s="99">
        <v>24</v>
      </c>
      <c r="AP99" s="99">
        <v>24</v>
      </c>
      <c r="AQ99" s="99">
        <v>24</v>
      </c>
      <c r="AR99" s="99">
        <v>24</v>
      </c>
      <c r="AS99" s="99">
        <v>24</v>
      </c>
      <c r="AT99" s="99">
        <v>24</v>
      </c>
      <c r="AU99" s="99">
        <v>24</v>
      </c>
      <c r="AV99" s="99">
        <v>24</v>
      </c>
      <c r="AW99" s="99">
        <v>24</v>
      </c>
      <c r="AX99" s="99">
        <v>24</v>
      </c>
      <c r="AY99" s="99">
        <v>24</v>
      </c>
      <c r="AZ99" s="99">
        <v>24</v>
      </c>
      <c r="BA99" s="99">
        <v>24</v>
      </c>
      <c r="BB99" s="99">
        <v>24</v>
      </c>
      <c r="BC99" s="99">
        <v>24</v>
      </c>
      <c r="BD99" s="99">
        <v>24</v>
      </c>
      <c r="BE99" s="99">
        <v>24</v>
      </c>
      <c r="BF99" s="99">
        <v>24</v>
      </c>
      <c r="BG99" s="99">
        <v>24</v>
      </c>
      <c r="BH99" s="99">
        <v>24</v>
      </c>
      <c r="BI99" s="99">
        <v>24</v>
      </c>
      <c r="BJ99" s="99">
        <v>24</v>
      </c>
      <c r="BK99" s="99">
        <v>24</v>
      </c>
      <c r="BL99" s="99">
        <v>24</v>
      </c>
      <c r="BM99" s="99">
        <v>24</v>
      </c>
      <c r="BN99" s="99">
        <v>24</v>
      </c>
      <c r="BO99" s="99">
        <v>24</v>
      </c>
      <c r="BP99" s="99">
        <v>24</v>
      </c>
      <c r="BQ99" s="99">
        <v>24</v>
      </c>
      <c r="BR99" s="100"/>
      <c r="BS99" s="100"/>
      <c r="BT99" s="166">
        <f>SUM(E99:AO99)</f>
        <v>864</v>
      </c>
    </row>
    <row r="100" spans="1:72" hidden="1" x14ac:dyDescent="0.2">
      <c r="A100" s="137" t="s">
        <v>181</v>
      </c>
      <c r="B100" s="129" t="s">
        <v>207</v>
      </c>
      <c r="C100" s="162"/>
      <c r="D100" s="165" t="s">
        <v>206</v>
      </c>
      <c r="E100" s="118">
        <f t="shared" ref="E100:BQ100" si="30">E60</f>
        <v>0</v>
      </c>
      <c r="F100" s="99">
        <f t="shared" si="30"/>
        <v>0</v>
      </c>
      <c r="G100" s="99">
        <f t="shared" si="30"/>
        <v>0</v>
      </c>
      <c r="H100" s="99"/>
      <c r="I100" s="118" t="e">
        <f t="shared" si="30"/>
        <v>#REF!</v>
      </c>
      <c r="J100" s="118" t="e">
        <f t="shared" si="30"/>
        <v>#REF!</v>
      </c>
      <c r="K100" s="118" t="e">
        <f t="shared" si="30"/>
        <v>#REF!</v>
      </c>
      <c r="L100" s="118" t="e">
        <f t="shared" ref="L100:AJ100" si="31">L60</f>
        <v>#REF!</v>
      </c>
      <c r="M100" s="118" t="e">
        <f t="shared" si="31"/>
        <v>#REF!</v>
      </c>
      <c r="N100" s="118" t="e">
        <f t="shared" si="31"/>
        <v>#REF!</v>
      </c>
      <c r="O100" s="118" t="e">
        <f t="shared" si="31"/>
        <v>#REF!</v>
      </c>
      <c r="P100" s="118" t="e">
        <f t="shared" si="31"/>
        <v>#REF!</v>
      </c>
      <c r="Q100" s="118" t="e">
        <f t="shared" si="31"/>
        <v>#REF!</v>
      </c>
      <c r="R100" s="118" t="e">
        <f t="shared" si="31"/>
        <v>#REF!</v>
      </c>
      <c r="S100" s="118" t="e">
        <f t="shared" si="31"/>
        <v>#REF!</v>
      </c>
      <c r="T100" s="118" t="e">
        <f t="shared" si="31"/>
        <v>#REF!</v>
      </c>
      <c r="U100" s="118" t="e">
        <f t="shared" si="31"/>
        <v>#REF!</v>
      </c>
      <c r="V100" s="118" t="e">
        <f t="shared" si="31"/>
        <v>#REF!</v>
      </c>
      <c r="W100" s="118" t="e">
        <f t="shared" si="31"/>
        <v>#REF!</v>
      </c>
      <c r="X100" s="118" t="e">
        <f t="shared" si="31"/>
        <v>#REF!</v>
      </c>
      <c r="Y100" s="118" t="e">
        <f t="shared" si="31"/>
        <v>#REF!</v>
      </c>
      <c r="Z100" s="118" t="e">
        <f t="shared" si="31"/>
        <v>#REF!</v>
      </c>
      <c r="AA100" s="118" t="e">
        <f t="shared" si="31"/>
        <v>#REF!</v>
      </c>
      <c r="AB100" s="118" t="e">
        <f t="shared" si="31"/>
        <v>#REF!</v>
      </c>
      <c r="AC100" s="118" t="e">
        <f t="shared" si="31"/>
        <v>#REF!</v>
      </c>
      <c r="AD100" s="118" t="e">
        <f t="shared" si="31"/>
        <v>#REF!</v>
      </c>
      <c r="AE100" s="118" t="e">
        <f t="shared" si="31"/>
        <v>#REF!</v>
      </c>
      <c r="AF100" s="118" t="e">
        <f t="shared" si="31"/>
        <v>#REF!</v>
      </c>
      <c r="AG100" s="118" t="e">
        <f t="shared" si="31"/>
        <v>#REF!</v>
      </c>
      <c r="AH100" s="118" t="e">
        <f t="shared" si="31"/>
        <v>#REF!</v>
      </c>
      <c r="AI100" s="118" t="e">
        <f t="shared" si="31"/>
        <v>#REF!</v>
      </c>
      <c r="AJ100" s="118" t="e">
        <f t="shared" si="31"/>
        <v>#REF!</v>
      </c>
      <c r="AK100" s="118" t="e">
        <f t="shared" si="30"/>
        <v>#REF!</v>
      </c>
      <c r="AL100" s="118" t="e">
        <f t="shared" si="30"/>
        <v>#REF!</v>
      </c>
      <c r="AM100" s="118" t="e">
        <f t="shared" si="30"/>
        <v>#REF!</v>
      </c>
      <c r="AN100" s="118" t="e">
        <f t="shared" si="30"/>
        <v>#REF!</v>
      </c>
      <c r="AO100" s="118" t="e">
        <f t="shared" si="30"/>
        <v>#REF!</v>
      </c>
      <c r="AP100" s="118" t="e">
        <f t="shared" si="30"/>
        <v>#REF!</v>
      </c>
      <c r="AQ100" s="118" t="e">
        <f t="shared" si="30"/>
        <v>#REF!</v>
      </c>
      <c r="AR100" s="118" t="e">
        <f t="shared" si="30"/>
        <v>#REF!</v>
      </c>
      <c r="AS100" s="118" t="e">
        <f t="shared" si="30"/>
        <v>#REF!</v>
      </c>
      <c r="AT100" s="118" t="e">
        <f t="shared" si="30"/>
        <v>#REF!</v>
      </c>
      <c r="AU100" s="118" t="e">
        <f t="shared" si="30"/>
        <v>#REF!</v>
      </c>
      <c r="AV100" s="118" t="e">
        <f t="shared" si="30"/>
        <v>#REF!</v>
      </c>
      <c r="AW100" s="118" t="e">
        <f t="shared" si="30"/>
        <v>#REF!</v>
      </c>
      <c r="AX100" s="118" t="e">
        <f t="shared" si="30"/>
        <v>#REF!</v>
      </c>
      <c r="AY100" s="118" t="e">
        <f t="shared" si="30"/>
        <v>#REF!</v>
      </c>
      <c r="AZ100" s="118" t="e">
        <f t="shared" si="30"/>
        <v>#REF!</v>
      </c>
      <c r="BA100" s="118" t="e">
        <f t="shared" si="30"/>
        <v>#REF!</v>
      </c>
      <c r="BB100" s="118" t="e">
        <f t="shared" si="30"/>
        <v>#REF!</v>
      </c>
      <c r="BC100" s="118" t="e">
        <f t="shared" si="30"/>
        <v>#REF!</v>
      </c>
      <c r="BD100" s="118" t="e">
        <f t="shared" si="30"/>
        <v>#REF!</v>
      </c>
      <c r="BE100" s="118" t="e">
        <f t="shared" si="30"/>
        <v>#REF!</v>
      </c>
      <c r="BF100" s="118" t="e">
        <f t="shared" si="30"/>
        <v>#REF!</v>
      </c>
      <c r="BG100" s="118" t="e">
        <f t="shared" si="30"/>
        <v>#REF!</v>
      </c>
      <c r="BH100" s="118" t="e">
        <f t="shared" si="30"/>
        <v>#REF!</v>
      </c>
      <c r="BI100" s="118">
        <f t="shared" si="30"/>
        <v>2</v>
      </c>
      <c r="BJ100" s="118">
        <f t="shared" si="30"/>
        <v>2</v>
      </c>
      <c r="BK100" s="118">
        <f t="shared" si="30"/>
        <v>2</v>
      </c>
      <c r="BL100" s="118">
        <f t="shared" si="30"/>
        <v>2</v>
      </c>
      <c r="BM100" s="118">
        <f t="shared" si="30"/>
        <v>2</v>
      </c>
      <c r="BN100" s="118">
        <f t="shared" si="30"/>
        <v>2</v>
      </c>
      <c r="BO100" s="118">
        <f t="shared" si="30"/>
        <v>2</v>
      </c>
      <c r="BP100" s="118">
        <f t="shared" si="30"/>
        <v>2</v>
      </c>
      <c r="BQ100" s="118">
        <f t="shared" si="30"/>
        <v>2</v>
      </c>
      <c r="BR100" s="119"/>
      <c r="BS100" s="119"/>
      <c r="BT100" s="166" t="e">
        <f>SUM(E100:AO100)</f>
        <v>#REF!</v>
      </c>
    </row>
    <row r="101" spans="1:72" hidden="1" x14ac:dyDescent="0.2">
      <c r="A101" s="137" t="s">
        <v>183</v>
      </c>
      <c r="B101" s="129" t="s">
        <v>208</v>
      </c>
      <c r="C101" s="162"/>
      <c r="D101" s="165" t="s">
        <v>206</v>
      </c>
      <c r="E101" s="99">
        <v>0</v>
      </c>
      <c r="F101" s="99">
        <v>0</v>
      </c>
      <c r="G101" s="99">
        <v>0</v>
      </c>
      <c r="H101" s="99"/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Z101" s="99">
        <v>0</v>
      </c>
      <c r="AA101" s="99">
        <v>0</v>
      </c>
      <c r="AB101" s="99">
        <v>0</v>
      </c>
      <c r="AC101" s="99">
        <v>0</v>
      </c>
      <c r="AD101" s="99">
        <v>0</v>
      </c>
      <c r="AE101" s="99">
        <v>0</v>
      </c>
      <c r="AF101" s="99">
        <v>0</v>
      </c>
      <c r="AG101" s="99">
        <v>0</v>
      </c>
      <c r="AH101" s="99">
        <v>0</v>
      </c>
      <c r="AI101" s="99">
        <v>0</v>
      </c>
      <c r="AJ101" s="99">
        <v>0</v>
      </c>
      <c r="AK101" s="99">
        <v>0</v>
      </c>
      <c r="AL101" s="99">
        <v>0</v>
      </c>
      <c r="AM101" s="99">
        <v>0</v>
      </c>
      <c r="AN101" s="100">
        <v>0</v>
      </c>
      <c r="AO101" s="100">
        <v>0</v>
      </c>
      <c r="AP101" s="100">
        <v>0</v>
      </c>
      <c r="AQ101" s="100">
        <v>0</v>
      </c>
      <c r="AR101" s="100">
        <v>0</v>
      </c>
      <c r="AS101" s="100">
        <v>0</v>
      </c>
      <c r="AT101" s="100">
        <v>0</v>
      </c>
      <c r="AU101" s="100">
        <v>0</v>
      </c>
      <c r="AV101" s="100">
        <v>0</v>
      </c>
      <c r="AW101" s="100">
        <v>0</v>
      </c>
      <c r="AX101" s="100">
        <v>0</v>
      </c>
      <c r="AY101" s="100">
        <v>0</v>
      </c>
      <c r="AZ101" s="100">
        <v>0</v>
      </c>
      <c r="BA101" s="100">
        <v>0</v>
      </c>
      <c r="BB101" s="100">
        <v>0</v>
      </c>
      <c r="BC101" s="100">
        <v>0</v>
      </c>
      <c r="BD101" s="100">
        <v>0</v>
      </c>
      <c r="BE101" s="100">
        <v>0</v>
      </c>
      <c r="BF101" s="100">
        <v>0</v>
      </c>
      <c r="BG101" s="100">
        <v>0</v>
      </c>
      <c r="BH101" s="100">
        <v>0</v>
      </c>
      <c r="BI101" s="100">
        <v>0</v>
      </c>
      <c r="BJ101" s="100">
        <v>0</v>
      </c>
      <c r="BK101" s="100">
        <v>0</v>
      </c>
      <c r="BL101" s="100">
        <v>0</v>
      </c>
      <c r="BM101" s="100">
        <v>0</v>
      </c>
      <c r="BN101" s="100">
        <v>0</v>
      </c>
      <c r="BO101" s="100">
        <v>0</v>
      </c>
      <c r="BP101" s="100">
        <v>0</v>
      </c>
      <c r="BQ101" s="100">
        <v>0</v>
      </c>
      <c r="BR101" s="100"/>
      <c r="BS101" s="100"/>
      <c r="BT101" s="166">
        <f>SUM(E101:AO101)</f>
        <v>0</v>
      </c>
    </row>
    <row r="102" spans="1:72" hidden="1" x14ac:dyDescent="0.2">
      <c r="A102" s="137"/>
      <c r="B102" s="129"/>
      <c r="C102" s="162"/>
      <c r="D102" s="165"/>
      <c r="E102" s="118"/>
      <c r="F102" s="165"/>
      <c r="G102" s="118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4"/>
      <c r="BO102" s="134"/>
      <c r="BP102" s="134"/>
      <c r="BQ102" s="134"/>
      <c r="BR102" s="134"/>
      <c r="BS102" s="134"/>
      <c r="BT102" s="166"/>
    </row>
    <row r="103" spans="1:72" hidden="1" x14ac:dyDescent="0.2">
      <c r="A103" s="137" t="s">
        <v>209</v>
      </c>
      <c r="B103" s="129" t="s">
        <v>210</v>
      </c>
      <c r="C103" s="162"/>
      <c r="D103" s="165" t="s">
        <v>211</v>
      </c>
      <c r="E103" s="99">
        <f>E95*E96*E97*60/1000000</f>
        <v>0</v>
      </c>
      <c r="F103" s="99">
        <f>F95*F96*F97*60/1000000</f>
        <v>0</v>
      </c>
      <c r="G103" s="99">
        <f>G95*G96*G97*60/1000000</f>
        <v>0</v>
      </c>
      <c r="H103" s="99"/>
      <c r="I103" s="99" t="e">
        <f>I95*I96*I97*60/1000000</f>
        <v>#REF!</v>
      </c>
      <c r="J103" s="99" t="e">
        <f t="shared" ref="J103:BQ103" si="32">J95*J96*J97*60/1000000</f>
        <v>#REF!</v>
      </c>
      <c r="K103" s="99" t="e">
        <f t="shared" si="32"/>
        <v>#REF!</v>
      </c>
      <c r="L103" s="99" t="e">
        <f t="shared" ref="L103:AJ103" si="33">L95*L96*L97*60/1000000</f>
        <v>#REF!</v>
      </c>
      <c r="M103" s="99" t="e">
        <f t="shared" si="33"/>
        <v>#REF!</v>
      </c>
      <c r="N103" s="99" t="e">
        <f t="shared" si="33"/>
        <v>#REF!</v>
      </c>
      <c r="O103" s="99" t="e">
        <f t="shared" si="33"/>
        <v>#REF!</v>
      </c>
      <c r="P103" s="99" t="e">
        <f t="shared" si="33"/>
        <v>#REF!</v>
      </c>
      <c r="Q103" s="99" t="e">
        <f t="shared" si="33"/>
        <v>#REF!</v>
      </c>
      <c r="R103" s="99" t="e">
        <f t="shared" si="33"/>
        <v>#REF!</v>
      </c>
      <c r="S103" s="99" t="e">
        <f t="shared" si="33"/>
        <v>#REF!</v>
      </c>
      <c r="T103" s="99" t="e">
        <f t="shared" si="33"/>
        <v>#REF!</v>
      </c>
      <c r="U103" s="99" t="e">
        <f t="shared" si="33"/>
        <v>#REF!</v>
      </c>
      <c r="V103" s="99" t="e">
        <f t="shared" si="33"/>
        <v>#REF!</v>
      </c>
      <c r="W103" s="99" t="e">
        <f t="shared" si="33"/>
        <v>#REF!</v>
      </c>
      <c r="X103" s="99" t="e">
        <f t="shared" si="33"/>
        <v>#REF!</v>
      </c>
      <c r="Y103" s="99" t="e">
        <f t="shared" si="33"/>
        <v>#REF!</v>
      </c>
      <c r="Z103" s="99" t="e">
        <f t="shared" si="33"/>
        <v>#REF!</v>
      </c>
      <c r="AA103" s="99" t="e">
        <f t="shared" si="33"/>
        <v>#REF!</v>
      </c>
      <c r="AB103" s="99" t="e">
        <f t="shared" si="33"/>
        <v>#REF!</v>
      </c>
      <c r="AC103" s="99" t="e">
        <f t="shared" si="33"/>
        <v>#REF!</v>
      </c>
      <c r="AD103" s="99" t="e">
        <f t="shared" si="33"/>
        <v>#REF!</v>
      </c>
      <c r="AE103" s="99" t="e">
        <f t="shared" si="33"/>
        <v>#REF!</v>
      </c>
      <c r="AF103" s="99" t="e">
        <f t="shared" si="33"/>
        <v>#REF!</v>
      </c>
      <c r="AG103" s="99" t="e">
        <f t="shared" si="33"/>
        <v>#REF!</v>
      </c>
      <c r="AH103" s="99" t="e">
        <f t="shared" si="33"/>
        <v>#REF!</v>
      </c>
      <c r="AI103" s="99" t="e">
        <f t="shared" si="33"/>
        <v>#REF!</v>
      </c>
      <c r="AJ103" s="99" t="e">
        <f t="shared" si="33"/>
        <v>#REF!</v>
      </c>
      <c r="AK103" s="99" t="e">
        <f t="shared" si="32"/>
        <v>#REF!</v>
      </c>
      <c r="AL103" s="99" t="e">
        <f t="shared" si="32"/>
        <v>#REF!</v>
      </c>
      <c r="AM103" s="99" t="e">
        <f t="shared" si="32"/>
        <v>#REF!</v>
      </c>
      <c r="AN103" s="99" t="e">
        <f t="shared" si="32"/>
        <v>#REF!</v>
      </c>
      <c r="AO103" s="99" t="e">
        <f t="shared" si="32"/>
        <v>#REF!</v>
      </c>
      <c r="AP103" s="99" t="e">
        <f t="shared" si="32"/>
        <v>#REF!</v>
      </c>
      <c r="AQ103" s="99" t="e">
        <f t="shared" si="32"/>
        <v>#REF!</v>
      </c>
      <c r="AR103" s="99" t="e">
        <f t="shared" si="32"/>
        <v>#REF!</v>
      </c>
      <c r="AS103" s="99" t="e">
        <f t="shared" si="32"/>
        <v>#REF!</v>
      </c>
      <c r="AT103" s="99" t="e">
        <f t="shared" si="32"/>
        <v>#REF!</v>
      </c>
      <c r="AU103" s="99" t="e">
        <f t="shared" si="32"/>
        <v>#REF!</v>
      </c>
      <c r="AV103" s="99" t="e">
        <f t="shared" si="32"/>
        <v>#REF!</v>
      </c>
      <c r="AW103" s="99" t="e">
        <f t="shared" si="32"/>
        <v>#REF!</v>
      </c>
      <c r="AX103" s="99" t="e">
        <f t="shared" si="32"/>
        <v>#REF!</v>
      </c>
      <c r="AY103" s="99" t="e">
        <f t="shared" si="32"/>
        <v>#REF!</v>
      </c>
      <c r="AZ103" s="99" t="e">
        <f t="shared" si="32"/>
        <v>#REF!</v>
      </c>
      <c r="BA103" s="99" t="e">
        <f t="shared" si="32"/>
        <v>#REF!</v>
      </c>
      <c r="BB103" s="99" t="e">
        <f t="shared" si="32"/>
        <v>#REF!</v>
      </c>
      <c r="BC103" s="99" t="e">
        <f t="shared" si="32"/>
        <v>#REF!</v>
      </c>
      <c r="BD103" s="99" t="e">
        <f t="shared" si="32"/>
        <v>#REF!</v>
      </c>
      <c r="BE103" s="99" t="e">
        <f t="shared" si="32"/>
        <v>#REF!</v>
      </c>
      <c r="BF103" s="99" t="e">
        <f t="shared" si="32"/>
        <v>#REF!</v>
      </c>
      <c r="BG103" s="99" t="e">
        <f t="shared" si="32"/>
        <v>#REF!</v>
      </c>
      <c r="BH103" s="99" t="e">
        <f t="shared" si="32"/>
        <v>#REF!</v>
      </c>
      <c r="BI103" s="99" t="e">
        <f t="shared" si="32"/>
        <v>#REF!</v>
      </c>
      <c r="BJ103" s="99" t="e">
        <f t="shared" si="32"/>
        <v>#REF!</v>
      </c>
      <c r="BK103" s="99" t="e">
        <f t="shared" si="32"/>
        <v>#REF!</v>
      </c>
      <c r="BL103" s="99" t="e">
        <f t="shared" si="32"/>
        <v>#REF!</v>
      </c>
      <c r="BM103" s="99" t="e">
        <f t="shared" si="32"/>
        <v>#REF!</v>
      </c>
      <c r="BN103" s="99" t="e">
        <f t="shared" si="32"/>
        <v>#REF!</v>
      </c>
      <c r="BO103" s="99" t="e">
        <f t="shared" si="32"/>
        <v>#REF!</v>
      </c>
      <c r="BP103" s="99" t="e">
        <f t="shared" si="32"/>
        <v>#REF!</v>
      </c>
      <c r="BQ103" s="99" t="e">
        <f t="shared" si="32"/>
        <v>#REF!</v>
      </c>
      <c r="BR103" s="100"/>
      <c r="BS103" s="100"/>
      <c r="BT103" s="166" t="e">
        <f>BT95*BT96*BT97*60/1000000</f>
        <v>#REF!</v>
      </c>
    </row>
    <row r="104" spans="1:72" hidden="1" x14ac:dyDescent="0.2">
      <c r="A104" s="137" t="s">
        <v>212</v>
      </c>
      <c r="B104" s="129" t="s">
        <v>213</v>
      </c>
      <c r="C104" s="162"/>
      <c r="D104" s="165" t="s">
        <v>214</v>
      </c>
      <c r="E104" s="99" t="e">
        <f t="shared" ref="E104:BT104" si="34">1/E103</f>
        <v>#DIV/0!</v>
      </c>
      <c r="F104" s="99" t="e">
        <f t="shared" si="34"/>
        <v>#DIV/0!</v>
      </c>
      <c r="G104" s="99" t="e">
        <f t="shared" si="34"/>
        <v>#DIV/0!</v>
      </c>
      <c r="H104" s="99"/>
      <c r="I104" s="99" t="e">
        <f t="shared" si="34"/>
        <v>#REF!</v>
      </c>
      <c r="J104" s="99" t="e">
        <f t="shared" si="34"/>
        <v>#REF!</v>
      </c>
      <c r="K104" s="99" t="e">
        <f t="shared" si="34"/>
        <v>#REF!</v>
      </c>
      <c r="L104" s="99" t="e">
        <f t="shared" ref="L104:AJ104" si="35">1/L103</f>
        <v>#REF!</v>
      </c>
      <c r="M104" s="99" t="e">
        <f t="shared" si="35"/>
        <v>#REF!</v>
      </c>
      <c r="N104" s="99" t="e">
        <f t="shared" si="35"/>
        <v>#REF!</v>
      </c>
      <c r="O104" s="99" t="e">
        <f t="shared" si="35"/>
        <v>#REF!</v>
      </c>
      <c r="P104" s="99" t="e">
        <f t="shared" si="35"/>
        <v>#REF!</v>
      </c>
      <c r="Q104" s="99" t="e">
        <f t="shared" si="35"/>
        <v>#REF!</v>
      </c>
      <c r="R104" s="99" t="e">
        <f t="shared" si="35"/>
        <v>#REF!</v>
      </c>
      <c r="S104" s="99" t="e">
        <f t="shared" si="35"/>
        <v>#REF!</v>
      </c>
      <c r="T104" s="99" t="e">
        <f t="shared" si="35"/>
        <v>#REF!</v>
      </c>
      <c r="U104" s="99" t="e">
        <f t="shared" si="35"/>
        <v>#REF!</v>
      </c>
      <c r="V104" s="99" t="e">
        <f t="shared" si="35"/>
        <v>#REF!</v>
      </c>
      <c r="W104" s="99" t="e">
        <f t="shared" si="35"/>
        <v>#REF!</v>
      </c>
      <c r="X104" s="99" t="e">
        <f t="shared" si="35"/>
        <v>#REF!</v>
      </c>
      <c r="Y104" s="99" t="e">
        <f t="shared" si="35"/>
        <v>#REF!</v>
      </c>
      <c r="Z104" s="99" t="e">
        <f t="shared" si="35"/>
        <v>#REF!</v>
      </c>
      <c r="AA104" s="99" t="e">
        <f t="shared" si="35"/>
        <v>#REF!</v>
      </c>
      <c r="AB104" s="99" t="e">
        <f t="shared" si="35"/>
        <v>#REF!</v>
      </c>
      <c r="AC104" s="99" t="e">
        <f t="shared" si="35"/>
        <v>#REF!</v>
      </c>
      <c r="AD104" s="99" t="e">
        <f t="shared" si="35"/>
        <v>#REF!</v>
      </c>
      <c r="AE104" s="99" t="e">
        <f t="shared" si="35"/>
        <v>#REF!</v>
      </c>
      <c r="AF104" s="99" t="e">
        <f t="shared" si="35"/>
        <v>#REF!</v>
      </c>
      <c r="AG104" s="99" t="e">
        <f t="shared" si="35"/>
        <v>#REF!</v>
      </c>
      <c r="AH104" s="99" t="e">
        <f t="shared" si="35"/>
        <v>#REF!</v>
      </c>
      <c r="AI104" s="99" t="e">
        <f t="shared" si="35"/>
        <v>#REF!</v>
      </c>
      <c r="AJ104" s="99" t="e">
        <f t="shared" si="35"/>
        <v>#REF!</v>
      </c>
      <c r="AK104" s="99" t="e">
        <f t="shared" si="34"/>
        <v>#REF!</v>
      </c>
      <c r="AL104" s="99" t="e">
        <f t="shared" si="34"/>
        <v>#REF!</v>
      </c>
      <c r="AM104" s="99" t="e">
        <f t="shared" si="34"/>
        <v>#REF!</v>
      </c>
      <c r="AN104" s="99" t="e">
        <f t="shared" si="34"/>
        <v>#REF!</v>
      </c>
      <c r="AO104" s="99" t="e">
        <f t="shared" si="34"/>
        <v>#REF!</v>
      </c>
      <c r="AP104" s="99" t="e">
        <f t="shared" si="34"/>
        <v>#REF!</v>
      </c>
      <c r="AQ104" s="99" t="e">
        <f t="shared" si="34"/>
        <v>#REF!</v>
      </c>
      <c r="AR104" s="99" t="e">
        <f t="shared" si="34"/>
        <v>#REF!</v>
      </c>
      <c r="AS104" s="99" t="e">
        <f t="shared" si="34"/>
        <v>#REF!</v>
      </c>
      <c r="AT104" s="99" t="e">
        <f t="shared" si="34"/>
        <v>#REF!</v>
      </c>
      <c r="AU104" s="99" t="e">
        <f t="shared" si="34"/>
        <v>#REF!</v>
      </c>
      <c r="AV104" s="99" t="e">
        <f t="shared" si="34"/>
        <v>#REF!</v>
      </c>
      <c r="AW104" s="99" t="e">
        <f t="shared" si="34"/>
        <v>#REF!</v>
      </c>
      <c r="AX104" s="99" t="e">
        <f t="shared" si="34"/>
        <v>#REF!</v>
      </c>
      <c r="AY104" s="99" t="e">
        <f t="shared" si="34"/>
        <v>#REF!</v>
      </c>
      <c r="AZ104" s="99" t="e">
        <f t="shared" si="34"/>
        <v>#REF!</v>
      </c>
      <c r="BA104" s="99" t="e">
        <f t="shared" si="34"/>
        <v>#REF!</v>
      </c>
      <c r="BB104" s="99" t="e">
        <f t="shared" si="34"/>
        <v>#REF!</v>
      </c>
      <c r="BC104" s="99" t="e">
        <f t="shared" si="34"/>
        <v>#REF!</v>
      </c>
      <c r="BD104" s="99" t="e">
        <f t="shared" si="34"/>
        <v>#REF!</v>
      </c>
      <c r="BE104" s="99" t="e">
        <f t="shared" si="34"/>
        <v>#REF!</v>
      </c>
      <c r="BF104" s="99" t="e">
        <f t="shared" si="34"/>
        <v>#REF!</v>
      </c>
      <c r="BG104" s="99" t="e">
        <f t="shared" si="34"/>
        <v>#REF!</v>
      </c>
      <c r="BH104" s="99" t="e">
        <f t="shared" si="34"/>
        <v>#REF!</v>
      </c>
      <c r="BI104" s="99" t="e">
        <f t="shared" si="34"/>
        <v>#REF!</v>
      </c>
      <c r="BJ104" s="99" t="e">
        <f t="shared" si="34"/>
        <v>#REF!</v>
      </c>
      <c r="BK104" s="99" t="e">
        <f t="shared" si="34"/>
        <v>#REF!</v>
      </c>
      <c r="BL104" s="99" t="e">
        <f t="shared" si="34"/>
        <v>#REF!</v>
      </c>
      <c r="BM104" s="99" t="e">
        <f t="shared" si="34"/>
        <v>#REF!</v>
      </c>
      <c r="BN104" s="99" t="e">
        <f t="shared" si="34"/>
        <v>#REF!</v>
      </c>
      <c r="BO104" s="99" t="e">
        <f t="shared" si="34"/>
        <v>#REF!</v>
      </c>
      <c r="BP104" s="99" t="e">
        <f t="shared" si="34"/>
        <v>#REF!</v>
      </c>
      <c r="BQ104" s="99" t="e">
        <f t="shared" si="34"/>
        <v>#REF!</v>
      </c>
      <c r="BR104" s="100"/>
      <c r="BS104" s="100"/>
      <c r="BT104" s="166" t="e">
        <f t="shared" si="34"/>
        <v>#REF!</v>
      </c>
    </row>
    <row r="105" spans="1:72" hidden="1" x14ac:dyDescent="0.2">
      <c r="A105" s="137" t="s">
        <v>215</v>
      </c>
      <c r="B105" s="129" t="s">
        <v>216</v>
      </c>
      <c r="C105" s="162"/>
      <c r="D105" s="165" t="s">
        <v>206</v>
      </c>
      <c r="E105" s="99">
        <f t="shared" ref="E105:BT105" si="36">E99-E101</f>
        <v>24</v>
      </c>
      <c r="F105" s="99">
        <f t="shared" si="36"/>
        <v>24</v>
      </c>
      <c r="G105" s="99">
        <f t="shared" si="36"/>
        <v>24</v>
      </c>
      <c r="H105" s="99"/>
      <c r="I105" s="99">
        <f t="shared" si="36"/>
        <v>24</v>
      </c>
      <c r="J105" s="99">
        <f t="shared" si="36"/>
        <v>24</v>
      </c>
      <c r="K105" s="99">
        <f t="shared" si="36"/>
        <v>24</v>
      </c>
      <c r="L105" s="99">
        <f t="shared" ref="L105:AJ105" si="37">L99-L101</f>
        <v>24</v>
      </c>
      <c r="M105" s="99">
        <f t="shared" si="37"/>
        <v>24</v>
      </c>
      <c r="N105" s="99">
        <f t="shared" si="37"/>
        <v>24</v>
      </c>
      <c r="O105" s="99">
        <f t="shared" si="37"/>
        <v>24</v>
      </c>
      <c r="P105" s="99">
        <f t="shared" si="37"/>
        <v>24</v>
      </c>
      <c r="Q105" s="99">
        <f t="shared" si="37"/>
        <v>24</v>
      </c>
      <c r="R105" s="99">
        <f t="shared" si="37"/>
        <v>24</v>
      </c>
      <c r="S105" s="99">
        <f t="shared" si="37"/>
        <v>24</v>
      </c>
      <c r="T105" s="99">
        <f t="shared" si="37"/>
        <v>24</v>
      </c>
      <c r="U105" s="99">
        <f t="shared" si="37"/>
        <v>24</v>
      </c>
      <c r="V105" s="99">
        <f t="shared" si="37"/>
        <v>24</v>
      </c>
      <c r="W105" s="99">
        <f t="shared" si="37"/>
        <v>24</v>
      </c>
      <c r="X105" s="99">
        <f t="shared" si="37"/>
        <v>24</v>
      </c>
      <c r="Y105" s="99">
        <f t="shared" si="37"/>
        <v>24</v>
      </c>
      <c r="Z105" s="99">
        <f t="shared" si="37"/>
        <v>24</v>
      </c>
      <c r="AA105" s="99">
        <f t="shared" si="37"/>
        <v>24</v>
      </c>
      <c r="AB105" s="99">
        <f t="shared" si="37"/>
        <v>24</v>
      </c>
      <c r="AC105" s="99">
        <f t="shared" si="37"/>
        <v>24</v>
      </c>
      <c r="AD105" s="99">
        <f t="shared" si="37"/>
        <v>24</v>
      </c>
      <c r="AE105" s="99">
        <f t="shared" si="37"/>
        <v>24</v>
      </c>
      <c r="AF105" s="99">
        <f t="shared" si="37"/>
        <v>24</v>
      </c>
      <c r="AG105" s="99">
        <f t="shared" si="37"/>
        <v>24</v>
      </c>
      <c r="AH105" s="99">
        <f t="shared" si="37"/>
        <v>24</v>
      </c>
      <c r="AI105" s="99">
        <f t="shared" si="37"/>
        <v>24</v>
      </c>
      <c r="AJ105" s="99">
        <f t="shared" si="37"/>
        <v>24</v>
      </c>
      <c r="AK105" s="99">
        <f t="shared" si="36"/>
        <v>24</v>
      </c>
      <c r="AL105" s="99">
        <f t="shared" si="36"/>
        <v>24</v>
      </c>
      <c r="AM105" s="99">
        <f t="shared" si="36"/>
        <v>24</v>
      </c>
      <c r="AN105" s="99">
        <f t="shared" si="36"/>
        <v>24</v>
      </c>
      <c r="AO105" s="99">
        <f t="shared" si="36"/>
        <v>24</v>
      </c>
      <c r="AP105" s="99">
        <f t="shared" si="36"/>
        <v>24</v>
      </c>
      <c r="AQ105" s="99">
        <f t="shared" si="36"/>
        <v>24</v>
      </c>
      <c r="AR105" s="99">
        <f t="shared" si="36"/>
        <v>24</v>
      </c>
      <c r="AS105" s="99">
        <f t="shared" si="36"/>
        <v>24</v>
      </c>
      <c r="AT105" s="99">
        <f t="shared" si="36"/>
        <v>24</v>
      </c>
      <c r="AU105" s="99">
        <f t="shared" si="36"/>
        <v>24</v>
      </c>
      <c r="AV105" s="99">
        <f t="shared" si="36"/>
        <v>24</v>
      </c>
      <c r="AW105" s="99">
        <f t="shared" si="36"/>
        <v>24</v>
      </c>
      <c r="AX105" s="99">
        <f t="shared" si="36"/>
        <v>24</v>
      </c>
      <c r="AY105" s="99">
        <f t="shared" si="36"/>
        <v>24</v>
      </c>
      <c r="AZ105" s="99">
        <f t="shared" si="36"/>
        <v>24</v>
      </c>
      <c r="BA105" s="99">
        <f t="shared" si="36"/>
        <v>24</v>
      </c>
      <c r="BB105" s="99">
        <f t="shared" si="36"/>
        <v>24</v>
      </c>
      <c r="BC105" s="99">
        <f t="shared" si="36"/>
        <v>24</v>
      </c>
      <c r="BD105" s="99">
        <f t="shared" si="36"/>
        <v>24</v>
      </c>
      <c r="BE105" s="99">
        <f t="shared" si="36"/>
        <v>24</v>
      </c>
      <c r="BF105" s="99">
        <f t="shared" si="36"/>
        <v>24</v>
      </c>
      <c r="BG105" s="99">
        <f t="shared" si="36"/>
        <v>24</v>
      </c>
      <c r="BH105" s="99">
        <f t="shared" si="36"/>
        <v>24</v>
      </c>
      <c r="BI105" s="99">
        <f t="shared" si="36"/>
        <v>24</v>
      </c>
      <c r="BJ105" s="99">
        <f t="shared" si="36"/>
        <v>24</v>
      </c>
      <c r="BK105" s="99">
        <f t="shared" si="36"/>
        <v>24</v>
      </c>
      <c r="BL105" s="99">
        <f t="shared" si="36"/>
        <v>24</v>
      </c>
      <c r="BM105" s="99">
        <f t="shared" si="36"/>
        <v>24</v>
      </c>
      <c r="BN105" s="99">
        <f t="shared" si="36"/>
        <v>24</v>
      </c>
      <c r="BO105" s="99">
        <f t="shared" si="36"/>
        <v>24</v>
      </c>
      <c r="BP105" s="99">
        <f t="shared" si="36"/>
        <v>24</v>
      </c>
      <c r="BQ105" s="99">
        <f t="shared" si="36"/>
        <v>24</v>
      </c>
      <c r="BR105" s="100"/>
      <c r="BS105" s="100"/>
      <c r="BT105" s="166">
        <f t="shared" si="36"/>
        <v>864</v>
      </c>
    </row>
    <row r="106" spans="1:72" hidden="1" x14ac:dyDescent="0.2">
      <c r="A106" s="137" t="s">
        <v>217</v>
      </c>
      <c r="B106" s="129" t="s">
        <v>218</v>
      </c>
      <c r="C106" s="162"/>
      <c r="D106" s="165" t="s">
        <v>206</v>
      </c>
      <c r="E106" s="99">
        <f t="shared" ref="E106:BT106" si="38">E99-E100</f>
        <v>24</v>
      </c>
      <c r="F106" s="99">
        <f t="shared" si="38"/>
        <v>24</v>
      </c>
      <c r="G106" s="99">
        <f t="shared" si="38"/>
        <v>24</v>
      </c>
      <c r="H106" s="99"/>
      <c r="I106" s="99" t="e">
        <f t="shared" si="38"/>
        <v>#REF!</v>
      </c>
      <c r="J106" s="99" t="e">
        <f t="shared" si="38"/>
        <v>#REF!</v>
      </c>
      <c r="K106" s="99" t="e">
        <f t="shared" si="38"/>
        <v>#REF!</v>
      </c>
      <c r="L106" s="99" t="e">
        <f t="shared" ref="L106:AJ106" si="39">L99-L100</f>
        <v>#REF!</v>
      </c>
      <c r="M106" s="99" t="e">
        <f t="shared" si="39"/>
        <v>#REF!</v>
      </c>
      <c r="N106" s="99" t="e">
        <f t="shared" si="39"/>
        <v>#REF!</v>
      </c>
      <c r="O106" s="99" t="e">
        <f t="shared" si="39"/>
        <v>#REF!</v>
      </c>
      <c r="P106" s="99" t="e">
        <f t="shared" si="39"/>
        <v>#REF!</v>
      </c>
      <c r="Q106" s="99" t="e">
        <f t="shared" si="39"/>
        <v>#REF!</v>
      </c>
      <c r="R106" s="99" t="e">
        <f t="shared" si="39"/>
        <v>#REF!</v>
      </c>
      <c r="S106" s="99" t="e">
        <f t="shared" si="39"/>
        <v>#REF!</v>
      </c>
      <c r="T106" s="99" t="e">
        <f t="shared" si="39"/>
        <v>#REF!</v>
      </c>
      <c r="U106" s="99" t="e">
        <f t="shared" si="39"/>
        <v>#REF!</v>
      </c>
      <c r="V106" s="99" t="e">
        <f t="shared" si="39"/>
        <v>#REF!</v>
      </c>
      <c r="W106" s="99" t="e">
        <f t="shared" si="39"/>
        <v>#REF!</v>
      </c>
      <c r="X106" s="99" t="e">
        <f t="shared" si="39"/>
        <v>#REF!</v>
      </c>
      <c r="Y106" s="99" t="e">
        <f t="shared" si="39"/>
        <v>#REF!</v>
      </c>
      <c r="Z106" s="99" t="e">
        <f t="shared" si="39"/>
        <v>#REF!</v>
      </c>
      <c r="AA106" s="99" t="e">
        <f t="shared" si="39"/>
        <v>#REF!</v>
      </c>
      <c r="AB106" s="99" t="e">
        <f t="shared" si="39"/>
        <v>#REF!</v>
      </c>
      <c r="AC106" s="99" t="e">
        <f t="shared" si="39"/>
        <v>#REF!</v>
      </c>
      <c r="AD106" s="99" t="e">
        <f t="shared" si="39"/>
        <v>#REF!</v>
      </c>
      <c r="AE106" s="99" t="e">
        <f t="shared" si="39"/>
        <v>#REF!</v>
      </c>
      <c r="AF106" s="99" t="e">
        <f t="shared" si="39"/>
        <v>#REF!</v>
      </c>
      <c r="AG106" s="99" t="e">
        <f t="shared" si="39"/>
        <v>#REF!</v>
      </c>
      <c r="AH106" s="99" t="e">
        <f t="shared" si="39"/>
        <v>#REF!</v>
      </c>
      <c r="AI106" s="99" t="e">
        <f t="shared" si="39"/>
        <v>#REF!</v>
      </c>
      <c r="AJ106" s="99" t="e">
        <f t="shared" si="39"/>
        <v>#REF!</v>
      </c>
      <c r="AK106" s="99" t="e">
        <f t="shared" si="38"/>
        <v>#REF!</v>
      </c>
      <c r="AL106" s="99" t="e">
        <f t="shared" si="38"/>
        <v>#REF!</v>
      </c>
      <c r="AM106" s="99" t="e">
        <f t="shared" si="38"/>
        <v>#REF!</v>
      </c>
      <c r="AN106" s="99" t="e">
        <f t="shared" si="38"/>
        <v>#REF!</v>
      </c>
      <c r="AO106" s="99" t="e">
        <f t="shared" si="38"/>
        <v>#REF!</v>
      </c>
      <c r="AP106" s="99" t="e">
        <f t="shared" si="38"/>
        <v>#REF!</v>
      </c>
      <c r="AQ106" s="99" t="e">
        <f t="shared" si="38"/>
        <v>#REF!</v>
      </c>
      <c r="AR106" s="99" t="e">
        <f t="shared" si="38"/>
        <v>#REF!</v>
      </c>
      <c r="AS106" s="99" t="e">
        <f t="shared" si="38"/>
        <v>#REF!</v>
      </c>
      <c r="AT106" s="99" t="e">
        <f t="shared" si="38"/>
        <v>#REF!</v>
      </c>
      <c r="AU106" s="99" t="e">
        <f t="shared" si="38"/>
        <v>#REF!</v>
      </c>
      <c r="AV106" s="99" t="e">
        <f t="shared" si="38"/>
        <v>#REF!</v>
      </c>
      <c r="AW106" s="99" t="e">
        <f t="shared" si="38"/>
        <v>#REF!</v>
      </c>
      <c r="AX106" s="99" t="e">
        <f t="shared" si="38"/>
        <v>#REF!</v>
      </c>
      <c r="AY106" s="99" t="e">
        <f t="shared" si="38"/>
        <v>#REF!</v>
      </c>
      <c r="AZ106" s="99" t="e">
        <f t="shared" si="38"/>
        <v>#REF!</v>
      </c>
      <c r="BA106" s="99" t="e">
        <f t="shared" si="38"/>
        <v>#REF!</v>
      </c>
      <c r="BB106" s="99" t="e">
        <f t="shared" si="38"/>
        <v>#REF!</v>
      </c>
      <c r="BC106" s="99" t="e">
        <f t="shared" si="38"/>
        <v>#REF!</v>
      </c>
      <c r="BD106" s="99" t="e">
        <f t="shared" si="38"/>
        <v>#REF!</v>
      </c>
      <c r="BE106" s="99" t="e">
        <f t="shared" si="38"/>
        <v>#REF!</v>
      </c>
      <c r="BF106" s="99" t="e">
        <f t="shared" si="38"/>
        <v>#REF!</v>
      </c>
      <c r="BG106" s="99" t="e">
        <f t="shared" si="38"/>
        <v>#REF!</v>
      </c>
      <c r="BH106" s="99" t="e">
        <f t="shared" si="38"/>
        <v>#REF!</v>
      </c>
      <c r="BI106" s="99">
        <f t="shared" si="38"/>
        <v>22</v>
      </c>
      <c r="BJ106" s="99">
        <f t="shared" si="38"/>
        <v>22</v>
      </c>
      <c r="BK106" s="99">
        <f t="shared" si="38"/>
        <v>22</v>
      </c>
      <c r="BL106" s="99">
        <f t="shared" si="38"/>
        <v>22</v>
      </c>
      <c r="BM106" s="99">
        <f t="shared" si="38"/>
        <v>22</v>
      </c>
      <c r="BN106" s="99">
        <f t="shared" si="38"/>
        <v>22</v>
      </c>
      <c r="BO106" s="99">
        <f t="shared" si="38"/>
        <v>22</v>
      </c>
      <c r="BP106" s="99">
        <f t="shared" si="38"/>
        <v>22</v>
      </c>
      <c r="BQ106" s="99">
        <f t="shared" si="38"/>
        <v>22</v>
      </c>
      <c r="BR106" s="100"/>
      <c r="BS106" s="100"/>
      <c r="BT106" s="166" t="e">
        <f t="shared" si="38"/>
        <v>#REF!</v>
      </c>
    </row>
    <row r="107" spans="1:72" hidden="1" x14ac:dyDescent="0.2">
      <c r="A107" s="137" t="s">
        <v>219</v>
      </c>
      <c r="B107" s="129" t="s">
        <v>220</v>
      </c>
      <c r="C107" s="162"/>
      <c r="D107" s="165"/>
      <c r="E107" s="99">
        <f t="shared" ref="E107:BT107" si="40">E106/E105</f>
        <v>1</v>
      </c>
      <c r="F107" s="99">
        <f t="shared" si="40"/>
        <v>1</v>
      </c>
      <c r="G107" s="99">
        <f t="shared" si="40"/>
        <v>1</v>
      </c>
      <c r="H107" s="99"/>
      <c r="I107" s="99" t="e">
        <f t="shared" si="40"/>
        <v>#REF!</v>
      </c>
      <c r="J107" s="99" t="e">
        <f t="shared" si="40"/>
        <v>#REF!</v>
      </c>
      <c r="K107" s="99" t="e">
        <f t="shared" si="40"/>
        <v>#REF!</v>
      </c>
      <c r="L107" s="99" t="e">
        <f t="shared" ref="L107:AJ107" si="41">L106/L105</f>
        <v>#REF!</v>
      </c>
      <c r="M107" s="99" t="e">
        <f t="shared" si="41"/>
        <v>#REF!</v>
      </c>
      <c r="N107" s="99" t="e">
        <f t="shared" si="41"/>
        <v>#REF!</v>
      </c>
      <c r="O107" s="99" t="e">
        <f t="shared" si="41"/>
        <v>#REF!</v>
      </c>
      <c r="P107" s="99" t="e">
        <f t="shared" si="41"/>
        <v>#REF!</v>
      </c>
      <c r="Q107" s="99" t="e">
        <f t="shared" si="41"/>
        <v>#REF!</v>
      </c>
      <c r="R107" s="99" t="e">
        <f t="shared" si="41"/>
        <v>#REF!</v>
      </c>
      <c r="S107" s="99" t="e">
        <f t="shared" si="41"/>
        <v>#REF!</v>
      </c>
      <c r="T107" s="99" t="e">
        <f t="shared" si="41"/>
        <v>#REF!</v>
      </c>
      <c r="U107" s="99" t="e">
        <f t="shared" si="41"/>
        <v>#REF!</v>
      </c>
      <c r="V107" s="99" t="e">
        <f t="shared" si="41"/>
        <v>#REF!</v>
      </c>
      <c r="W107" s="99" t="e">
        <f t="shared" si="41"/>
        <v>#REF!</v>
      </c>
      <c r="X107" s="99" t="e">
        <f t="shared" si="41"/>
        <v>#REF!</v>
      </c>
      <c r="Y107" s="99" t="e">
        <f t="shared" si="41"/>
        <v>#REF!</v>
      </c>
      <c r="Z107" s="99" t="e">
        <f t="shared" si="41"/>
        <v>#REF!</v>
      </c>
      <c r="AA107" s="99" t="e">
        <f t="shared" si="41"/>
        <v>#REF!</v>
      </c>
      <c r="AB107" s="99" t="e">
        <f t="shared" si="41"/>
        <v>#REF!</v>
      </c>
      <c r="AC107" s="99" t="e">
        <f t="shared" si="41"/>
        <v>#REF!</v>
      </c>
      <c r="AD107" s="99" t="e">
        <f t="shared" si="41"/>
        <v>#REF!</v>
      </c>
      <c r="AE107" s="99" t="e">
        <f t="shared" si="41"/>
        <v>#REF!</v>
      </c>
      <c r="AF107" s="99" t="e">
        <f t="shared" si="41"/>
        <v>#REF!</v>
      </c>
      <c r="AG107" s="99" t="e">
        <f t="shared" si="41"/>
        <v>#REF!</v>
      </c>
      <c r="AH107" s="99" t="e">
        <f t="shared" si="41"/>
        <v>#REF!</v>
      </c>
      <c r="AI107" s="99" t="e">
        <f t="shared" si="41"/>
        <v>#REF!</v>
      </c>
      <c r="AJ107" s="99" t="e">
        <f t="shared" si="41"/>
        <v>#REF!</v>
      </c>
      <c r="AK107" s="99" t="e">
        <f t="shared" si="40"/>
        <v>#REF!</v>
      </c>
      <c r="AL107" s="99" t="e">
        <f t="shared" si="40"/>
        <v>#REF!</v>
      </c>
      <c r="AM107" s="99" t="e">
        <f t="shared" si="40"/>
        <v>#REF!</v>
      </c>
      <c r="AN107" s="99" t="e">
        <f t="shared" si="40"/>
        <v>#REF!</v>
      </c>
      <c r="AO107" s="99" t="e">
        <f t="shared" si="40"/>
        <v>#REF!</v>
      </c>
      <c r="AP107" s="99" t="e">
        <f t="shared" si="40"/>
        <v>#REF!</v>
      </c>
      <c r="AQ107" s="99" t="e">
        <f t="shared" si="40"/>
        <v>#REF!</v>
      </c>
      <c r="AR107" s="99" t="e">
        <f t="shared" si="40"/>
        <v>#REF!</v>
      </c>
      <c r="AS107" s="99" t="e">
        <f t="shared" si="40"/>
        <v>#REF!</v>
      </c>
      <c r="AT107" s="99" t="e">
        <f t="shared" si="40"/>
        <v>#REF!</v>
      </c>
      <c r="AU107" s="99" t="e">
        <f t="shared" si="40"/>
        <v>#REF!</v>
      </c>
      <c r="AV107" s="99" t="e">
        <f t="shared" si="40"/>
        <v>#REF!</v>
      </c>
      <c r="AW107" s="99" t="e">
        <f t="shared" si="40"/>
        <v>#REF!</v>
      </c>
      <c r="AX107" s="99" t="e">
        <f t="shared" si="40"/>
        <v>#REF!</v>
      </c>
      <c r="AY107" s="99" t="e">
        <f t="shared" si="40"/>
        <v>#REF!</v>
      </c>
      <c r="AZ107" s="99" t="e">
        <f t="shared" si="40"/>
        <v>#REF!</v>
      </c>
      <c r="BA107" s="99" t="e">
        <f t="shared" si="40"/>
        <v>#REF!</v>
      </c>
      <c r="BB107" s="99" t="e">
        <f t="shared" si="40"/>
        <v>#REF!</v>
      </c>
      <c r="BC107" s="99" t="e">
        <f t="shared" si="40"/>
        <v>#REF!</v>
      </c>
      <c r="BD107" s="99" t="e">
        <f t="shared" si="40"/>
        <v>#REF!</v>
      </c>
      <c r="BE107" s="99" t="e">
        <f t="shared" si="40"/>
        <v>#REF!</v>
      </c>
      <c r="BF107" s="99" t="e">
        <f t="shared" si="40"/>
        <v>#REF!</v>
      </c>
      <c r="BG107" s="99" t="e">
        <f t="shared" si="40"/>
        <v>#REF!</v>
      </c>
      <c r="BH107" s="99" t="e">
        <f t="shared" si="40"/>
        <v>#REF!</v>
      </c>
      <c r="BI107" s="99">
        <f t="shared" si="40"/>
        <v>0.91666666666666663</v>
      </c>
      <c r="BJ107" s="99">
        <f t="shared" si="40"/>
        <v>0.91666666666666663</v>
      </c>
      <c r="BK107" s="99">
        <f t="shared" si="40"/>
        <v>0.91666666666666663</v>
      </c>
      <c r="BL107" s="99">
        <f t="shared" si="40"/>
        <v>0.91666666666666663</v>
      </c>
      <c r="BM107" s="99">
        <f t="shared" si="40"/>
        <v>0.91666666666666663</v>
      </c>
      <c r="BN107" s="99">
        <f t="shared" si="40"/>
        <v>0.91666666666666663</v>
      </c>
      <c r="BO107" s="99">
        <f t="shared" si="40"/>
        <v>0.91666666666666663</v>
      </c>
      <c r="BP107" s="99">
        <f t="shared" si="40"/>
        <v>0.91666666666666663</v>
      </c>
      <c r="BQ107" s="99">
        <f t="shared" si="40"/>
        <v>0.91666666666666663</v>
      </c>
      <c r="BR107" s="100"/>
      <c r="BS107" s="100"/>
      <c r="BT107" s="166" t="e">
        <f t="shared" si="40"/>
        <v>#REF!</v>
      </c>
    </row>
    <row r="108" spans="1:72" hidden="1" x14ac:dyDescent="0.2">
      <c r="A108" s="137" t="s">
        <v>14</v>
      </c>
      <c r="B108" s="129" t="s">
        <v>221</v>
      </c>
      <c r="C108" s="162"/>
      <c r="D108" s="165"/>
      <c r="E108" s="99" t="e">
        <f t="shared" ref="E108:BT108" si="42">E104*E98/E106</f>
        <v>#DIV/0!</v>
      </c>
      <c r="F108" s="99" t="e">
        <f t="shared" si="42"/>
        <v>#DIV/0!</v>
      </c>
      <c r="G108" s="99" t="e">
        <f t="shared" si="42"/>
        <v>#DIV/0!</v>
      </c>
      <c r="H108" s="99"/>
      <c r="I108" s="99" t="e">
        <f t="shared" si="42"/>
        <v>#REF!</v>
      </c>
      <c r="J108" s="99" t="e">
        <f t="shared" si="42"/>
        <v>#REF!</v>
      </c>
      <c r="K108" s="99" t="e">
        <f t="shared" si="42"/>
        <v>#REF!</v>
      </c>
      <c r="L108" s="99" t="e">
        <f t="shared" ref="L108:AJ108" si="43">L104*L98/L106</f>
        <v>#REF!</v>
      </c>
      <c r="M108" s="99" t="e">
        <f t="shared" si="43"/>
        <v>#REF!</v>
      </c>
      <c r="N108" s="99" t="e">
        <f t="shared" si="43"/>
        <v>#REF!</v>
      </c>
      <c r="O108" s="99" t="e">
        <f t="shared" si="43"/>
        <v>#REF!</v>
      </c>
      <c r="P108" s="99" t="e">
        <f t="shared" si="43"/>
        <v>#REF!</v>
      </c>
      <c r="Q108" s="99" t="e">
        <f t="shared" si="43"/>
        <v>#REF!</v>
      </c>
      <c r="R108" s="99" t="e">
        <f t="shared" si="43"/>
        <v>#REF!</v>
      </c>
      <c r="S108" s="99" t="e">
        <f t="shared" si="43"/>
        <v>#REF!</v>
      </c>
      <c r="T108" s="99" t="e">
        <f t="shared" si="43"/>
        <v>#REF!</v>
      </c>
      <c r="U108" s="99" t="e">
        <f t="shared" si="43"/>
        <v>#REF!</v>
      </c>
      <c r="V108" s="99" t="e">
        <f t="shared" si="43"/>
        <v>#REF!</v>
      </c>
      <c r="W108" s="99" t="e">
        <f t="shared" si="43"/>
        <v>#REF!</v>
      </c>
      <c r="X108" s="99" t="e">
        <f t="shared" si="43"/>
        <v>#REF!</v>
      </c>
      <c r="Y108" s="99" t="e">
        <f t="shared" si="43"/>
        <v>#REF!</v>
      </c>
      <c r="Z108" s="99" t="e">
        <f t="shared" si="43"/>
        <v>#REF!</v>
      </c>
      <c r="AA108" s="99" t="e">
        <f t="shared" si="43"/>
        <v>#REF!</v>
      </c>
      <c r="AB108" s="99" t="e">
        <f t="shared" si="43"/>
        <v>#REF!</v>
      </c>
      <c r="AC108" s="99" t="e">
        <f t="shared" si="43"/>
        <v>#REF!</v>
      </c>
      <c r="AD108" s="99" t="e">
        <f t="shared" si="43"/>
        <v>#REF!</v>
      </c>
      <c r="AE108" s="99" t="e">
        <f t="shared" si="43"/>
        <v>#REF!</v>
      </c>
      <c r="AF108" s="99" t="e">
        <f t="shared" si="43"/>
        <v>#REF!</v>
      </c>
      <c r="AG108" s="99" t="e">
        <f t="shared" si="43"/>
        <v>#REF!</v>
      </c>
      <c r="AH108" s="99" t="e">
        <f t="shared" si="43"/>
        <v>#REF!</v>
      </c>
      <c r="AI108" s="99" t="e">
        <f t="shared" si="43"/>
        <v>#REF!</v>
      </c>
      <c r="AJ108" s="99" t="e">
        <f t="shared" si="43"/>
        <v>#REF!</v>
      </c>
      <c r="AK108" s="99" t="e">
        <f t="shared" si="42"/>
        <v>#REF!</v>
      </c>
      <c r="AL108" s="99" t="e">
        <f t="shared" si="42"/>
        <v>#REF!</v>
      </c>
      <c r="AM108" s="99" t="e">
        <f t="shared" si="42"/>
        <v>#REF!</v>
      </c>
      <c r="AN108" s="99" t="e">
        <f t="shared" si="42"/>
        <v>#REF!</v>
      </c>
      <c r="AO108" s="99" t="e">
        <f t="shared" si="42"/>
        <v>#REF!</v>
      </c>
      <c r="AP108" s="99" t="e">
        <f t="shared" si="42"/>
        <v>#REF!</v>
      </c>
      <c r="AQ108" s="99" t="e">
        <f t="shared" si="42"/>
        <v>#REF!</v>
      </c>
      <c r="AR108" s="99" t="e">
        <f t="shared" si="42"/>
        <v>#REF!</v>
      </c>
      <c r="AS108" s="99" t="e">
        <f t="shared" si="42"/>
        <v>#REF!</v>
      </c>
      <c r="AT108" s="99" t="e">
        <f t="shared" si="42"/>
        <v>#REF!</v>
      </c>
      <c r="AU108" s="99" t="e">
        <f t="shared" si="42"/>
        <v>#REF!</v>
      </c>
      <c r="AV108" s="99" t="e">
        <f t="shared" si="42"/>
        <v>#REF!</v>
      </c>
      <c r="AW108" s="99" t="e">
        <f t="shared" si="42"/>
        <v>#REF!</v>
      </c>
      <c r="AX108" s="99" t="e">
        <f t="shared" si="42"/>
        <v>#REF!</v>
      </c>
      <c r="AY108" s="99" t="e">
        <f t="shared" si="42"/>
        <v>#REF!</v>
      </c>
      <c r="AZ108" s="99" t="e">
        <f t="shared" si="42"/>
        <v>#REF!</v>
      </c>
      <c r="BA108" s="99" t="e">
        <f t="shared" si="42"/>
        <v>#REF!</v>
      </c>
      <c r="BB108" s="99" t="e">
        <f t="shared" si="42"/>
        <v>#REF!</v>
      </c>
      <c r="BC108" s="99" t="e">
        <f t="shared" si="42"/>
        <v>#REF!</v>
      </c>
      <c r="BD108" s="99" t="e">
        <f t="shared" si="42"/>
        <v>#REF!</v>
      </c>
      <c r="BE108" s="99" t="e">
        <f t="shared" si="42"/>
        <v>#REF!</v>
      </c>
      <c r="BF108" s="99" t="e">
        <f t="shared" si="42"/>
        <v>#REF!</v>
      </c>
      <c r="BG108" s="99" t="e">
        <f t="shared" si="42"/>
        <v>#REF!</v>
      </c>
      <c r="BH108" s="99" t="e">
        <f t="shared" si="42"/>
        <v>#REF!</v>
      </c>
      <c r="BI108" s="99" t="e">
        <f t="shared" si="42"/>
        <v>#REF!</v>
      </c>
      <c r="BJ108" s="99" t="e">
        <f t="shared" si="42"/>
        <v>#REF!</v>
      </c>
      <c r="BK108" s="99" t="e">
        <f t="shared" si="42"/>
        <v>#REF!</v>
      </c>
      <c r="BL108" s="99" t="e">
        <f t="shared" si="42"/>
        <v>#REF!</v>
      </c>
      <c r="BM108" s="99" t="e">
        <f t="shared" si="42"/>
        <v>#REF!</v>
      </c>
      <c r="BN108" s="99" t="e">
        <f t="shared" si="42"/>
        <v>#REF!</v>
      </c>
      <c r="BO108" s="99" t="e">
        <f t="shared" si="42"/>
        <v>#REF!</v>
      </c>
      <c r="BP108" s="99" t="e">
        <f t="shared" si="42"/>
        <v>#REF!</v>
      </c>
      <c r="BQ108" s="99" t="e">
        <f t="shared" si="42"/>
        <v>#REF!</v>
      </c>
      <c r="BR108" s="100"/>
      <c r="BS108" s="100"/>
      <c r="BT108" s="166" t="e">
        <f t="shared" si="42"/>
        <v>#REF!</v>
      </c>
    </row>
    <row r="109" spans="1:72" ht="21" hidden="1" thickBot="1" x14ac:dyDescent="0.25">
      <c r="A109" s="167"/>
      <c r="B109" s="145" t="s">
        <v>222</v>
      </c>
      <c r="C109" s="146"/>
      <c r="D109" s="147" t="s">
        <v>173</v>
      </c>
      <c r="E109" s="168" t="e">
        <f t="shared" ref="E109:BT109" si="44">E108*E107*100</f>
        <v>#DIV/0!</v>
      </c>
      <c r="F109" s="168" t="e">
        <f t="shared" si="44"/>
        <v>#DIV/0!</v>
      </c>
      <c r="G109" s="168" t="e">
        <f t="shared" si="44"/>
        <v>#DIV/0!</v>
      </c>
      <c r="H109" s="168">
        <f t="shared" si="44"/>
        <v>0</v>
      </c>
      <c r="I109" s="168" t="e">
        <f t="shared" si="44"/>
        <v>#REF!</v>
      </c>
      <c r="J109" s="168" t="e">
        <f t="shared" si="44"/>
        <v>#REF!</v>
      </c>
      <c r="K109" s="168" t="e">
        <f t="shared" si="44"/>
        <v>#REF!</v>
      </c>
      <c r="L109" s="168" t="e">
        <f t="shared" ref="L109:AJ109" si="45">L108*L107*100</f>
        <v>#REF!</v>
      </c>
      <c r="M109" s="168" t="e">
        <f t="shared" si="45"/>
        <v>#REF!</v>
      </c>
      <c r="N109" s="168" t="e">
        <f t="shared" si="45"/>
        <v>#REF!</v>
      </c>
      <c r="O109" s="168" t="e">
        <f t="shared" si="45"/>
        <v>#REF!</v>
      </c>
      <c r="P109" s="168" t="e">
        <f t="shared" si="45"/>
        <v>#REF!</v>
      </c>
      <c r="Q109" s="168" t="e">
        <f t="shared" si="45"/>
        <v>#REF!</v>
      </c>
      <c r="R109" s="168" t="e">
        <f t="shared" si="45"/>
        <v>#REF!</v>
      </c>
      <c r="S109" s="168" t="e">
        <f t="shared" si="45"/>
        <v>#REF!</v>
      </c>
      <c r="T109" s="168" t="e">
        <f t="shared" si="45"/>
        <v>#REF!</v>
      </c>
      <c r="U109" s="168" t="e">
        <f t="shared" si="45"/>
        <v>#REF!</v>
      </c>
      <c r="V109" s="168" t="e">
        <f t="shared" si="45"/>
        <v>#REF!</v>
      </c>
      <c r="W109" s="168" t="e">
        <f t="shared" si="45"/>
        <v>#REF!</v>
      </c>
      <c r="X109" s="168" t="e">
        <f t="shared" si="45"/>
        <v>#REF!</v>
      </c>
      <c r="Y109" s="168" t="e">
        <f t="shared" si="45"/>
        <v>#REF!</v>
      </c>
      <c r="Z109" s="168" t="e">
        <f t="shared" si="45"/>
        <v>#REF!</v>
      </c>
      <c r="AA109" s="168" t="e">
        <f t="shared" si="45"/>
        <v>#REF!</v>
      </c>
      <c r="AB109" s="168" t="e">
        <f t="shared" si="45"/>
        <v>#REF!</v>
      </c>
      <c r="AC109" s="168" t="e">
        <f t="shared" si="45"/>
        <v>#REF!</v>
      </c>
      <c r="AD109" s="168" t="e">
        <f t="shared" si="45"/>
        <v>#REF!</v>
      </c>
      <c r="AE109" s="168" t="e">
        <f t="shared" si="45"/>
        <v>#REF!</v>
      </c>
      <c r="AF109" s="168" t="e">
        <f t="shared" si="45"/>
        <v>#REF!</v>
      </c>
      <c r="AG109" s="168" t="e">
        <f t="shared" si="45"/>
        <v>#REF!</v>
      </c>
      <c r="AH109" s="168" t="e">
        <f t="shared" si="45"/>
        <v>#REF!</v>
      </c>
      <c r="AI109" s="168" t="e">
        <f t="shared" si="45"/>
        <v>#REF!</v>
      </c>
      <c r="AJ109" s="168" t="e">
        <f t="shared" si="45"/>
        <v>#REF!</v>
      </c>
      <c r="AK109" s="168" t="e">
        <f t="shared" si="44"/>
        <v>#REF!</v>
      </c>
      <c r="AL109" s="168" t="e">
        <f t="shared" si="44"/>
        <v>#REF!</v>
      </c>
      <c r="AM109" s="168" t="e">
        <f t="shared" si="44"/>
        <v>#REF!</v>
      </c>
      <c r="AN109" s="168" t="e">
        <f t="shared" si="44"/>
        <v>#REF!</v>
      </c>
      <c r="AO109" s="168" t="e">
        <f t="shared" si="44"/>
        <v>#REF!</v>
      </c>
      <c r="AP109" s="168" t="e">
        <f t="shared" si="44"/>
        <v>#REF!</v>
      </c>
      <c r="AQ109" s="168" t="e">
        <f t="shared" si="44"/>
        <v>#REF!</v>
      </c>
      <c r="AR109" s="168" t="e">
        <f t="shared" si="44"/>
        <v>#REF!</v>
      </c>
      <c r="AS109" s="168" t="e">
        <f t="shared" si="44"/>
        <v>#REF!</v>
      </c>
      <c r="AT109" s="168" t="e">
        <f t="shared" si="44"/>
        <v>#REF!</v>
      </c>
      <c r="AU109" s="168" t="e">
        <f t="shared" si="44"/>
        <v>#REF!</v>
      </c>
      <c r="AV109" s="168" t="e">
        <f t="shared" si="44"/>
        <v>#REF!</v>
      </c>
      <c r="AW109" s="168" t="e">
        <f t="shared" si="44"/>
        <v>#REF!</v>
      </c>
      <c r="AX109" s="168" t="e">
        <f t="shared" si="44"/>
        <v>#REF!</v>
      </c>
      <c r="AY109" s="168" t="e">
        <f t="shared" si="44"/>
        <v>#REF!</v>
      </c>
      <c r="AZ109" s="168" t="e">
        <f t="shared" si="44"/>
        <v>#REF!</v>
      </c>
      <c r="BA109" s="168" t="e">
        <f t="shared" si="44"/>
        <v>#REF!</v>
      </c>
      <c r="BB109" s="168" t="e">
        <f t="shared" si="44"/>
        <v>#REF!</v>
      </c>
      <c r="BC109" s="168" t="e">
        <f t="shared" si="44"/>
        <v>#REF!</v>
      </c>
      <c r="BD109" s="168" t="e">
        <f t="shared" si="44"/>
        <v>#REF!</v>
      </c>
      <c r="BE109" s="168" t="e">
        <f t="shared" si="44"/>
        <v>#REF!</v>
      </c>
      <c r="BF109" s="168" t="e">
        <f t="shared" si="44"/>
        <v>#REF!</v>
      </c>
      <c r="BG109" s="168" t="e">
        <f t="shared" si="44"/>
        <v>#REF!</v>
      </c>
      <c r="BH109" s="168" t="e">
        <f t="shared" si="44"/>
        <v>#REF!</v>
      </c>
      <c r="BI109" s="168" t="e">
        <f t="shared" si="44"/>
        <v>#REF!</v>
      </c>
      <c r="BJ109" s="168" t="e">
        <f t="shared" si="44"/>
        <v>#REF!</v>
      </c>
      <c r="BK109" s="168" t="e">
        <f t="shared" si="44"/>
        <v>#REF!</v>
      </c>
      <c r="BL109" s="168" t="e">
        <f t="shared" si="44"/>
        <v>#REF!</v>
      </c>
      <c r="BM109" s="168" t="e">
        <f t="shared" si="44"/>
        <v>#REF!</v>
      </c>
      <c r="BN109" s="168" t="e">
        <f t="shared" si="44"/>
        <v>#REF!</v>
      </c>
      <c r="BO109" s="168" t="e">
        <f t="shared" si="44"/>
        <v>#REF!</v>
      </c>
      <c r="BP109" s="168" t="e">
        <f t="shared" si="44"/>
        <v>#REF!</v>
      </c>
      <c r="BQ109" s="168" t="e">
        <f t="shared" si="44"/>
        <v>#REF!</v>
      </c>
      <c r="BR109" s="169"/>
      <c r="BS109" s="169"/>
      <c r="BT109" s="150" t="e">
        <f t="shared" si="44"/>
        <v>#REF!</v>
      </c>
    </row>
    <row r="110" spans="1:72" x14ac:dyDescent="0.2">
      <c r="A110" s="152"/>
      <c r="B110" s="152"/>
      <c r="C110" s="153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70"/>
      <c r="AS110" s="170"/>
      <c r="AT110" s="170"/>
      <c r="AU110" s="170"/>
      <c r="AV110" s="170"/>
      <c r="AW110" s="170"/>
      <c r="AX110" s="170"/>
      <c r="AY110" s="170"/>
      <c r="AZ110" s="170"/>
      <c r="BA110" s="170"/>
      <c r="BB110" s="170"/>
      <c r="BC110" s="170"/>
      <c r="BD110" s="170"/>
      <c r="BE110" s="170"/>
      <c r="BF110" s="170"/>
      <c r="BG110" s="170"/>
      <c r="BH110" s="170"/>
      <c r="BI110" s="170"/>
      <c r="BJ110" s="170"/>
      <c r="BK110" s="170"/>
      <c r="BL110" s="170"/>
      <c r="BM110" s="170"/>
      <c r="BN110" s="170"/>
      <c r="BO110" s="170"/>
      <c r="BP110" s="170"/>
      <c r="BQ110" s="170"/>
      <c r="BR110" s="170"/>
      <c r="BS110" s="170"/>
      <c r="BT110" s="152"/>
    </row>
    <row r="111" spans="1:72" x14ac:dyDescent="0.2">
      <c r="A111" s="152"/>
      <c r="B111" s="152"/>
      <c r="C111" s="153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70"/>
      <c r="AS111" s="170"/>
      <c r="AT111" s="170"/>
      <c r="AU111" s="170"/>
      <c r="AV111" s="170"/>
      <c r="AW111" s="170"/>
      <c r="AX111" s="170"/>
      <c r="AY111" s="170"/>
      <c r="AZ111" s="170"/>
      <c r="BA111" s="170"/>
      <c r="BB111" s="170"/>
      <c r="BC111" s="170"/>
      <c r="BD111" s="170"/>
      <c r="BE111" s="170"/>
      <c r="BF111" s="170"/>
      <c r="BG111" s="170"/>
      <c r="BH111" s="170"/>
      <c r="BI111" s="170"/>
      <c r="BJ111" s="170"/>
      <c r="BK111" s="170"/>
      <c r="BL111" s="170"/>
      <c r="BM111" s="170"/>
      <c r="BN111" s="170"/>
      <c r="BO111" s="170"/>
      <c r="BP111" s="170"/>
      <c r="BQ111" s="170"/>
      <c r="BR111" s="170"/>
      <c r="BS111" s="170"/>
      <c r="BT111" s="152"/>
    </row>
    <row r="112" spans="1:72" ht="26.25" customHeight="1" x14ac:dyDescent="0.2">
      <c r="A112" s="152"/>
      <c r="B112" s="152"/>
      <c r="C112" s="153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2"/>
      <c r="BL112" s="152"/>
      <c r="BM112" s="152"/>
      <c r="BN112" s="152"/>
      <c r="BO112" s="152"/>
      <c r="BP112" s="152"/>
      <c r="BQ112" s="152"/>
      <c r="BR112" s="152"/>
      <c r="BS112" s="152"/>
      <c r="BT112" s="170"/>
    </row>
    <row r="113" spans="1:72" ht="15.75" customHeight="1" x14ac:dyDescent="0.2">
      <c r="A113" s="152"/>
      <c r="B113" s="152"/>
      <c r="C113" s="153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2"/>
      <c r="BL113" s="152"/>
      <c r="BM113" s="152"/>
      <c r="BN113" s="152"/>
      <c r="BO113" s="152"/>
      <c r="BP113" s="152"/>
      <c r="BQ113" s="152"/>
      <c r="BR113" s="152"/>
      <c r="BS113" s="152"/>
      <c r="BT113" s="170"/>
    </row>
    <row r="114" spans="1:72" x14ac:dyDescent="0.2">
      <c r="A114" s="152"/>
      <c r="B114" s="152"/>
      <c r="C114" s="153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2"/>
      <c r="BL114" s="152"/>
      <c r="BM114" s="152"/>
      <c r="BN114" s="152"/>
      <c r="BO114" s="152"/>
      <c r="BP114" s="152"/>
      <c r="BQ114" s="152"/>
      <c r="BR114" s="152"/>
      <c r="BS114" s="152"/>
      <c r="BT114" s="170"/>
    </row>
    <row r="115" spans="1:72" x14ac:dyDescent="0.2">
      <c r="A115" s="152"/>
      <c r="B115" s="152"/>
      <c r="C115" s="153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2"/>
      <c r="BL115" s="152"/>
      <c r="BM115" s="152"/>
      <c r="BN115" s="152"/>
      <c r="BO115" s="152"/>
      <c r="BP115" s="152"/>
      <c r="BQ115" s="152"/>
      <c r="BR115" s="152"/>
      <c r="BS115" s="152"/>
      <c r="BT115" s="170"/>
    </row>
    <row r="116" spans="1:72" x14ac:dyDescent="0.2">
      <c r="A116" s="152"/>
      <c r="B116" s="107" t="s">
        <v>150</v>
      </c>
      <c r="C116" s="162"/>
      <c r="D116" s="107" t="s">
        <v>16</v>
      </c>
      <c r="E116" s="129"/>
      <c r="F116" s="129"/>
      <c r="G116" s="129">
        <v>139.80000000000001</v>
      </c>
      <c r="H116" s="129">
        <v>142.9</v>
      </c>
      <c r="I116" s="129">
        <v>131.1</v>
      </c>
      <c r="J116" s="129">
        <v>124.4</v>
      </c>
      <c r="K116" s="129">
        <v>122.1</v>
      </c>
      <c r="L116" s="129">
        <v>122</v>
      </c>
      <c r="M116" s="129">
        <v>99.7</v>
      </c>
      <c r="N116" s="129">
        <v>132.6</v>
      </c>
      <c r="O116" s="129">
        <v>142</v>
      </c>
      <c r="P116" s="129">
        <v>139.6</v>
      </c>
      <c r="Q116" s="129">
        <v>139.6</v>
      </c>
      <c r="R116" s="129">
        <v>102.5</v>
      </c>
      <c r="S116" s="129">
        <v>81.2</v>
      </c>
      <c r="T116" s="129">
        <v>98.5</v>
      </c>
      <c r="U116" s="129">
        <v>108.3</v>
      </c>
      <c r="V116" s="129">
        <v>0.9</v>
      </c>
      <c r="W116" s="129">
        <v>113.2</v>
      </c>
      <c r="X116" s="129">
        <v>135</v>
      </c>
      <c r="Y116" s="129">
        <v>131.30000000000001</v>
      </c>
      <c r="Z116" s="129">
        <v>129.9</v>
      </c>
      <c r="AA116" s="129">
        <v>131.9</v>
      </c>
      <c r="AB116" s="129">
        <v>135.19999999999999</v>
      </c>
      <c r="AC116" s="129">
        <v>140.1</v>
      </c>
      <c r="AD116" s="129">
        <v>120</v>
      </c>
      <c r="AE116" s="129">
        <v>132.19999999999999</v>
      </c>
      <c r="AF116" s="129">
        <v>115.5</v>
      </c>
      <c r="AG116" s="129">
        <v>130.19999999999999</v>
      </c>
      <c r="AH116" s="129">
        <v>61.4</v>
      </c>
      <c r="AI116" s="129">
        <v>117.2</v>
      </c>
      <c r="AJ116" s="129">
        <v>125.3</v>
      </c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2"/>
      <c r="BL116" s="152"/>
      <c r="BM116" s="152"/>
      <c r="BN116" s="152"/>
      <c r="BO116" s="152"/>
      <c r="BP116" s="152"/>
      <c r="BQ116" s="152"/>
      <c r="BR116" s="152"/>
      <c r="BS116" s="152"/>
      <c r="BT116" s="170"/>
    </row>
    <row r="117" spans="1:72" x14ac:dyDescent="0.2">
      <c r="A117" s="152"/>
      <c r="B117" s="107" t="s">
        <v>281</v>
      </c>
      <c r="C117" s="162"/>
      <c r="D117" s="107" t="s">
        <v>287</v>
      </c>
      <c r="E117" s="129"/>
      <c r="F117" s="129"/>
      <c r="G117" s="129">
        <v>7741.2</v>
      </c>
      <c r="H117" s="129">
        <v>8334.4</v>
      </c>
      <c r="I117" s="129">
        <v>7491.1</v>
      </c>
      <c r="J117" s="129">
        <v>6850</v>
      </c>
      <c r="K117" s="129">
        <v>5667.1</v>
      </c>
      <c r="L117" s="129">
        <v>4854.6000000000004</v>
      </c>
      <c r="M117" s="129">
        <v>3678.4</v>
      </c>
      <c r="N117" s="129">
        <v>4466.3</v>
      </c>
      <c r="O117" s="129">
        <v>5470.7</v>
      </c>
      <c r="P117" s="129">
        <v>5865.2</v>
      </c>
      <c r="Q117" s="129">
        <v>7547.5</v>
      </c>
      <c r="R117" s="129">
        <v>4907.6000000000004</v>
      </c>
      <c r="S117" s="129">
        <v>3759.8</v>
      </c>
      <c r="T117" s="129">
        <v>4977.5</v>
      </c>
      <c r="U117" s="129">
        <v>4719.3</v>
      </c>
      <c r="V117" s="129">
        <v>0</v>
      </c>
      <c r="W117" s="129">
        <v>5112.8999999999996</v>
      </c>
      <c r="X117" s="129">
        <v>5497.3</v>
      </c>
      <c r="Y117" s="129">
        <v>5083.3</v>
      </c>
      <c r="Z117" s="129">
        <v>5214</v>
      </c>
      <c r="AA117" s="129">
        <v>5704.7</v>
      </c>
      <c r="AB117" s="129">
        <v>5717.8</v>
      </c>
      <c r="AC117" s="129">
        <v>5502.6</v>
      </c>
      <c r="AD117" s="129">
        <v>5068</v>
      </c>
      <c r="AE117" s="129">
        <v>5313.2</v>
      </c>
      <c r="AF117" s="129">
        <v>4991.8</v>
      </c>
      <c r="AG117" s="129">
        <v>6034.3</v>
      </c>
      <c r="AH117" s="129">
        <v>3903.1</v>
      </c>
      <c r="AI117" s="129">
        <v>5600.3</v>
      </c>
      <c r="AJ117" s="129">
        <v>6520.8</v>
      </c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2"/>
      <c r="BL117" s="152"/>
      <c r="BM117" s="152"/>
      <c r="BN117" s="152"/>
      <c r="BO117" s="152"/>
      <c r="BP117" s="152"/>
      <c r="BQ117" s="152"/>
      <c r="BR117" s="152"/>
      <c r="BS117" s="152"/>
      <c r="BT117" s="170"/>
    </row>
    <row r="118" spans="1:72" x14ac:dyDescent="0.2">
      <c r="A118" s="152"/>
      <c r="B118" s="107" t="s">
        <v>282</v>
      </c>
      <c r="C118" s="162"/>
      <c r="D118" s="107" t="s">
        <v>287</v>
      </c>
      <c r="E118" s="129"/>
      <c r="F118" s="129"/>
      <c r="G118" s="129">
        <v>0</v>
      </c>
      <c r="H118" s="129">
        <v>0</v>
      </c>
      <c r="I118" s="129">
        <v>0</v>
      </c>
      <c r="J118" s="129">
        <v>0</v>
      </c>
      <c r="K118" s="129">
        <v>0</v>
      </c>
      <c r="L118" s="129">
        <v>0</v>
      </c>
      <c r="M118" s="129">
        <v>0</v>
      </c>
      <c r="N118" s="129">
        <v>0</v>
      </c>
      <c r="O118" s="129">
        <v>0</v>
      </c>
      <c r="P118" s="129">
        <v>0</v>
      </c>
      <c r="Q118" s="129">
        <v>0</v>
      </c>
      <c r="R118" s="129">
        <v>0</v>
      </c>
      <c r="S118" s="129">
        <v>0</v>
      </c>
      <c r="T118" s="129">
        <v>0</v>
      </c>
      <c r="U118" s="129">
        <v>0</v>
      </c>
      <c r="V118" s="129">
        <v>0</v>
      </c>
      <c r="W118" s="129">
        <v>0</v>
      </c>
      <c r="X118" s="129">
        <v>0</v>
      </c>
      <c r="Y118" s="129">
        <v>0</v>
      </c>
      <c r="Z118" s="129">
        <v>0</v>
      </c>
      <c r="AA118" s="129">
        <v>0</v>
      </c>
      <c r="AB118" s="129">
        <v>4.9000000000000004</v>
      </c>
      <c r="AC118" s="129">
        <v>6.8</v>
      </c>
      <c r="AD118" s="129">
        <v>0</v>
      </c>
      <c r="AE118" s="129">
        <v>21.1</v>
      </c>
      <c r="AF118" s="129">
        <v>4.8</v>
      </c>
      <c r="AG118" s="129">
        <v>11.4</v>
      </c>
      <c r="AH118" s="129">
        <v>0</v>
      </c>
      <c r="AI118" s="129">
        <v>0</v>
      </c>
      <c r="AJ118" s="129">
        <v>0</v>
      </c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2"/>
      <c r="BL118" s="152"/>
      <c r="BM118" s="152"/>
      <c r="BN118" s="152"/>
      <c r="BO118" s="152"/>
      <c r="BP118" s="152"/>
      <c r="BQ118" s="152"/>
      <c r="BR118" s="152"/>
      <c r="BS118" s="152"/>
      <c r="BT118" s="170"/>
    </row>
    <row r="119" spans="1:72" x14ac:dyDescent="0.2">
      <c r="A119" s="152"/>
      <c r="B119" s="107" t="s">
        <v>283</v>
      </c>
      <c r="C119" s="162"/>
      <c r="D119" s="107" t="s">
        <v>153</v>
      </c>
      <c r="E119" s="129"/>
      <c r="F119" s="129"/>
      <c r="G119" s="129">
        <v>381</v>
      </c>
      <c r="H119" s="129">
        <v>356</v>
      </c>
      <c r="I119" s="129">
        <v>474</v>
      </c>
      <c r="J119" s="129">
        <v>465</v>
      </c>
      <c r="K119" s="129">
        <v>506</v>
      </c>
      <c r="L119" s="129">
        <v>400</v>
      </c>
      <c r="M119" s="129">
        <v>561</v>
      </c>
      <c r="N119" s="129">
        <v>419</v>
      </c>
      <c r="O119" s="129">
        <v>517</v>
      </c>
      <c r="P119" s="129">
        <v>485</v>
      </c>
      <c r="Q119" s="129">
        <v>437</v>
      </c>
      <c r="R119" s="129">
        <v>418</v>
      </c>
      <c r="S119" s="129">
        <v>319</v>
      </c>
      <c r="T119" s="129">
        <v>500</v>
      </c>
      <c r="U119" s="129">
        <v>415</v>
      </c>
      <c r="V119" s="129">
        <v>239</v>
      </c>
      <c r="W119" s="129">
        <v>477</v>
      </c>
      <c r="X119" s="129">
        <v>462</v>
      </c>
      <c r="Y119" s="129">
        <v>221</v>
      </c>
      <c r="Z119" s="129">
        <v>318</v>
      </c>
      <c r="AA119" s="129">
        <v>363</v>
      </c>
      <c r="AB119" s="129">
        <v>359</v>
      </c>
      <c r="AC119" s="129">
        <v>381</v>
      </c>
      <c r="AD119" s="129">
        <v>277</v>
      </c>
      <c r="AE119" s="129">
        <v>352</v>
      </c>
      <c r="AF119" s="129">
        <v>507</v>
      </c>
      <c r="AG119" s="129">
        <v>321</v>
      </c>
      <c r="AH119" s="129">
        <v>488</v>
      </c>
      <c r="AI119" s="129">
        <v>267</v>
      </c>
      <c r="AJ119" s="129">
        <v>394</v>
      </c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2"/>
      <c r="BL119" s="152"/>
      <c r="BM119" s="152"/>
      <c r="BN119" s="152"/>
      <c r="BO119" s="152"/>
      <c r="BP119" s="152"/>
      <c r="BQ119" s="152"/>
      <c r="BR119" s="152"/>
      <c r="BS119" s="152"/>
      <c r="BT119" s="170"/>
    </row>
    <row r="120" spans="1:72" x14ac:dyDescent="0.2">
      <c r="A120" s="152"/>
      <c r="B120" s="107" t="s">
        <v>284</v>
      </c>
      <c r="C120" s="162"/>
      <c r="D120" s="107" t="s">
        <v>153</v>
      </c>
      <c r="E120" s="129"/>
      <c r="F120" s="129"/>
      <c r="G120" s="129">
        <v>145</v>
      </c>
      <c r="H120" s="129">
        <v>144</v>
      </c>
      <c r="I120" s="129">
        <v>111</v>
      </c>
      <c r="J120" s="129">
        <v>103</v>
      </c>
      <c r="K120" s="129">
        <v>119</v>
      </c>
      <c r="L120" s="129">
        <v>157</v>
      </c>
      <c r="M120" s="129">
        <v>118</v>
      </c>
      <c r="N120" s="129">
        <v>156</v>
      </c>
      <c r="O120" s="129">
        <v>164</v>
      </c>
      <c r="P120" s="129">
        <v>158</v>
      </c>
      <c r="Q120" s="129">
        <v>131</v>
      </c>
      <c r="R120" s="129">
        <v>150</v>
      </c>
      <c r="S120" s="129">
        <v>141</v>
      </c>
      <c r="T120" s="129">
        <v>146</v>
      </c>
      <c r="U120" s="129">
        <v>142</v>
      </c>
      <c r="V120" s="129">
        <v>0</v>
      </c>
      <c r="W120" s="129">
        <v>69</v>
      </c>
      <c r="X120" s="129">
        <v>100</v>
      </c>
      <c r="Y120" s="129">
        <v>343</v>
      </c>
      <c r="Z120" s="129">
        <v>188</v>
      </c>
      <c r="AA120" s="129">
        <v>178</v>
      </c>
      <c r="AB120" s="129">
        <v>187</v>
      </c>
      <c r="AC120" s="129">
        <v>208</v>
      </c>
      <c r="AD120" s="129">
        <v>190</v>
      </c>
      <c r="AE120" s="129">
        <v>198</v>
      </c>
      <c r="AF120" s="129">
        <v>145</v>
      </c>
      <c r="AG120" s="129">
        <v>187</v>
      </c>
      <c r="AH120" s="129">
        <v>89</v>
      </c>
      <c r="AI120" s="129">
        <v>150</v>
      </c>
      <c r="AJ120" s="129">
        <v>164</v>
      </c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2"/>
      <c r="BL120" s="152"/>
      <c r="BM120" s="152"/>
      <c r="BN120" s="152"/>
      <c r="BO120" s="152"/>
      <c r="BP120" s="152"/>
      <c r="BQ120" s="152"/>
      <c r="BR120" s="152"/>
      <c r="BS120" s="152"/>
      <c r="BT120" s="170"/>
    </row>
    <row r="121" spans="1:72" x14ac:dyDescent="0.2">
      <c r="A121" s="152"/>
      <c r="B121" s="107" t="s">
        <v>285</v>
      </c>
      <c r="C121" s="162"/>
      <c r="D121" s="107" t="s">
        <v>101</v>
      </c>
      <c r="E121" s="129"/>
      <c r="F121" s="129"/>
      <c r="G121" s="129">
        <v>99427</v>
      </c>
      <c r="H121" s="129">
        <v>103216</v>
      </c>
      <c r="I121" s="129">
        <v>92764</v>
      </c>
      <c r="J121" s="129">
        <v>87159</v>
      </c>
      <c r="K121" s="129">
        <v>94364</v>
      </c>
      <c r="L121" s="129">
        <v>94919</v>
      </c>
      <c r="M121" s="129">
        <v>82080</v>
      </c>
      <c r="N121" s="129">
        <v>93070</v>
      </c>
      <c r="O121" s="129">
        <v>96806</v>
      </c>
      <c r="P121" s="129">
        <v>94764</v>
      </c>
      <c r="Q121" s="129">
        <v>97208</v>
      </c>
      <c r="R121" s="129">
        <v>83113</v>
      </c>
      <c r="S121" s="129">
        <v>70028</v>
      </c>
      <c r="T121" s="129">
        <v>85205</v>
      </c>
      <c r="U121" s="129">
        <v>88906</v>
      </c>
      <c r="V121" s="129">
        <v>11759</v>
      </c>
      <c r="W121" s="129">
        <v>68149</v>
      </c>
      <c r="X121" s="129">
        <v>92349</v>
      </c>
      <c r="Y121" s="129">
        <v>88066</v>
      </c>
      <c r="Z121" s="129">
        <v>89672</v>
      </c>
      <c r="AA121" s="129">
        <v>96780</v>
      </c>
      <c r="AB121" s="129">
        <v>92205</v>
      </c>
      <c r="AC121" s="129">
        <v>96725</v>
      </c>
      <c r="AD121" s="129">
        <v>87010</v>
      </c>
      <c r="AE121" s="129">
        <v>95951</v>
      </c>
      <c r="AF121" s="129">
        <v>94168</v>
      </c>
      <c r="AG121" s="129">
        <v>97307</v>
      </c>
      <c r="AH121" s="129">
        <v>54352</v>
      </c>
      <c r="AI121" s="129">
        <v>78679</v>
      </c>
      <c r="AJ121" s="129">
        <v>90236</v>
      </c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2"/>
      <c r="BL121" s="152"/>
      <c r="BM121" s="152"/>
      <c r="BN121" s="152"/>
      <c r="BO121" s="152"/>
      <c r="BP121" s="152"/>
      <c r="BQ121" s="152"/>
      <c r="BR121" s="152"/>
      <c r="BS121" s="152"/>
      <c r="BT121" s="170"/>
    </row>
    <row r="122" spans="1:72" ht="20.25" customHeight="1" x14ac:dyDescent="0.2">
      <c r="A122" s="152"/>
      <c r="B122" s="107" t="s">
        <v>286</v>
      </c>
      <c r="C122" s="162"/>
      <c r="D122" s="107" t="s">
        <v>101</v>
      </c>
      <c r="E122" s="129"/>
      <c r="F122" s="129"/>
      <c r="G122" s="129">
        <v>7673</v>
      </c>
      <c r="H122" s="129">
        <v>7934</v>
      </c>
      <c r="I122" s="129">
        <v>8036</v>
      </c>
      <c r="J122" s="129">
        <v>8241</v>
      </c>
      <c r="K122" s="129">
        <v>7786</v>
      </c>
      <c r="L122" s="129">
        <v>7681</v>
      </c>
      <c r="M122" s="129">
        <v>7920</v>
      </c>
      <c r="N122" s="129">
        <v>8630</v>
      </c>
      <c r="O122" s="129">
        <v>8494</v>
      </c>
      <c r="P122" s="129">
        <v>7836</v>
      </c>
      <c r="Q122" s="129">
        <v>6292</v>
      </c>
      <c r="R122" s="129">
        <v>6887</v>
      </c>
      <c r="S122" s="129">
        <v>6922</v>
      </c>
      <c r="T122" s="129">
        <v>7945</v>
      </c>
      <c r="U122" s="129">
        <v>7844</v>
      </c>
      <c r="V122" s="129">
        <v>4441</v>
      </c>
      <c r="W122" s="129">
        <v>7001</v>
      </c>
      <c r="X122" s="129">
        <v>7101</v>
      </c>
      <c r="Y122" s="129">
        <v>7334</v>
      </c>
      <c r="Z122" s="129">
        <v>7528</v>
      </c>
      <c r="AA122" s="129">
        <v>7620</v>
      </c>
      <c r="AB122" s="129">
        <v>7695</v>
      </c>
      <c r="AC122" s="129">
        <v>7675</v>
      </c>
      <c r="AD122" s="129">
        <v>7490</v>
      </c>
      <c r="AE122" s="129">
        <v>7099</v>
      </c>
      <c r="AF122" s="129">
        <v>7082</v>
      </c>
      <c r="AG122" s="129">
        <v>7093</v>
      </c>
      <c r="AH122" s="129">
        <v>6848</v>
      </c>
      <c r="AI122" s="129">
        <v>6821</v>
      </c>
      <c r="AJ122" s="129">
        <v>7864</v>
      </c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2"/>
      <c r="BL122" s="152"/>
      <c r="BM122" s="152"/>
      <c r="BN122" s="152"/>
      <c r="BO122" s="152"/>
      <c r="BP122" s="152"/>
      <c r="BQ122" s="152"/>
      <c r="BR122" s="152"/>
      <c r="BS122" s="152"/>
      <c r="BT122" s="170"/>
    </row>
  </sheetData>
  <mergeCells count="9">
    <mergeCell ref="I83:AK83"/>
    <mergeCell ref="I3:BT3"/>
    <mergeCell ref="H19:AN19"/>
    <mergeCell ref="C55:BT56"/>
    <mergeCell ref="C62:BT62"/>
    <mergeCell ref="D75:BT75"/>
    <mergeCell ref="I77:AK77"/>
    <mergeCell ref="D48:BT48"/>
    <mergeCell ref="A52:BT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01-06-2025</vt:lpstr>
      <vt:lpstr>02-06-2025</vt:lpstr>
      <vt:lpstr>03-06-2025</vt:lpstr>
      <vt:lpstr>04-06-2025</vt:lpstr>
      <vt:lpstr>05-06-2025</vt:lpstr>
      <vt:lpstr>06-06-2025</vt:lpstr>
      <vt:lpstr>07-06-2025</vt:lpstr>
      <vt:lpstr>08-06-2025</vt:lpstr>
      <vt:lpstr>09-06-2025</vt:lpstr>
      <vt:lpstr>10-06-2025</vt:lpstr>
      <vt:lpstr>11-06-2025</vt:lpstr>
      <vt:lpstr>12-06-2025</vt:lpstr>
      <vt:lpstr>13-06-2025</vt:lpstr>
      <vt:lpstr>14-06-2025</vt:lpstr>
      <vt:lpstr>15-06-2025</vt:lpstr>
      <vt:lpstr>16-06-2025</vt:lpstr>
      <vt:lpstr>17-06-2025</vt:lpstr>
      <vt:lpstr>18-06-2025</vt:lpstr>
      <vt:lpstr>19-06-2025</vt:lpstr>
      <vt:lpstr>20-06-2025</vt:lpstr>
      <vt:lpstr>21-06-2025</vt:lpstr>
      <vt:lpstr>22-06-2025</vt:lpstr>
      <vt:lpstr>23-06-2025</vt:lpstr>
      <vt:lpstr>24-06-2025</vt:lpstr>
      <vt:lpstr>25-06-2025</vt:lpstr>
      <vt:lpstr>26-06-2025</vt:lpstr>
      <vt:lpstr>27-06-2025</vt:lpstr>
      <vt:lpstr>28-06-2025</vt:lpstr>
      <vt:lpstr>29-06-2025</vt:lpstr>
      <vt:lpstr>30-06-2025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2026-02-28T12:41:13Z</dcterms:modified>
</cp:coreProperties>
</file>