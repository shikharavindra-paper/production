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untitled folder/"/>
    </mc:Choice>
  </mc:AlternateContent>
  <xr:revisionPtr revIDLastSave="0" documentId="13_ncr:1_{8000741C-9097-D947-9989-A4D31EFD67CE}" xr6:coauthVersionLast="47" xr6:coauthVersionMax="47" xr10:uidLastSave="{00000000-0000-0000-0000-000000000000}"/>
  <bookViews>
    <workbookView xWindow="0" yWindow="520" windowWidth="20480" windowHeight="12800" firstSheet="25" activeTab="30" xr2:uid="{00000000-000D-0000-FFFF-FFFF00000000}"/>
  </bookViews>
  <sheets>
    <sheet name="01-07-2025" sheetId="92" r:id="rId1"/>
    <sheet name="02-07-2025" sheetId="93" r:id="rId2"/>
    <sheet name="03-07-2025" sheetId="95" r:id="rId3"/>
    <sheet name="04-07-2025" sheetId="96" r:id="rId4"/>
    <sheet name="05-07-2025" sheetId="97" r:id="rId5"/>
    <sheet name="06-07-2025" sheetId="98" r:id="rId6"/>
    <sheet name="07-07-2025" sheetId="99" r:id="rId7"/>
    <sheet name="08-07-2025" sheetId="100" r:id="rId8"/>
    <sheet name="09-07-2025" sheetId="101" r:id="rId9"/>
    <sheet name="10-07-2025" sheetId="102" r:id="rId10"/>
    <sheet name="11-07-2025" sheetId="103" r:id="rId11"/>
    <sheet name="12-07-2025" sheetId="104" r:id="rId12"/>
    <sheet name="13-07-2025" sheetId="105" r:id="rId13"/>
    <sheet name="14-07-2025" sheetId="106" r:id="rId14"/>
    <sheet name="15-07-2025" sheetId="107" r:id="rId15"/>
    <sheet name="16-07-2025" sheetId="108" r:id="rId16"/>
    <sheet name="17-07-2025" sheetId="109" r:id="rId17"/>
    <sheet name="18-07-2025" sheetId="110" r:id="rId18"/>
    <sheet name="19-07-2025" sheetId="111" r:id="rId19"/>
    <sheet name="20-07-2025" sheetId="112" r:id="rId20"/>
    <sheet name="21-07-2025" sheetId="113" r:id="rId21"/>
    <sheet name="22-07-2025" sheetId="114" r:id="rId22"/>
    <sheet name="23-07-2025" sheetId="115" r:id="rId23"/>
    <sheet name="24-07-2025" sheetId="116" r:id="rId24"/>
    <sheet name="25-07-2025" sheetId="117" r:id="rId25"/>
    <sheet name="26-07-2025" sheetId="118" r:id="rId26"/>
    <sheet name="27-07-2025" sheetId="119" r:id="rId27"/>
    <sheet name="28-07-2025" sheetId="120" r:id="rId28"/>
    <sheet name="29-07-2025" sheetId="121" r:id="rId29"/>
    <sheet name="30-07-2025" sheetId="122" r:id="rId30"/>
    <sheet name="Pulp &amp; Chemical consumption" sheetId="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8" i="2" l="1"/>
  <c r="AJ109" i="2" s="1"/>
  <c r="AJ107" i="2"/>
  <c r="AJ105" i="2"/>
  <c r="AJ106" i="2" s="1"/>
  <c r="AJ110" i="2" s="1"/>
  <c r="AJ111" i="2" s="1"/>
  <c r="AJ102" i="2"/>
  <c r="AJ99" i="2"/>
  <c r="AJ93" i="2"/>
  <c r="AJ91" i="2"/>
  <c r="AJ84" i="2"/>
  <c r="AJ92" i="2" s="1"/>
  <c r="AJ100" i="2" s="1"/>
  <c r="AJ75" i="2"/>
  <c r="AJ74" i="2"/>
  <c r="AJ70" i="2"/>
  <c r="AJ67" i="2"/>
  <c r="AJ73" i="2" s="1"/>
  <c r="AJ66" i="2"/>
  <c r="AJ72" i="2" s="1"/>
  <c r="AJ65" i="2"/>
  <c r="AJ71" i="2" s="1"/>
  <c r="AJ62" i="2"/>
  <c r="AJ18" i="2"/>
  <c r="AJ63" i="2" s="1"/>
  <c r="J26" i="122"/>
  <c r="J25" i="122"/>
  <c r="F22" i="122"/>
  <c r="H13" i="122"/>
  <c r="G13" i="122"/>
  <c r="H12" i="122"/>
  <c r="G12" i="122"/>
  <c r="H11" i="122"/>
  <c r="G11" i="122"/>
  <c r="H10" i="122"/>
  <c r="G10" i="122"/>
  <c r="H9" i="122"/>
  <c r="H22" i="122" s="1"/>
  <c r="G9" i="122"/>
  <c r="G22" i="122" s="1"/>
  <c r="J26" i="121"/>
  <c r="F22" i="121"/>
  <c r="J25" i="121" s="1"/>
  <c r="H13" i="121"/>
  <c r="G13" i="121"/>
  <c r="H12" i="121"/>
  <c r="G12" i="121"/>
  <c r="H11" i="121"/>
  <c r="G11" i="121"/>
  <c r="H10" i="121"/>
  <c r="G10" i="121"/>
  <c r="G22" i="121" s="1"/>
  <c r="H9" i="121"/>
  <c r="G9" i="121"/>
  <c r="J26" i="120"/>
  <c r="H11" i="120"/>
  <c r="H12" i="120"/>
  <c r="H13" i="120"/>
  <c r="G11" i="120"/>
  <c r="G12" i="120"/>
  <c r="G13" i="120"/>
  <c r="F22" i="120"/>
  <c r="J25" i="120" s="1"/>
  <c r="H10" i="120"/>
  <c r="G10" i="120"/>
  <c r="H9" i="120"/>
  <c r="H22" i="120" s="1"/>
  <c r="G9" i="120"/>
  <c r="J26" i="119"/>
  <c r="F22" i="119"/>
  <c r="J25" i="119" s="1"/>
  <c r="H10" i="119"/>
  <c r="G10" i="119"/>
  <c r="H9" i="119"/>
  <c r="G9" i="119"/>
  <c r="G22" i="119" s="1"/>
  <c r="J26" i="118"/>
  <c r="H12" i="118"/>
  <c r="G12" i="118"/>
  <c r="F22" i="118"/>
  <c r="J25" i="118" s="1"/>
  <c r="H11" i="118"/>
  <c r="G11" i="118"/>
  <c r="H10" i="118"/>
  <c r="G10" i="118"/>
  <c r="H9" i="118"/>
  <c r="G9" i="118"/>
  <c r="J26" i="117"/>
  <c r="F22" i="117"/>
  <c r="J25" i="117" s="1"/>
  <c r="H11" i="117"/>
  <c r="G11" i="117"/>
  <c r="H10" i="117"/>
  <c r="G10" i="117"/>
  <c r="H9" i="117"/>
  <c r="G9" i="117"/>
  <c r="J26" i="116"/>
  <c r="H12" i="116"/>
  <c r="H13" i="116"/>
  <c r="G12" i="116"/>
  <c r="G13" i="116"/>
  <c r="J25" i="116"/>
  <c r="F22" i="116"/>
  <c r="H11" i="116"/>
  <c r="G11" i="116"/>
  <c r="H10" i="116"/>
  <c r="G10" i="116"/>
  <c r="H9" i="116"/>
  <c r="H22" i="116" s="1"/>
  <c r="G9" i="116"/>
  <c r="G22" i="116" s="1"/>
  <c r="J26" i="115"/>
  <c r="F22" i="115"/>
  <c r="J25" i="115" s="1"/>
  <c r="H11" i="115"/>
  <c r="G11" i="115"/>
  <c r="H10" i="115"/>
  <c r="G10" i="115"/>
  <c r="H9" i="115"/>
  <c r="H22" i="115" s="1"/>
  <c r="G9" i="115"/>
  <c r="J26" i="114"/>
  <c r="F22" i="114"/>
  <c r="J25" i="114" s="1"/>
  <c r="H12" i="114"/>
  <c r="G12" i="114"/>
  <c r="H11" i="114"/>
  <c r="G11" i="114"/>
  <c r="H10" i="114"/>
  <c r="G10" i="114"/>
  <c r="H9" i="114"/>
  <c r="H22" i="114" s="1"/>
  <c r="G9" i="114"/>
  <c r="G22" i="114" s="1"/>
  <c r="J26" i="113"/>
  <c r="H12" i="113"/>
  <c r="G12" i="113"/>
  <c r="F22" i="113"/>
  <c r="J25" i="113" s="1"/>
  <c r="H11" i="113"/>
  <c r="G11" i="113"/>
  <c r="H10" i="113"/>
  <c r="G10" i="113"/>
  <c r="H9" i="113"/>
  <c r="G9" i="113"/>
  <c r="J26" i="112"/>
  <c r="F22" i="112"/>
  <c r="J25" i="112" s="1"/>
  <c r="H11" i="112"/>
  <c r="G11" i="112"/>
  <c r="H10" i="112"/>
  <c r="G10" i="112"/>
  <c r="H9" i="112"/>
  <c r="G9" i="112"/>
  <c r="J26" i="111"/>
  <c r="H11" i="111"/>
  <c r="G11" i="111"/>
  <c r="F22" i="111"/>
  <c r="H10" i="111"/>
  <c r="G10" i="111"/>
  <c r="H9" i="111"/>
  <c r="G9" i="111"/>
  <c r="J26" i="110"/>
  <c r="F22" i="110"/>
  <c r="J25" i="110" s="1"/>
  <c r="H10" i="110"/>
  <c r="G10" i="110"/>
  <c r="H9" i="110"/>
  <c r="H22" i="110" s="1"/>
  <c r="G9" i="110"/>
  <c r="G22" i="110" s="1"/>
  <c r="J26" i="109"/>
  <c r="F22" i="109"/>
  <c r="J25" i="109" s="1"/>
  <c r="H10" i="109"/>
  <c r="G10" i="109"/>
  <c r="H9" i="109"/>
  <c r="G9" i="109"/>
  <c r="J26" i="108"/>
  <c r="J25" i="108"/>
  <c r="H22" i="108"/>
  <c r="G22" i="108"/>
  <c r="F22" i="108"/>
  <c r="J26" i="107"/>
  <c r="F22" i="107"/>
  <c r="H22" i="107" s="1"/>
  <c r="J26" i="106"/>
  <c r="F22" i="106"/>
  <c r="J25" i="106" s="1"/>
  <c r="J26" i="105"/>
  <c r="F22" i="105"/>
  <c r="H12" i="105"/>
  <c r="G12" i="105"/>
  <c r="H11" i="105"/>
  <c r="G11" i="105"/>
  <c r="H10" i="105"/>
  <c r="G10" i="105"/>
  <c r="H9" i="105"/>
  <c r="H22" i="105" s="1"/>
  <c r="G9" i="105"/>
  <c r="J26" i="104"/>
  <c r="H12" i="104"/>
  <c r="H13" i="104"/>
  <c r="G12" i="104"/>
  <c r="G13" i="104"/>
  <c r="F22" i="104"/>
  <c r="H11" i="104"/>
  <c r="G11" i="104"/>
  <c r="H10" i="104"/>
  <c r="G10" i="104"/>
  <c r="H9" i="104"/>
  <c r="G9" i="104"/>
  <c r="H22" i="121" l="1"/>
  <c r="G22" i="120"/>
  <c r="H22" i="119"/>
  <c r="G22" i="118"/>
  <c r="H22" i="118"/>
  <c r="H22" i="117"/>
  <c r="G22" i="117"/>
  <c r="G22" i="115"/>
  <c r="G22" i="113"/>
  <c r="H22" i="113"/>
  <c r="G22" i="112"/>
  <c r="H22" i="112"/>
  <c r="G22" i="111"/>
  <c r="H22" i="111"/>
  <c r="J25" i="111"/>
  <c r="G22" i="109"/>
  <c r="H22" i="109"/>
  <c r="G22" i="107"/>
  <c r="J25" i="107"/>
  <c r="H22" i="106"/>
  <c r="G22" i="106"/>
  <c r="G22" i="105"/>
  <c r="J25" i="105"/>
  <c r="H22" i="104"/>
  <c r="G22" i="104"/>
  <c r="J25" i="104"/>
  <c r="J26" i="103" l="1"/>
  <c r="F22" i="103"/>
  <c r="J25" i="103" s="1"/>
  <c r="H11" i="103"/>
  <c r="G11" i="103"/>
  <c r="H10" i="103"/>
  <c r="G10" i="103"/>
  <c r="H9" i="103"/>
  <c r="G9" i="103"/>
  <c r="J26" i="102"/>
  <c r="H13" i="102"/>
  <c r="H14" i="102"/>
  <c r="G13" i="102"/>
  <c r="G14" i="102"/>
  <c r="J25" i="102"/>
  <c r="F22" i="102"/>
  <c r="H12" i="102"/>
  <c r="G12" i="102"/>
  <c r="H11" i="102"/>
  <c r="G11" i="102"/>
  <c r="H10" i="102"/>
  <c r="G10" i="102"/>
  <c r="H9" i="102"/>
  <c r="G9" i="102"/>
  <c r="J26" i="101"/>
  <c r="H11" i="101"/>
  <c r="H12" i="101"/>
  <c r="G11" i="101"/>
  <c r="G12" i="101"/>
  <c r="F22" i="101"/>
  <c r="H10" i="101"/>
  <c r="G10" i="101"/>
  <c r="H9" i="101"/>
  <c r="G9" i="101"/>
  <c r="H22" i="103" l="1"/>
  <c r="G22" i="103"/>
  <c r="H22" i="102"/>
  <c r="G22" i="102"/>
  <c r="G22" i="101"/>
  <c r="H22" i="101"/>
  <c r="J25" i="101"/>
  <c r="J26" i="100" l="1"/>
  <c r="F22" i="100"/>
  <c r="J25" i="100" s="1"/>
  <c r="H10" i="100"/>
  <c r="G10" i="100"/>
  <c r="H9" i="100"/>
  <c r="G9" i="100"/>
  <c r="J26" i="99"/>
  <c r="H11" i="99"/>
  <c r="H12" i="99"/>
  <c r="H13" i="99"/>
  <c r="G11" i="99"/>
  <c r="G12" i="99"/>
  <c r="G13" i="99"/>
  <c r="F22" i="99"/>
  <c r="J25" i="99" s="1"/>
  <c r="H10" i="99"/>
  <c r="G10" i="99"/>
  <c r="H9" i="99"/>
  <c r="G9" i="99"/>
  <c r="J26" i="98"/>
  <c r="F22" i="98"/>
  <c r="J25" i="98" s="1"/>
  <c r="H10" i="98"/>
  <c r="G10" i="98"/>
  <c r="H9" i="98"/>
  <c r="H22" i="98" s="1"/>
  <c r="G9" i="98"/>
  <c r="G9" i="97"/>
  <c r="H9" i="97"/>
  <c r="G10" i="97"/>
  <c r="H10" i="97"/>
  <c r="G11" i="97"/>
  <c r="G22" i="97" s="1"/>
  <c r="H11" i="97"/>
  <c r="H22" i="97" s="1"/>
  <c r="G12" i="97"/>
  <c r="H12" i="97"/>
  <c r="G13" i="97"/>
  <c r="H13" i="97"/>
  <c r="G14" i="97"/>
  <c r="H14" i="97"/>
  <c r="G15" i="97"/>
  <c r="H15" i="97"/>
  <c r="F22" i="97"/>
  <c r="J25" i="97"/>
  <c r="J26" i="97"/>
  <c r="J26" i="96"/>
  <c r="H13" i="96"/>
  <c r="H14" i="96"/>
  <c r="H15" i="96"/>
  <c r="G13" i="96"/>
  <c r="G14" i="96"/>
  <c r="G15" i="96"/>
  <c r="F22" i="96"/>
  <c r="H12" i="96"/>
  <c r="G12" i="96"/>
  <c r="H11" i="96"/>
  <c r="G11" i="96"/>
  <c r="H10" i="96"/>
  <c r="G10" i="96"/>
  <c r="H9" i="96"/>
  <c r="G9" i="96"/>
  <c r="J26" i="95"/>
  <c r="H11" i="95"/>
  <c r="H12" i="95"/>
  <c r="G11" i="95"/>
  <c r="G12" i="95"/>
  <c r="F22" i="95"/>
  <c r="J25" i="95" s="1"/>
  <c r="H10" i="95"/>
  <c r="G10" i="95"/>
  <c r="H9" i="95"/>
  <c r="G9" i="95"/>
  <c r="H22" i="100" l="1"/>
  <c r="G22" i="100"/>
  <c r="G22" i="99"/>
  <c r="H22" i="99"/>
  <c r="G22" i="98"/>
  <c r="H22" i="96"/>
  <c r="G22" i="96"/>
  <c r="J25" i="96"/>
  <c r="G22" i="95"/>
  <c r="H22" i="95"/>
  <c r="J26" i="93"/>
  <c r="H10" i="93"/>
  <c r="G10" i="93"/>
  <c r="F22" i="93"/>
  <c r="J25" i="93" s="1"/>
  <c r="H9" i="93"/>
  <c r="G9" i="93"/>
  <c r="BU48" i="2"/>
  <c r="F22" i="92"/>
  <c r="J25" i="92" s="1"/>
  <c r="H9" i="92"/>
  <c r="G9" i="92"/>
  <c r="AK18" i="2"/>
  <c r="AI18" i="2"/>
  <c r="AH18" i="2"/>
  <c r="AG18" i="2"/>
  <c r="AF18" i="2"/>
  <c r="AE18" i="2"/>
  <c r="AD18" i="2"/>
  <c r="AC18" i="2"/>
  <c r="AB18" i="2"/>
  <c r="G22" i="93" l="1"/>
  <c r="H22" i="93"/>
  <c r="G22" i="92"/>
  <c r="H22" i="92"/>
  <c r="AA18" i="2"/>
  <c r="Z18" i="2"/>
  <c r="Y18" i="2"/>
  <c r="X18" i="2"/>
  <c r="W18" i="2"/>
  <c r="V18" i="2"/>
  <c r="U18" i="2"/>
  <c r="T18" i="2"/>
  <c r="S18" i="2" l="1"/>
  <c r="R18" i="2" l="1"/>
  <c r="BU47" i="2"/>
  <c r="Q18" i="2"/>
  <c r="P18" i="2"/>
  <c r="O18" i="2"/>
  <c r="N18" i="2"/>
  <c r="M18" i="2"/>
  <c r="L18" i="2"/>
  <c r="K18" i="2"/>
  <c r="J18" i="2"/>
  <c r="I18" i="2"/>
  <c r="H18" i="2"/>
  <c r="G18" i="2"/>
  <c r="BU17" i="2"/>
  <c r="AK107" i="2" l="1"/>
  <c r="AK99" i="2"/>
  <c r="AK105" i="2" s="1"/>
  <c r="AK106" i="2" s="1"/>
  <c r="AK93" i="2"/>
  <c r="AK91" i="2"/>
  <c r="AK84" i="2"/>
  <c r="AK75" i="2"/>
  <c r="AK74" i="2"/>
  <c r="AK70" i="2"/>
  <c r="AK67" i="2"/>
  <c r="AK73" i="2" s="1"/>
  <c r="AK66" i="2"/>
  <c r="AK72" i="2" s="1"/>
  <c r="AK65" i="2"/>
  <c r="AK71" i="2" s="1"/>
  <c r="AK62" i="2"/>
  <c r="AK102" i="2" s="1"/>
  <c r="AK108" i="2" s="1"/>
  <c r="AK109" i="2" s="1"/>
  <c r="AK63" i="2"/>
  <c r="AK92" i="2" l="1"/>
  <c r="AK100" i="2" s="1"/>
  <c r="AK110" i="2" s="1"/>
  <c r="AK111" i="2" s="1"/>
  <c r="BU52" i="2"/>
  <c r="AI107" i="2"/>
  <c r="AI99" i="2"/>
  <c r="AI105" i="2" s="1"/>
  <c r="AI106" i="2" s="1"/>
  <c r="AI93" i="2"/>
  <c r="AI91" i="2"/>
  <c r="AI84" i="2"/>
  <c r="AI92" i="2" s="1"/>
  <c r="AI100" i="2" s="1"/>
  <c r="AI75" i="2"/>
  <c r="AI74" i="2"/>
  <c r="AI70" i="2"/>
  <c r="AI67" i="2"/>
  <c r="AI73" i="2" s="1"/>
  <c r="AI66" i="2"/>
  <c r="AI72" i="2" s="1"/>
  <c r="AI65" i="2"/>
  <c r="AI71" i="2" s="1"/>
  <c r="AI62" i="2"/>
  <c r="AI102" i="2" s="1"/>
  <c r="AI108" i="2" s="1"/>
  <c r="AI63" i="2"/>
  <c r="AH107" i="2"/>
  <c r="AH99" i="2"/>
  <c r="AH105" i="2" s="1"/>
  <c r="AH106" i="2" s="1"/>
  <c r="AH93" i="2"/>
  <c r="AH91" i="2"/>
  <c r="AH84" i="2"/>
  <c r="AH92" i="2" s="1"/>
  <c r="AH100" i="2" s="1"/>
  <c r="AH75" i="2"/>
  <c r="AH74" i="2"/>
  <c r="AH70" i="2"/>
  <c r="AH67" i="2"/>
  <c r="AH73" i="2" s="1"/>
  <c r="AH66" i="2"/>
  <c r="AH72" i="2" s="1"/>
  <c r="AH65" i="2"/>
  <c r="AH71" i="2" s="1"/>
  <c r="AH62" i="2"/>
  <c r="AH102" i="2" s="1"/>
  <c r="AH108" i="2" s="1"/>
  <c r="AH63" i="2"/>
  <c r="AG107" i="2"/>
  <c r="AG99" i="2"/>
  <c r="AG105" i="2" s="1"/>
  <c r="AG106" i="2" s="1"/>
  <c r="AG93" i="2"/>
  <c r="AG91" i="2"/>
  <c r="AG84" i="2"/>
  <c r="AG75" i="2"/>
  <c r="AG74" i="2"/>
  <c r="AG70" i="2"/>
  <c r="AG67" i="2"/>
  <c r="AG73" i="2" s="1"/>
  <c r="AG66" i="2"/>
  <c r="AG72" i="2" s="1"/>
  <c r="AG65" i="2"/>
  <c r="AG71" i="2" s="1"/>
  <c r="AG62" i="2"/>
  <c r="AG102" i="2" s="1"/>
  <c r="AG108" i="2" s="1"/>
  <c r="AG63" i="2"/>
  <c r="AF107" i="2"/>
  <c r="AF99" i="2"/>
  <c r="AF105" i="2" s="1"/>
  <c r="AF106" i="2" s="1"/>
  <c r="AF93" i="2"/>
  <c r="AF91" i="2"/>
  <c r="AF84" i="2"/>
  <c r="AF75" i="2"/>
  <c r="AF74" i="2"/>
  <c r="AF70" i="2"/>
  <c r="AF67" i="2"/>
  <c r="AF73" i="2" s="1"/>
  <c r="AF66" i="2"/>
  <c r="AF72" i="2" s="1"/>
  <c r="AF65" i="2"/>
  <c r="AF71" i="2" s="1"/>
  <c r="AF62" i="2"/>
  <c r="AF102" i="2" s="1"/>
  <c r="AF108" i="2" s="1"/>
  <c r="AF63" i="2"/>
  <c r="AE107" i="2"/>
  <c r="AE99" i="2"/>
  <c r="AE105" i="2" s="1"/>
  <c r="AE106" i="2" s="1"/>
  <c r="AE93" i="2"/>
  <c r="AE91" i="2"/>
  <c r="AE84" i="2"/>
  <c r="AE75" i="2"/>
  <c r="AE74" i="2"/>
  <c r="AE70" i="2"/>
  <c r="AE67" i="2"/>
  <c r="AE73" i="2" s="1"/>
  <c r="AE66" i="2"/>
  <c r="AE72" i="2" s="1"/>
  <c r="AE65" i="2"/>
  <c r="AE71" i="2" s="1"/>
  <c r="AE62" i="2"/>
  <c r="AE102" i="2" s="1"/>
  <c r="AE108" i="2" s="1"/>
  <c r="AE63" i="2"/>
  <c r="AD107" i="2"/>
  <c r="AD99" i="2"/>
  <c r="AD105" i="2" s="1"/>
  <c r="AD106" i="2" s="1"/>
  <c r="AD93" i="2"/>
  <c r="AD91" i="2"/>
  <c r="AD84" i="2"/>
  <c r="AD75" i="2"/>
  <c r="AD74" i="2"/>
  <c r="AD70" i="2"/>
  <c r="AD67" i="2"/>
  <c r="AD73" i="2" s="1"/>
  <c r="AD66" i="2"/>
  <c r="AD72" i="2" s="1"/>
  <c r="AD65" i="2"/>
  <c r="AD71" i="2" s="1"/>
  <c r="AD62" i="2"/>
  <c r="AD102" i="2" s="1"/>
  <c r="AD108" i="2" s="1"/>
  <c r="AD63" i="2"/>
  <c r="AC107" i="2"/>
  <c r="AC99" i="2"/>
  <c r="AC105" i="2" s="1"/>
  <c r="AC106" i="2" s="1"/>
  <c r="AC93" i="2"/>
  <c r="AC91" i="2"/>
  <c r="AC84" i="2"/>
  <c r="AC75" i="2"/>
  <c r="AC74" i="2"/>
  <c r="AC70" i="2"/>
  <c r="AC67" i="2"/>
  <c r="AC73" i="2" s="1"/>
  <c r="AC66" i="2"/>
  <c r="AC72" i="2" s="1"/>
  <c r="AC65" i="2"/>
  <c r="AC71" i="2" s="1"/>
  <c r="AC62" i="2"/>
  <c r="AC102" i="2" s="1"/>
  <c r="AC108" i="2" s="1"/>
  <c r="AC63" i="2"/>
  <c r="AB107" i="2"/>
  <c r="AB99" i="2"/>
  <c r="AB105" i="2" s="1"/>
  <c r="AB106" i="2" s="1"/>
  <c r="AB93" i="2"/>
  <c r="AB91" i="2"/>
  <c r="AB84" i="2"/>
  <c r="AB75" i="2"/>
  <c r="AB74" i="2"/>
  <c r="AB70" i="2"/>
  <c r="AB67" i="2"/>
  <c r="AB73" i="2" s="1"/>
  <c r="AB66" i="2"/>
  <c r="AB72" i="2" s="1"/>
  <c r="AB65" i="2"/>
  <c r="AB71" i="2" s="1"/>
  <c r="AB62" i="2"/>
  <c r="AB102" i="2" s="1"/>
  <c r="AB108" i="2" s="1"/>
  <c r="AB63" i="2"/>
  <c r="AA107" i="2"/>
  <c r="AA99" i="2"/>
  <c r="AA105" i="2" s="1"/>
  <c r="AA106" i="2" s="1"/>
  <c r="AA93" i="2"/>
  <c r="AA91" i="2"/>
  <c r="AA84" i="2"/>
  <c r="AA75" i="2"/>
  <c r="AA74" i="2"/>
  <c r="AA70" i="2"/>
  <c r="AA67" i="2"/>
  <c r="AA73" i="2" s="1"/>
  <c r="AA66" i="2"/>
  <c r="AA72" i="2" s="1"/>
  <c r="AA65" i="2"/>
  <c r="AA71" i="2" s="1"/>
  <c r="AA62" i="2"/>
  <c r="AA102" i="2" s="1"/>
  <c r="AA108" i="2" s="1"/>
  <c r="AA63" i="2"/>
  <c r="AI109" i="2" l="1"/>
  <c r="AC92" i="2"/>
  <c r="AC100" i="2" s="1"/>
  <c r="AH109" i="2"/>
  <c r="AF92" i="2"/>
  <c r="AF100" i="2" s="1"/>
  <c r="AF110" i="2" s="1"/>
  <c r="AI110" i="2"/>
  <c r="AG92" i="2"/>
  <c r="AG100" i="2" s="1"/>
  <c r="AG109" i="2"/>
  <c r="AH110" i="2"/>
  <c r="AE109" i="2"/>
  <c r="AD92" i="2"/>
  <c r="AD100" i="2" s="1"/>
  <c r="AD110" i="2" s="1"/>
  <c r="AG110" i="2"/>
  <c r="AG111" i="2" s="1"/>
  <c r="AF109" i="2"/>
  <c r="AE92" i="2"/>
  <c r="AE100" i="2" s="1"/>
  <c r="AE110" i="2" s="1"/>
  <c r="AD109" i="2"/>
  <c r="AB109" i="2"/>
  <c r="AC109" i="2"/>
  <c r="AC110" i="2"/>
  <c r="AB92" i="2"/>
  <c r="AB100" i="2" s="1"/>
  <c r="AB110" i="2" s="1"/>
  <c r="AA92" i="2"/>
  <c r="AA100" i="2" s="1"/>
  <c r="AA110" i="2" s="1"/>
  <c r="AA111" i="2" s="1"/>
  <c r="AA109" i="2"/>
  <c r="AI111" i="2" l="1"/>
  <c r="AH111" i="2"/>
  <c r="AE111" i="2"/>
  <c r="AC111" i="2"/>
  <c r="AF111" i="2"/>
  <c r="AD111" i="2"/>
  <c r="AB111" i="2"/>
  <c r="Z107" i="2"/>
  <c r="Z99" i="2"/>
  <c r="Z105" i="2" s="1"/>
  <c r="Z106" i="2" s="1"/>
  <c r="Z93" i="2"/>
  <c r="Z91" i="2"/>
  <c r="Z84" i="2"/>
  <c r="Z75" i="2"/>
  <c r="Z74" i="2"/>
  <c r="Z70" i="2"/>
  <c r="Z67" i="2"/>
  <c r="Z73" i="2" s="1"/>
  <c r="Z66" i="2"/>
  <c r="Z72" i="2" s="1"/>
  <c r="Z65" i="2"/>
  <c r="Z71" i="2" s="1"/>
  <c r="Z62" i="2"/>
  <c r="Z102" i="2" s="1"/>
  <c r="Z108" i="2" s="1"/>
  <c r="Z63" i="2"/>
  <c r="Z109" i="2" l="1"/>
  <c r="Z92" i="2"/>
  <c r="Z100" i="2" s="1"/>
  <c r="Z110" i="2" s="1"/>
  <c r="BU16" i="2"/>
  <c r="Y63" i="2"/>
  <c r="X63" i="2"/>
  <c r="W63" i="2"/>
  <c r="V63" i="2"/>
  <c r="U63" i="2"/>
  <c r="T63" i="2"/>
  <c r="S63" i="2"/>
  <c r="R63" i="2"/>
  <c r="Q63" i="2"/>
  <c r="P63" i="2"/>
  <c r="O63" i="2"/>
  <c r="Y107" i="2"/>
  <c r="Y99" i="2"/>
  <c r="Y105" i="2" s="1"/>
  <c r="Y106" i="2" s="1"/>
  <c r="Y93" i="2"/>
  <c r="Y91" i="2"/>
  <c r="Y84" i="2"/>
  <c r="Y75" i="2"/>
  <c r="Y74" i="2"/>
  <c r="Y70" i="2"/>
  <c r="Y67" i="2"/>
  <c r="Y73" i="2" s="1"/>
  <c r="Y66" i="2"/>
  <c r="Y72" i="2" s="1"/>
  <c r="Y65" i="2"/>
  <c r="Y71" i="2" s="1"/>
  <c r="Y62" i="2"/>
  <c r="Y102" i="2" s="1"/>
  <c r="Y108" i="2" s="1"/>
  <c r="X107" i="2"/>
  <c r="X99" i="2"/>
  <c r="X105" i="2" s="1"/>
  <c r="X106" i="2" s="1"/>
  <c r="X93" i="2"/>
  <c r="X91" i="2"/>
  <c r="X84" i="2"/>
  <c r="X75" i="2"/>
  <c r="X74" i="2"/>
  <c r="X70" i="2"/>
  <c r="X67" i="2"/>
  <c r="X73" i="2" s="1"/>
  <c r="X66" i="2"/>
  <c r="X72" i="2" s="1"/>
  <c r="X65" i="2"/>
  <c r="X71" i="2" s="1"/>
  <c r="X62" i="2"/>
  <c r="X102" i="2" s="1"/>
  <c r="X108" i="2" s="1"/>
  <c r="W107" i="2"/>
  <c r="W99" i="2"/>
  <c r="W105" i="2" s="1"/>
  <c r="W106" i="2" s="1"/>
  <c r="W93" i="2"/>
  <c r="W91" i="2"/>
  <c r="W84" i="2"/>
  <c r="W92" i="2" s="1"/>
  <c r="W100" i="2" s="1"/>
  <c r="W75" i="2"/>
  <c r="W74" i="2"/>
  <c r="W70" i="2"/>
  <c r="W67" i="2"/>
  <c r="W73" i="2" s="1"/>
  <c r="W66" i="2"/>
  <c r="W72" i="2" s="1"/>
  <c r="W65" i="2"/>
  <c r="W71" i="2" s="1"/>
  <c r="W62" i="2"/>
  <c r="W102" i="2" s="1"/>
  <c r="W108" i="2" s="1"/>
  <c r="V107" i="2"/>
  <c r="V99" i="2"/>
  <c r="V105" i="2" s="1"/>
  <c r="V106" i="2" s="1"/>
  <c r="V93" i="2"/>
  <c r="V91" i="2"/>
  <c r="V84" i="2"/>
  <c r="V92" i="2" s="1"/>
  <c r="V100" i="2" s="1"/>
  <c r="V75" i="2"/>
  <c r="V74" i="2"/>
  <c r="V70" i="2"/>
  <c r="V67" i="2"/>
  <c r="V73" i="2" s="1"/>
  <c r="V66" i="2"/>
  <c r="V72" i="2" s="1"/>
  <c r="V65" i="2"/>
  <c r="V71" i="2" s="1"/>
  <c r="V62" i="2"/>
  <c r="V102" i="2" s="1"/>
  <c r="V108" i="2" s="1"/>
  <c r="U107" i="2"/>
  <c r="U99" i="2"/>
  <c r="U105" i="2" s="1"/>
  <c r="U106" i="2" s="1"/>
  <c r="U93" i="2"/>
  <c r="U91" i="2"/>
  <c r="U84" i="2"/>
  <c r="U92" i="2" s="1"/>
  <c r="U100" i="2" s="1"/>
  <c r="U75" i="2"/>
  <c r="U74" i="2"/>
  <c r="U70" i="2"/>
  <c r="U67" i="2"/>
  <c r="U73" i="2" s="1"/>
  <c r="U66" i="2"/>
  <c r="U72" i="2" s="1"/>
  <c r="U65" i="2"/>
  <c r="U71" i="2" s="1"/>
  <c r="U62" i="2"/>
  <c r="U102" i="2" s="1"/>
  <c r="U108" i="2" s="1"/>
  <c r="T107" i="2"/>
  <c r="T99" i="2"/>
  <c r="T105" i="2" s="1"/>
  <c r="T106" i="2" s="1"/>
  <c r="T93" i="2"/>
  <c r="T91" i="2"/>
  <c r="T84" i="2"/>
  <c r="T75" i="2"/>
  <c r="T74" i="2"/>
  <c r="T70" i="2"/>
  <c r="T67" i="2"/>
  <c r="T73" i="2" s="1"/>
  <c r="T66" i="2"/>
  <c r="T72" i="2" s="1"/>
  <c r="T65" i="2"/>
  <c r="T71" i="2" s="1"/>
  <c r="T62" i="2"/>
  <c r="T102" i="2" s="1"/>
  <c r="T108" i="2" s="1"/>
  <c r="S107" i="2"/>
  <c r="S99" i="2"/>
  <c r="S105" i="2" s="1"/>
  <c r="S106" i="2" s="1"/>
  <c r="S93" i="2"/>
  <c r="S91" i="2"/>
  <c r="S84" i="2"/>
  <c r="S75" i="2"/>
  <c r="S74" i="2"/>
  <c r="S70" i="2"/>
  <c r="S67" i="2"/>
  <c r="S73" i="2" s="1"/>
  <c r="S66" i="2"/>
  <c r="S72" i="2" s="1"/>
  <c r="S65" i="2"/>
  <c r="S71" i="2" s="1"/>
  <c r="S62" i="2"/>
  <c r="S102" i="2" s="1"/>
  <c r="S108" i="2" s="1"/>
  <c r="R107" i="2"/>
  <c r="R99" i="2"/>
  <c r="R105" i="2" s="1"/>
  <c r="R106" i="2" s="1"/>
  <c r="R93" i="2"/>
  <c r="R91" i="2"/>
  <c r="R84" i="2"/>
  <c r="R75" i="2"/>
  <c r="R74" i="2"/>
  <c r="R70" i="2"/>
  <c r="R67" i="2"/>
  <c r="R73" i="2" s="1"/>
  <c r="R66" i="2"/>
  <c r="R72" i="2" s="1"/>
  <c r="R65" i="2"/>
  <c r="R71" i="2" s="1"/>
  <c r="R62" i="2"/>
  <c r="R102" i="2" s="1"/>
  <c r="R108" i="2" s="1"/>
  <c r="Q107" i="2"/>
  <c r="Q99" i="2"/>
  <c r="Q105" i="2" s="1"/>
  <c r="Q106" i="2" s="1"/>
  <c r="Q93" i="2"/>
  <c r="Q91" i="2"/>
  <c r="Q84" i="2"/>
  <c r="Q75" i="2"/>
  <c r="Q74" i="2"/>
  <c r="Q70" i="2"/>
  <c r="Q67" i="2"/>
  <c r="Q73" i="2" s="1"/>
  <c r="Q66" i="2"/>
  <c r="Q72" i="2" s="1"/>
  <c r="Q65" i="2"/>
  <c r="Q71" i="2" s="1"/>
  <c r="Q62" i="2"/>
  <c r="Q102" i="2" s="1"/>
  <c r="Q108" i="2" s="1"/>
  <c r="P107" i="2"/>
  <c r="P99" i="2"/>
  <c r="P105" i="2" s="1"/>
  <c r="P106" i="2" s="1"/>
  <c r="P93" i="2"/>
  <c r="P91" i="2"/>
  <c r="P84" i="2"/>
  <c r="P75" i="2"/>
  <c r="P74" i="2"/>
  <c r="P70" i="2"/>
  <c r="P67" i="2"/>
  <c r="P73" i="2" s="1"/>
  <c r="P66" i="2"/>
  <c r="P72" i="2" s="1"/>
  <c r="P65" i="2"/>
  <c r="P71" i="2" s="1"/>
  <c r="P62" i="2"/>
  <c r="P102" i="2" s="1"/>
  <c r="P108" i="2" s="1"/>
  <c r="O107" i="2"/>
  <c r="O99" i="2"/>
  <c r="O105" i="2" s="1"/>
  <c r="O106" i="2" s="1"/>
  <c r="O93" i="2"/>
  <c r="O91" i="2"/>
  <c r="O84" i="2"/>
  <c r="O75" i="2"/>
  <c r="O74" i="2"/>
  <c r="O70" i="2"/>
  <c r="O67" i="2"/>
  <c r="O73" i="2" s="1"/>
  <c r="O66" i="2"/>
  <c r="O72" i="2" s="1"/>
  <c r="O65" i="2"/>
  <c r="O71" i="2" s="1"/>
  <c r="O62" i="2"/>
  <c r="O102" i="2" s="1"/>
  <c r="O108" i="2" s="1"/>
  <c r="S109" i="2" l="1"/>
  <c r="Z111" i="2"/>
  <c r="X92" i="2"/>
  <c r="X100" i="2" s="1"/>
  <c r="X110" i="2" s="1"/>
  <c r="X109" i="2"/>
  <c r="Q92" i="2"/>
  <c r="Q100" i="2" s="1"/>
  <c r="Q110" i="2" s="1"/>
  <c r="S92" i="2"/>
  <c r="S100" i="2" s="1"/>
  <c r="S110" i="2" s="1"/>
  <c r="V109" i="2"/>
  <c r="Y109" i="2"/>
  <c r="Y92" i="2"/>
  <c r="Y100" i="2" s="1"/>
  <c r="Y110" i="2" s="1"/>
  <c r="Y111" i="2" s="1"/>
  <c r="O109" i="2"/>
  <c r="W109" i="2"/>
  <c r="W110" i="2"/>
  <c r="T92" i="2"/>
  <c r="T100" i="2" s="1"/>
  <c r="T110" i="2" s="1"/>
  <c r="U109" i="2"/>
  <c r="V110" i="2"/>
  <c r="U110" i="2"/>
  <c r="T109" i="2"/>
  <c r="R92" i="2"/>
  <c r="R100" i="2" s="1"/>
  <c r="R110" i="2" s="1"/>
  <c r="Q109" i="2"/>
  <c r="R109" i="2"/>
  <c r="P109" i="2"/>
  <c r="P92" i="2"/>
  <c r="P100" i="2" s="1"/>
  <c r="P110" i="2" s="1"/>
  <c r="P111" i="2" s="1"/>
  <c r="O92" i="2"/>
  <c r="O100" i="2" s="1"/>
  <c r="O110" i="2" s="1"/>
  <c r="O111" i="2" s="1"/>
  <c r="N107" i="2"/>
  <c r="N99" i="2"/>
  <c r="N105" i="2" s="1"/>
  <c r="N106" i="2" s="1"/>
  <c r="N93" i="2"/>
  <c r="N91" i="2"/>
  <c r="N84" i="2"/>
  <c r="N75" i="2"/>
  <c r="N74" i="2"/>
  <c r="N70" i="2"/>
  <c r="N67" i="2"/>
  <c r="N73" i="2" s="1"/>
  <c r="N66" i="2"/>
  <c r="N72" i="2" s="1"/>
  <c r="N65" i="2"/>
  <c r="N71" i="2" s="1"/>
  <c r="N62" i="2"/>
  <c r="N102" i="2" s="1"/>
  <c r="N108" i="2" s="1"/>
  <c r="N63" i="2"/>
  <c r="M107" i="2"/>
  <c r="M99" i="2"/>
  <c r="M105" i="2" s="1"/>
  <c r="M106" i="2" s="1"/>
  <c r="M93" i="2"/>
  <c r="M91" i="2"/>
  <c r="M84" i="2"/>
  <c r="M75" i="2"/>
  <c r="M74" i="2"/>
  <c r="M70" i="2"/>
  <c r="M67" i="2"/>
  <c r="M73" i="2" s="1"/>
  <c r="M66" i="2"/>
  <c r="M72" i="2" s="1"/>
  <c r="M65" i="2"/>
  <c r="M71" i="2" s="1"/>
  <c r="M62" i="2"/>
  <c r="M102" i="2" s="1"/>
  <c r="M108" i="2" s="1"/>
  <c r="M63" i="2"/>
  <c r="L107" i="2"/>
  <c r="L99" i="2"/>
  <c r="L105" i="2" s="1"/>
  <c r="L106" i="2" s="1"/>
  <c r="L93" i="2"/>
  <c r="L91" i="2"/>
  <c r="L84" i="2"/>
  <c r="L75" i="2"/>
  <c r="L74" i="2"/>
  <c r="L70" i="2"/>
  <c r="L67" i="2"/>
  <c r="L73" i="2" s="1"/>
  <c r="L66" i="2"/>
  <c r="L72" i="2" s="1"/>
  <c r="L65" i="2"/>
  <c r="L71" i="2" s="1"/>
  <c r="L62" i="2"/>
  <c r="L102" i="2" s="1"/>
  <c r="L108" i="2" s="1"/>
  <c r="L63" i="2"/>
  <c r="BU53" i="2"/>
  <c r="BU51" i="2"/>
  <c r="V111" i="2" l="1"/>
  <c r="S111" i="2"/>
  <c r="X111" i="2"/>
  <c r="R111" i="2"/>
  <c r="W111" i="2"/>
  <c r="T111" i="2"/>
  <c r="U111" i="2"/>
  <c r="Q111" i="2"/>
  <c r="M109" i="2"/>
  <c r="N109" i="2"/>
  <c r="L109" i="2"/>
  <c r="N92" i="2"/>
  <c r="N100" i="2" s="1"/>
  <c r="N110" i="2" s="1"/>
  <c r="M92" i="2"/>
  <c r="M100" i="2" s="1"/>
  <c r="M110" i="2" s="1"/>
  <c r="L92" i="2"/>
  <c r="L100" i="2" s="1"/>
  <c r="L110" i="2" s="1"/>
  <c r="N111" i="2" l="1"/>
  <c r="M111" i="2"/>
  <c r="L111" i="2"/>
  <c r="BU23" i="2"/>
  <c r="H111" i="2" l="1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K107" i="2"/>
  <c r="J107" i="2"/>
  <c r="I107" i="2"/>
  <c r="G107" i="2"/>
  <c r="F107" i="2"/>
  <c r="E107" i="2"/>
  <c r="G105" i="2"/>
  <c r="G106" i="2" s="1"/>
  <c r="F105" i="2"/>
  <c r="F106" i="2" s="1"/>
  <c r="E105" i="2"/>
  <c r="E106" i="2" s="1"/>
  <c r="BU103" i="2"/>
  <c r="BR102" i="2"/>
  <c r="BR108" i="2" s="1"/>
  <c r="BQ102" i="2"/>
  <c r="BQ108" i="2" s="1"/>
  <c r="BP102" i="2"/>
  <c r="BP108" i="2" s="1"/>
  <c r="BO102" i="2"/>
  <c r="BO108" i="2" s="1"/>
  <c r="BN102" i="2"/>
  <c r="BN108" i="2" s="1"/>
  <c r="BM102" i="2"/>
  <c r="BM108" i="2" s="1"/>
  <c r="BL102" i="2"/>
  <c r="BL108" i="2" s="1"/>
  <c r="BK102" i="2"/>
  <c r="BK108" i="2" s="1"/>
  <c r="BJ102" i="2"/>
  <c r="BJ108" i="2" s="1"/>
  <c r="G102" i="2"/>
  <c r="G108" i="2" s="1"/>
  <c r="F102" i="2"/>
  <c r="F108" i="2" s="1"/>
  <c r="E102" i="2"/>
  <c r="E108" i="2" s="1"/>
  <c r="BU101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P105" i="2" s="1"/>
  <c r="AP106" i="2" s="1"/>
  <c r="AO99" i="2"/>
  <c r="AO105" i="2" s="1"/>
  <c r="AO106" i="2" s="1"/>
  <c r="AN99" i="2"/>
  <c r="AN105" i="2" s="1"/>
  <c r="AN106" i="2" s="1"/>
  <c r="AM99" i="2"/>
  <c r="AM105" i="2" s="1"/>
  <c r="AM106" i="2" s="1"/>
  <c r="AL99" i="2"/>
  <c r="AL105" i="2" s="1"/>
  <c r="AL106" i="2" s="1"/>
  <c r="K99" i="2"/>
  <c r="K105" i="2" s="1"/>
  <c r="K106" i="2" s="1"/>
  <c r="J99" i="2"/>
  <c r="J105" i="2" s="1"/>
  <c r="J106" i="2" s="1"/>
  <c r="I99" i="2"/>
  <c r="I105" i="2" s="1"/>
  <c r="I106" i="2" s="1"/>
  <c r="BU98" i="2"/>
  <c r="BU97" i="2"/>
  <c r="BU93" i="2" s="1"/>
  <c r="BR97" i="2"/>
  <c r="BQ97" i="2"/>
  <c r="BP97" i="2"/>
  <c r="BO97" i="2"/>
  <c r="BO93" i="2" s="1"/>
  <c r="BN97" i="2"/>
  <c r="BN93" i="2" s="1"/>
  <c r="BM97" i="2"/>
  <c r="BM93" i="2" s="1"/>
  <c r="BL97" i="2"/>
  <c r="BL93" i="2" s="1"/>
  <c r="BK97" i="2"/>
  <c r="BK93" i="2" s="1"/>
  <c r="BJ97" i="2"/>
  <c r="BI97" i="2"/>
  <c r="BI93" i="2" s="1"/>
  <c r="BH97" i="2"/>
  <c r="BG97" i="2"/>
  <c r="BG93" i="2" s="1"/>
  <c r="BF97" i="2"/>
  <c r="BE97" i="2"/>
  <c r="BE93" i="2" s="1"/>
  <c r="BD97" i="2"/>
  <c r="BC97" i="2"/>
  <c r="BC93" i="2" s="1"/>
  <c r="BB97" i="2"/>
  <c r="BA97" i="2"/>
  <c r="BA93" i="2" s="1"/>
  <c r="AZ97" i="2"/>
  <c r="AZ93" i="2" s="1"/>
  <c r="AY97" i="2"/>
  <c r="AY93" i="2" s="1"/>
  <c r="AX97" i="2"/>
  <c r="AX93" i="2" s="1"/>
  <c r="AW97" i="2"/>
  <c r="AW93" i="2" s="1"/>
  <c r="AV97" i="2"/>
  <c r="AU97" i="2"/>
  <c r="AU93" i="2" s="1"/>
  <c r="AT97" i="2"/>
  <c r="AS97" i="2"/>
  <c r="AS93" i="2" s="1"/>
  <c r="AR97" i="2"/>
  <c r="AQ97" i="2"/>
  <c r="AQ93" i="2" s="1"/>
  <c r="AP93" i="2"/>
  <c r="AO93" i="2"/>
  <c r="AN93" i="2"/>
  <c r="AM93" i="2"/>
  <c r="AL93" i="2"/>
  <c r="K93" i="2"/>
  <c r="J93" i="2"/>
  <c r="I93" i="2"/>
  <c r="H93" i="2"/>
  <c r="F93" i="2"/>
  <c r="E93" i="2"/>
  <c r="AN91" i="2"/>
  <c r="AM91" i="2"/>
  <c r="AL91" i="2"/>
  <c r="K91" i="2"/>
  <c r="J91" i="2"/>
  <c r="I91" i="2"/>
  <c r="H91" i="2"/>
  <c r="G91" i="2"/>
  <c r="F91" i="2"/>
  <c r="E91" i="2"/>
  <c r="BU90" i="2"/>
  <c r="BU89" i="2"/>
  <c r="BU88" i="2"/>
  <c r="BU87" i="2"/>
  <c r="BU86" i="2"/>
  <c r="BR84" i="2"/>
  <c r="BR92" i="2" s="1"/>
  <c r="BR100" i="2" s="1"/>
  <c r="BQ84" i="2"/>
  <c r="BQ92" i="2" s="1"/>
  <c r="BQ100" i="2" s="1"/>
  <c r="BP84" i="2"/>
  <c r="BP92" i="2" s="1"/>
  <c r="BP100" i="2" s="1"/>
  <c r="BO84" i="2"/>
  <c r="BO92" i="2" s="1"/>
  <c r="BO100" i="2" s="1"/>
  <c r="BN84" i="2"/>
  <c r="BN92" i="2" s="1"/>
  <c r="BN100" i="2" s="1"/>
  <c r="BM84" i="2"/>
  <c r="BM92" i="2" s="1"/>
  <c r="BM100" i="2" s="1"/>
  <c r="BL84" i="2"/>
  <c r="BL92" i="2" s="1"/>
  <c r="BL100" i="2" s="1"/>
  <c r="BK84" i="2"/>
  <c r="BK92" i="2" s="1"/>
  <c r="BK100" i="2" s="1"/>
  <c r="BJ84" i="2"/>
  <c r="BJ92" i="2" s="1"/>
  <c r="BJ100" i="2" s="1"/>
  <c r="BI84" i="2"/>
  <c r="BI92" i="2" s="1"/>
  <c r="BI100" i="2" s="1"/>
  <c r="BH84" i="2"/>
  <c r="BH92" i="2" s="1"/>
  <c r="BH100" i="2" s="1"/>
  <c r="BG84" i="2"/>
  <c r="BG92" i="2" s="1"/>
  <c r="BG100" i="2" s="1"/>
  <c r="BF84" i="2"/>
  <c r="BF92" i="2" s="1"/>
  <c r="BF100" i="2" s="1"/>
  <c r="BE84" i="2"/>
  <c r="BE92" i="2" s="1"/>
  <c r="BE100" i="2" s="1"/>
  <c r="BD84" i="2"/>
  <c r="BD92" i="2" s="1"/>
  <c r="BD100" i="2" s="1"/>
  <c r="BC84" i="2"/>
  <c r="BC92" i="2" s="1"/>
  <c r="BC100" i="2" s="1"/>
  <c r="BB84" i="2"/>
  <c r="BB92" i="2" s="1"/>
  <c r="BB100" i="2" s="1"/>
  <c r="BA84" i="2"/>
  <c r="BA92" i="2" s="1"/>
  <c r="BA100" i="2" s="1"/>
  <c r="AZ84" i="2"/>
  <c r="AZ92" i="2" s="1"/>
  <c r="AZ100" i="2" s="1"/>
  <c r="AY84" i="2"/>
  <c r="AY92" i="2" s="1"/>
  <c r="AY100" i="2" s="1"/>
  <c r="AX84" i="2"/>
  <c r="AX92" i="2" s="1"/>
  <c r="AX100" i="2" s="1"/>
  <c r="AW84" i="2"/>
  <c r="AW92" i="2" s="1"/>
  <c r="AW100" i="2" s="1"/>
  <c r="AV84" i="2"/>
  <c r="AV92" i="2" s="1"/>
  <c r="AV100" i="2" s="1"/>
  <c r="AU84" i="2"/>
  <c r="AU92" i="2" s="1"/>
  <c r="AU100" i="2" s="1"/>
  <c r="AT84" i="2"/>
  <c r="AT92" i="2" s="1"/>
  <c r="AT100" i="2" s="1"/>
  <c r="AS84" i="2"/>
  <c r="AS92" i="2" s="1"/>
  <c r="AS100" i="2" s="1"/>
  <c r="AR84" i="2"/>
  <c r="AR92" i="2" s="1"/>
  <c r="AR100" i="2" s="1"/>
  <c r="AQ84" i="2"/>
  <c r="AQ92" i="2" s="1"/>
  <c r="AQ100" i="2" s="1"/>
  <c r="AP84" i="2"/>
  <c r="AP92" i="2" s="1"/>
  <c r="AP100" i="2" s="1"/>
  <c r="AO84" i="2"/>
  <c r="AO92" i="2" s="1"/>
  <c r="AO100" i="2" s="1"/>
  <c r="AN84" i="2"/>
  <c r="AM84" i="2"/>
  <c r="AL84" i="2"/>
  <c r="K84" i="2"/>
  <c r="J84" i="2"/>
  <c r="I84" i="2"/>
  <c r="H84" i="2"/>
  <c r="G84" i="2"/>
  <c r="F84" i="2"/>
  <c r="E84" i="2"/>
  <c r="BU83" i="2"/>
  <c r="BU82" i="2"/>
  <c r="BU81" i="2"/>
  <c r="BU80" i="2"/>
  <c r="BU76" i="2"/>
  <c r="AM75" i="2"/>
  <c r="AL75" i="2"/>
  <c r="K75" i="2"/>
  <c r="J75" i="2"/>
  <c r="I75" i="2"/>
  <c r="H75" i="2"/>
  <c r="G75" i="2"/>
  <c r="AM74" i="2"/>
  <c r="AL74" i="2"/>
  <c r="K74" i="2"/>
  <c r="J74" i="2"/>
  <c r="I74" i="2"/>
  <c r="H74" i="2"/>
  <c r="G74" i="2"/>
  <c r="F74" i="2"/>
  <c r="E74" i="2"/>
  <c r="H73" i="2"/>
  <c r="H72" i="2"/>
  <c r="H71" i="2"/>
  <c r="AM70" i="2"/>
  <c r="AL70" i="2"/>
  <c r="K70" i="2"/>
  <c r="J70" i="2"/>
  <c r="I70" i="2"/>
  <c r="H70" i="2"/>
  <c r="G70" i="2"/>
  <c r="BU68" i="2"/>
  <c r="BU74" i="2" s="1"/>
  <c r="AQ67" i="2"/>
  <c r="AP67" i="2"/>
  <c r="AO67" i="2"/>
  <c r="AN67" i="2"/>
  <c r="AM67" i="2"/>
  <c r="AM73" i="2" s="1"/>
  <c r="AL67" i="2"/>
  <c r="AL73" i="2" s="1"/>
  <c r="K67" i="2"/>
  <c r="K73" i="2" s="1"/>
  <c r="J67" i="2"/>
  <c r="J73" i="2" s="1"/>
  <c r="I67" i="2"/>
  <c r="I73" i="2" s="1"/>
  <c r="G67" i="2"/>
  <c r="G73" i="2" s="1"/>
  <c r="AQ66" i="2"/>
  <c r="AP66" i="2"/>
  <c r="AO66" i="2"/>
  <c r="AN66" i="2"/>
  <c r="AM66" i="2"/>
  <c r="AM72" i="2" s="1"/>
  <c r="AL66" i="2"/>
  <c r="AL72" i="2" s="1"/>
  <c r="K66" i="2"/>
  <c r="K72" i="2" s="1"/>
  <c r="J66" i="2"/>
  <c r="J72" i="2" s="1"/>
  <c r="I66" i="2"/>
  <c r="I72" i="2" s="1"/>
  <c r="G66" i="2"/>
  <c r="G72" i="2" s="1"/>
  <c r="AQ65" i="2"/>
  <c r="AP65" i="2"/>
  <c r="AO65" i="2"/>
  <c r="AN65" i="2"/>
  <c r="AM65" i="2"/>
  <c r="AM71" i="2" s="1"/>
  <c r="AL65" i="2"/>
  <c r="AL71" i="2" s="1"/>
  <c r="K65" i="2"/>
  <c r="K71" i="2" s="1"/>
  <c r="J65" i="2"/>
  <c r="J71" i="2" s="1"/>
  <c r="I65" i="2"/>
  <c r="I71" i="2" s="1"/>
  <c r="G65" i="2"/>
  <c r="G71" i="2" s="1"/>
  <c r="BI62" i="2"/>
  <c r="BI102" i="2" s="1"/>
  <c r="BI108" i="2" s="1"/>
  <c r="BH62" i="2"/>
  <c r="BH102" i="2" s="1"/>
  <c r="BH108" i="2" s="1"/>
  <c r="BG62" i="2"/>
  <c r="BG102" i="2" s="1"/>
  <c r="BG108" i="2" s="1"/>
  <c r="BF62" i="2"/>
  <c r="BF102" i="2" s="1"/>
  <c r="BF108" i="2" s="1"/>
  <c r="BE62" i="2"/>
  <c r="BE102" i="2" s="1"/>
  <c r="BE108" i="2" s="1"/>
  <c r="BD62" i="2"/>
  <c r="BD102" i="2" s="1"/>
  <c r="BD108" i="2" s="1"/>
  <c r="BC62" i="2"/>
  <c r="BC102" i="2" s="1"/>
  <c r="BC108" i="2" s="1"/>
  <c r="BB62" i="2"/>
  <c r="BB102" i="2" s="1"/>
  <c r="BB108" i="2" s="1"/>
  <c r="BA62" i="2"/>
  <c r="BA102" i="2" s="1"/>
  <c r="BA108" i="2" s="1"/>
  <c r="AZ62" i="2"/>
  <c r="AZ102" i="2" s="1"/>
  <c r="AZ108" i="2" s="1"/>
  <c r="AY62" i="2"/>
  <c r="AY102" i="2" s="1"/>
  <c r="AY108" i="2" s="1"/>
  <c r="AX62" i="2"/>
  <c r="AX102" i="2" s="1"/>
  <c r="AX108" i="2" s="1"/>
  <c r="AW62" i="2"/>
  <c r="AW102" i="2" s="1"/>
  <c r="AW108" i="2" s="1"/>
  <c r="AV62" i="2"/>
  <c r="AV102" i="2" s="1"/>
  <c r="AV108" i="2" s="1"/>
  <c r="AU62" i="2"/>
  <c r="AU102" i="2" s="1"/>
  <c r="AU108" i="2" s="1"/>
  <c r="AT62" i="2"/>
  <c r="AT102" i="2" s="1"/>
  <c r="AT108" i="2" s="1"/>
  <c r="AS62" i="2"/>
  <c r="AS102" i="2" s="1"/>
  <c r="AS108" i="2" s="1"/>
  <c r="AR62" i="2"/>
  <c r="AR102" i="2" s="1"/>
  <c r="AR108" i="2" s="1"/>
  <c r="AQ62" i="2"/>
  <c r="AQ102" i="2" s="1"/>
  <c r="AQ108" i="2" s="1"/>
  <c r="AP62" i="2"/>
  <c r="AP102" i="2" s="1"/>
  <c r="AP108" i="2" s="1"/>
  <c r="AO62" i="2"/>
  <c r="AO102" i="2" s="1"/>
  <c r="AO108" i="2" s="1"/>
  <c r="AN62" i="2"/>
  <c r="AN102" i="2" s="1"/>
  <c r="AN108" i="2" s="1"/>
  <c r="AM62" i="2"/>
  <c r="AM102" i="2" s="1"/>
  <c r="AM108" i="2" s="1"/>
  <c r="AL62" i="2"/>
  <c r="AL102" i="2" s="1"/>
  <c r="AL108" i="2" s="1"/>
  <c r="K62" i="2"/>
  <c r="K102" i="2" s="1"/>
  <c r="K108" i="2" s="1"/>
  <c r="J62" i="2"/>
  <c r="J102" i="2" s="1"/>
  <c r="J108" i="2" s="1"/>
  <c r="I62" i="2"/>
  <c r="BU62" i="2" s="1"/>
  <c r="BU61" i="2"/>
  <c r="BU60" i="2"/>
  <c r="BU59" i="2"/>
  <c r="BU56" i="2"/>
  <c r="BU75" i="2" s="1"/>
  <c r="BR56" i="2"/>
  <c r="BQ56" i="2"/>
  <c r="BP56" i="2"/>
  <c r="BO56" i="2"/>
  <c r="BN56" i="2"/>
  <c r="BM56" i="2"/>
  <c r="BL56" i="2"/>
  <c r="BK56" i="2"/>
  <c r="BJ56" i="2"/>
  <c r="BI56" i="2"/>
  <c r="BH56" i="2"/>
  <c r="F56" i="2"/>
  <c r="F65" i="2" s="1"/>
  <c r="F71" i="2" s="1"/>
  <c r="E56" i="2"/>
  <c r="E70" i="2" s="1"/>
  <c r="BU55" i="2"/>
  <c r="BU46" i="2"/>
  <c r="BU45" i="2"/>
  <c r="BU44" i="2"/>
  <c r="BU43" i="2"/>
  <c r="BU42" i="2"/>
  <c r="BU41" i="2"/>
  <c r="BU40" i="2"/>
  <c r="BU39" i="2"/>
  <c r="BU38" i="2"/>
  <c r="BU37" i="2"/>
  <c r="BU36" i="2"/>
  <c r="BU35" i="2"/>
  <c r="BU34" i="2"/>
  <c r="BU33" i="2"/>
  <c r="BU32" i="2"/>
  <c r="BU31" i="2"/>
  <c r="BU30" i="2"/>
  <c r="BU29" i="2"/>
  <c r="BU28" i="2"/>
  <c r="BU27" i="2"/>
  <c r="BU26" i="2"/>
  <c r="BU25" i="2"/>
  <c r="BU24" i="2"/>
  <c r="BU22" i="2"/>
  <c r="BU21" i="2"/>
  <c r="BU20" i="2"/>
  <c r="BU19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G63" i="2" s="1"/>
  <c r="BF18" i="2"/>
  <c r="BF63" i="2" s="1"/>
  <c r="BE18" i="2"/>
  <c r="BE63" i="2" s="1"/>
  <c r="BD18" i="2"/>
  <c r="BD63" i="2" s="1"/>
  <c r="BC18" i="2"/>
  <c r="BC63" i="2" s="1"/>
  <c r="BB18" i="2"/>
  <c r="BB63" i="2" s="1"/>
  <c r="BA18" i="2"/>
  <c r="BA63" i="2" s="1"/>
  <c r="AZ18" i="2"/>
  <c r="AZ63" i="2" s="1"/>
  <c r="AY18" i="2"/>
  <c r="AY63" i="2" s="1"/>
  <c r="AX18" i="2"/>
  <c r="AX63" i="2" s="1"/>
  <c r="AW18" i="2"/>
  <c r="AW63" i="2" s="1"/>
  <c r="AV18" i="2"/>
  <c r="AV63" i="2" s="1"/>
  <c r="AU18" i="2"/>
  <c r="AU63" i="2" s="1"/>
  <c r="AT18" i="2"/>
  <c r="AT63" i="2" s="1"/>
  <c r="AS18" i="2"/>
  <c r="AS63" i="2" s="1"/>
  <c r="AR18" i="2"/>
  <c r="AR63" i="2" s="1"/>
  <c r="AQ18" i="2"/>
  <c r="AQ63" i="2" s="1"/>
  <c r="AP18" i="2"/>
  <c r="AP63" i="2" s="1"/>
  <c r="AO18" i="2"/>
  <c r="AO63" i="2" s="1"/>
  <c r="AN18" i="2"/>
  <c r="AN63" i="2" s="1"/>
  <c r="AM18" i="2"/>
  <c r="AM63" i="2" s="1"/>
  <c r="AL18" i="2"/>
  <c r="AL63" i="2" s="1"/>
  <c r="K63" i="2"/>
  <c r="J63" i="2"/>
  <c r="I63" i="2"/>
  <c r="F18" i="2"/>
  <c r="E18" i="2"/>
  <c r="BU15" i="2"/>
  <c r="BU14" i="2"/>
  <c r="BU13" i="2"/>
  <c r="BU12" i="2"/>
  <c r="BU11" i="2"/>
  <c r="BU10" i="2"/>
  <c r="BU9" i="2"/>
  <c r="BU8" i="2"/>
  <c r="BU7" i="2"/>
  <c r="BU6" i="2"/>
  <c r="BU5" i="2"/>
  <c r="BU4" i="2"/>
  <c r="AQ109" i="2" l="1"/>
  <c r="BC109" i="2"/>
  <c r="BQ109" i="2"/>
  <c r="AR105" i="2"/>
  <c r="AR106" i="2" s="1"/>
  <c r="AR110" i="2" s="1"/>
  <c r="BD105" i="2"/>
  <c r="BD106" i="2" s="1"/>
  <c r="BD110" i="2" s="1"/>
  <c r="BP105" i="2"/>
  <c r="BP106" i="2" s="1"/>
  <c r="BP110" i="2" s="1"/>
  <c r="E109" i="2"/>
  <c r="F109" i="2"/>
  <c r="G109" i="2"/>
  <c r="BQ105" i="2"/>
  <c r="BQ106" i="2" s="1"/>
  <c r="BQ110" i="2" s="1"/>
  <c r="BI105" i="2"/>
  <c r="BI106" i="2" s="1"/>
  <c r="BI110" i="2" s="1"/>
  <c r="BO109" i="2"/>
  <c r="F92" i="2"/>
  <c r="BK105" i="2"/>
  <c r="BK106" i="2" s="1"/>
  <c r="BK110" i="2" s="1"/>
  <c r="BM63" i="2"/>
  <c r="BN63" i="2"/>
  <c r="AO109" i="2"/>
  <c r="BA109" i="2"/>
  <c r="BA105" i="2"/>
  <c r="BA106" i="2" s="1"/>
  <c r="BA110" i="2" s="1"/>
  <c r="AX105" i="2"/>
  <c r="AX106" i="2" s="1"/>
  <c r="AX110" i="2" s="1"/>
  <c r="BH63" i="2"/>
  <c r="AP109" i="2"/>
  <c r="BB109" i="2"/>
  <c r="E92" i="2"/>
  <c r="BP63" i="2"/>
  <c r="AT105" i="2"/>
  <c r="AT106" i="2" s="1"/>
  <c r="AT110" i="2" s="1"/>
  <c r="BF105" i="2"/>
  <c r="BF106" i="2" s="1"/>
  <c r="BF110" i="2" s="1"/>
  <c r="BR105" i="2"/>
  <c r="BR106" i="2" s="1"/>
  <c r="BR110" i="2" s="1"/>
  <c r="BQ63" i="2"/>
  <c r="AR109" i="2"/>
  <c r="BD109" i="2"/>
  <c r="AS109" i="2"/>
  <c r="BE109" i="2"/>
  <c r="AV105" i="2"/>
  <c r="AV106" i="2" s="1"/>
  <c r="AV110" i="2" s="1"/>
  <c r="BH105" i="2"/>
  <c r="BH106" i="2" s="1"/>
  <c r="BH110" i="2" s="1"/>
  <c r="BP109" i="2"/>
  <c r="AS105" i="2"/>
  <c r="AS106" i="2" s="1"/>
  <c r="AS110" i="2" s="1"/>
  <c r="H92" i="2"/>
  <c r="BK63" i="2"/>
  <c r="BU91" i="2"/>
  <c r="K92" i="2"/>
  <c r="K100" i="2" s="1"/>
  <c r="K110" i="2" s="1"/>
  <c r="AV93" i="2"/>
  <c r="BJ105" i="2"/>
  <c r="BJ106" i="2" s="1"/>
  <c r="BJ110" i="2" s="1"/>
  <c r="AL92" i="2"/>
  <c r="AL100" i="2" s="1"/>
  <c r="AL110" i="2" s="1"/>
  <c r="BU107" i="2"/>
  <c r="G92" i="2"/>
  <c r="AN109" i="2"/>
  <c r="AZ109" i="2"/>
  <c r="BQ93" i="2"/>
  <c r="BB105" i="2"/>
  <c r="BB106" i="2" s="1"/>
  <c r="BB110" i="2" s="1"/>
  <c r="F110" i="2"/>
  <c r="BF109" i="2"/>
  <c r="AU105" i="2"/>
  <c r="AU106" i="2" s="1"/>
  <c r="AU110" i="2" s="1"/>
  <c r="BU99" i="2"/>
  <c r="BU105" i="2" s="1"/>
  <c r="BU106" i="2" s="1"/>
  <c r="BL109" i="2"/>
  <c r="BD93" i="2"/>
  <c r="BN105" i="2"/>
  <c r="BN106" i="2" s="1"/>
  <c r="BN110" i="2" s="1"/>
  <c r="BJ109" i="2"/>
  <c r="BG109" i="2"/>
  <c r="AV109" i="2"/>
  <c r="F66" i="2"/>
  <c r="F72" i="2" s="1"/>
  <c r="AM92" i="2"/>
  <c r="AM100" i="2" s="1"/>
  <c r="AM110" i="2" s="1"/>
  <c r="BO63" i="2"/>
  <c r="AW109" i="2"/>
  <c r="BI109" i="2"/>
  <c r="F75" i="2"/>
  <c r="BU84" i="2"/>
  <c r="AN92" i="2"/>
  <c r="AN100" i="2" s="1"/>
  <c r="AN110" i="2" s="1"/>
  <c r="BM109" i="2"/>
  <c r="BF93" i="2"/>
  <c r="J109" i="2"/>
  <c r="BH109" i="2"/>
  <c r="AL109" i="2"/>
  <c r="AX109" i="2"/>
  <c r="AZ105" i="2"/>
  <c r="AZ106" i="2" s="1"/>
  <c r="AZ110" i="2" s="1"/>
  <c r="BL105" i="2"/>
  <c r="BL106" i="2" s="1"/>
  <c r="BL110" i="2" s="1"/>
  <c r="BN109" i="2"/>
  <c r="J92" i="2"/>
  <c r="J100" i="2" s="1"/>
  <c r="J110" i="2" s="1"/>
  <c r="BR63" i="2"/>
  <c r="AT109" i="2"/>
  <c r="AU109" i="2"/>
  <c r="BH93" i="2"/>
  <c r="BI63" i="2"/>
  <c r="K109" i="2"/>
  <c r="BJ63" i="2"/>
  <c r="BL63" i="2"/>
  <c r="AM109" i="2"/>
  <c r="AY109" i="2"/>
  <c r="AR93" i="2"/>
  <c r="BP93" i="2"/>
  <c r="BR109" i="2"/>
  <c r="BK109" i="2"/>
  <c r="I92" i="2"/>
  <c r="I100" i="2" s="1"/>
  <c r="BC105" i="2"/>
  <c r="BC106" i="2" s="1"/>
  <c r="BC110" i="2" s="1"/>
  <c r="BC111" i="2" s="1"/>
  <c r="E110" i="2"/>
  <c r="E111" i="2" s="1"/>
  <c r="BU63" i="2"/>
  <c r="BU18" i="2"/>
  <c r="BU65" i="2"/>
  <c r="BU71" i="2" s="1"/>
  <c r="BU66" i="2"/>
  <c r="BU72" i="2" s="1"/>
  <c r="BU67" i="2"/>
  <c r="BU73" i="2" s="1"/>
  <c r="AO110" i="2"/>
  <c r="AP110" i="2"/>
  <c r="G110" i="2"/>
  <c r="E67" i="2"/>
  <c r="E73" i="2" s="1"/>
  <c r="F70" i="2"/>
  <c r="F67" i="2"/>
  <c r="F73" i="2" s="1"/>
  <c r="AT93" i="2"/>
  <c r="BB93" i="2"/>
  <c r="BJ93" i="2"/>
  <c r="BR93" i="2"/>
  <c r="I102" i="2"/>
  <c r="I108" i="2" s="1"/>
  <c r="I109" i="2" s="1"/>
  <c r="E66" i="2"/>
  <c r="E72" i="2" s="1"/>
  <c r="AW105" i="2"/>
  <c r="AW106" i="2" s="1"/>
  <c r="AW110" i="2" s="1"/>
  <c r="BE105" i="2"/>
  <c r="BE106" i="2" s="1"/>
  <c r="BE110" i="2" s="1"/>
  <c r="BM105" i="2"/>
  <c r="BM106" i="2" s="1"/>
  <c r="BM110" i="2" s="1"/>
  <c r="E65" i="2"/>
  <c r="E71" i="2" s="1"/>
  <c r="AQ105" i="2"/>
  <c r="AQ106" i="2" s="1"/>
  <c r="AQ110" i="2" s="1"/>
  <c r="AQ111" i="2" s="1"/>
  <c r="AY105" i="2"/>
  <c r="AY106" i="2" s="1"/>
  <c r="AY110" i="2" s="1"/>
  <c r="BG105" i="2"/>
  <c r="BG106" i="2" s="1"/>
  <c r="BG110" i="2" s="1"/>
  <c r="BO105" i="2"/>
  <c r="BO106" i="2" s="1"/>
  <c r="BO110" i="2" s="1"/>
  <c r="E75" i="2"/>
  <c r="BQ111" i="2" l="1"/>
  <c r="BP111" i="2"/>
  <c r="F111" i="2"/>
  <c r="J111" i="2"/>
  <c r="AT111" i="2"/>
  <c r="G111" i="2"/>
  <c r="BA111" i="2"/>
  <c r="BR111" i="2"/>
  <c r="BF111" i="2"/>
  <c r="BO111" i="2"/>
  <c r="AN111" i="2"/>
  <c r="AO111" i="2"/>
  <c r="BN111" i="2"/>
  <c r="BD111" i="2"/>
  <c r="BU92" i="2"/>
  <c r="AL111" i="2"/>
  <c r="BG111" i="2"/>
  <c r="BJ111" i="2"/>
  <c r="AR111" i="2"/>
  <c r="AM111" i="2"/>
  <c r="BB111" i="2"/>
  <c r="BI111" i="2"/>
  <c r="AP111" i="2"/>
  <c r="AS111" i="2"/>
  <c r="BE111" i="2"/>
  <c r="BU100" i="2"/>
  <c r="BM111" i="2"/>
  <c r="BL111" i="2"/>
  <c r="AU111" i="2"/>
  <c r="AZ111" i="2"/>
  <c r="AY111" i="2"/>
  <c r="BH111" i="2"/>
  <c r="BK111" i="2"/>
  <c r="AX111" i="2"/>
  <c r="AW111" i="2"/>
  <c r="AV111" i="2"/>
  <c r="K111" i="2"/>
  <c r="I110" i="2"/>
  <c r="I111" i="2" s="1"/>
  <c r="BU102" i="2"/>
  <c r="BU108" i="2" s="1"/>
  <c r="BU109" i="2" s="1"/>
  <c r="BU110" i="2" l="1"/>
  <c r="BU111" i="2" s="1"/>
</calcChain>
</file>

<file path=xl/sharedStrings.xml><?xml version="1.0" encoding="utf-8"?>
<sst xmlns="http://schemas.openxmlformats.org/spreadsheetml/2006/main" count="3585" uniqueCount="290">
  <si>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</si>
  <si>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</si>
  <si>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</si>
  <si>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</si>
  <si>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</si>
  <si>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</si>
  <si>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</si>
  <si>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</si>
  <si>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</si>
  <si>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</si>
  <si>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</si>
  <si>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</si>
  <si>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</si>
  <si>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</si>
  <si>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</si>
  <si>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</si>
  <si>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</si>
  <si>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</si>
  <si>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</si>
  <si>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</si>
  <si>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</si>
  <si>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</si>
  <si>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</si>
  <si>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</si>
  <si>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</si>
  <si>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</si>
  <si>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</si>
  <si>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</si>
  <si>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</si>
  <si>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</si>
  <si>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</si>
  <si>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</si>
  <si>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</si>
  <si>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</si>
  <si>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</si>
  <si>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</si>
  <si>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</si>
  <si>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</si>
  <si>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</si>
  <si>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</si>
  <si>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</si>
  <si>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</si>
  <si>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</si>
  <si>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</si>
  <si>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</si>
  <si>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</si>
  <si>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</si>
  <si>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</si>
  <si>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</si>
  <si>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</si>
  <si>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</si>
  <si>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</si>
  <si>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</si>
  <si>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</si>
  <si>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</si>
  <si>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</si>
  <si>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</si>
  <si>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</si>
  <si>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</si>
  <si>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</si>
  <si>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</si>
  <si>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</si>
  <si>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</si>
  <si>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</si>
  <si>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</si>
  <si>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</si>
  <si>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</si>
  <si>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</si>
  <si>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</si>
  <si>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</si>
  <si>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</si>
  <si>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</si>
  <si>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</si>
  <si>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</si>
  <si>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</si>
  <si>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</si>
  <si>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</si>
  <si>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</si>
  <si>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</si>
  <si>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</si>
  <si>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</si>
  <si>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</si>
  <si>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</si>
  <si>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</si>
  <si>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</si>
  <si>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</si>
  <si>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</si>
  <si>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</si>
  <si>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</si>
  <si>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</si>
  <si>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</si>
  <si>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</si>
  <si>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</si>
  <si>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</si>
  <si>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</si>
  <si>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</si>
  <si>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</si>
  <si>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</si>
  <si>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</si>
  <si>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</si>
  <si>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</si>
  <si>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</si>
  <si>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</si>
  <si>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</si>
  <si>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</si>
  <si>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</si>
  <si>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</si>
  <si>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</si>
  <si>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</si>
  <si>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</si>
  <si>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</si>
  <si>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</si>
  <si>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</si>
  <si>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</si>
  <si>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</si>
  <si>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</si>
  <si>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</si>
  <si>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</si>
  <si>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</si>
  <si>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</si>
  <si>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Kyemene 777LX (WSR)</t>
  </si>
  <si>
    <t>SOFTING AGENT - PROSOFT TQ 218</t>
  </si>
  <si>
    <t>Creptrol A9915 (Yankee coating)</t>
  </si>
  <si>
    <t>Creptrol 3718 (Yankee coating)</t>
  </si>
  <si>
    <t>Rezosol 1400 ( Yankee Release)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</si>
  <si>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</si>
  <si>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</si>
  <si>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</si>
  <si>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</si>
  <si>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</si>
  <si>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</si>
  <si>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</si>
  <si>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</si>
  <si>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</si>
  <si>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</si>
  <si>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</si>
  <si>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</si>
  <si>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</si>
  <si>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</si>
  <si>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</si>
  <si>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</si>
  <si>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</si>
  <si>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</si>
  <si>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</si>
  <si>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</si>
  <si>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</si>
  <si>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</si>
  <si>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</si>
  <si>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</si>
  <si>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</si>
  <si>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</si>
  <si>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</si>
  <si>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</si>
  <si>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</si>
  <si>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</si>
  <si>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</si>
  <si>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</si>
  <si>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</si>
  <si>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</si>
  <si>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</si>
  <si>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</si>
  <si>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</si>
  <si>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</si>
  <si>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</si>
  <si>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</si>
  <si>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</si>
  <si>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</si>
  <si>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</si>
  <si>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</si>
  <si>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</si>
  <si>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</si>
  <si>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</si>
  <si>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</si>
  <si>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</si>
  <si>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</si>
  <si>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</si>
  <si>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</si>
  <si>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</si>
  <si>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</si>
  <si>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</si>
  <si>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</si>
  <si>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</si>
  <si>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</si>
  <si>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</si>
  <si>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</si>
  <si>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</si>
  <si>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</si>
  <si>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</si>
  <si>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</si>
  <si>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</si>
  <si>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</si>
  <si>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</si>
  <si>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</si>
  <si>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</si>
  <si>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</si>
  <si>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</si>
  <si>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</si>
  <si>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</si>
  <si>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</si>
  <si>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</si>
  <si>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</si>
  <si>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</si>
  <si>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</si>
  <si>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</si>
  <si>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</si>
  <si>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</si>
  <si>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</si>
  <si>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</si>
  <si>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</si>
  <si>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</si>
  <si>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</si>
  <si>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</si>
  <si>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</si>
  <si>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</si>
  <si>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</si>
  <si>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</si>
  <si>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</si>
  <si>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</si>
  <si>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</si>
  <si>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</si>
  <si>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</si>
  <si>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</si>
  <si>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</si>
  <si>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</si>
  <si>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</si>
  <si>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</si>
  <si>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</si>
  <si>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</si>
  <si>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</si>
  <si>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</si>
  <si>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Imported Softwood Pulp METSA (AD)</t>
  </si>
  <si>
    <t>Yankee doctor blade change &amp; roll cleaning</t>
  </si>
  <si>
    <t>Imported Hardwood April XP (AD)</t>
  </si>
  <si>
    <t>Sheet break</t>
  </si>
  <si>
    <t>TT</t>
  </si>
  <si>
    <t>BCHEM Rzym E - TR</t>
  </si>
  <si>
    <t>Power</t>
  </si>
  <si>
    <t>Machine tripped due to power fluctuation</t>
  </si>
  <si>
    <t>Steam</t>
  </si>
  <si>
    <t>DAILY REPORT  Month (July -2025)</t>
  </si>
  <si>
    <t>Machine stopped due to Boiler side instt problem (PRS station cv air pipe loose)</t>
  </si>
  <si>
    <t>Creptrol 9258 AP (Yankee coating)</t>
  </si>
  <si>
    <t>NT</t>
  </si>
  <si>
    <t>Maintainance</t>
  </si>
  <si>
    <t>Stock off due to secondary arm lever stuck</t>
  </si>
  <si>
    <t>System wash up</t>
  </si>
  <si>
    <t>Felt and wire cleaning and system drained</t>
  </si>
  <si>
    <t>Anmosuper PAE (WSR)</t>
  </si>
  <si>
    <t>FT</t>
  </si>
  <si>
    <t>TOWEL</t>
  </si>
  <si>
    <t>KT</t>
  </si>
  <si>
    <t>Felt &amp; wire cleaning</t>
  </si>
  <si>
    <t>Clothing change</t>
  </si>
  <si>
    <t>Felt &amp; Wire cleaning</t>
  </si>
  <si>
    <t>Instruments</t>
  </si>
  <si>
    <t>Machine speed slow due to Wet end burner tripped frequently</t>
  </si>
  <si>
    <t>Wire &amp; Felt cleaning done</t>
  </si>
  <si>
    <t>Wire &amp; Felt cleaning done &amp; System drained out</t>
  </si>
  <si>
    <t>Maintanance</t>
  </si>
  <si>
    <t>Machine stopped due to suction roll vibration</t>
  </si>
  <si>
    <t>Plaaned shut</t>
  </si>
  <si>
    <t>Planned shut for Turbo dryer installation</t>
  </si>
  <si>
    <t>PLANNED SHUT</t>
  </si>
  <si>
    <t>Planned shut</t>
  </si>
  <si>
    <t>.24:00</t>
  </si>
  <si>
    <t>Machine shut for planned shut for Turbo dryer work</t>
  </si>
  <si>
    <t>.24.0</t>
  </si>
  <si>
    <t>Power failure</t>
  </si>
  <si>
    <t>Other</t>
  </si>
  <si>
    <t>Uhle box bolt broken (Toscotec)</t>
  </si>
  <si>
    <t>Hood burners tripped frequently</t>
  </si>
  <si>
    <t>E&amp;I</t>
  </si>
  <si>
    <t>Machine tyripped due to next press low oil flow</t>
  </si>
  <si>
    <t>Vacuum separator pump water lifting issue</t>
  </si>
  <si>
    <t>Instt</t>
  </si>
  <si>
    <t>Gap in between pope reel and spool issue and sec arm not ejecting the spool</t>
  </si>
  <si>
    <t>Stock off due to centricleaner pipe leakage</t>
  </si>
  <si>
    <t>Paper feeding issue due to gap between spool and pope reel</t>
  </si>
  <si>
    <t>Power failure two times</t>
  </si>
  <si>
    <t xml:space="preserve">Power failure </t>
  </si>
  <si>
    <t>Felt wire cleaning</t>
  </si>
  <si>
    <t>Others</t>
  </si>
  <si>
    <t>Felt carried the stock</t>
  </si>
  <si>
    <t>Natural Gas consumption (Tissue Machine)</t>
  </si>
  <si>
    <t>Natural Gas consumption (Boiler)</t>
  </si>
  <si>
    <t>Fresh Water consumption</t>
  </si>
  <si>
    <t>RO water consumption</t>
  </si>
  <si>
    <t>Power (MACHINE)</t>
  </si>
  <si>
    <t>Power (BOILER+ETP)</t>
  </si>
  <si>
    <t>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</si>
</sst>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$-409]d\-mmm\-yy;@"/>
    <numFmt numFmtId="167" formatCode="0.000"/>
  </numFmts>
  <fonts count="1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164" fontId="4" fillId="0" borderId="18" xfId="1" applyNumberFormat="1" applyFont="1" applyBorder="1" applyAlignment="1">
      <alignment horizontal="center" vertical="center" wrapText="1"/>
    </xf>
    <xf numFmtId="164" fontId="4" fillId="0" borderId="19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0" borderId="21" xfId="1" applyFont="1" applyBorder="1"/>
    <xf numFmtId="0" fontId="4" fillId="0" borderId="2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3" xfId="0" applyFont="1" applyBorder="1"/>
    <xf numFmtId="0" fontId="2" fillId="0" borderId="8" xfId="0" applyFont="1" applyBorder="1"/>
    <xf numFmtId="2" fontId="2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/>
    <xf numFmtId="0" fontId="2" fillId="0" borderId="24" xfId="0" applyFont="1" applyBorder="1"/>
    <xf numFmtId="0" fontId="2" fillId="0" borderId="25" xfId="0" applyFont="1" applyBorder="1"/>
    <xf numFmtId="0" fontId="1" fillId="0" borderId="24" xfId="0" applyFont="1" applyBorder="1" applyAlignment="1">
      <alignment horizontal="right"/>
    </xf>
    <xf numFmtId="2" fontId="2" fillId="0" borderId="24" xfId="0" applyNumberFormat="1" applyFont="1" applyBorder="1" applyAlignment="1">
      <alignment horizontal="center"/>
    </xf>
    <xf numFmtId="0" fontId="1" fillId="0" borderId="24" xfId="0" applyFont="1" applyBorder="1"/>
    <xf numFmtId="0" fontId="2" fillId="0" borderId="26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7" fillId="2" borderId="27" xfId="0" applyFont="1" applyFill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7" fillId="0" borderId="0" xfId="0" applyFont="1"/>
    <xf numFmtId="0" fontId="7" fillId="3" borderId="20" xfId="0" applyFont="1" applyFill="1" applyBorder="1"/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1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7" fontId="9" fillId="6" borderId="21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167" fontId="9" fillId="7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/>
    <xf numFmtId="0" fontId="10" fillId="4" borderId="1" xfId="0" applyFont="1" applyFill="1" applyBorder="1"/>
    <xf numFmtId="0" fontId="10" fillId="4" borderId="3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7" fillId="2" borderId="20" xfId="0" applyFont="1" applyFill="1" applyBorder="1" applyAlignment="1">
      <alignment horizontal="center"/>
    </xf>
    <xf numFmtId="0" fontId="13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7" fontId="7" fillId="0" borderId="0" xfId="0" applyNumberFormat="1" applyFont="1"/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center"/>
    </xf>
    <xf numFmtId="167" fontId="7" fillId="2" borderId="2" xfId="0" applyNumberFormat="1" applyFont="1" applyFill="1" applyBorder="1" applyAlignment="1">
      <alignment horizontal="center"/>
    </xf>
    <xf numFmtId="167" fontId="9" fillId="2" borderId="2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2" borderId="21" xfId="0" applyNumberFormat="1" applyFont="1" applyFill="1" applyBorder="1" applyAlignment="1">
      <alignment horizontal="center"/>
    </xf>
    <xf numFmtId="164" fontId="9" fillId="2" borderId="21" xfId="0" applyNumberFormat="1" applyFont="1" applyFill="1" applyBorder="1" applyAlignment="1">
      <alignment horizontal="center" vertical="center"/>
    </xf>
    <xf numFmtId="1" fontId="9" fillId="2" borderId="2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5" xfId="0" applyFont="1" applyFill="1" applyBorder="1"/>
    <xf numFmtId="0" fontId="7" fillId="2" borderId="4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7" fillId="2" borderId="2" xfId="0" applyFont="1" applyFill="1" applyBorder="1"/>
    <xf numFmtId="0" fontId="7" fillId="2" borderId="31" xfId="0" applyFont="1" applyFill="1" applyBorder="1" applyAlignment="1">
      <alignment horizontal="center"/>
    </xf>
    <xf numFmtId="0" fontId="11" fillId="2" borderId="3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right"/>
    </xf>
    <xf numFmtId="164" fontId="7" fillId="2" borderId="8" xfId="0" applyNumberFormat="1" applyFont="1" applyFill="1" applyBorder="1" applyAlignment="1">
      <alignment horizontal="center"/>
    </xf>
    <xf numFmtId="164" fontId="7" fillId="2" borderId="23" xfId="0" applyNumberFormat="1" applyFont="1" applyFill="1" applyBorder="1" applyAlignment="1">
      <alignment horizontal="center"/>
    </xf>
    <xf numFmtId="0" fontId="7" fillId="2" borderId="20" xfId="0" applyFont="1" applyFill="1" applyBorder="1"/>
    <xf numFmtId="164" fontId="9" fillId="2" borderId="1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7" fillId="2" borderId="34" xfId="0" applyFont="1" applyFill="1" applyBorder="1"/>
    <xf numFmtId="0" fontId="9" fillId="2" borderId="35" xfId="0" applyFont="1" applyFill="1" applyBorder="1"/>
    <xf numFmtId="0" fontId="9" fillId="2" borderId="35" xfId="0" applyFont="1" applyFill="1" applyBorder="1" applyAlignment="1">
      <alignment horizontal="left"/>
    </xf>
    <xf numFmtId="0" fontId="9" fillId="2" borderId="35" xfId="0" applyFont="1" applyFill="1" applyBorder="1" applyAlignment="1">
      <alignment horizontal="center"/>
    </xf>
    <xf numFmtId="2" fontId="7" fillId="2" borderId="35" xfId="0" applyNumberFormat="1" applyFont="1" applyFill="1" applyBorder="1" applyAlignment="1">
      <alignment horizontal="center"/>
    </xf>
    <xf numFmtId="2" fontId="7" fillId="2" borderId="36" xfId="0" applyNumberFormat="1" applyFont="1" applyFill="1" applyBorder="1" applyAlignment="1">
      <alignment horizontal="center"/>
    </xf>
    <xf numFmtId="2" fontId="9" fillId="2" borderId="37" xfId="0" applyNumberFormat="1" applyFont="1" applyFill="1" applyBorder="1" applyAlignment="1">
      <alignment horizontal="center" vertical="center"/>
    </xf>
    <xf numFmtId="0" fontId="7" fillId="2" borderId="38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39" xfId="0" applyFont="1" applyFill="1" applyBorder="1" applyAlignment="1">
      <alignment vertical="center"/>
    </xf>
    <xf numFmtId="0" fontId="7" fillId="2" borderId="27" xfId="0" applyFont="1" applyFill="1" applyBorder="1" applyAlignment="1">
      <alignment horizontal="center"/>
    </xf>
    <xf numFmtId="0" fontId="11" fillId="2" borderId="40" xfId="0" applyFont="1" applyFill="1" applyBorder="1" applyAlignment="1">
      <alignment horizontal="left"/>
    </xf>
    <xf numFmtId="0" fontId="7" fillId="2" borderId="40" xfId="0" applyFont="1" applyFill="1" applyBorder="1"/>
    <xf numFmtId="0" fontId="9" fillId="2" borderId="40" xfId="0" applyFont="1" applyFill="1" applyBorder="1" applyAlignment="1">
      <alignment horizontal="left"/>
    </xf>
    <xf numFmtId="0" fontId="7" fillId="2" borderId="28" xfId="0" applyFont="1" applyFill="1" applyBorder="1"/>
    <xf numFmtId="0" fontId="9" fillId="2" borderId="4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2" fontId="7" fillId="2" borderId="21" xfId="0" applyNumberFormat="1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/>
    </xf>
    <xf numFmtId="164" fontId="9" fillId="2" borderId="35" xfId="0" applyNumberFormat="1" applyFont="1" applyFill="1" applyBorder="1" applyAlignment="1">
      <alignment horizontal="center"/>
    </xf>
    <xf numFmtId="164" fontId="9" fillId="2" borderId="36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5" fontId="2" fillId="0" borderId="23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 vertical="center" wrapText="1"/>
    </xf>
    <xf numFmtId="164" fontId="4" fillId="0" borderId="1" xfId="2" applyNumberFormat="1" applyFont="1" applyBorder="1" applyAlignment="1">
      <alignment horizontal="center" vertical="center" wrapText="1"/>
    </xf>
    <xf numFmtId="164" fontId="6" fillId="0" borderId="14" xfId="2" applyNumberFormat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/>
    </xf>
    <xf numFmtId="0" fontId="7" fillId="2" borderId="43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7" fillId="3" borderId="34" xfId="0" applyFont="1" applyFill="1" applyBorder="1" applyAlignment="1">
      <alignment horizontal="center"/>
    </xf>
    <xf numFmtId="0" fontId="9" fillId="7" borderId="35" xfId="0" applyFont="1" applyFill="1" applyBorder="1"/>
    <xf numFmtId="0" fontId="9" fillId="7" borderId="35" xfId="0" applyFont="1" applyFill="1" applyBorder="1" applyAlignment="1">
      <alignment horizontal="left"/>
    </xf>
    <xf numFmtId="0" fontId="9" fillId="7" borderId="35" xfId="0" applyFont="1" applyFill="1" applyBorder="1" applyAlignment="1">
      <alignment horizontal="center"/>
    </xf>
    <xf numFmtId="2" fontId="9" fillId="7" borderId="35" xfId="0" applyNumberFormat="1" applyFont="1" applyFill="1" applyBorder="1" applyAlignment="1">
      <alignment horizontal="center"/>
    </xf>
    <xf numFmtId="167" fontId="9" fillId="7" borderId="35" xfId="0" applyNumberFormat="1" applyFont="1" applyFill="1" applyBorder="1" applyAlignment="1">
      <alignment horizontal="center"/>
    </xf>
    <xf numFmtId="2" fontId="9" fillId="7" borderId="36" xfId="0" applyNumberFormat="1" applyFont="1" applyFill="1" applyBorder="1" applyAlignment="1">
      <alignment horizontal="center"/>
    </xf>
    <xf numFmtId="167" fontId="9" fillId="6" borderId="37" xfId="0" applyNumberFormat="1" applyFont="1" applyFill="1" applyBorder="1" applyAlignment="1">
      <alignment horizontal="center" vertical="center"/>
    </xf>
    <xf numFmtId="164" fontId="6" fillId="0" borderId="3" xfId="2" applyNumberFormat="1" applyFont="1" applyBorder="1" applyAlignment="1">
      <alignment horizontal="center" vertical="center" wrapText="1"/>
    </xf>
    <xf numFmtId="164" fontId="4" fillId="0" borderId="7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164" fontId="4" fillId="0" borderId="9" xfId="2" applyNumberFormat="1" applyFont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/>
    </xf>
    <xf numFmtId="165" fontId="4" fillId="2" borderId="10" xfId="2" applyNumberFormat="1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vertical="center"/>
    </xf>
    <xf numFmtId="0" fontId="4" fillId="2" borderId="15" xfId="2" applyFont="1" applyFill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164" fontId="4" fillId="0" borderId="13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4" fontId="4" fillId="0" borderId="17" xfId="2" applyNumberFormat="1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/>
    </xf>
    <xf numFmtId="0" fontId="7" fillId="5" borderId="2" xfId="0" applyFont="1" applyFill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7" fontId="9" fillId="6" borderId="1" xfId="0" applyNumberFormat="1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165" fontId="4" fillId="2" borderId="15" xfId="2" applyNumberFormat="1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14" fillId="2" borderId="15" xfId="2" applyFont="1" applyFill="1" applyBorder="1" applyAlignment="1">
      <alignment horizontal="center" vertical="center"/>
    </xf>
    <xf numFmtId="165" fontId="14" fillId="2" borderId="15" xfId="2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6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 wrapText="1"/>
    </xf>
    <xf numFmtId="164" fontId="14" fillId="0" borderId="1" xfId="2" applyNumberFormat="1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164" fontId="15" fillId="0" borderId="14" xfId="2" applyNumberFormat="1" applyFont="1" applyBorder="1" applyAlignment="1">
      <alignment horizontal="center" vertical="center" wrapText="1"/>
    </xf>
    <xf numFmtId="0" fontId="14" fillId="2" borderId="10" xfId="2" applyFont="1" applyFill="1" applyBorder="1" applyAlignment="1">
      <alignment horizontal="center" vertical="center"/>
    </xf>
    <xf numFmtId="165" fontId="14" fillId="2" borderId="10" xfId="2" applyNumberFormat="1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/>
    </xf>
    <xf numFmtId="0" fontId="4" fillId="0" borderId="12" xfId="2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164" fontId="14" fillId="0" borderId="7" xfId="2" applyNumberFormat="1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164" fontId="14" fillId="0" borderId="13" xfId="2" applyNumberFormat="1" applyFont="1" applyBorder="1" applyAlignment="1">
      <alignment horizontal="center" vertical="center" wrapText="1"/>
    </xf>
    <xf numFmtId="164" fontId="14" fillId="0" borderId="18" xfId="2" applyNumberFormat="1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 wrapText="1"/>
    </xf>
    <xf numFmtId="164" fontId="14" fillId="0" borderId="9" xfId="2" applyNumberFormat="1" applyFont="1" applyBorder="1" applyAlignment="1">
      <alignment horizontal="center" vertical="center" wrapText="1"/>
    </xf>
    <xf numFmtId="164" fontId="14" fillId="0" borderId="17" xfId="2" applyNumberFormat="1" applyFont="1" applyBorder="1" applyAlignment="1">
      <alignment horizontal="center" vertical="center" wrapText="1"/>
    </xf>
    <xf numFmtId="164" fontId="14" fillId="0" borderId="19" xfId="2" applyNumberFormat="1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164" fontId="4" fillId="0" borderId="18" xfId="2" applyNumberFormat="1" applyFont="1" applyBorder="1" applyAlignment="1">
      <alignment horizontal="center" vertical="center" wrapText="1"/>
    </xf>
    <xf numFmtId="164" fontId="4" fillId="0" borderId="19" xfId="2" applyNumberFormat="1" applyFont="1" applyBorder="1" applyAlignment="1">
      <alignment horizontal="center" vertical="center" wrapText="1"/>
    </xf>
    <xf numFmtId="20" fontId="4" fillId="0" borderId="10" xfId="0" applyNumberFormat="1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5938-AC8D-44BE-A0DC-603D646F5A1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234</v>
      </c>
      <c r="C9" s="176">
        <v>15</v>
      </c>
      <c r="D9" s="14">
        <v>2.85</v>
      </c>
      <c r="E9" s="179">
        <v>1725</v>
      </c>
      <c r="F9" s="177">
        <v>70</v>
      </c>
      <c r="G9" s="15">
        <f t="shared" ref="G9" si="0">E9*F9</f>
        <v>120750</v>
      </c>
      <c r="H9" s="16">
        <f t="shared" ref="H9" si="1">F9*C9</f>
        <v>1050</v>
      </c>
      <c r="I9" s="195" t="s">
        <v>20</v>
      </c>
      <c r="J9" s="196">
        <v>2.4305555555555556E-2</v>
      </c>
      <c r="K9" s="197" t="s">
        <v>231</v>
      </c>
    </row>
    <row r="10" spans="1:11" ht="16" x14ac:dyDescent="0.15">
      <c r="A10" s="17"/>
      <c r="B10" s="175"/>
      <c r="C10" s="176"/>
      <c r="D10" s="14"/>
      <c r="E10" s="179"/>
      <c r="F10" s="177"/>
      <c r="G10" s="15"/>
      <c r="H10" s="16"/>
      <c r="I10" s="198" t="s">
        <v>238</v>
      </c>
      <c r="J10" s="209">
        <v>3.4722222222222224E-2</v>
      </c>
      <c r="K10" s="211" t="s">
        <v>240</v>
      </c>
    </row>
    <row r="11" spans="1:11" ht="16" x14ac:dyDescent="0.15">
      <c r="A11" s="178"/>
      <c r="B11" s="175"/>
      <c r="C11" s="176"/>
      <c r="D11" s="14"/>
      <c r="E11" s="179"/>
      <c r="F11" s="191"/>
      <c r="G11" s="15"/>
      <c r="H11" s="16"/>
      <c r="I11" s="198" t="s">
        <v>236</v>
      </c>
      <c r="J11" s="209">
        <v>4.1666666666666664E-2</v>
      </c>
      <c r="K11" s="211" t="s">
        <v>237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198" t="s">
        <v>233</v>
      </c>
      <c r="J12" s="209">
        <v>6.9444444444444441E-3</v>
      </c>
      <c r="K12" s="210" t="s">
        <v>233</v>
      </c>
    </row>
    <row r="13" spans="1:11" ht="18" x14ac:dyDescent="0.15">
      <c r="A13" s="199"/>
      <c r="B13" s="175"/>
      <c r="C13" s="192"/>
      <c r="D13" s="14"/>
      <c r="E13" s="193"/>
      <c r="F13" s="194"/>
      <c r="G13" s="15"/>
      <c r="H13" s="16"/>
      <c r="I13" s="212"/>
      <c r="J13" s="213"/>
      <c r="K13" s="214"/>
    </row>
    <row r="14" spans="1:11" ht="16" x14ac:dyDescent="0.15">
      <c r="A14" s="178"/>
      <c r="B14" s="175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70</v>
      </c>
      <c r="G22" s="47">
        <f>SUM(G9:G21)/F22</f>
        <v>1725</v>
      </c>
      <c r="H22" s="48">
        <f>SUM(H9:H21)/F22</f>
        <v>15</v>
      </c>
      <c r="I22" s="49" t="s">
        <v>22</v>
      </c>
      <c r="J22" s="174">
        <v>0.1076388888888889</v>
      </c>
      <c r="K22" s="43"/>
    </row>
    <row r="23" spans="1:11" x14ac:dyDescent="0.15">
      <c r="E23" s="50"/>
      <c r="F23" s="51"/>
      <c r="I23" s="52" t="s">
        <v>23</v>
      </c>
      <c r="J23" s="53">
        <v>2.58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v>70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2.58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45D75C2F-3F05-4624-BF01-F6C87DBC3E4E}">
      <formula1>$I$41:$I$50</formula1>
    </dataValidation>
    <dataValidation type="list" allowBlank="1" showInputMessage="1" showErrorMessage="1" sqref="B20:B21" xr:uid="{3EEE6F12-3868-479C-B715-02295DC46502}">
      <formula1>$K$29:$K$40</formula1>
    </dataValidation>
    <dataValidation type="list" allowBlank="1" showInputMessage="1" showErrorMessage="1" sqref="B16:B19" xr:uid="{15254295-726F-470D-AE8A-4C2736B5D565}">
      <formula1>$K$29:$K$85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830D-0E83-461E-958A-E8C899C4845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9" x14ac:dyDescent="0.15">
      <c r="A9" s="215">
        <v>1</v>
      </c>
      <c r="B9" s="216" t="s">
        <v>234</v>
      </c>
      <c r="C9" s="217">
        <v>15</v>
      </c>
      <c r="D9" s="14">
        <v>2.85</v>
      </c>
      <c r="E9" s="219">
        <v>1383</v>
      </c>
      <c r="F9" s="220">
        <v>49</v>
      </c>
      <c r="G9" s="15">
        <f t="shared" ref="G9:G10" si="0">E9*F9</f>
        <v>67767</v>
      </c>
      <c r="H9" s="16">
        <f t="shared" ref="H9:H10" si="1">F9*C9</f>
        <v>735</v>
      </c>
      <c r="I9" s="221" t="s">
        <v>20</v>
      </c>
      <c r="J9" s="222">
        <v>2.0833333333333332E-2</v>
      </c>
      <c r="K9" s="223" t="s">
        <v>231</v>
      </c>
    </row>
    <row r="10" spans="1:11" ht="19" x14ac:dyDescent="0.15">
      <c r="A10" s="218">
        <v>2</v>
      </c>
      <c r="B10" s="216" t="s">
        <v>234</v>
      </c>
      <c r="C10" s="217">
        <v>16</v>
      </c>
      <c r="D10" s="14">
        <v>2.85</v>
      </c>
      <c r="E10" s="219">
        <v>1383</v>
      </c>
      <c r="F10" s="220">
        <v>32</v>
      </c>
      <c r="G10" s="15">
        <f t="shared" si="0"/>
        <v>44256</v>
      </c>
      <c r="H10" s="16">
        <f t="shared" si="1"/>
        <v>512</v>
      </c>
      <c r="I10" s="212" t="s">
        <v>44</v>
      </c>
      <c r="J10" s="213">
        <v>1.7361111111111112E-2</v>
      </c>
      <c r="K10" s="224" t="s">
        <v>44</v>
      </c>
    </row>
    <row r="11" spans="1:11" ht="18" x14ac:dyDescent="0.15">
      <c r="A11" s="178"/>
      <c r="B11" s="175"/>
      <c r="C11" s="176"/>
      <c r="D11" s="14"/>
      <c r="E11" s="179"/>
      <c r="F11" s="191"/>
      <c r="G11" s="15"/>
      <c r="H11" s="16"/>
      <c r="I11" s="212" t="s">
        <v>233</v>
      </c>
      <c r="J11" s="213">
        <v>6.9444444444444441E-3</v>
      </c>
      <c r="K11" s="224" t="s">
        <v>233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198"/>
      <c r="J12" s="209"/>
      <c r="K12" s="210"/>
    </row>
    <row r="13" spans="1:11" ht="18" x14ac:dyDescent="0.15">
      <c r="A13" s="199"/>
      <c r="B13" s="175"/>
      <c r="C13" s="192"/>
      <c r="D13" s="14"/>
      <c r="E13" s="193"/>
      <c r="F13" s="194"/>
      <c r="G13" s="15"/>
      <c r="H13" s="16"/>
      <c r="I13" s="212"/>
      <c r="J13" s="213"/>
      <c r="K13" s="214"/>
    </row>
    <row r="14" spans="1:11" ht="16" x14ac:dyDescent="0.15">
      <c r="A14" s="178"/>
      <c r="B14" s="175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81</v>
      </c>
      <c r="G22" s="47">
        <f>SUM(G9:G21)/F22</f>
        <v>1383</v>
      </c>
      <c r="H22" s="48">
        <f>SUM(H9:H21)/F22</f>
        <v>15.395061728395062</v>
      </c>
      <c r="I22" s="49" t="s">
        <v>22</v>
      </c>
      <c r="J22" s="174">
        <v>4.5138888888888888E-2</v>
      </c>
      <c r="K22" s="43"/>
    </row>
    <row r="23" spans="1:11" x14ac:dyDescent="0.15">
      <c r="E23" s="50"/>
      <c r="F23" s="51"/>
      <c r="I23" s="52" t="s">
        <v>23</v>
      </c>
      <c r="J23" s="53">
        <v>1.08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81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</f>
        <v>151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3.67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56A26316-49C6-4F4D-AD79-00BE734D64DB}">
      <formula1>$K$29:$K$85</formula1>
    </dataValidation>
    <dataValidation type="list" allowBlank="1" showInputMessage="1" showErrorMessage="1" sqref="B20:B21" xr:uid="{A6C0704C-D3A9-4482-B55D-52783E18E75A}">
      <formula1>$K$29:$K$40</formula1>
    </dataValidation>
    <dataValidation type="list" allowBlank="1" showInputMessage="1" showErrorMessage="1" sqref="I50 K15:K21" xr:uid="{04D213F1-E0E1-48BD-9B02-B639FED5750B}">
      <formula1>$I$41:$I$50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EE0B-20DA-4C8B-8194-5B325D0A663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234</v>
      </c>
      <c r="C9" s="176">
        <v>15</v>
      </c>
      <c r="D9" s="14">
        <v>2.85</v>
      </c>
      <c r="E9" s="179">
        <v>1440</v>
      </c>
      <c r="F9" s="177">
        <v>33.1</v>
      </c>
      <c r="G9" s="15">
        <f t="shared" ref="G9:G12" si="0">E9*F9</f>
        <v>47664</v>
      </c>
      <c r="H9" s="16">
        <f t="shared" ref="H9:H12" si="1">F9*C9</f>
        <v>496.5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234</v>
      </c>
      <c r="C10" s="176">
        <v>16</v>
      </c>
      <c r="D10" s="14">
        <v>2.85</v>
      </c>
      <c r="E10" s="179">
        <v>1440</v>
      </c>
      <c r="F10" s="177">
        <v>12.9</v>
      </c>
      <c r="G10" s="15">
        <f t="shared" si="0"/>
        <v>18576</v>
      </c>
      <c r="H10" s="16">
        <f t="shared" si="1"/>
        <v>206.4</v>
      </c>
      <c r="I10" s="198" t="s">
        <v>44</v>
      </c>
      <c r="J10" s="209">
        <v>2.7777777777777776E-2</v>
      </c>
      <c r="K10" s="211" t="s">
        <v>44</v>
      </c>
    </row>
    <row r="11" spans="1:11" ht="17" x14ac:dyDescent="0.15">
      <c r="A11" s="207">
        <v>3</v>
      </c>
      <c r="B11" s="208" t="s">
        <v>234</v>
      </c>
      <c r="C11" s="176">
        <v>17</v>
      </c>
      <c r="D11" s="14">
        <v>2.85</v>
      </c>
      <c r="E11" s="179">
        <v>1422</v>
      </c>
      <c r="F11" s="191">
        <v>11</v>
      </c>
      <c r="G11" s="15">
        <f t="shared" si="0"/>
        <v>15642</v>
      </c>
      <c r="H11" s="16">
        <f t="shared" si="1"/>
        <v>187</v>
      </c>
      <c r="I11" s="198" t="s">
        <v>233</v>
      </c>
      <c r="J11" s="209">
        <v>6.9444444444444441E-3</v>
      </c>
      <c r="K11" s="211" t="s">
        <v>233</v>
      </c>
    </row>
    <row r="12" spans="1:11" ht="19.25" customHeight="1" x14ac:dyDescent="0.15">
      <c r="A12" s="225">
        <v>4</v>
      </c>
      <c r="B12" s="208" t="s">
        <v>242</v>
      </c>
      <c r="C12" s="192">
        <v>15</v>
      </c>
      <c r="D12" s="14">
        <v>2.85</v>
      </c>
      <c r="E12" s="193">
        <v>1280</v>
      </c>
      <c r="F12" s="194">
        <v>14</v>
      </c>
      <c r="G12" s="15">
        <f t="shared" si="0"/>
        <v>17920</v>
      </c>
      <c r="H12" s="16">
        <f t="shared" si="1"/>
        <v>210</v>
      </c>
      <c r="I12" s="198" t="s">
        <v>243</v>
      </c>
      <c r="J12" s="209">
        <v>1.3888888888888888E-2</v>
      </c>
      <c r="K12" s="210" t="s">
        <v>244</v>
      </c>
    </row>
    <row r="13" spans="1:11" ht="16" x14ac:dyDescent="0.15">
      <c r="A13" s="199"/>
      <c r="B13" s="175"/>
      <c r="C13" s="192"/>
      <c r="D13" s="14"/>
      <c r="E13" s="193"/>
      <c r="F13" s="194"/>
      <c r="G13" s="15"/>
      <c r="H13" s="16"/>
      <c r="I13" s="198" t="s">
        <v>245</v>
      </c>
      <c r="J13" s="209">
        <v>8.3333333333333329E-2</v>
      </c>
      <c r="K13" s="226" t="s">
        <v>246</v>
      </c>
    </row>
    <row r="14" spans="1:11" ht="16" x14ac:dyDescent="0.15">
      <c r="A14" s="178"/>
      <c r="B14" s="175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71</v>
      </c>
      <c r="G22" s="47">
        <f>SUM(G9:G21)/F22</f>
        <v>1405.661971830986</v>
      </c>
      <c r="H22" s="48">
        <f>SUM(H9:H21)/F22</f>
        <v>15.491549295774648</v>
      </c>
      <c r="I22" s="49" t="s">
        <v>22</v>
      </c>
      <c r="J22" s="174">
        <v>0.15277777777777776</v>
      </c>
      <c r="K22" s="43"/>
    </row>
    <row r="23" spans="1:11" x14ac:dyDescent="0.15">
      <c r="E23" s="50"/>
      <c r="F23" s="51"/>
      <c r="I23" s="52" t="s">
        <v>23</v>
      </c>
      <c r="J23" s="53">
        <v>3.67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71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</f>
        <v>222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7.33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BC4F7AF5-0CC2-43A5-B4D0-E29308A62007}">
      <formula1>$I$41:$I$50</formula1>
    </dataValidation>
    <dataValidation type="list" allowBlank="1" showInputMessage="1" showErrorMessage="1" sqref="B20:B21" xr:uid="{E8AAF14B-2BC1-470D-A671-B437BB69902E}">
      <formula1>$K$29:$K$40</formula1>
    </dataValidation>
    <dataValidation type="list" allowBlank="1" showInputMessage="1" showErrorMessage="1" sqref="B16:B19" xr:uid="{AB89B63B-0EA1-4280-963A-64531926AA13}">
      <formula1>$K$29:$K$85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8A8-89F9-48EF-BE32-A4F8AAD2CBC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9" x14ac:dyDescent="0.15">
      <c r="A9" s="215">
        <v>1</v>
      </c>
      <c r="B9" s="216" t="s">
        <v>234</v>
      </c>
      <c r="C9" s="217">
        <v>15</v>
      </c>
      <c r="D9" s="14">
        <v>2.85</v>
      </c>
      <c r="E9" s="219">
        <v>1326</v>
      </c>
      <c r="F9" s="220">
        <v>6</v>
      </c>
      <c r="G9" s="15">
        <f t="shared" ref="G9:G15" si="0">E9*F9</f>
        <v>7956</v>
      </c>
      <c r="H9" s="16">
        <f t="shared" ref="H9:H15" si="1">F9*C9</f>
        <v>90</v>
      </c>
      <c r="I9" s="195" t="s">
        <v>20</v>
      </c>
      <c r="J9" s="196">
        <v>2.0833333333333332E-2</v>
      </c>
      <c r="K9" s="197" t="s">
        <v>231</v>
      </c>
    </row>
    <row r="10" spans="1:11" ht="19" x14ac:dyDescent="0.15">
      <c r="A10" s="218">
        <v>2</v>
      </c>
      <c r="B10" s="216" t="s">
        <v>234</v>
      </c>
      <c r="C10" s="217">
        <v>17</v>
      </c>
      <c r="D10" s="14">
        <v>2.85</v>
      </c>
      <c r="E10" s="219">
        <v>1320</v>
      </c>
      <c r="F10" s="220">
        <v>1</v>
      </c>
      <c r="G10" s="15">
        <f t="shared" si="0"/>
        <v>1320</v>
      </c>
      <c r="H10" s="16">
        <f t="shared" si="1"/>
        <v>17</v>
      </c>
      <c r="I10" s="198" t="s">
        <v>44</v>
      </c>
      <c r="J10" s="209">
        <v>2.7777777777777776E-2</v>
      </c>
      <c r="K10" s="211" t="s">
        <v>44</v>
      </c>
    </row>
    <row r="11" spans="1:11" ht="19" x14ac:dyDescent="0.15">
      <c r="A11" s="215">
        <v>3</v>
      </c>
      <c r="B11" s="216" t="s">
        <v>242</v>
      </c>
      <c r="C11" s="217">
        <v>15</v>
      </c>
      <c r="D11" s="14">
        <v>2.85</v>
      </c>
      <c r="E11" s="219">
        <v>1360</v>
      </c>
      <c r="F11" s="233">
        <v>17.600000000000001</v>
      </c>
      <c r="G11" s="15">
        <f t="shared" si="0"/>
        <v>23936.000000000004</v>
      </c>
      <c r="H11" s="16">
        <f t="shared" si="1"/>
        <v>264</v>
      </c>
      <c r="I11" s="198" t="s">
        <v>233</v>
      </c>
      <c r="J11" s="209">
        <v>6.9444444444444441E-3</v>
      </c>
      <c r="K11" s="211" t="s">
        <v>233</v>
      </c>
    </row>
    <row r="12" spans="1:11" ht="19.25" customHeight="1" x14ac:dyDescent="0.15">
      <c r="A12" s="218">
        <v>4</v>
      </c>
      <c r="B12" s="216" t="s">
        <v>242</v>
      </c>
      <c r="C12" s="227">
        <v>16</v>
      </c>
      <c r="D12" s="14">
        <v>2.85</v>
      </c>
      <c r="E12" s="231">
        <v>1451</v>
      </c>
      <c r="F12" s="234">
        <v>21</v>
      </c>
      <c r="G12" s="15">
        <f t="shared" si="0"/>
        <v>30471</v>
      </c>
      <c r="H12" s="16">
        <f t="shared" si="1"/>
        <v>336</v>
      </c>
      <c r="I12" s="198" t="s">
        <v>243</v>
      </c>
      <c r="J12" s="209">
        <v>1.3888888888888888E-2</v>
      </c>
      <c r="K12" s="210" t="s">
        <v>244</v>
      </c>
    </row>
    <row r="13" spans="1:11" ht="19" x14ac:dyDescent="0.15">
      <c r="A13" s="228">
        <v>5</v>
      </c>
      <c r="B13" s="216" t="s">
        <v>242</v>
      </c>
      <c r="C13" s="227">
        <v>17</v>
      </c>
      <c r="D13" s="14">
        <v>2.85</v>
      </c>
      <c r="E13" s="231">
        <v>1383</v>
      </c>
      <c r="F13" s="234">
        <v>12</v>
      </c>
      <c r="G13" s="15">
        <f t="shared" si="0"/>
        <v>16596</v>
      </c>
      <c r="H13" s="16">
        <f t="shared" si="1"/>
        <v>204</v>
      </c>
      <c r="I13" s="198" t="s">
        <v>245</v>
      </c>
      <c r="J13" s="209">
        <v>8.3333333333333329E-2</v>
      </c>
      <c r="K13" s="226" t="s">
        <v>246</v>
      </c>
    </row>
    <row r="14" spans="1:11" ht="19" x14ac:dyDescent="0.15">
      <c r="A14" s="215">
        <v>6</v>
      </c>
      <c r="B14" s="216" t="s">
        <v>248</v>
      </c>
      <c r="C14" s="229">
        <v>12.5</v>
      </c>
      <c r="D14" s="14">
        <v>2.85</v>
      </c>
      <c r="E14" s="232">
        <v>1380</v>
      </c>
      <c r="F14" s="235">
        <v>6</v>
      </c>
      <c r="G14" s="15">
        <f t="shared" si="0"/>
        <v>8280</v>
      </c>
      <c r="H14" s="16">
        <f t="shared" si="1"/>
        <v>75</v>
      </c>
      <c r="I14" s="20"/>
      <c r="J14" s="25"/>
      <c r="K14" s="21"/>
    </row>
    <row r="15" spans="1:11" ht="19" x14ac:dyDescent="0.2">
      <c r="A15" s="218">
        <v>7</v>
      </c>
      <c r="B15" s="216" t="s">
        <v>248</v>
      </c>
      <c r="C15" s="230">
        <v>13.5</v>
      </c>
      <c r="D15" s="14">
        <v>2.85</v>
      </c>
      <c r="E15" s="232">
        <v>1380</v>
      </c>
      <c r="F15" s="236">
        <v>6.4</v>
      </c>
      <c r="G15" s="15">
        <f t="shared" si="0"/>
        <v>8832</v>
      </c>
      <c r="H15" s="16">
        <f t="shared" si="1"/>
        <v>86.4</v>
      </c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70</v>
      </c>
      <c r="G22" s="47">
        <f>SUM(G9:G21)/F22</f>
        <v>1391.3</v>
      </c>
      <c r="H22" s="48">
        <f>SUM(H9:H21)/F22</f>
        <v>15.320000000000002</v>
      </c>
      <c r="I22" s="49" t="s">
        <v>22</v>
      </c>
      <c r="J22" s="174">
        <v>0.13194444444444445</v>
      </c>
      <c r="K22" s="43"/>
    </row>
    <row r="23" spans="1:11" x14ac:dyDescent="0.15">
      <c r="E23" s="50"/>
      <c r="F23" s="51"/>
      <c r="I23" s="52" t="s">
        <v>23</v>
      </c>
      <c r="J23" s="53">
        <v>3.17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</f>
        <v>292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10.5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A24B355F-F36A-4FEE-AC31-6E913E0ACB98}">
      <formula1>$K$29:$K$85</formula1>
    </dataValidation>
    <dataValidation type="list" allowBlank="1" showInputMessage="1" showErrorMessage="1" sqref="B20:B21" xr:uid="{DB6A0D3C-198F-4FF9-845D-34802668FAD6}">
      <formula1>$K$29:$K$40</formula1>
    </dataValidation>
    <dataValidation type="list" allowBlank="1" showInputMessage="1" showErrorMessage="1" sqref="I50 K15:K21" xr:uid="{724C2977-AAE7-43EC-A63D-58BC75E587CC}">
      <formula1>$I$41:$I$50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F72C-DD0B-4702-AF68-F5516D1092B6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248</v>
      </c>
      <c r="C9" s="176">
        <v>13.5</v>
      </c>
      <c r="D9" s="14">
        <v>2.85</v>
      </c>
      <c r="E9" s="179">
        <v>1404</v>
      </c>
      <c r="F9" s="177">
        <v>11</v>
      </c>
      <c r="G9" s="15">
        <f t="shared" ref="G9:G15" si="0">E9*F9</f>
        <v>15444</v>
      </c>
      <c r="H9" s="16">
        <f t="shared" ref="H9:H15" si="1">F9*C9</f>
        <v>148.5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15</v>
      </c>
      <c r="D10" s="14">
        <v>2.85</v>
      </c>
      <c r="E10" s="179">
        <v>1458</v>
      </c>
      <c r="F10" s="177">
        <v>3.4</v>
      </c>
      <c r="G10" s="15">
        <f t="shared" si="0"/>
        <v>4957.2</v>
      </c>
      <c r="H10" s="16">
        <f t="shared" si="1"/>
        <v>51</v>
      </c>
      <c r="I10" s="198" t="s">
        <v>44</v>
      </c>
      <c r="J10" s="209">
        <v>4.1666666666666664E-2</v>
      </c>
      <c r="K10" s="211" t="s">
        <v>44</v>
      </c>
    </row>
    <row r="11" spans="1:11" ht="17" x14ac:dyDescent="0.15">
      <c r="A11" s="207">
        <v>3</v>
      </c>
      <c r="B11" s="208" t="s">
        <v>242</v>
      </c>
      <c r="C11" s="176">
        <v>16</v>
      </c>
      <c r="D11" s="14">
        <v>2.85</v>
      </c>
      <c r="E11" s="179">
        <v>1330</v>
      </c>
      <c r="F11" s="191">
        <v>3.4</v>
      </c>
      <c r="G11" s="15">
        <f t="shared" si="0"/>
        <v>4522</v>
      </c>
      <c r="H11" s="16">
        <f t="shared" si="1"/>
        <v>54.4</v>
      </c>
      <c r="I11" s="198"/>
      <c r="J11" s="209"/>
      <c r="K11" s="211"/>
    </row>
    <row r="12" spans="1:11" ht="19.25" customHeight="1" x14ac:dyDescent="0.15">
      <c r="A12" s="225">
        <v>4</v>
      </c>
      <c r="B12" s="208" t="s">
        <v>242</v>
      </c>
      <c r="C12" s="192">
        <v>19</v>
      </c>
      <c r="D12" s="14">
        <v>2.85</v>
      </c>
      <c r="E12" s="193">
        <v>1279</v>
      </c>
      <c r="F12" s="194">
        <v>4.2</v>
      </c>
      <c r="G12" s="15">
        <f t="shared" si="0"/>
        <v>5371.8</v>
      </c>
      <c r="H12" s="16">
        <f t="shared" si="1"/>
        <v>79.8</v>
      </c>
      <c r="I12" s="198"/>
      <c r="J12" s="209"/>
      <c r="K12" s="210"/>
    </row>
    <row r="13" spans="1:11" ht="17" x14ac:dyDescent="0.15">
      <c r="A13" s="237">
        <v>5</v>
      </c>
      <c r="B13" s="208" t="s">
        <v>249</v>
      </c>
      <c r="C13" s="192">
        <v>16.5</v>
      </c>
      <c r="D13" s="14">
        <v>2.85</v>
      </c>
      <c r="E13" s="193">
        <v>1326</v>
      </c>
      <c r="F13" s="194">
        <v>17</v>
      </c>
      <c r="G13" s="15">
        <f t="shared" si="0"/>
        <v>22542</v>
      </c>
      <c r="H13" s="16">
        <f t="shared" si="1"/>
        <v>280.5</v>
      </c>
      <c r="I13" s="198"/>
      <c r="J13" s="209"/>
      <c r="K13" s="226"/>
    </row>
    <row r="14" spans="1:11" ht="17" x14ac:dyDescent="0.15">
      <c r="A14" s="207">
        <v>6</v>
      </c>
      <c r="B14" s="208" t="s">
        <v>250</v>
      </c>
      <c r="C14" s="200">
        <v>22</v>
      </c>
      <c r="D14" s="14">
        <v>2.85</v>
      </c>
      <c r="E14" s="201">
        <v>1025</v>
      </c>
      <c r="F14" s="202">
        <v>36</v>
      </c>
      <c r="G14" s="15">
        <f t="shared" si="0"/>
        <v>36900</v>
      </c>
      <c r="H14" s="16">
        <f t="shared" si="1"/>
        <v>792</v>
      </c>
      <c r="I14" s="20"/>
      <c r="J14" s="25"/>
      <c r="K14" s="21"/>
    </row>
    <row r="15" spans="1:11" ht="17" x14ac:dyDescent="0.2">
      <c r="A15" s="225">
        <v>7</v>
      </c>
      <c r="B15" s="208" t="s">
        <v>250</v>
      </c>
      <c r="C15" s="238">
        <v>28</v>
      </c>
      <c r="D15" s="14">
        <v>2.85</v>
      </c>
      <c r="E15" s="201">
        <v>820</v>
      </c>
      <c r="F15" s="239">
        <v>9</v>
      </c>
      <c r="G15" s="15">
        <f t="shared" si="0"/>
        <v>7380</v>
      </c>
      <c r="H15" s="16">
        <f t="shared" si="1"/>
        <v>252</v>
      </c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84</v>
      </c>
      <c r="G22" s="47">
        <f>SUM(G9:G21)/F22</f>
        <v>1156.1547619047619</v>
      </c>
      <c r="H22" s="48">
        <f>SUM(H9:H21)/F22</f>
        <v>19.740476190476191</v>
      </c>
      <c r="I22" s="49" t="s">
        <v>22</v>
      </c>
      <c r="J22" s="174">
        <v>6.25E-2</v>
      </c>
      <c r="K22" s="43"/>
    </row>
    <row r="23" spans="1:11" x14ac:dyDescent="0.15">
      <c r="E23" s="50"/>
      <c r="F23" s="51"/>
      <c r="I23" s="52" t="s">
        <v>23</v>
      </c>
      <c r="J23" s="53">
        <v>1.5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</f>
        <v>376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12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F0A46B14-487C-44BC-AB15-64F2C800F565}">
      <formula1>$I$41:$I$50</formula1>
    </dataValidation>
    <dataValidation type="list" allowBlank="1" showInputMessage="1" showErrorMessage="1" sqref="B20:B21" xr:uid="{5B9C77F6-E391-4DEE-8C27-B67D865F2565}">
      <formula1>$K$29:$K$40</formula1>
    </dataValidation>
    <dataValidation type="list" allowBlank="1" showInputMessage="1" showErrorMessage="1" sqref="B16:B19" xr:uid="{C27843CD-6CFD-4185-B638-145C1D6B9594}">
      <formula1>$K$29:$K$85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D624-A3D9-4FBE-93EE-7710D8FC679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250</v>
      </c>
      <c r="C9" s="176">
        <v>28</v>
      </c>
      <c r="D9" s="14">
        <v>2.85</v>
      </c>
      <c r="E9" s="179">
        <v>851</v>
      </c>
      <c r="F9" s="177">
        <v>2.5</v>
      </c>
      <c r="G9" s="15">
        <f t="shared" ref="G9:G10" si="0">E9*F9</f>
        <v>2127.5</v>
      </c>
      <c r="H9" s="16">
        <f t="shared" ref="H9:H10" si="1">F9*C9</f>
        <v>70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250</v>
      </c>
      <c r="C10" s="176">
        <v>32</v>
      </c>
      <c r="D10" s="14">
        <v>2.85</v>
      </c>
      <c r="E10" s="179">
        <v>705</v>
      </c>
      <c r="F10" s="177">
        <v>72.5</v>
      </c>
      <c r="G10" s="15">
        <f t="shared" si="0"/>
        <v>51112.5</v>
      </c>
      <c r="H10" s="16">
        <f t="shared" si="1"/>
        <v>2320</v>
      </c>
      <c r="I10" s="198" t="s">
        <v>44</v>
      </c>
      <c r="J10" s="209">
        <v>1.3888888888888888E-2</v>
      </c>
      <c r="K10" s="211" t="s">
        <v>44</v>
      </c>
    </row>
    <row r="11" spans="1:11" ht="16" x14ac:dyDescent="0.15">
      <c r="A11" s="207"/>
      <c r="B11" s="208"/>
      <c r="C11" s="176"/>
      <c r="D11" s="14"/>
      <c r="E11" s="179"/>
      <c r="F11" s="191"/>
      <c r="G11" s="15"/>
      <c r="H11" s="16"/>
      <c r="I11" s="198" t="s">
        <v>245</v>
      </c>
      <c r="J11" s="209">
        <v>6.25E-2</v>
      </c>
      <c r="K11" s="226" t="s">
        <v>251</v>
      </c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/>
      <c r="J12" s="209"/>
      <c r="K12" s="210"/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75</v>
      </c>
      <c r="G22" s="47">
        <f>SUM(G9:G21)/F22</f>
        <v>709.86666666666667</v>
      </c>
      <c r="H22" s="48">
        <f>SUM(H9:H21)/F22</f>
        <v>31.866666666666667</v>
      </c>
      <c r="I22" s="49" t="s">
        <v>22</v>
      </c>
      <c r="J22" s="174">
        <v>9.7222222222222224E-2</v>
      </c>
      <c r="K22" s="43"/>
    </row>
    <row r="23" spans="1:11" x14ac:dyDescent="0.15">
      <c r="E23" s="50"/>
      <c r="F23" s="51"/>
      <c r="I23" s="52" t="s">
        <v>23</v>
      </c>
      <c r="J23" s="53">
        <v>2.33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75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</f>
        <v>451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14.33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D55320D6-ED7C-4ED4-BE5C-B88382DDEEB2}">
      <formula1>$K$29:$K$85</formula1>
    </dataValidation>
    <dataValidation type="list" allowBlank="1" showInputMessage="1" showErrorMessage="1" sqref="B20:B21" xr:uid="{2FC9737E-AA01-46FE-A66E-4719F655A4D4}">
      <formula1>$K$29:$K$40</formula1>
    </dataValidation>
    <dataValidation type="list" allowBlank="1" showInputMessage="1" showErrorMessage="1" sqref="I50 K15:K21" xr:uid="{5CAF74B8-0D32-4191-BF67-9751D0F82FA7}">
      <formula1>$I$41:$I$50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7599-CFF1-487A-9E05-DF3E40BCCF3E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250</v>
      </c>
      <c r="C9" s="176">
        <v>30</v>
      </c>
      <c r="D9" s="14">
        <v>2.85</v>
      </c>
      <c r="E9" s="179">
        <v>723</v>
      </c>
      <c r="F9" s="177">
        <v>31.5</v>
      </c>
      <c r="G9" s="15">
        <f t="shared" ref="G9:G13" si="0">E9*F9</f>
        <v>22774.5</v>
      </c>
      <c r="H9" s="16">
        <f t="shared" ref="H9:H13" si="1">F9*C9</f>
        <v>945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250</v>
      </c>
      <c r="C10" s="176">
        <v>32</v>
      </c>
      <c r="D10" s="14">
        <v>2.85</v>
      </c>
      <c r="E10" s="179">
        <v>663</v>
      </c>
      <c r="F10" s="177">
        <v>16</v>
      </c>
      <c r="G10" s="15">
        <f t="shared" si="0"/>
        <v>10608</v>
      </c>
      <c r="H10" s="16">
        <f t="shared" si="1"/>
        <v>512</v>
      </c>
      <c r="I10" s="198" t="s">
        <v>44</v>
      </c>
      <c r="J10" s="209">
        <v>6.25E-2</v>
      </c>
      <c r="K10" s="211" t="s">
        <v>44</v>
      </c>
    </row>
    <row r="11" spans="1:11" ht="17" x14ac:dyDescent="0.15">
      <c r="A11" s="207">
        <v>3</v>
      </c>
      <c r="B11" s="208" t="s">
        <v>250</v>
      </c>
      <c r="C11" s="176">
        <v>34</v>
      </c>
      <c r="D11" s="14">
        <v>2.85</v>
      </c>
      <c r="E11" s="179">
        <v>687</v>
      </c>
      <c r="F11" s="191">
        <v>5</v>
      </c>
      <c r="G11" s="15">
        <f t="shared" si="0"/>
        <v>3435</v>
      </c>
      <c r="H11" s="16">
        <f t="shared" si="1"/>
        <v>170</v>
      </c>
      <c r="I11" s="198" t="s">
        <v>245</v>
      </c>
      <c r="J11" s="209">
        <v>4.1666666666666664E-2</v>
      </c>
      <c r="K11" s="226" t="s">
        <v>251</v>
      </c>
    </row>
    <row r="12" spans="1:11" ht="19.25" customHeight="1" x14ac:dyDescent="0.15">
      <c r="A12" s="225">
        <v>4</v>
      </c>
      <c r="B12" s="208" t="s">
        <v>250</v>
      </c>
      <c r="C12" s="192">
        <v>38</v>
      </c>
      <c r="D12" s="14">
        <v>2.85</v>
      </c>
      <c r="E12" s="193">
        <v>680</v>
      </c>
      <c r="F12" s="194">
        <v>5.4</v>
      </c>
      <c r="G12" s="15">
        <f t="shared" si="0"/>
        <v>3672.0000000000005</v>
      </c>
      <c r="H12" s="16">
        <f t="shared" si="1"/>
        <v>205.20000000000002</v>
      </c>
      <c r="I12" s="198" t="s">
        <v>252</v>
      </c>
      <c r="J12" s="209">
        <v>6.25E-2</v>
      </c>
      <c r="K12" s="210" t="s">
        <v>58</v>
      </c>
    </row>
    <row r="13" spans="1:11" ht="17" x14ac:dyDescent="0.15">
      <c r="A13" s="237">
        <v>5</v>
      </c>
      <c r="B13" s="208" t="s">
        <v>250</v>
      </c>
      <c r="C13" s="192">
        <v>40</v>
      </c>
      <c r="D13" s="14">
        <v>2.85</v>
      </c>
      <c r="E13" s="193">
        <v>654</v>
      </c>
      <c r="F13" s="194">
        <v>12.1</v>
      </c>
      <c r="G13" s="15">
        <f t="shared" si="0"/>
        <v>7913.4</v>
      </c>
      <c r="H13" s="16">
        <f t="shared" si="1"/>
        <v>484</v>
      </c>
      <c r="I13" s="198" t="s">
        <v>236</v>
      </c>
      <c r="J13" s="209">
        <v>5.5555555555555552E-2</v>
      </c>
      <c r="K13" s="226" t="s">
        <v>237</v>
      </c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70</v>
      </c>
      <c r="G22" s="47">
        <f>SUM(G9:G21)/F22</f>
        <v>691.47</v>
      </c>
      <c r="H22" s="48">
        <f>SUM(H9:H21)/F22</f>
        <v>33.088571428571427</v>
      </c>
      <c r="I22" s="49" t="s">
        <v>22</v>
      </c>
      <c r="J22" s="174">
        <v>0.24305555555555555</v>
      </c>
      <c r="K22" s="43"/>
    </row>
    <row r="23" spans="1:11" x14ac:dyDescent="0.15">
      <c r="E23" s="50"/>
      <c r="F23" s="51"/>
      <c r="I23" s="52" t="s">
        <v>23</v>
      </c>
      <c r="J23" s="53">
        <v>5.83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</f>
        <v>521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20.170000000000002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F6A955C6-A3E9-4EE0-918C-0DACC8EF0A95}">
      <formula1>$I$41:$I$50</formula1>
    </dataValidation>
    <dataValidation type="list" allowBlank="1" showInputMessage="1" showErrorMessage="1" sqref="B20:B21" xr:uid="{BE37C3BA-A289-4B41-B5B5-1C59A71997DF}">
      <formula1>$K$29:$K$40</formula1>
    </dataValidation>
    <dataValidation type="list" allowBlank="1" showInputMessage="1" showErrorMessage="1" sqref="B16:B19" xr:uid="{CE7B0EF6-FD7C-4970-8719-5149AA183182}">
      <formula1>$K$29:$K$85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242D-0015-4ECF-8DED-70A6EFD07C98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250</v>
      </c>
      <c r="C9" s="176">
        <v>30</v>
      </c>
      <c r="D9" s="14">
        <v>2.85</v>
      </c>
      <c r="E9" s="179">
        <v>756</v>
      </c>
      <c r="F9" s="177">
        <v>71.5</v>
      </c>
      <c r="G9" s="15">
        <f t="shared" ref="G9:G10" si="0">E9*F9</f>
        <v>54054</v>
      </c>
      <c r="H9" s="16">
        <f t="shared" ref="H9:H10" si="1">F9*C9</f>
        <v>2145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250</v>
      </c>
      <c r="C10" s="176">
        <v>34</v>
      </c>
      <c r="D10" s="14">
        <v>2.85</v>
      </c>
      <c r="E10" s="179">
        <v>663</v>
      </c>
      <c r="F10" s="177">
        <v>14.5</v>
      </c>
      <c r="G10" s="15">
        <f t="shared" si="0"/>
        <v>9613.5</v>
      </c>
      <c r="H10" s="16">
        <f t="shared" si="1"/>
        <v>493</v>
      </c>
      <c r="I10" s="198" t="s">
        <v>44</v>
      </c>
      <c r="J10" s="209">
        <v>2.7777777777777776E-2</v>
      </c>
      <c r="K10" s="211" t="s">
        <v>44</v>
      </c>
    </row>
    <row r="11" spans="1:11" ht="16" x14ac:dyDescent="0.15">
      <c r="A11" s="207"/>
      <c r="B11" s="208"/>
      <c r="C11" s="176"/>
      <c r="D11" s="14"/>
      <c r="E11" s="179"/>
      <c r="F11" s="191"/>
      <c r="G11" s="15"/>
      <c r="H11" s="16"/>
      <c r="I11" s="198"/>
      <c r="J11" s="209"/>
      <c r="K11" s="226"/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/>
      <c r="J12" s="209"/>
      <c r="K12" s="210"/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86</v>
      </c>
      <c r="G22" s="47">
        <f>SUM(G9:G21)/F22</f>
        <v>740.31976744186045</v>
      </c>
      <c r="H22" s="48">
        <f>SUM(H9:H21)/F22</f>
        <v>30.674418604651162</v>
      </c>
      <c r="I22" s="49" t="s">
        <v>22</v>
      </c>
      <c r="J22" s="174">
        <v>4.8611111111111112E-2</v>
      </c>
      <c r="K22" s="43"/>
    </row>
    <row r="23" spans="1:11" x14ac:dyDescent="0.15">
      <c r="E23" s="50"/>
      <c r="F23" s="51"/>
      <c r="I23" s="52" t="s">
        <v>23</v>
      </c>
      <c r="J23" s="53">
        <v>1.17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86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</f>
        <v>607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21.33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3983FA44-C421-4C32-AA6F-5DC484C875BD}">
      <formula1>$K$29:$K$85</formula1>
    </dataValidation>
    <dataValidation type="list" allowBlank="1" showInputMessage="1" showErrorMessage="1" sqref="B20:B21" xr:uid="{47DA92FD-BE4B-4D34-A3DC-6D588B9C0C53}">
      <formula1>$K$29:$K$40</formula1>
    </dataValidation>
    <dataValidation type="list" allowBlank="1" showInputMessage="1" showErrorMessage="1" sqref="I50 K15:K21" xr:uid="{7935A8C7-5528-4E0A-9626-9DA01110A7FF}">
      <formula1>$I$41:$I$50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9E56-2CA1-47E5-A2A5-75A35F02CFD9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250</v>
      </c>
      <c r="C9" s="176">
        <v>30</v>
      </c>
      <c r="D9" s="14">
        <v>2.85</v>
      </c>
      <c r="E9" s="179">
        <v>756</v>
      </c>
      <c r="F9" s="177">
        <v>48.5</v>
      </c>
      <c r="G9" s="15">
        <f t="shared" ref="G9:G12" si="0">E9*F9</f>
        <v>36666</v>
      </c>
      <c r="H9" s="16">
        <f t="shared" ref="H9:H12" si="1">F9*C9</f>
        <v>1455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250</v>
      </c>
      <c r="C10" s="176">
        <v>34</v>
      </c>
      <c r="D10" s="14">
        <v>2.85</v>
      </c>
      <c r="E10" s="179">
        <v>663</v>
      </c>
      <c r="F10" s="177">
        <v>5</v>
      </c>
      <c r="G10" s="15">
        <f t="shared" si="0"/>
        <v>3315</v>
      </c>
      <c r="H10" s="16">
        <f t="shared" si="1"/>
        <v>170</v>
      </c>
      <c r="I10" s="198" t="s">
        <v>44</v>
      </c>
      <c r="J10" s="209">
        <v>5.5555555555555552E-2</v>
      </c>
      <c r="K10" s="211" t="s">
        <v>44</v>
      </c>
    </row>
    <row r="11" spans="1:11" ht="17" x14ac:dyDescent="0.15">
      <c r="A11" s="207">
        <v>3</v>
      </c>
      <c r="B11" s="208" t="s">
        <v>250</v>
      </c>
      <c r="C11" s="176">
        <v>36</v>
      </c>
      <c r="D11" s="14">
        <v>2.85</v>
      </c>
      <c r="E11" s="179">
        <v>672</v>
      </c>
      <c r="F11" s="191">
        <v>18.5</v>
      </c>
      <c r="G11" s="15">
        <f t="shared" si="0"/>
        <v>12432</v>
      </c>
      <c r="H11" s="16">
        <f t="shared" si="1"/>
        <v>666</v>
      </c>
      <c r="I11" s="198" t="s">
        <v>245</v>
      </c>
      <c r="J11" s="209">
        <v>5.5555555555555552E-2</v>
      </c>
      <c r="K11" s="226" t="s">
        <v>253</v>
      </c>
    </row>
    <row r="12" spans="1:11" ht="19.25" customHeight="1" x14ac:dyDescent="0.15">
      <c r="A12" s="225">
        <v>4</v>
      </c>
      <c r="B12" s="208" t="s">
        <v>249</v>
      </c>
      <c r="C12" s="192">
        <v>21</v>
      </c>
      <c r="D12" s="14">
        <v>2.85</v>
      </c>
      <c r="E12" s="193">
        <v>1078</v>
      </c>
      <c r="F12" s="194">
        <v>6</v>
      </c>
      <c r="G12" s="15">
        <f t="shared" si="0"/>
        <v>6468</v>
      </c>
      <c r="H12" s="16">
        <f t="shared" si="1"/>
        <v>126</v>
      </c>
      <c r="I12" s="198" t="s">
        <v>236</v>
      </c>
      <c r="J12" s="209">
        <v>5.5555555555555552E-2</v>
      </c>
      <c r="K12" s="210" t="s">
        <v>237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78</v>
      </c>
      <c r="G22" s="47">
        <f>SUM(G9:G21)/F22</f>
        <v>754.88461538461536</v>
      </c>
      <c r="H22" s="48">
        <f>SUM(H9:H21)/F22</f>
        <v>30.987179487179485</v>
      </c>
      <c r="I22" s="49" t="s">
        <v>22</v>
      </c>
      <c r="J22" s="174">
        <v>0.1875</v>
      </c>
      <c r="K22" s="43"/>
    </row>
    <row r="23" spans="1:11" x14ac:dyDescent="0.15">
      <c r="E23" s="50"/>
      <c r="F23" s="51"/>
      <c r="I23" s="52" t="s">
        <v>23</v>
      </c>
      <c r="J23" s="53">
        <v>4.5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</f>
        <v>685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25.83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C836C6E3-CD8F-4A07-B739-62C8A5058BFF}">
      <formula1>$I$41:$I$50</formula1>
    </dataValidation>
    <dataValidation type="list" allowBlank="1" showInputMessage="1" showErrorMessage="1" sqref="B20:B21" xr:uid="{346B591A-C7C2-4FAD-ACA7-CCC774371B9A}">
      <formula1>$K$29:$K$40</formula1>
    </dataValidation>
    <dataValidation type="list" allowBlank="1" showInputMessage="1" showErrorMessage="1" sqref="B16:B19" xr:uid="{44F10511-9C1E-46E6-8551-F612AEFAD18F}">
      <formula1>$K$29:$K$85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5E86-02B0-41B4-AAF8-96F08902151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16</v>
      </c>
      <c r="D9" s="14">
        <v>2.85</v>
      </c>
      <c r="E9" s="179">
        <v>1365</v>
      </c>
      <c r="F9" s="177">
        <v>4</v>
      </c>
      <c r="G9" s="15">
        <f t="shared" ref="G9:G14" si="0">E9*F9</f>
        <v>5460</v>
      </c>
      <c r="H9" s="16">
        <f t="shared" ref="H9:H14" si="1">F9*C9</f>
        <v>64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17</v>
      </c>
      <c r="D10" s="14">
        <v>2.85</v>
      </c>
      <c r="E10" s="179">
        <v>1275</v>
      </c>
      <c r="F10" s="177">
        <v>16.7</v>
      </c>
      <c r="G10" s="15">
        <f t="shared" si="0"/>
        <v>21292.5</v>
      </c>
      <c r="H10" s="16">
        <f t="shared" si="1"/>
        <v>283.89999999999998</v>
      </c>
      <c r="I10" s="198" t="s">
        <v>44</v>
      </c>
      <c r="J10" s="209">
        <v>4.1666666666666664E-2</v>
      </c>
      <c r="K10" s="211" t="s">
        <v>44</v>
      </c>
    </row>
    <row r="11" spans="1:11" ht="17" x14ac:dyDescent="0.15">
      <c r="A11" s="207">
        <v>3</v>
      </c>
      <c r="B11" s="208" t="s">
        <v>249</v>
      </c>
      <c r="C11" s="176">
        <v>17</v>
      </c>
      <c r="D11" s="14">
        <v>2.85</v>
      </c>
      <c r="E11" s="179">
        <v>1295</v>
      </c>
      <c r="F11" s="191">
        <v>26</v>
      </c>
      <c r="G11" s="15">
        <f t="shared" si="0"/>
        <v>33670</v>
      </c>
      <c r="H11" s="16">
        <f t="shared" si="1"/>
        <v>442</v>
      </c>
      <c r="I11" s="198" t="s">
        <v>254</v>
      </c>
      <c r="J11" s="209">
        <v>4.8611111111111112E-2</v>
      </c>
      <c r="K11" s="226" t="s">
        <v>255</v>
      </c>
    </row>
    <row r="12" spans="1:11" ht="19.25" customHeight="1" x14ac:dyDescent="0.15">
      <c r="A12" s="225">
        <v>4</v>
      </c>
      <c r="B12" s="208" t="s">
        <v>249</v>
      </c>
      <c r="C12" s="192">
        <v>18</v>
      </c>
      <c r="D12" s="14">
        <v>2.85</v>
      </c>
      <c r="E12" s="193">
        <v>1292</v>
      </c>
      <c r="F12" s="194">
        <v>4.8</v>
      </c>
      <c r="G12" s="15">
        <f t="shared" si="0"/>
        <v>6201.5999999999995</v>
      </c>
      <c r="H12" s="16">
        <f t="shared" si="1"/>
        <v>86.399999999999991</v>
      </c>
      <c r="I12" s="198"/>
      <c r="J12" s="209"/>
      <c r="K12" s="210"/>
    </row>
    <row r="13" spans="1:11" ht="17" x14ac:dyDescent="0.15">
      <c r="A13" s="237">
        <v>5</v>
      </c>
      <c r="B13" s="208" t="s">
        <v>249</v>
      </c>
      <c r="C13" s="192">
        <v>19</v>
      </c>
      <c r="D13" s="14">
        <v>2.85</v>
      </c>
      <c r="E13" s="193">
        <v>1231</v>
      </c>
      <c r="F13" s="194">
        <v>7.5</v>
      </c>
      <c r="G13" s="15">
        <f t="shared" si="0"/>
        <v>9232.5</v>
      </c>
      <c r="H13" s="16">
        <f t="shared" si="1"/>
        <v>142.5</v>
      </c>
      <c r="I13" s="198"/>
      <c r="J13" s="209"/>
      <c r="K13" s="226"/>
    </row>
    <row r="14" spans="1:11" ht="17" x14ac:dyDescent="0.15">
      <c r="A14" s="207">
        <v>6</v>
      </c>
      <c r="B14" s="208" t="s">
        <v>249</v>
      </c>
      <c r="C14" s="200">
        <v>21</v>
      </c>
      <c r="D14" s="14">
        <v>2.85</v>
      </c>
      <c r="E14" s="201">
        <v>1102</v>
      </c>
      <c r="F14" s="202">
        <v>24</v>
      </c>
      <c r="G14" s="15">
        <f t="shared" si="0"/>
        <v>26448</v>
      </c>
      <c r="H14" s="16">
        <f t="shared" si="1"/>
        <v>504</v>
      </c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83</v>
      </c>
      <c r="G22" s="47">
        <f>SUM(G9:G21)/F22</f>
        <v>1232.5855421686747</v>
      </c>
      <c r="H22" s="48">
        <f>SUM(H9:H21)/F22</f>
        <v>18.346987951807229</v>
      </c>
      <c r="I22" s="49" t="s">
        <v>22</v>
      </c>
      <c r="J22" s="174">
        <v>0.1111111111111111</v>
      </c>
      <c r="K22" s="43"/>
    </row>
    <row r="23" spans="1:11" x14ac:dyDescent="0.15">
      <c r="E23" s="50"/>
      <c r="F23" s="51"/>
      <c r="I23" s="52" t="s">
        <v>23</v>
      </c>
      <c r="J23" s="53">
        <v>2.67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83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</f>
        <v>768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28.5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5BE818BF-E9FC-4231-A9C6-0871D937DB47}">
      <formula1>$K$29:$K$85</formula1>
    </dataValidation>
    <dataValidation type="list" allowBlank="1" showInputMessage="1" showErrorMessage="1" sqref="B20:B21" xr:uid="{E04BE2E8-72EF-4A32-812B-6BB471BE4959}">
      <formula1>$K$29:$K$40</formula1>
    </dataValidation>
    <dataValidation type="list" allowBlank="1" showInputMessage="1" showErrorMessage="1" sqref="I50 K15:K21" xr:uid="{CF936F63-4AB5-4473-ADCA-CEB4124745EF}">
      <formula1>$I$41:$I$50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85CF-7620-4F92-A456-F34725DCDA8C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45849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14</v>
      </c>
      <c r="D9" s="14">
        <v>2.85</v>
      </c>
      <c r="E9" s="179">
        <v>1332</v>
      </c>
      <c r="F9" s="177">
        <v>27.6</v>
      </c>
      <c r="G9" s="15">
        <f t="shared" ref="G9:G11" si="0">E9*F9</f>
        <v>36763.200000000004</v>
      </c>
      <c r="H9" s="16">
        <f t="shared" ref="H9:H11" si="1">F9*C9</f>
        <v>386.40000000000003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15</v>
      </c>
      <c r="D10" s="14">
        <v>2.85</v>
      </c>
      <c r="E10" s="179">
        <v>1272</v>
      </c>
      <c r="F10" s="177">
        <v>25.9</v>
      </c>
      <c r="G10" s="15">
        <f t="shared" si="0"/>
        <v>32944.799999999996</v>
      </c>
      <c r="H10" s="16">
        <f t="shared" si="1"/>
        <v>388.5</v>
      </c>
      <c r="I10" s="198" t="s">
        <v>44</v>
      </c>
      <c r="J10" s="209">
        <v>2.7777777777777776E-2</v>
      </c>
      <c r="K10" s="211" t="s">
        <v>44</v>
      </c>
    </row>
    <row r="11" spans="1:11" ht="17" x14ac:dyDescent="0.15">
      <c r="A11" s="207">
        <v>3</v>
      </c>
      <c r="B11" s="208" t="s">
        <v>242</v>
      </c>
      <c r="C11" s="176">
        <v>16</v>
      </c>
      <c r="D11" s="14">
        <v>2.85</v>
      </c>
      <c r="E11" s="179">
        <v>1309</v>
      </c>
      <c r="F11" s="191">
        <v>16.5</v>
      </c>
      <c r="G11" s="15">
        <f t="shared" si="0"/>
        <v>21598.5</v>
      </c>
      <c r="H11" s="16">
        <f t="shared" si="1"/>
        <v>264</v>
      </c>
      <c r="I11" s="198" t="s">
        <v>245</v>
      </c>
      <c r="J11" s="209">
        <v>4.1666666666666664E-2</v>
      </c>
      <c r="K11" s="226" t="s">
        <v>256</v>
      </c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/>
      <c r="J12" s="209"/>
      <c r="K12" s="210"/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70</v>
      </c>
      <c r="G22" s="47">
        <f>SUM(G9:G21)/F22</f>
        <v>1304.3785714285714</v>
      </c>
      <c r="H22" s="48">
        <f>SUM(H9:H21)/F22</f>
        <v>14.841428571428573</v>
      </c>
      <c r="I22" s="49" t="s">
        <v>22</v>
      </c>
      <c r="J22" s="174">
        <v>9.0277777777777776E-2</v>
      </c>
      <c r="K22" s="43"/>
    </row>
    <row r="23" spans="1:11" x14ac:dyDescent="0.15">
      <c r="E23" s="50"/>
      <c r="F23" s="51"/>
      <c r="I23" s="52" t="s">
        <v>23</v>
      </c>
      <c r="J23" s="53">
        <v>2.17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</f>
        <v>838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30.67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007EE6E-12D9-4460-B835-66186F640527}">
      <formula1>$I$41:$I$50</formula1>
    </dataValidation>
    <dataValidation type="list" allowBlank="1" showInputMessage="1" showErrorMessage="1" sqref="B20:B21" xr:uid="{ED4FE01B-62F4-4FCA-850C-DF16803DF706}">
      <formula1>$K$29:$K$40</formula1>
    </dataValidation>
    <dataValidation type="list" allowBlank="1" showInputMessage="1" showErrorMessage="1" sqref="B16:B19" xr:uid="{8DCEF267-8CCD-49FE-8FF1-03EBA44E1C85}">
      <formula1>$K$29:$K$85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36FB-0D91-4794-8527-636FB8494EF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14</v>
      </c>
      <c r="D9" s="14">
        <v>2.85</v>
      </c>
      <c r="E9" s="179">
        <v>1345</v>
      </c>
      <c r="F9" s="177">
        <v>12</v>
      </c>
      <c r="G9" s="15">
        <f t="shared" ref="G9:G13" si="0">E9*F9</f>
        <v>16140</v>
      </c>
      <c r="H9" s="16">
        <f t="shared" ref="H9:H13" si="1">F9*C9</f>
        <v>168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15</v>
      </c>
      <c r="D10" s="14">
        <v>2.85</v>
      </c>
      <c r="E10" s="179">
        <v>1345</v>
      </c>
      <c r="F10" s="177">
        <v>3.5</v>
      </c>
      <c r="G10" s="15">
        <f t="shared" si="0"/>
        <v>4707.5</v>
      </c>
      <c r="H10" s="16">
        <f t="shared" si="1"/>
        <v>52.5</v>
      </c>
      <c r="I10" s="198" t="s">
        <v>44</v>
      </c>
      <c r="J10" s="209">
        <v>1.0416666666666666E-2</v>
      </c>
      <c r="K10" s="211" t="s">
        <v>44</v>
      </c>
    </row>
    <row r="11" spans="1:11" ht="17" x14ac:dyDescent="0.15">
      <c r="A11" s="207">
        <v>3</v>
      </c>
      <c r="B11" s="208" t="s">
        <v>242</v>
      </c>
      <c r="C11" s="176">
        <v>17</v>
      </c>
      <c r="D11" s="14">
        <v>2.85</v>
      </c>
      <c r="E11" s="179">
        <v>1345</v>
      </c>
      <c r="F11" s="191">
        <v>8</v>
      </c>
      <c r="G11" s="15">
        <f t="shared" si="0"/>
        <v>10760</v>
      </c>
      <c r="H11" s="16">
        <f t="shared" si="1"/>
        <v>136</v>
      </c>
      <c r="I11" s="198" t="s">
        <v>245</v>
      </c>
      <c r="J11" s="209">
        <v>4.8611111111111112E-2</v>
      </c>
      <c r="K11" s="226" t="s">
        <v>257</v>
      </c>
    </row>
    <row r="12" spans="1:11" ht="19.25" customHeight="1" x14ac:dyDescent="0.15">
      <c r="A12" s="225">
        <v>4</v>
      </c>
      <c r="B12" s="208" t="s">
        <v>249</v>
      </c>
      <c r="C12" s="192">
        <v>17</v>
      </c>
      <c r="D12" s="14">
        <v>2.85</v>
      </c>
      <c r="E12" s="193">
        <v>1052</v>
      </c>
      <c r="F12" s="194">
        <v>39</v>
      </c>
      <c r="G12" s="15">
        <f t="shared" si="0"/>
        <v>41028</v>
      </c>
      <c r="H12" s="16">
        <f t="shared" si="1"/>
        <v>663</v>
      </c>
      <c r="I12" s="198"/>
      <c r="J12" s="209"/>
      <c r="K12" s="210"/>
    </row>
    <row r="13" spans="1:11" ht="17" x14ac:dyDescent="0.15">
      <c r="A13" s="237">
        <v>5</v>
      </c>
      <c r="B13" s="208" t="s">
        <v>249</v>
      </c>
      <c r="C13" s="192">
        <v>18</v>
      </c>
      <c r="D13" s="14">
        <v>2.85</v>
      </c>
      <c r="E13" s="193">
        <v>972</v>
      </c>
      <c r="F13" s="194">
        <v>4.5</v>
      </c>
      <c r="G13" s="15">
        <f t="shared" si="0"/>
        <v>4374</v>
      </c>
      <c r="H13" s="16">
        <f t="shared" si="1"/>
        <v>81</v>
      </c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67</v>
      </c>
      <c r="G22" s="47">
        <f>SUM(G9:G21)/F22</f>
        <v>1149.3955223880596</v>
      </c>
      <c r="H22" s="48">
        <f>SUM(H9:H21)/F22</f>
        <v>16.425373134328357</v>
      </c>
      <c r="I22" s="49" t="s">
        <v>22</v>
      </c>
      <c r="J22" s="174">
        <v>7.9861111111111105E-2</v>
      </c>
      <c r="K22" s="43"/>
    </row>
    <row r="23" spans="1:11" x14ac:dyDescent="0.15">
      <c r="E23" s="50"/>
      <c r="F23" s="51"/>
      <c r="I23" s="52" t="s">
        <v>23</v>
      </c>
      <c r="J23" s="53">
        <v>1.92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67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</f>
        <v>905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32.58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C9255739-325E-4E3D-8890-421ED185B16B}">
      <formula1>$K$29:$K$85</formula1>
    </dataValidation>
    <dataValidation type="list" allowBlank="1" showInputMessage="1" showErrorMessage="1" sqref="B20:B21" xr:uid="{A054CA70-4237-4669-853E-0F6E8AA5A774}">
      <formula1>$K$29:$K$40</formula1>
    </dataValidation>
    <dataValidation type="list" allowBlank="1" showInputMessage="1" showErrorMessage="1" sqref="I50 K15:K21" xr:uid="{8992C3F1-3840-41D6-BEAA-82929915C108}">
      <formula1>$I$41:$I$50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B8F7-51FF-4499-A131-EB817ADFE12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249</v>
      </c>
      <c r="C9" s="176">
        <v>17</v>
      </c>
      <c r="D9" s="14">
        <v>2.85</v>
      </c>
      <c r="E9" s="179">
        <v>1092</v>
      </c>
      <c r="F9" s="177">
        <v>2.5</v>
      </c>
      <c r="G9" s="15">
        <f t="shared" ref="G9:G12" si="0">E9*F9</f>
        <v>2730</v>
      </c>
      <c r="H9" s="16">
        <f t="shared" ref="H9:H12" si="1">F9*C9</f>
        <v>42.5</v>
      </c>
      <c r="I9" s="195" t="s">
        <v>20</v>
      </c>
      <c r="J9" s="196">
        <v>1.3888888888888888E-2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14</v>
      </c>
      <c r="D10" s="14">
        <v>2.85</v>
      </c>
      <c r="E10" s="179">
        <v>1148</v>
      </c>
      <c r="F10" s="177">
        <v>5</v>
      </c>
      <c r="G10" s="15">
        <f t="shared" si="0"/>
        <v>5740</v>
      </c>
      <c r="H10" s="16">
        <f t="shared" si="1"/>
        <v>70</v>
      </c>
      <c r="I10" s="198" t="s">
        <v>44</v>
      </c>
      <c r="J10" s="209">
        <v>1.0416666666666666E-2</v>
      </c>
      <c r="K10" s="211" t="s">
        <v>44</v>
      </c>
    </row>
    <row r="11" spans="1:11" ht="17" x14ac:dyDescent="0.15">
      <c r="A11" s="207">
        <v>3</v>
      </c>
      <c r="B11" s="208" t="s">
        <v>248</v>
      </c>
      <c r="C11" s="176">
        <v>13.5</v>
      </c>
      <c r="D11" s="14">
        <v>2.85</v>
      </c>
      <c r="E11" s="179">
        <v>1245</v>
      </c>
      <c r="F11" s="191">
        <v>7</v>
      </c>
      <c r="G11" s="15">
        <f t="shared" si="0"/>
        <v>8715</v>
      </c>
      <c r="H11" s="16">
        <f t="shared" si="1"/>
        <v>94.5</v>
      </c>
      <c r="I11" s="198" t="s">
        <v>258</v>
      </c>
      <c r="J11" s="209">
        <v>0.125</v>
      </c>
      <c r="K11" s="226" t="s">
        <v>259</v>
      </c>
    </row>
    <row r="12" spans="1:11" ht="19.25" customHeight="1" x14ac:dyDescent="0.15">
      <c r="A12" s="225">
        <v>4</v>
      </c>
      <c r="B12" s="208" t="s">
        <v>248</v>
      </c>
      <c r="C12" s="192">
        <v>14</v>
      </c>
      <c r="D12" s="14">
        <v>2.85</v>
      </c>
      <c r="E12" s="193">
        <v>1124</v>
      </c>
      <c r="F12" s="194">
        <v>23.5</v>
      </c>
      <c r="G12" s="15">
        <f t="shared" si="0"/>
        <v>26414</v>
      </c>
      <c r="H12" s="16">
        <f t="shared" si="1"/>
        <v>329</v>
      </c>
      <c r="I12" s="198" t="s">
        <v>260</v>
      </c>
      <c r="J12" s="209">
        <v>0.25</v>
      </c>
      <c r="K12" s="210" t="s">
        <v>261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38</v>
      </c>
      <c r="G22" s="47">
        <f>SUM(G9:G21)/F22</f>
        <v>1147.3421052631579</v>
      </c>
      <c r="H22" s="48">
        <f>SUM(H9:H21)/F22</f>
        <v>14.105263157894736</v>
      </c>
      <c r="I22" s="49" t="s">
        <v>22</v>
      </c>
      <c r="J22" s="174">
        <v>0.39930555555555558</v>
      </c>
      <c r="K22" s="43"/>
    </row>
    <row r="23" spans="1:11" x14ac:dyDescent="0.15">
      <c r="E23" s="50"/>
      <c r="F23" s="51"/>
      <c r="I23" s="52" t="s">
        <v>23</v>
      </c>
      <c r="J23" s="53">
        <v>9.58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38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</f>
        <v>943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42.17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73236158-E6DB-4B3A-9A2B-2990F426E20D}">
      <formula1>$I$41:$I$50</formula1>
    </dataValidation>
    <dataValidation type="list" allowBlank="1" showInputMessage="1" showErrorMessage="1" sqref="B20:B21" xr:uid="{1570108B-C280-4B4E-A838-2F4E8190FDF9}">
      <formula1>$K$29:$K$40</formula1>
    </dataValidation>
    <dataValidation type="list" allowBlank="1" showInputMessage="1" showErrorMessage="1" sqref="B16:B19" xr:uid="{478F0799-5475-4872-B595-04AEBDE5C64D}">
      <formula1>$K$29:$K$85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C443-5BB2-405E-82CD-3F8CE46D2F7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8" x14ac:dyDescent="0.2">
      <c r="A8" s="10"/>
      <c r="B8" s="11"/>
      <c r="C8" s="12"/>
      <c r="D8" s="11"/>
      <c r="E8" s="11"/>
      <c r="F8" s="10"/>
      <c r="G8" s="10"/>
      <c r="H8" s="10"/>
      <c r="I8" s="221" t="s">
        <v>263</v>
      </c>
      <c r="J8" s="222" t="s">
        <v>264</v>
      </c>
      <c r="K8" s="223" t="s">
        <v>265</v>
      </c>
    </row>
    <row r="9" spans="1:11" ht="16" x14ac:dyDescent="0.15">
      <c r="A9" s="207"/>
      <c r="B9" s="208"/>
      <c r="C9" s="176"/>
      <c r="D9" s="14"/>
      <c r="E9" s="179"/>
      <c r="F9" s="177"/>
      <c r="G9" s="15"/>
      <c r="H9" s="16"/>
      <c r="I9" s="195"/>
      <c r="J9" s="196"/>
      <c r="K9" s="197"/>
    </row>
    <row r="10" spans="1:11" ht="16" x14ac:dyDescent="0.15">
      <c r="A10" s="225"/>
      <c r="B10" s="208"/>
      <c r="C10" s="176"/>
      <c r="D10" s="14"/>
      <c r="E10" s="179"/>
      <c r="F10" s="177"/>
      <c r="G10" s="15"/>
      <c r="H10" s="16"/>
      <c r="I10" s="198"/>
      <c r="J10" s="209"/>
      <c r="K10" s="211"/>
    </row>
    <row r="11" spans="1:11" ht="16" x14ac:dyDescent="0.15">
      <c r="A11" s="207"/>
      <c r="B11" s="208"/>
      <c r="C11" s="176"/>
      <c r="D11" s="14"/>
      <c r="E11" s="179"/>
      <c r="F11" s="191"/>
      <c r="G11" s="15"/>
      <c r="H11" s="16"/>
      <c r="I11" s="198"/>
      <c r="J11" s="209"/>
      <c r="K11" s="226"/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/>
      <c r="J12" s="209"/>
      <c r="K12" s="210"/>
    </row>
    <row r="13" spans="1:11" ht="34" x14ac:dyDescent="0.15">
      <c r="A13" s="237"/>
      <c r="B13" s="208"/>
      <c r="C13" s="192"/>
      <c r="D13" s="14"/>
      <c r="E13" s="193" t="s">
        <v>262</v>
      </c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0</v>
      </c>
      <c r="G22" s="47" t="e">
        <f>SUM(G9:G21)/F22</f>
        <v>#DIV/0!</v>
      </c>
      <c r="H22" s="48" t="e">
        <f>SUM(H9:H21)/F22</f>
        <v>#DIV/0!</v>
      </c>
      <c r="I22" s="49" t="s">
        <v>22</v>
      </c>
      <c r="J22" s="174" t="s">
        <v>266</v>
      </c>
      <c r="K22" s="43"/>
    </row>
    <row r="23" spans="1:11" x14ac:dyDescent="0.15">
      <c r="E23" s="50"/>
      <c r="F23" s="51"/>
      <c r="I23" s="52" t="s">
        <v>23</v>
      </c>
      <c r="J23" s="53" t="s">
        <v>266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</f>
        <v>943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66.17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BC7A84F-1844-42A3-A4A6-FC2972C03A13}">
      <formula1>$K$29:$K$85</formula1>
    </dataValidation>
    <dataValidation type="list" allowBlank="1" showInputMessage="1" showErrorMessage="1" sqref="B20:B21" xr:uid="{359E2323-D48A-4A0F-80A4-78A817B49796}">
      <formula1>$K$29:$K$40</formula1>
    </dataValidation>
    <dataValidation type="list" allowBlank="1" showInputMessage="1" showErrorMessage="1" sqref="I50 K15:K21" xr:uid="{900D6B9C-4AE9-4D23-9D43-9569A67864EA}">
      <formula1>$I$41:$I$50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FD26-42A3-40B2-82ED-698826F2A4C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8" x14ac:dyDescent="0.2">
      <c r="A8" s="10"/>
      <c r="B8" s="11"/>
      <c r="C8" s="12"/>
      <c r="D8" s="11"/>
      <c r="E8" s="11"/>
      <c r="F8" s="10"/>
      <c r="G8" s="10"/>
      <c r="H8" s="10"/>
      <c r="I8" s="221" t="s">
        <v>263</v>
      </c>
      <c r="J8" s="222" t="s">
        <v>264</v>
      </c>
      <c r="K8" s="223" t="s">
        <v>265</v>
      </c>
    </row>
    <row r="9" spans="1:11" ht="16" x14ac:dyDescent="0.15">
      <c r="A9" s="207"/>
      <c r="B9" s="208"/>
      <c r="C9" s="176"/>
      <c r="D9" s="14"/>
      <c r="E9" s="179"/>
      <c r="F9" s="177"/>
      <c r="G9" s="15"/>
      <c r="H9" s="16"/>
      <c r="I9" s="195"/>
      <c r="J9" s="196"/>
      <c r="K9" s="197"/>
    </row>
    <row r="10" spans="1:11" ht="16" x14ac:dyDescent="0.15">
      <c r="A10" s="225"/>
      <c r="B10" s="208"/>
      <c r="C10" s="176"/>
      <c r="D10" s="14"/>
      <c r="E10" s="179"/>
      <c r="F10" s="177"/>
      <c r="G10" s="15"/>
      <c r="H10" s="16"/>
      <c r="I10" s="198"/>
      <c r="J10" s="209"/>
      <c r="K10" s="211"/>
    </row>
    <row r="11" spans="1:11" ht="16" x14ac:dyDescent="0.15">
      <c r="A11" s="207"/>
      <c r="B11" s="208"/>
      <c r="C11" s="176"/>
      <c r="D11" s="14"/>
      <c r="E11" s="179"/>
      <c r="F11" s="191"/>
      <c r="G11" s="15"/>
      <c r="H11" s="16"/>
      <c r="I11" s="198"/>
      <c r="J11" s="209"/>
      <c r="K11" s="226"/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/>
      <c r="J12" s="209"/>
      <c r="K12" s="210"/>
    </row>
    <row r="13" spans="1:11" ht="34" x14ac:dyDescent="0.15">
      <c r="A13" s="237"/>
      <c r="B13" s="208"/>
      <c r="C13" s="192"/>
      <c r="D13" s="14"/>
      <c r="E13" s="193" t="s">
        <v>262</v>
      </c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0</v>
      </c>
      <c r="G22" s="47" t="e">
        <f>SUM(G9:G21)/F22</f>
        <v>#DIV/0!</v>
      </c>
      <c r="H22" s="48" t="e">
        <f>SUM(H9:H21)/F22</f>
        <v>#DIV/0!</v>
      </c>
      <c r="I22" s="49" t="s">
        <v>22</v>
      </c>
      <c r="J22" s="174" t="s">
        <v>266</v>
      </c>
      <c r="K22" s="43"/>
    </row>
    <row r="23" spans="1:11" x14ac:dyDescent="0.15">
      <c r="E23" s="50"/>
      <c r="F23" s="51"/>
      <c r="I23" s="52" t="s">
        <v>23</v>
      </c>
      <c r="J23" s="53" t="s">
        <v>266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</f>
        <v>943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90.17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B2097311-A99D-44BF-A2F4-A475E59E1FF7}">
      <formula1>$I$41:$I$50</formula1>
    </dataValidation>
    <dataValidation type="list" allowBlank="1" showInputMessage="1" showErrorMessage="1" sqref="B20:B21" xr:uid="{11E9AB95-C0D4-4DB5-BFC2-9F184E115454}">
      <formula1>$K$29:$K$40</formula1>
    </dataValidation>
    <dataValidation type="list" allowBlank="1" showInputMessage="1" showErrorMessage="1" sqref="B16:B19" xr:uid="{388AA056-07BD-4C60-B080-D2ADD50C734E}">
      <formula1>$K$29:$K$85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511A-734E-42EC-B2C8-EE500339FB16}">
  <dimension ref="A1:K85"/>
  <sheetViews>
    <sheetView topLeftCell="A8" workbookViewId="0">
      <selection activeCell="K21" sqref="K21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8" x14ac:dyDescent="0.2">
      <c r="A8" s="10"/>
      <c r="B8" s="11"/>
      <c r="C8" s="12"/>
      <c r="D8" s="11"/>
      <c r="E8" s="11"/>
      <c r="F8" s="10"/>
      <c r="G8" s="10"/>
      <c r="H8" s="10"/>
      <c r="I8" s="221" t="s">
        <v>263</v>
      </c>
      <c r="J8" s="222" t="s">
        <v>264</v>
      </c>
      <c r="K8" s="223" t="s">
        <v>265</v>
      </c>
    </row>
    <row r="9" spans="1:11" ht="16" x14ac:dyDescent="0.15">
      <c r="A9" s="207"/>
      <c r="B9" s="208"/>
      <c r="C9" s="176"/>
      <c r="D9" s="14"/>
      <c r="E9" s="179"/>
      <c r="F9" s="177"/>
      <c r="G9" s="15"/>
      <c r="H9" s="16"/>
      <c r="I9" s="195"/>
      <c r="J9" s="196"/>
      <c r="K9" s="197"/>
    </row>
    <row r="10" spans="1:11" ht="16" x14ac:dyDescent="0.15">
      <c r="A10" s="225"/>
      <c r="B10" s="208"/>
      <c r="C10" s="176"/>
      <c r="D10" s="14"/>
      <c r="E10" s="179"/>
      <c r="F10" s="177"/>
      <c r="G10" s="15"/>
      <c r="H10" s="16"/>
      <c r="I10" s="198"/>
      <c r="J10" s="209"/>
      <c r="K10" s="211"/>
    </row>
    <row r="11" spans="1:11" ht="16" x14ac:dyDescent="0.15">
      <c r="A11" s="207"/>
      <c r="B11" s="208"/>
      <c r="C11" s="176"/>
      <c r="D11" s="14"/>
      <c r="E11" s="179"/>
      <c r="F11" s="191"/>
      <c r="G11" s="15"/>
      <c r="H11" s="16"/>
      <c r="I11" s="198"/>
      <c r="J11" s="209"/>
      <c r="K11" s="226"/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/>
      <c r="J12" s="209"/>
      <c r="K12" s="210"/>
    </row>
    <row r="13" spans="1:11" ht="34" x14ac:dyDescent="0.15">
      <c r="A13" s="237"/>
      <c r="B13" s="208"/>
      <c r="C13" s="192"/>
      <c r="D13" s="14"/>
      <c r="E13" s="193" t="s">
        <v>262</v>
      </c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0</v>
      </c>
      <c r="G22" s="47" t="e">
        <f>SUM(G9:G21)/F22</f>
        <v>#DIV/0!</v>
      </c>
      <c r="H22" s="48" t="e">
        <f>SUM(H9:H21)/F22</f>
        <v>#DIV/0!</v>
      </c>
      <c r="I22" s="49" t="s">
        <v>22</v>
      </c>
      <c r="J22" s="174" t="s">
        <v>266</v>
      </c>
      <c r="K22" s="43"/>
    </row>
    <row r="23" spans="1:11" x14ac:dyDescent="0.15">
      <c r="E23" s="50"/>
      <c r="F23" s="51"/>
      <c r="I23" s="52" t="s">
        <v>23</v>
      </c>
      <c r="J23" s="53" t="s">
        <v>266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</f>
        <v>943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114.17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9C62AA3A-5C3D-4A8C-BE9F-79CD9BD7BE20}">
      <formula1>$K$29:$K$85</formula1>
    </dataValidation>
    <dataValidation type="list" allowBlank="1" showInputMessage="1" showErrorMessage="1" sqref="B20:B21" xr:uid="{52CF798C-A244-4D69-A1BF-AB07E5093552}">
      <formula1>$K$29:$K$40</formula1>
    </dataValidation>
    <dataValidation type="list" allowBlank="1" showInputMessage="1" showErrorMessage="1" sqref="I50 K15:K21" xr:uid="{4E1CF566-DB10-4CC7-8648-0E904F920CA1}">
      <formula1>$I$41:$I$50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5551-D1CA-4199-8FFF-E81784199C7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15</v>
      </c>
      <c r="D9" s="14">
        <v>2.85</v>
      </c>
      <c r="E9" s="179">
        <v>1092</v>
      </c>
      <c r="F9" s="177">
        <v>14.5</v>
      </c>
      <c r="G9" s="15">
        <f t="shared" ref="G9:G10" si="0">E9*F9</f>
        <v>15834</v>
      </c>
      <c r="H9" s="16">
        <f t="shared" ref="H9:H10" si="1">F9*C9</f>
        <v>217.5</v>
      </c>
      <c r="I9" s="195" t="s">
        <v>20</v>
      </c>
      <c r="J9" s="196">
        <v>6.9444444444444441E-3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17</v>
      </c>
      <c r="D10" s="14">
        <v>2.85</v>
      </c>
      <c r="E10" s="179">
        <v>1303</v>
      </c>
      <c r="F10" s="177">
        <v>9.5</v>
      </c>
      <c r="G10" s="15">
        <f t="shared" si="0"/>
        <v>12378.5</v>
      </c>
      <c r="H10" s="16">
        <f t="shared" si="1"/>
        <v>161.5</v>
      </c>
      <c r="I10" s="198" t="s">
        <v>44</v>
      </c>
      <c r="J10" s="209">
        <v>6.9444444444444441E-3</v>
      </c>
      <c r="K10" s="211" t="s">
        <v>44</v>
      </c>
    </row>
    <row r="11" spans="1:11" ht="16" x14ac:dyDescent="0.15">
      <c r="A11" s="207"/>
      <c r="B11" s="208"/>
      <c r="C11" s="176"/>
      <c r="D11" s="14"/>
      <c r="E11" s="179"/>
      <c r="F11" s="191"/>
      <c r="G11" s="15"/>
      <c r="H11" s="16"/>
      <c r="I11" s="198" t="s">
        <v>236</v>
      </c>
      <c r="J11" s="209">
        <v>0.58333333333333337</v>
      </c>
      <c r="K11" s="226" t="s">
        <v>267</v>
      </c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 t="s">
        <v>268</v>
      </c>
      <c r="J12" s="209">
        <v>8.3333333333333329E-2</v>
      </c>
      <c r="K12" s="210" t="s">
        <v>269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 t="s">
        <v>254</v>
      </c>
      <c r="J13" s="209">
        <v>6.25E-2</v>
      </c>
      <c r="K13" s="226" t="s">
        <v>270</v>
      </c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24</v>
      </c>
      <c r="G22" s="47">
        <f>SUM(G9:G21)/F22</f>
        <v>1175.5208333333333</v>
      </c>
      <c r="H22" s="48">
        <f>SUM(H9:H21)/F22</f>
        <v>15.791666666666666</v>
      </c>
      <c r="I22" s="49" t="s">
        <v>22</v>
      </c>
      <c r="J22" s="174">
        <v>0.74305555555555558</v>
      </c>
      <c r="K22" s="43"/>
    </row>
    <row r="23" spans="1:11" x14ac:dyDescent="0.15">
      <c r="E23" s="50"/>
      <c r="F23" s="51"/>
      <c r="I23" s="52" t="s">
        <v>23</v>
      </c>
      <c r="J23" s="53">
        <v>17.829999999999998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24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</f>
        <v>967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132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EAD8220-0274-4962-87A2-7AD6811AEFB8}">
      <formula1>$K$29:$K$85</formula1>
    </dataValidation>
    <dataValidation type="list" allowBlank="1" showInputMessage="1" showErrorMessage="1" sqref="B20:B21" xr:uid="{E4A0C6AC-C55F-4F5B-BCE8-1908DD104278}">
      <formula1>$K$29:$K$40</formula1>
    </dataValidation>
    <dataValidation type="list" allowBlank="1" showInputMessage="1" showErrorMessage="1" sqref="I50 K15:K21" xr:uid="{94556857-8B5D-4A25-A18F-CABCD2FC6741}">
      <formula1>$I$41:$I$50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8D3C-C39C-4533-8CD1-429D4320AF4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15</v>
      </c>
      <c r="D9" s="14">
        <v>2.85</v>
      </c>
      <c r="E9" s="179">
        <v>1366</v>
      </c>
      <c r="F9" s="177">
        <v>39.5</v>
      </c>
      <c r="G9" s="15">
        <f t="shared" ref="G9:G10" si="0">E9*F9</f>
        <v>53957</v>
      </c>
      <c r="H9" s="16">
        <f t="shared" ref="H9:H10" si="1">F9*C9</f>
        <v>592.5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17</v>
      </c>
      <c r="D10" s="14">
        <v>2.85</v>
      </c>
      <c r="E10" s="179">
        <v>1248</v>
      </c>
      <c r="F10" s="177">
        <v>34.5</v>
      </c>
      <c r="G10" s="15">
        <f t="shared" si="0"/>
        <v>43056</v>
      </c>
      <c r="H10" s="16">
        <f t="shared" si="1"/>
        <v>586.5</v>
      </c>
      <c r="I10" s="198" t="s">
        <v>44</v>
      </c>
      <c r="J10" s="209">
        <v>6.9444444444444441E-3</v>
      </c>
      <c r="K10" s="211" t="s">
        <v>44</v>
      </c>
    </row>
    <row r="11" spans="1:11" ht="16" x14ac:dyDescent="0.15">
      <c r="A11" s="207"/>
      <c r="B11" s="208"/>
      <c r="C11" s="176"/>
      <c r="D11" s="14"/>
      <c r="E11" s="179"/>
      <c r="F11" s="191"/>
      <c r="G11" s="15"/>
      <c r="H11" s="16"/>
      <c r="I11" s="198" t="s">
        <v>236</v>
      </c>
      <c r="J11" s="209">
        <v>4.1666666666666664E-2</v>
      </c>
      <c r="K11" s="226" t="s">
        <v>267</v>
      </c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 t="s">
        <v>245</v>
      </c>
      <c r="J12" s="209">
        <v>4.1666666666666664E-2</v>
      </c>
      <c r="K12" s="210" t="s">
        <v>251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74</v>
      </c>
      <c r="G22" s="47">
        <f>SUM(G9:G21)/F22</f>
        <v>1310.9864864864865</v>
      </c>
      <c r="H22" s="48">
        <f>SUM(H9:H21)/F22</f>
        <v>15.932432432432432</v>
      </c>
      <c r="I22" s="49" t="s">
        <v>22</v>
      </c>
      <c r="J22" s="174">
        <v>0.1111111111111111</v>
      </c>
      <c r="K22" s="43"/>
    </row>
    <row r="23" spans="1:11" x14ac:dyDescent="0.15">
      <c r="E23" s="50"/>
      <c r="F23" s="51"/>
      <c r="I23" s="52" t="s">
        <v>23</v>
      </c>
      <c r="J23" s="53">
        <v>2.67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</f>
        <v>1041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134.66999999999999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D2DD5349-ADEF-4353-8275-450CBDFF420B}">
      <formula1>$I$41:$I$50</formula1>
    </dataValidation>
    <dataValidation type="list" allowBlank="1" showInputMessage="1" showErrorMessage="1" sqref="B20:B21" xr:uid="{8A81ABC4-8FB9-4942-8146-3DFF180D82B8}">
      <formula1>$K$29:$K$40</formula1>
    </dataValidation>
    <dataValidation type="list" allowBlank="1" showInputMessage="1" showErrorMessage="1" sqref="B16:B19" xr:uid="{B5965C13-1B89-46B3-93F4-29807434EF2B}">
      <formula1>$K$29:$K$85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C40D-C460-4F7B-A2CA-135E17F175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17</v>
      </c>
      <c r="D9" s="14">
        <v>2.85</v>
      </c>
      <c r="E9" s="179">
        <v>1295</v>
      </c>
      <c r="F9" s="177">
        <v>7.5</v>
      </c>
      <c r="G9" s="15">
        <f t="shared" ref="G9:G11" si="0">E9*F9</f>
        <v>9712.5</v>
      </c>
      <c r="H9" s="16">
        <f t="shared" ref="H9:H11" si="1">F9*C9</f>
        <v>127.5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248</v>
      </c>
      <c r="C10" s="176">
        <v>12.5</v>
      </c>
      <c r="D10" s="14">
        <v>2.85</v>
      </c>
      <c r="E10" s="179">
        <v>1281</v>
      </c>
      <c r="F10" s="177">
        <v>34.5</v>
      </c>
      <c r="G10" s="15">
        <f t="shared" si="0"/>
        <v>44194.5</v>
      </c>
      <c r="H10" s="16">
        <f t="shared" si="1"/>
        <v>431.25</v>
      </c>
      <c r="I10" s="198" t="s">
        <v>44</v>
      </c>
      <c r="J10" s="209">
        <v>2.4305555555555556E-2</v>
      </c>
      <c r="K10" s="211" t="s">
        <v>44</v>
      </c>
    </row>
    <row r="11" spans="1:11" ht="17" x14ac:dyDescent="0.15">
      <c r="A11" s="207">
        <v>3</v>
      </c>
      <c r="B11" s="208" t="s">
        <v>248</v>
      </c>
      <c r="C11" s="176">
        <v>14</v>
      </c>
      <c r="D11" s="14">
        <v>2.85</v>
      </c>
      <c r="E11" s="179">
        <v>1281</v>
      </c>
      <c r="F11" s="191">
        <v>18</v>
      </c>
      <c r="G11" s="15">
        <f t="shared" si="0"/>
        <v>23058</v>
      </c>
      <c r="H11" s="16">
        <f t="shared" si="1"/>
        <v>252</v>
      </c>
      <c r="I11" s="198" t="s">
        <v>236</v>
      </c>
      <c r="J11" s="209">
        <v>6.25E-2</v>
      </c>
      <c r="K11" s="226" t="s">
        <v>267</v>
      </c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 t="s">
        <v>271</v>
      </c>
      <c r="J12" s="209">
        <v>2.7777777777777776E-2</v>
      </c>
      <c r="K12" s="210" t="s">
        <v>272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0"/>
      <c r="J14" s="25"/>
      <c r="K14" s="2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60</v>
      </c>
      <c r="G22" s="47">
        <f>SUM(G9:G21)/F22</f>
        <v>1282.75</v>
      </c>
      <c r="H22" s="48">
        <f>SUM(H9:H21)/F22</f>
        <v>13.512499999999999</v>
      </c>
      <c r="I22" s="49" t="s">
        <v>22</v>
      </c>
      <c r="J22" s="174">
        <v>0.13541666666666666</v>
      </c>
      <c r="K22" s="43"/>
    </row>
    <row r="23" spans="1:11" x14ac:dyDescent="0.15">
      <c r="E23" s="50"/>
      <c r="F23" s="51"/>
      <c r="I23" s="52" t="s">
        <v>23</v>
      </c>
      <c r="J23" s="53">
        <v>3.25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</f>
        <v>1101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137.91999999999999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21CF6E47-75F6-4258-AC84-4A2FA05DF888}">
      <formula1>$K$29:$K$85</formula1>
    </dataValidation>
    <dataValidation type="list" allowBlank="1" showInputMessage="1" showErrorMessage="1" sqref="B20:B21" xr:uid="{092738D1-0785-46F3-BAED-493700A99E54}">
      <formula1>$K$29:$K$40</formula1>
    </dataValidation>
    <dataValidation type="list" allowBlank="1" showInputMessage="1" showErrorMessage="1" sqref="I50 K15:K21" xr:uid="{E0C7F36B-9DDD-4EAE-8E27-1E5DE8DD60A9}">
      <formula1>$I$41:$I$50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DFC5-45D2-4E18-B619-A87B5FA6A8A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15</v>
      </c>
      <c r="D9" s="14">
        <v>2.85</v>
      </c>
      <c r="E9" s="179">
        <v>1264</v>
      </c>
      <c r="F9" s="177">
        <v>2.5</v>
      </c>
      <c r="G9" s="15">
        <f t="shared" ref="G9:G11" si="0">E9*F9</f>
        <v>3160</v>
      </c>
      <c r="H9" s="16">
        <f t="shared" ref="H9:H11" si="1">F9*C9</f>
        <v>37.5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248</v>
      </c>
      <c r="C10" s="176">
        <v>12.5</v>
      </c>
      <c r="D10" s="14">
        <v>2.85</v>
      </c>
      <c r="E10" s="179">
        <v>1275</v>
      </c>
      <c r="F10" s="177">
        <v>14.5</v>
      </c>
      <c r="G10" s="15">
        <f t="shared" si="0"/>
        <v>18487.5</v>
      </c>
      <c r="H10" s="16">
        <f t="shared" si="1"/>
        <v>181.25</v>
      </c>
      <c r="I10" s="198" t="s">
        <v>44</v>
      </c>
      <c r="J10" s="209">
        <v>2.0833333333333332E-2</v>
      </c>
      <c r="K10" s="211" t="s">
        <v>44</v>
      </c>
    </row>
    <row r="11" spans="1:11" ht="17" x14ac:dyDescent="0.15">
      <c r="A11" s="207">
        <v>3</v>
      </c>
      <c r="B11" s="208" t="s">
        <v>248</v>
      </c>
      <c r="C11" s="176">
        <v>14</v>
      </c>
      <c r="D11" s="14">
        <v>2.85</v>
      </c>
      <c r="E11" s="179">
        <v>1258</v>
      </c>
      <c r="F11" s="191">
        <v>40</v>
      </c>
      <c r="G11" s="15">
        <f t="shared" si="0"/>
        <v>50320</v>
      </c>
      <c r="H11" s="16">
        <f t="shared" si="1"/>
        <v>560</v>
      </c>
      <c r="I11" s="198" t="s">
        <v>243</v>
      </c>
      <c r="J11" s="209">
        <v>2.0833333333333332E-2</v>
      </c>
      <c r="K11" s="226" t="s">
        <v>273</v>
      </c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 t="s">
        <v>274</v>
      </c>
      <c r="J12" s="209">
        <v>4.8611111111111112E-2</v>
      </c>
      <c r="K12" s="210" t="s">
        <v>275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 t="s">
        <v>245</v>
      </c>
      <c r="J13" s="209">
        <v>5.5555555555555552E-2</v>
      </c>
      <c r="K13" s="226" t="s">
        <v>251</v>
      </c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 t="s">
        <v>233</v>
      </c>
      <c r="J14" s="240">
        <v>1.3888888888888888E-2</v>
      </c>
      <c r="K14" s="211" t="s">
        <v>233</v>
      </c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57</v>
      </c>
      <c r="G22" s="47">
        <f>SUM(G9:G21)/F22</f>
        <v>1262.5877192982457</v>
      </c>
      <c r="H22" s="48">
        <f>SUM(H9:H21)/F22</f>
        <v>13.662280701754385</v>
      </c>
      <c r="I22" s="49" t="s">
        <v>22</v>
      </c>
      <c r="J22" s="174">
        <v>0.18055555555555555</v>
      </c>
      <c r="K22" s="43"/>
    </row>
    <row r="23" spans="1:11" x14ac:dyDescent="0.15">
      <c r="E23" s="50"/>
      <c r="F23" s="51"/>
      <c r="I23" s="52" t="s">
        <v>23</v>
      </c>
      <c r="J23" s="53">
        <v>4.33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57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</f>
        <v>1158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142.25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ED82344-9D3B-41C9-9C43-0756BB09DD2B}">
      <formula1>$I$41:$I$50</formula1>
    </dataValidation>
    <dataValidation type="list" allowBlank="1" showInputMessage="1" showErrorMessage="1" sqref="B20:B21" xr:uid="{8109E27B-6C17-4028-AC4D-09306FF75A9A}">
      <formula1>$K$29:$K$40</formula1>
    </dataValidation>
    <dataValidation type="list" allowBlank="1" showInputMessage="1" showErrorMessage="1" sqref="B16:B19" xr:uid="{20D02952-845F-44C8-8901-9C4EB7ED1868}">
      <formula1>$K$29:$K$85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3FF9-CB59-4761-B18D-8A86A082F5B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45859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15</v>
      </c>
      <c r="D9" s="14">
        <v>2.85</v>
      </c>
      <c r="E9" s="179">
        <v>1120</v>
      </c>
      <c r="F9" s="177">
        <v>44.9</v>
      </c>
      <c r="G9" s="15">
        <f t="shared" ref="G9:G12" si="0">E9*F9</f>
        <v>50288</v>
      </c>
      <c r="H9" s="16">
        <f t="shared" ref="H9:H12" si="1">F9*C9</f>
        <v>673.5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248</v>
      </c>
      <c r="C10" s="176">
        <v>12.5</v>
      </c>
      <c r="D10" s="14">
        <v>2.85</v>
      </c>
      <c r="E10" s="179">
        <v>1258</v>
      </c>
      <c r="F10" s="177">
        <v>11</v>
      </c>
      <c r="G10" s="15">
        <f t="shared" si="0"/>
        <v>13838</v>
      </c>
      <c r="H10" s="16">
        <f t="shared" si="1"/>
        <v>137.5</v>
      </c>
      <c r="I10" s="198" t="s">
        <v>44</v>
      </c>
      <c r="J10" s="209">
        <v>1.3888888888888888E-2</v>
      </c>
      <c r="K10" s="211" t="s">
        <v>44</v>
      </c>
    </row>
    <row r="11" spans="1:11" ht="17" x14ac:dyDescent="0.15">
      <c r="A11" s="207">
        <v>3</v>
      </c>
      <c r="B11" s="208" t="s">
        <v>248</v>
      </c>
      <c r="C11" s="176">
        <v>13.5</v>
      </c>
      <c r="D11" s="14">
        <v>2.85</v>
      </c>
      <c r="E11" s="179">
        <v>1258</v>
      </c>
      <c r="F11" s="191">
        <v>1</v>
      </c>
      <c r="G11" s="15">
        <f t="shared" si="0"/>
        <v>1258</v>
      </c>
      <c r="H11" s="16">
        <f t="shared" si="1"/>
        <v>13.5</v>
      </c>
      <c r="I11" s="198" t="s">
        <v>243</v>
      </c>
      <c r="J11" s="209">
        <v>2.0833333333333332E-2</v>
      </c>
      <c r="K11" s="226" t="s">
        <v>276</v>
      </c>
    </row>
    <row r="12" spans="1:11" ht="19.25" customHeight="1" x14ac:dyDescent="0.15">
      <c r="A12" s="225">
        <v>4</v>
      </c>
      <c r="B12" s="208" t="s">
        <v>248</v>
      </c>
      <c r="C12" s="192">
        <v>14</v>
      </c>
      <c r="D12" s="14">
        <v>2.85</v>
      </c>
      <c r="E12" s="193">
        <v>1258</v>
      </c>
      <c r="F12" s="194">
        <v>8.1</v>
      </c>
      <c r="G12" s="15">
        <f t="shared" si="0"/>
        <v>10189.799999999999</v>
      </c>
      <c r="H12" s="16">
        <f t="shared" si="1"/>
        <v>113.39999999999999</v>
      </c>
      <c r="I12" s="198" t="s">
        <v>233</v>
      </c>
      <c r="J12" s="209">
        <v>1.3888888888888888E-2</v>
      </c>
      <c r="K12" s="210" t="s">
        <v>233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65</v>
      </c>
      <c r="G22" s="47">
        <f>SUM(G9:G21)/F22</f>
        <v>1162.6738461538462</v>
      </c>
      <c r="H22" s="48">
        <f>SUM(H9:H21)/F22</f>
        <v>14.429230769230768</v>
      </c>
      <c r="I22" s="49" t="s">
        <v>22</v>
      </c>
      <c r="J22" s="174">
        <v>6.9444444444444448E-2</v>
      </c>
      <c r="K22" s="43"/>
    </row>
    <row r="23" spans="1:11" x14ac:dyDescent="0.15">
      <c r="E23" s="50"/>
      <c r="F23" s="51"/>
      <c r="I23" s="52" t="s">
        <v>23</v>
      </c>
      <c r="J23" s="53">
        <v>1.67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65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</f>
        <v>1223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143.91999999999999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F4FB404D-D974-4309-90D7-9C21B190E7F5}">
      <formula1>$K$29:$K$85</formula1>
    </dataValidation>
    <dataValidation type="list" allowBlank="1" showInputMessage="1" showErrorMessage="1" sqref="B20:B21" xr:uid="{3B98193D-70A2-4EA5-B2E5-3E9C93DD81E5}">
      <formula1>$K$29:$K$40</formula1>
    </dataValidation>
    <dataValidation type="list" allowBlank="1" showInputMessage="1" showErrorMessage="1" sqref="I50 K15:K21" xr:uid="{B5988DE1-C571-41EB-98A6-3A81F524F083}">
      <formula1>$I$41:$I$50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51F2-3E2B-45ED-9928-5EFE99882C6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45860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15</v>
      </c>
      <c r="D9" s="14">
        <v>2.85</v>
      </c>
      <c r="E9" s="179">
        <v>1120</v>
      </c>
      <c r="F9" s="177">
        <v>9</v>
      </c>
      <c r="G9" s="15">
        <f t="shared" ref="G9:G12" si="0">E9*F9</f>
        <v>10080</v>
      </c>
      <c r="H9" s="16">
        <f t="shared" ref="H9:H12" si="1">F9*C9</f>
        <v>135</v>
      </c>
      <c r="I9" s="195" t="s">
        <v>20</v>
      </c>
      <c r="J9" s="196">
        <v>1.3888888888888888E-2</v>
      </c>
      <c r="K9" s="197" t="s">
        <v>231</v>
      </c>
    </row>
    <row r="10" spans="1:11" ht="17" x14ac:dyDescent="0.15">
      <c r="A10" s="225">
        <v>2</v>
      </c>
      <c r="B10" s="208" t="s">
        <v>250</v>
      </c>
      <c r="C10" s="176">
        <v>22</v>
      </c>
      <c r="D10" s="14">
        <v>2.85</v>
      </c>
      <c r="E10" s="179">
        <v>924</v>
      </c>
      <c r="F10" s="177">
        <v>3</v>
      </c>
      <c r="G10" s="15">
        <f t="shared" si="0"/>
        <v>2772</v>
      </c>
      <c r="H10" s="16">
        <f t="shared" si="1"/>
        <v>66</v>
      </c>
      <c r="I10" s="198" t="s">
        <v>44</v>
      </c>
      <c r="J10" s="209">
        <v>2.7777777777777776E-2</v>
      </c>
      <c r="K10" s="211" t="s">
        <v>44</v>
      </c>
    </row>
    <row r="11" spans="1:11" ht="17" x14ac:dyDescent="0.15">
      <c r="A11" s="207">
        <v>3</v>
      </c>
      <c r="B11" s="208" t="s">
        <v>234</v>
      </c>
      <c r="C11" s="176">
        <v>16</v>
      </c>
      <c r="D11" s="14">
        <v>2.85</v>
      </c>
      <c r="E11" s="179">
        <v>806</v>
      </c>
      <c r="F11" s="191">
        <v>13</v>
      </c>
      <c r="G11" s="15">
        <f t="shared" si="0"/>
        <v>10478</v>
      </c>
      <c r="H11" s="16">
        <f t="shared" si="1"/>
        <v>208</v>
      </c>
      <c r="I11" s="198" t="s">
        <v>252</v>
      </c>
      <c r="J11" s="209">
        <v>0.23958333333333334</v>
      </c>
      <c r="K11" s="226" t="s">
        <v>56</v>
      </c>
    </row>
    <row r="12" spans="1:11" ht="19.25" customHeight="1" x14ac:dyDescent="0.15">
      <c r="A12" s="225">
        <v>4</v>
      </c>
      <c r="B12" s="208" t="s">
        <v>234</v>
      </c>
      <c r="C12" s="192">
        <v>17</v>
      </c>
      <c r="D12" s="14">
        <v>2.85</v>
      </c>
      <c r="E12" s="193">
        <v>806</v>
      </c>
      <c r="F12" s="194">
        <v>15</v>
      </c>
      <c r="G12" s="15">
        <f t="shared" si="0"/>
        <v>12090</v>
      </c>
      <c r="H12" s="16">
        <f t="shared" si="1"/>
        <v>255</v>
      </c>
      <c r="I12" s="198"/>
      <c r="J12" s="209"/>
      <c r="K12" s="210"/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40</v>
      </c>
      <c r="G22" s="47">
        <f>SUM(G9:G21)/F22</f>
        <v>885.5</v>
      </c>
      <c r="H22" s="48">
        <f>SUM(H9:H21)/F22</f>
        <v>16.600000000000001</v>
      </c>
      <c r="I22" s="49" t="s">
        <v>22</v>
      </c>
      <c r="J22" s="174">
        <v>0.28125</v>
      </c>
      <c r="K22" s="43"/>
    </row>
    <row r="23" spans="1:11" x14ac:dyDescent="0.15">
      <c r="E23" s="50"/>
      <c r="F23" s="51"/>
      <c r="I23" s="52" t="s">
        <v>23</v>
      </c>
      <c r="J23" s="53">
        <v>6.75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40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70+81+71+70+84+75+70+86+78+83+70+67+38+24+74+60+57+65+40</f>
        <v>1263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150.66999999999999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812E6F6F-46B1-4157-811A-8ECBB06051A1}">
      <formula1>$I$41:$I$50</formula1>
    </dataValidation>
    <dataValidation type="list" allowBlank="1" showInputMessage="1" showErrorMessage="1" sqref="B20:B21" xr:uid="{B4FE5DA2-46D4-4AFD-BD90-8551A1813168}">
      <formula1>$K$29:$K$40</formula1>
    </dataValidation>
    <dataValidation type="list" allowBlank="1" showInputMessage="1" showErrorMessage="1" sqref="B16:B19" xr:uid="{B9A8E4E8-FD6D-4056-9E42-37DE696208C7}">
      <formula1>$K$29:$K$85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55BD-3A8B-4536-913F-294019E2AC3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45861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234</v>
      </c>
      <c r="C9" s="176">
        <v>15</v>
      </c>
      <c r="D9" s="14">
        <v>2.85</v>
      </c>
      <c r="E9" s="179">
        <v>1256</v>
      </c>
      <c r="F9" s="177">
        <v>37</v>
      </c>
      <c r="G9" s="15">
        <f t="shared" ref="G9:G11" si="0">E9*F9</f>
        <v>46472</v>
      </c>
      <c r="H9" s="16">
        <f t="shared" ref="H9:H11" si="1">F9*C9</f>
        <v>555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234</v>
      </c>
      <c r="C10" s="176">
        <v>16</v>
      </c>
      <c r="D10" s="14">
        <v>2.85</v>
      </c>
      <c r="E10" s="179">
        <v>954</v>
      </c>
      <c r="F10" s="177">
        <v>17.600000000000001</v>
      </c>
      <c r="G10" s="15">
        <f t="shared" si="0"/>
        <v>16790.400000000001</v>
      </c>
      <c r="H10" s="16">
        <f t="shared" si="1"/>
        <v>281.60000000000002</v>
      </c>
      <c r="I10" s="198" t="s">
        <v>44</v>
      </c>
      <c r="J10" s="209">
        <v>6.9444444444444441E-3</v>
      </c>
      <c r="K10" s="211" t="s">
        <v>44</v>
      </c>
    </row>
    <row r="11" spans="1:11" ht="17" x14ac:dyDescent="0.15">
      <c r="A11" s="207">
        <v>3</v>
      </c>
      <c r="B11" s="208" t="s">
        <v>234</v>
      </c>
      <c r="C11" s="176">
        <v>18</v>
      </c>
      <c r="D11" s="14">
        <v>2.85</v>
      </c>
      <c r="E11" s="179">
        <v>945</v>
      </c>
      <c r="F11" s="191">
        <v>4.4000000000000004</v>
      </c>
      <c r="G11" s="15">
        <f t="shared" si="0"/>
        <v>4158</v>
      </c>
      <c r="H11" s="16">
        <f t="shared" si="1"/>
        <v>79.2</v>
      </c>
      <c r="I11" s="198" t="s">
        <v>233</v>
      </c>
      <c r="J11" s="209">
        <v>1.0416666666666666E-2</v>
      </c>
      <c r="K11" s="226" t="s">
        <v>233</v>
      </c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 t="s">
        <v>236</v>
      </c>
      <c r="J12" s="209">
        <v>5.2083333333333336E-2</v>
      </c>
      <c r="K12" s="210" t="s">
        <v>267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59</v>
      </c>
      <c r="G22" s="47">
        <f>SUM(G9:G21)/F22</f>
        <v>1142.7186440677965</v>
      </c>
      <c r="H22" s="48">
        <f>SUM(H9:H21)/F22</f>
        <v>15.522033898305086</v>
      </c>
      <c r="I22" s="49" t="s">
        <v>22</v>
      </c>
      <c r="J22" s="174">
        <v>9.0277777777777776E-2</v>
      </c>
      <c r="K22" s="43"/>
    </row>
    <row r="23" spans="1:11" x14ac:dyDescent="0.15">
      <c r="E23" s="50"/>
      <c r="F23" s="51"/>
      <c r="I23" s="52" t="s">
        <v>23</v>
      </c>
      <c r="J23" s="53">
        <v>2.17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59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70+81+71+70+84+75+70+86+78+83+70+67+38+24+74+60+57+65+40+59</f>
        <v>1322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152.83000000000001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2929A1A0-0A22-4B9D-A2DC-D2EE59A8A9EC}">
      <formula1>$K$29:$K$85</formula1>
    </dataValidation>
    <dataValidation type="list" allowBlank="1" showInputMessage="1" showErrorMessage="1" sqref="B20:B21" xr:uid="{97B59954-6AB7-4AB2-B190-57E4EED8F816}">
      <formula1>$K$29:$K$40</formula1>
    </dataValidation>
    <dataValidation type="list" allowBlank="1" showInputMessage="1" showErrorMessage="1" sqref="I50 K15:K21" xr:uid="{80BFB3B2-AEBD-4BC7-A686-5A7207BE5AB7}">
      <formula1>$I$41:$I$50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80B5-818D-4164-9897-7440214D8E5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45862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234</v>
      </c>
      <c r="C9" s="176">
        <v>15</v>
      </c>
      <c r="D9" s="14">
        <v>2.85</v>
      </c>
      <c r="E9" s="179">
        <v>1279</v>
      </c>
      <c r="F9" s="177">
        <v>12.1</v>
      </c>
      <c r="G9" s="15">
        <f t="shared" ref="G9:G13" si="0">E9*F9</f>
        <v>15475.9</v>
      </c>
      <c r="H9" s="16">
        <f t="shared" ref="H9:H13" si="1">F9*C9</f>
        <v>181.5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15</v>
      </c>
      <c r="D10" s="14">
        <v>2.85</v>
      </c>
      <c r="E10" s="179">
        <v>1355</v>
      </c>
      <c r="F10" s="177">
        <v>8.4</v>
      </c>
      <c r="G10" s="15">
        <f t="shared" si="0"/>
        <v>11382</v>
      </c>
      <c r="H10" s="16">
        <f t="shared" si="1"/>
        <v>126</v>
      </c>
      <c r="I10" s="198" t="s">
        <v>44</v>
      </c>
      <c r="J10" s="209">
        <v>6.9444444444444441E-3</v>
      </c>
      <c r="K10" s="211" t="s">
        <v>44</v>
      </c>
    </row>
    <row r="11" spans="1:11" ht="17" x14ac:dyDescent="0.15">
      <c r="A11" s="207">
        <v>3</v>
      </c>
      <c r="B11" s="208" t="s">
        <v>242</v>
      </c>
      <c r="C11" s="176">
        <v>16</v>
      </c>
      <c r="D11" s="14">
        <v>2.85</v>
      </c>
      <c r="E11" s="179">
        <v>1355</v>
      </c>
      <c r="F11" s="191">
        <v>2.8</v>
      </c>
      <c r="G11" s="15">
        <f t="shared" si="0"/>
        <v>3793.9999999999995</v>
      </c>
      <c r="H11" s="16">
        <f t="shared" si="1"/>
        <v>44.8</v>
      </c>
      <c r="I11" s="198" t="s">
        <v>233</v>
      </c>
      <c r="J11" s="209">
        <v>1.0416666666666666E-2</v>
      </c>
      <c r="K11" s="226" t="s">
        <v>233</v>
      </c>
    </row>
    <row r="12" spans="1:11" ht="19.25" customHeight="1" x14ac:dyDescent="0.15">
      <c r="A12" s="225">
        <v>4</v>
      </c>
      <c r="B12" s="208" t="s">
        <v>242</v>
      </c>
      <c r="C12" s="192">
        <v>19</v>
      </c>
      <c r="D12" s="14">
        <v>2.85</v>
      </c>
      <c r="E12" s="193">
        <v>1252</v>
      </c>
      <c r="F12" s="194">
        <v>5</v>
      </c>
      <c r="G12" s="15">
        <f t="shared" si="0"/>
        <v>6260</v>
      </c>
      <c r="H12" s="16">
        <f t="shared" si="1"/>
        <v>95</v>
      </c>
      <c r="I12" s="198" t="s">
        <v>236</v>
      </c>
      <c r="J12" s="209">
        <v>5.2083333333333336E-2</v>
      </c>
      <c r="K12" s="210" t="s">
        <v>267</v>
      </c>
    </row>
    <row r="13" spans="1:11" ht="17" x14ac:dyDescent="0.15">
      <c r="A13" s="237">
        <v>6</v>
      </c>
      <c r="B13" s="208" t="s">
        <v>249</v>
      </c>
      <c r="C13" s="192">
        <v>19</v>
      </c>
      <c r="D13" s="14">
        <v>2.85</v>
      </c>
      <c r="E13" s="193">
        <v>1255</v>
      </c>
      <c r="F13" s="194">
        <v>51.7</v>
      </c>
      <c r="G13" s="15">
        <f t="shared" si="0"/>
        <v>64883.5</v>
      </c>
      <c r="H13" s="16">
        <f t="shared" si="1"/>
        <v>982.30000000000007</v>
      </c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80</v>
      </c>
      <c r="G22" s="47">
        <f>SUM(G9:G21)/F22</f>
        <v>1272.4424999999999</v>
      </c>
      <c r="H22" s="48">
        <f>SUM(H9:H21)/F22</f>
        <v>17.87</v>
      </c>
      <c r="I22" s="49" t="s">
        <v>22</v>
      </c>
      <c r="J22" s="174">
        <v>9.0277777777777776E-2</v>
      </c>
      <c r="K22" s="43"/>
    </row>
    <row r="23" spans="1:11" x14ac:dyDescent="0.15">
      <c r="E23" s="50"/>
      <c r="F23" s="51"/>
      <c r="I23" s="52" t="s">
        <v>23</v>
      </c>
      <c r="J23" s="53">
        <v>2.17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70+81+71+70+84+75+70+86+78+83+70+67+38+24+74+60+57+65+40+59+80</f>
        <v>1402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155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CC7058A0-4F3F-4E22-899C-D3CCACC7707F}">
      <formula1>$I$41:$I$50</formula1>
    </dataValidation>
    <dataValidation type="list" allowBlank="1" showInputMessage="1" showErrorMessage="1" sqref="B20:B21" xr:uid="{959620A9-FE49-4815-B486-1318B0DB87EA}">
      <formula1>$K$29:$K$40</formula1>
    </dataValidation>
    <dataValidation type="list" allowBlank="1" showInputMessage="1" showErrorMessage="1" sqref="B16:B19" xr:uid="{67A12B97-CEC3-437D-973C-CA27E3BDAEBA}">
      <formula1>$K$29:$K$85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980B-885B-4C27-8943-51EEE85D8499}">
  <dimension ref="A1:K85"/>
  <sheetViews>
    <sheetView workbookViewId="0">
      <selection activeCell="L6" sqref="L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45863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19</v>
      </c>
      <c r="D9" s="14">
        <v>2.85</v>
      </c>
      <c r="E9" s="179">
        <v>1351</v>
      </c>
      <c r="F9" s="177">
        <v>13.1</v>
      </c>
      <c r="G9" s="15">
        <f t="shared" ref="G9:G11" si="0">E9*F9</f>
        <v>17698.099999999999</v>
      </c>
      <c r="H9" s="16">
        <f t="shared" ref="H9:H11" si="1">F9*C9</f>
        <v>248.9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249</v>
      </c>
      <c r="C10" s="176">
        <v>19</v>
      </c>
      <c r="D10" s="14">
        <v>2.85</v>
      </c>
      <c r="E10" s="179">
        <v>1309</v>
      </c>
      <c r="F10" s="177">
        <v>58.5</v>
      </c>
      <c r="G10" s="15">
        <f t="shared" si="0"/>
        <v>76576.5</v>
      </c>
      <c r="H10" s="16">
        <f t="shared" si="1"/>
        <v>1111.5</v>
      </c>
      <c r="I10" s="198" t="s">
        <v>274</v>
      </c>
      <c r="J10" s="209">
        <v>2.4305555555555556E-2</v>
      </c>
      <c r="K10" s="211" t="s">
        <v>277</v>
      </c>
    </row>
    <row r="11" spans="1:11" ht="17" x14ac:dyDescent="0.15">
      <c r="A11" s="207">
        <v>3</v>
      </c>
      <c r="B11" s="208" t="s">
        <v>250</v>
      </c>
      <c r="C11" s="176">
        <v>20</v>
      </c>
      <c r="D11" s="14">
        <v>2.85</v>
      </c>
      <c r="E11" s="179">
        <v>1263</v>
      </c>
      <c r="F11" s="191">
        <v>12.4</v>
      </c>
      <c r="G11" s="15">
        <f t="shared" si="0"/>
        <v>15661.2</v>
      </c>
      <c r="H11" s="16">
        <f t="shared" si="1"/>
        <v>248</v>
      </c>
      <c r="I11" s="198" t="s">
        <v>236</v>
      </c>
      <c r="J11" s="209">
        <v>6.9444444444444448E-2</v>
      </c>
      <c r="K11" s="210" t="s">
        <v>267</v>
      </c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 t="s">
        <v>233</v>
      </c>
      <c r="J12" s="209">
        <v>1.0416666666666666E-2</v>
      </c>
      <c r="K12" s="210" t="s">
        <v>233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84</v>
      </c>
      <c r="G22" s="47">
        <f>SUM(G9:G21)/F22</f>
        <v>1308.7595238095239</v>
      </c>
      <c r="H22" s="48">
        <f>SUM(H9:H21)/F22</f>
        <v>19.147619047619049</v>
      </c>
      <c r="I22" s="49" t="s">
        <v>22</v>
      </c>
      <c r="J22" s="174">
        <v>0.125</v>
      </c>
      <c r="K22" s="43"/>
    </row>
    <row r="23" spans="1:11" x14ac:dyDescent="0.15">
      <c r="E23" s="50"/>
      <c r="F23" s="51"/>
      <c r="I23" s="52" t="s">
        <v>23</v>
      </c>
      <c r="J23" s="53">
        <v>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70+81+71+70+84+75+70+86+78+83+70+67+38+24+74+60+57+65+40+59+80+84</f>
        <v>1486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158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A836B8A2-E35A-49C8-9870-19D940A6AC06}">
      <formula1>$K$29:$K$85</formula1>
    </dataValidation>
    <dataValidation type="list" allowBlank="1" showInputMessage="1" showErrorMessage="1" sqref="B20:B21" xr:uid="{83C054EA-6671-4924-93A0-164CF32436A5}">
      <formula1>$K$29:$K$40</formula1>
    </dataValidation>
    <dataValidation type="list" allowBlank="1" showInputMessage="1" showErrorMessage="1" sqref="I50 K15:K21" xr:uid="{29F90A3D-3D94-4EE0-8C83-08837F16FB3E}">
      <formula1>$I$41:$I$50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A302-D61B-43B8-A486-D829F497CE08}">
  <dimension ref="A1:K85"/>
  <sheetViews>
    <sheetView workbookViewId="0">
      <selection activeCell="J9" sqref="J9:J12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45864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15</v>
      </c>
      <c r="D9" s="14">
        <v>2.85</v>
      </c>
      <c r="E9" s="179">
        <v>1360</v>
      </c>
      <c r="F9" s="177">
        <v>17.3</v>
      </c>
      <c r="G9" s="15">
        <f t="shared" ref="G9:G12" si="0">E9*F9</f>
        <v>23528</v>
      </c>
      <c r="H9" s="16">
        <f t="shared" ref="H9:H12" si="1">F9*C9</f>
        <v>259.5</v>
      </c>
      <c r="I9" s="195" t="s">
        <v>20</v>
      </c>
      <c r="J9" s="196">
        <v>2.7777777777777776E-2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19</v>
      </c>
      <c r="D10" s="14">
        <v>2.85</v>
      </c>
      <c r="E10" s="179">
        <v>1264</v>
      </c>
      <c r="F10" s="177">
        <v>5.8</v>
      </c>
      <c r="G10" s="15">
        <f t="shared" si="0"/>
        <v>7331.2</v>
      </c>
      <c r="H10" s="16">
        <f t="shared" si="1"/>
        <v>110.2</v>
      </c>
      <c r="I10" s="198" t="s">
        <v>44</v>
      </c>
      <c r="J10" s="209">
        <v>2.7777777777777776E-2</v>
      </c>
      <c r="K10" s="211" t="s">
        <v>44</v>
      </c>
    </row>
    <row r="11" spans="1:11" ht="17" x14ac:dyDescent="0.15">
      <c r="A11" s="207">
        <v>3</v>
      </c>
      <c r="B11" s="208" t="s">
        <v>250</v>
      </c>
      <c r="C11" s="176">
        <v>22</v>
      </c>
      <c r="D11" s="14">
        <v>2.85</v>
      </c>
      <c r="E11" s="179">
        <v>1196</v>
      </c>
      <c r="F11" s="191">
        <v>17</v>
      </c>
      <c r="G11" s="15">
        <f t="shared" si="0"/>
        <v>20332</v>
      </c>
      <c r="H11" s="16">
        <f t="shared" si="1"/>
        <v>374</v>
      </c>
      <c r="I11" s="198" t="s">
        <v>236</v>
      </c>
      <c r="J11" s="209">
        <v>0.1111111111111111</v>
      </c>
      <c r="K11" s="210" t="s">
        <v>278</v>
      </c>
    </row>
    <row r="12" spans="1:11" ht="19.25" customHeight="1" x14ac:dyDescent="0.15">
      <c r="A12" s="225">
        <v>4</v>
      </c>
      <c r="B12" s="208" t="s">
        <v>248</v>
      </c>
      <c r="C12" s="192">
        <v>12.5</v>
      </c>
      <c r="D12" s="14">
        <v>2.85</v>
      </c>
      <c r="E12" s="193">
        <v>1326</v>
      </c>
      <c r="F12" s="194">
        <v>20.9</v>
      </c>
      <c r="G12" s="15">
        <f t="shared" si="0"/>
        <v>27713.399999999998</v>
      </c>
      <c r="H12" s="16">
        <f t="shared" si="1"/>
        <v>261.25</v>
      </c>
      <c r="I12" s="198" t="s">
        <v>233</v>
      </c>
      <c r="J12" s="209">
        <v>2.7777777777777776E-2</v>
      </c>
      <c r="K12" s="210" t="s">
        <v>233</v>
      </c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61</v>
      </c>
      <c r="G22" s="47">
        <f>SUM(G9:G21)/F22</f>
        <v>1293.5180327868852</v>
      </c>
      <c r="H22" s="48">
        <f>SUM(H9:H21)/F22</f>
        <v>16.474590163934426</v>
      </c>
      <c r="I22" s="49" t="s">
        <v>22</v>
      </c>
      <c r="J22" s="174">
        <v>0.19444444444444445</v>
      </c>
      <c r="K22" s="43"/>
    </row>
    <row r="23" spans="1:11" x14ac:dyDescent="0.15">
      <c r="E23" s="50"/>
      <c r="F23" s="51"/>
      <c r="I23" s="52" t="s">
        <v>23</v>
      </c>
      <c r="J23" s="53">
        <v>4.67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61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70+81+71+70+84+75+70+86+78+83+70+67+38+24+74+60+57+65+40+59+80+84+61</f>
        <v>1547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162.4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B70F359C-0990-482B-B936-2556272D4FB9}">
      <formula1>$I$41:$I$50</formula1>
    </dataValidation>
    <dataValidation type="list" allowBlank="1" showInputMessage="1" showErrorMessage="1" sqref="B20:B21" xr:uid="{02ABC2EF-78A5-47C8-951F-04A84B906AEC}">
      <formula1>$K$29:$K$40</formula1>
    </dataValidation>
    <dataValidation type="list" allowBlank="1" showInputMessage="1" showErrorMessage="1" sqref="B16:B19" xr:uid="{455FF90D-6665-4FFE-97A2-63F9B106DE31}">
      <formula1>$K$29:$K$85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DEB3-5D47-4402-BA89-BE8ACA6BFE7C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45865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15</v>
      </c>
      <c r="D9" s="14">
        <v>2.85</v>
      </c>
      <c r="E9" s="179">
        <v>1335</v>
      </c>
      <c r="F9" s="177">
        <v>25.8</v>
      </c>
      <c r="G9" s="15">
        <f t="shared" ref="G9:G10" si="0">E9*F9</f>
        <v>34443</v>
      </c>
      <c r="H9" s="16">
        <f t="shared" ref="H9:H10" si="1">F9*C9</f>
        <v>387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248</v>
      </c>
      <c r="C10" s="176">
        <v>12.5</v>
      </c>
      <c r="D10" s="14">
        <v>2.85</v>
      </c>
      <c r="E10" s="179">
        <v>1326</v>
      </c>
      <c r="F10" s="177">
        <v>38.200000000000003</v>
      </c>
      <c r="G10" s="15">
        <f t="shared" si="0"/>
        <v>50653.200000000004</v>
      </c>
      <c r="H10" s="16">
        <f t="shared" si="1"/>
        <v>477.50000000000006</v>
      </c>
      <c r="I10" s="198" t="s">
        <v>44</v>
      </c>
      <c r="J10" s="209">
        <v>2.0833333333333332E-2</v>
      </c>
      <c r="K10" s="211" t="s">
        <v>44</v>
      </c>
    </row>
    <row r="11" spans="1:11" ht="16" x14ac:dyDescent="0.15">
      <c r="A11" s="207"/>
      <c r="B11" s="208"/>
      <c r="C11" s="176"/>
      <c r="D11" s="14"/>
      <c r="E11" s="179"/>
      <c r="F11" s="191"/>
      <c r="G11" s="15"/>
      <c r="H11" s="16"/>
      <c r="I11" s="198" t="s">
        <v>236</v>
      </c>
      <c r="J11" s="209">
        <v>5.5555555555555552E-2</v>
      </c>
      <c r="K11" s="210" t="s">
        <v>279</v>
      </c>
    </row>
    <row r="12" spans="1:11" ht="19.25" customHeight="1" x14ac:dyDescent="0.15">
      <c r="A12" s="225"/>
      <c r="B12" s="208"/>
      <c r="C12" s="192"/>
      <c r="D12" s="14"/>
      <c r="E12" s="193"/>
      <c r="F12" s="194"/>
      <c r="G12" s="15"/>
      <c r="H12" s="16"/>
      <c r="I12" s="198"/>
      <c r="J12" s="209"/>
      <c r="K12" s="210"/>
    </row>
    <row r="13" spans="1:11" ht="16" x14ac:dyDescent="0.15">
      <c r="A13" s="237"/>
      <c r="B13" s="208"/>
      <c r="C13" s="192"/>
      <c r="D13" s="14"/>
      <c r="E13" s="193"/>
      <c r="F13" s="194"/>
      <c r="G13" s="15"/>
      <c r="H13" s="16"/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64</v>
      </c>
      <c r="G22" s="47">
        <f>SUM(G9:G21)/F22</f>
        <v>1329.6281250000002</v>
      </c>
      <c r="H22" s="48">
        <f>SUM(H9:H21)/F22</f>
        <v>13.5078125</v>
      </c>
      <c r="I22" s="49" t="s">
        <v>22</v>
      </c>
      <c r="J22" s="174">
        <v>9.7222222222222224E-2</v>
      </c>
      <c r="K22" s="43"/>
    </row>
    <row r="23" spans="1:11" x14ac:dyDescent="0.15">
      <c r="E23" s="50"/>
      <c r="F23" s="51"/>
      <c r="I23" s="52" t="s">
        <v>23</v>
      </c>
      <c r="J23" s="53">
        <v>2.33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70+81+71+70+84+75+70+86+78+83+70+67+38+24+74+60+57+65+40+59+80+84+61+64</f>
        <v>1611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165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C6C51F5-A8AA-4529-8795-803F06CC312D}">
      <formula1>$K$29:$K$85</formula1>
    </dataValidation>
    <dataValidation type="list" allowBlank="1" showInputMessage="1" showErrorMessage="1" sqref="B20:B21" xr:uid="{1B0776B3-C5C2-4323-82FF-970EBC82A9AD}">
      <formula1>$K$29:$K$40</formula1>
    </dataValidation>
    <dataValidation type="list" allowBlank="1" showInputMessage="1" showErrorMessage="1" sqref="I50 K15:K21" xr:uid="{06EA2DCC-60F0-4FB1-89ED-7668682A1C30}">
      <formula1>$I$41:$I$50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F784-04CF-421F-B56E-0FE5D385168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45866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15</v>
      </c>
      <c r="D9" s="14">
        <v>2.85</v>
      </c>
      <c r="E9" s="179">
        <v>1295</v>
      </c>
      <c r="F9" s="177">
        <v>6.4</v>
      </c>
      <c r="G9" s="15">
        <f t="shared" ref="G9:G13" si="0">E9*F9</f>
        <v>8288</v>
      </c>
      <c r="H9" s="16">
        <f t="shared" ref="H9:H13" si="1">F9*C9</f>
        <v>96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16</v>
      </c>
      <c r="D10" s="14">
        <v>2.85</v>
      </c>
      <c r="E10" s="179">
        <v>1312</v>
      </c>
      <c r="F10" s="177">
        <v>22.6</v>
      </c>
      <c r="G10" s="15">
        <f t="shared" si="0"/>
        <v>29651.200000000001</v>
      </c>
      <c r="H10" s="16">
        <f t="shared" si="1"/>
        <v>361.6</v>
      </c>
      <c r="I10" s="198" t="s">
        <v>44</v>
      </c>
      <c r="J10" s="209">
        <v>3.4722222222222224E-2</v>
      </c>
      <c r="K10" s="211" t="s">
        <v>44</v>
      </c>
    </row>
    <row r="11" spans="1:11" ht="17" x14ac:dyDescent="0.15">
      <c r="A11" s="207">
        <v>3</v>
      </c>
      <c r="B11" s="208" t="s">
        <v>248</v>
      </c>
      <c r="C11" s="176">
        <v>11</v>
      </c>
      <c r="D11" s="14">
        <v>2.85</v>
      </c>
      <c r="E11" s="179">
        <v>1343</v>
      </c>
      <c r="F11" s="191">
        <v>8</v>
      </c>
      <c r="G11" s="15">
        <f t="shared" si="0"/>
        <v>10744</v>
      </c>
      <c r="H11" s="16">
        <f t="shared" si="1"/>
        <v>88</v>
      </c>
      <c r="I11" s="198" t="s">
        <v>233</v>
      </c>
      <c r="J11" s="209">
        <v>1.7361111111111112E-2</v>
      </c>
      <c r="K11" s="210" t="s">
        <v>233</v>
      </c>
    </row>
    <row r="12" spans="1:11" ht="19.25" customHeight="1" x14ac:dyDescent="0.15">
      <c r="A12" s="225">
        <v>4</v>
      </c>
      <c r="B12" s="208" t="s">
        <v>248</v>
      </c>
      <c r="C12" s="192">
        <v>12.5</v>
      </c>
      <c r="D12" s="14">
        <v>2.85</v>
      </c>
      <c r="E12" s="193">
        <v>1343</v>
      </c>
      <c r="F12" s="194">
        <v>16.8</v>
      </c>
      <c r="G12" s="15">
        <f t="shared" si="0"/>
        <v>22562.400000000001</v>
      </c>
      <c r="H12" s="16">
        <f t="shared" si="1"/>
        <v>210</v>
      </c>
      <c r="I12" s="198"/>
      <c r="J12" s="209"/>
      <c r="K12" s="210"/>
    </row>
    <row r="13" spans="1:11" ht="17" x14ac:dyDescent="0.15">
      <c r="A13" s="237">
        <v>5</v>
      </c>
      <c r="B13" s="208" t="s">
        <v>248</v>
      </c>
      <c r="C13" s="192">
        <v>13.5</v>
      </c>
      <c r="D13" s="14">
        <v>2.85</v>
      </c>
      <c r="E13" s="193">
        <v>1334</v>
      </c>
      <c r="F13" s="194">
        <v>12.2</v>
      </c>
      <c r="G13" s="15">
        <f t="shared" si="0"/>
        <v>16274.8</v>
      </c>
      <c r="H13" s="16">
        <f t="shared" si="1"/>
        <v>164.7</v>
      </c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66</v>
      </c>
      <c r="G22" s="47">
        <f>SUM(G9:G21)/F22</f>
        <v>1326.0666666666668</v>
      </c>
      <c r="H22" s="48">
        <f>SUM(H9:H21)/F22</f>
        <v>13.943939393939393</v>
      </c>
      <c r="I22" s="49" t="s">
        <v>22</v>
      </c>
      <c r="J22" s="174">
        <v>7.2916666666666671E-2</v>
      </c>
      <c r="K22" s="43"/>
    </row>
    <row r="23" spans="1:11" x14ac:dyDescent="0.15">
      <c r="E23" s="50"/>
      <c r="F23" s="51"/>
      <c r="I23" s="52" t="s">
        <v>23</v>
      </c>
      <c r="J23" s="53">
        <v>1.75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66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70+81+71+70+84+75+70+86+78+83+70+67+38+24+74+60+57+65+40+59+80+84+61+64+66</f>
        <v>1677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166.45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F2DC902A-6DC1-46A5-943D-BF8582CF5074}">
      <formula1>$I$41:$I$50</formula1>
    </dataValidation>
    <dataValidation type="list" allowBlank="1" showInputMessage="1" showErrorMessage="1" sqref="B20:B21" xr:uid="{621F06D7-5669-4A32-BA32-893C2021EEF0}">
      <formula1>$K$29:$K$40</formula1>
    </dataValidation>
    <dataValidation type="list" allowBlank="1" showInputMessage="1" showErrorMessage="1" sqref="B16:B19" xr:uid="{C949AEC4-9F64-452F-8142-F1A9AAA24CC3}">
      <formula1>$K$29:$K$85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90DC-C519-4EEA-A1EA-4983AC1A793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45867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248</v>
      </c>
      <c r="C9" s="176">
        <v>12.5</v>
      </c>
      <c r="D9" s="14">
        <v>2.85</v>
      </c>
      <c r="E9" s="179">
        <v>1311</v>
      </c>
      <c r="F9" s="177">
        <v>6.7</v>
      </c>
      <c r="G9" s="15">
        <f t="shared" ref="G9:G13" si="0">E9*F9</f>
        <v>8783.7000000000007</v>
      </c>
      <c r="H9" s="16">
        <f t="shared" ref="H9:H13" si="1">F9*C9</f>
        <v>83.75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242</v>
      </c>
      <c r="C10" s="176">
        <v>17</v>
      </c>
      <c r="D10" s="14">
        <v>2.85</v>
      </c>
      <c r="E10" s="179">
        <v>1264</v>
      </c>
      <c r="F10" s="177">
        <v>2.7</v>
      </c>
      <c r="G10" s="15">
        <f t="shared" si="0"/>
        <v>3412.8</v>
      </c>
      <c r="H10" s="16">
        <f t="shared" si="1"/>
        <v>45.900000000000006</v>
      </c>
      <c r="I10" s="198" t="s">
        <v>44</v>
      </c>
      <c r="J10" s="209">
        <v>4.5138888888888888E-2</v>
      </c>
      <c r="K10" s="211" t="s">
        <v>44</v>
      </c>
    </row>
    <row r="11" spans="1:11" ht="17" x14ac:dyDescent="0.15">
      <c r="A11" s="207">
        <v>3</v>
      </c>
      <c r="B11" s="208" t="s">
        <v>250</v>
      </c>
      <c r="C11" s="176">
        <v>22</v>
      </c>
      <c r="D11" s="14">
        <v>2.85</v>
      </c>
      <c r="E11" s="179">
        <v>1176</v>
      </c>
      <c r="F11" s="191">
        <v>21.1</v>
      </c>
      <c r="G11" s="15">
        <f t="shared" si="0"/>
        <v>24813.600000000002</v>
      </c>
      <c r="H11" s="16">
        <f t="shared" si="1"/>
        <v>464.20000000000005</v>
      </c>
      <c r="I11" s="198" t="s">
        <v>245</v>
      </c>
      <c r="J11" s="209">
        <v>5.5555555555555552E-2</v>
      </c>
      <c r="K11" s="210" t="s">
        <v>280</v>
      </c>
    </row>
    <row r="12" spans="1:11" ht="19.25" customHeight="1" x14ac:dyDescent="0.15">
      <c r="A12" s="225">
        <v>4</v>
      </c>
      <c r="B12" s="208" t="s">
        <v>250</v>
      </c>
      <c r="C12" s="192">
        <v>32</v>
      </c>
      <c r="D12" s="14">
        <v>2.85</v>
      </c>
      <c r="E12" s="193">
        <v>811</v>
      </c>
      <c r="F12" s="194">
        <v>46.5</v>
      </c>
      <c r="G12" s="15">
        <f t="shared" si="0"/>
        <v>37711.5</v>
      </c>
      <c r="H12" s="16">
        <f t="shared" si="1"/>
        <v>1488</v>
      </c>
      <c r="I12" s="198" t="s">
        <v>233</v>
      </c>
      <c r="J12" s="209">
        <v>6.9444444444444441E-3</v>
      </c>
      <c r="K12" s="210" t="s">
        <v>233</v>
      </c>
    </row>
    <row r="13" spans="1:11" ht="17" x14ac:dyDescent="0.15">
      <c r="A13" s="237">
        <v>5</v>
      </c>
      <c r="B13" s="208" t="s">
        <v>250</v>
      </c>
      <c r="C13" s="192">
        <v>34</v>
      </c>
      <c r="D13" s="14">
        <v>2.85</v>
      </c>
      <c r="E13" s="193">
        <v>770</v>
      </c>
      <c r="F13" s="194">
        <v>4</v>
      </c>
      <c r="G13" s="15">
        <f t="shared" si="0"/>
        <v>3080</v>
      </c>
      <c r="H13" s="16">
        <f t="shared" si="1"/>
        <v>136</v>
      </c>
      <c r="I13" s="198" t="s">
        <v>281</v>
      </c>
      <c r="J13" s="209">
        <v>1.0416666666666666E-2</v>
      </c>
      <c r="K13" s="226" t="s">
        <v>282</v>
      </c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81</v>
      </c>
      <c r="G22" s="47">
        <f>SUM(G9:G21)/F22</f>
        <v>960.51358024691365</v>
      </c>
      <c r="H22" s="48">
        <f>SUM(H9:H21)/F22</f>
        <v>27.380864197530862</v>
      </c>
      <c r="I22" s="49" t="s">
        <v>22</v>
      </c>
      <c r="J22" s="174">
        <v>0.1388888888888889</v>
      </c>
      <c r="K22" s="43"/>
    </row>
    <row r="23" spans="1:11" x14ac:dyDescent="0.15">
      <c r="E23" s="50"/>
      <c r="F23" s="51"/>
      <c r="I23" s="52" t="s">
        <v>23</v>
      </c>
      <c r="J23" s="53">
        <v>3.33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81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70+81+71+70+84+75+70+86+78+83+70+67+38+24+74+60+57+65+40+59+80+84+61+64+66+81</f>
        <v>1758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170.08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1CBB6223-5B84-4D52-BE1B-2A39ECD20051}">
      <formula1>$K$29:$K$85</formula1>
    </dataValidation>
    <dataValidation type="list" allowBlank="1" showInputMessage="1" showErrorMessage="1" sqref="B20:B21" xr:uid="{07F057A9-894F-4B86-B550-35D0D0D2FA03}">
      <formula1>$K$29:$K$40</formula1>
    </dataValidation>
    <dataValidation type="list" allowBlank="1" showInputMessage="1" showErrorMessage="1" sqref="I50 K15:K21" xr:uid="{E8147627-5FB6-4AF8-96D2-C0C2CCFAC35A}">
      <formula1>$I$41:$I$50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8D81-CA02-44B2-A0E9-84DB2DD9926E}">
  <dimension ref="A1:K85"/>
  <sheetViews>
    <sheetView workbookViewId="0">
      <selection activeCell="K15" sqref="K15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45868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7">
        <v>1</v>
      </c>
      <c r="B9" s="208" t="s">
        <v>242</v>
      </c>
      <c r="C9" s="176">
        <v>17</v>
      </c>
      <c r="D9" s="14">
        <v>2.85</v>
      </c>
      <c r="E9" s="179">
        <v>1408</v>
      </c>
      <c r="F9" s="177">
        <v>33.5</v>
      </c>
      <c r="G9" s="15">
        <f t="shared" ref="G9:G13" si="0">E9*F9</f>
        <v>47168</v>
      </c>
      <c r="H9" s="16">
        <f t="shared" ref="H9:H13" si="1">F9*C9</f>
        <v>569.5</v>
      </c>
      <c r="I9" s="195" t="s">
        <v>20</v>
      </c>
      <c r="J9" s="196">
        <v>2.0833333333333332E-2</v>
      </c>
      <c r="K9" s="197" t="s">
        <v>231</v>
      </c>
    </row>
    <row r="10" spans="1:11" ht="17" x14ac:dyDescent="0.15">
      <c r="A10" s="225">
        <v>2</v>
      </c>
      <c r="B10" s="208" t="s">
        <v>250</v>
      </c>
      <c r="C10" s="176">
        <v>30</v>
      </c>
      <c r="D10" s="14">
        <v>2.85</v>
      </c>
      <c r="E10" s="179">
        <v>873</v>
      </c>
      <c r="F10" s="177">
        <v>8</v>
      </c>
      <c r="G10" s="15">
        <f t="shared" si="0"/>
        <v>6984</v>
      </c>
      <c r="H10" s="16">
        <f t="shared" si="1"/>
        <v>240</v>
      </c>
      <c r="I10" s="198" t="s">
        <v>44</v>
      </c>
      <c r="J10" s="209">
        <v>4.8611111111111112E-2</v>
      </c>
      <c r="K10" s="211" t="s">
        <v>44</v>
      </c>
    </row>
    <row r="11" spans="1:11" ht="17" x14ac:dyDescent="0.15">
      <c r="A11" s="207">
        <v>3</v>
      </c>
      <c r="B11" s="208" t="s">
        <v>250</v>
      </c>
      <c r="C11" s="176">
        <v>36</v>
      </c>
      <c r="D11" s="14">
        <v>2.85</v>
      </c>
      <c r="E11" s="179">
        <v>727</v>
      </c>
      <c r="F11" s="191">
        <v>8</v>
      </c>
      <c r="G11" s="15">
        <f t="shared" si="0"/>
        <v>5816</v>
      </c>
      <c r="H11" s="16">
        <f t="shared" si="1"/>
        <v>288</v>
      </c>
      <c r="I11" s="198"/>
      <c r="J11" s="209"/>
      <c r="K11" s="210"/>
    </row>
    <row r="12" spans="1:11" ht="19.25" customHeight="1" x14ac:dyDescent="0.15">
      <c r="A12" s="225">
        <v>4</v>
      </c>
      <c r="B12" s="208" t="s">
        <v>250</v>
      </c>
      <c r="C12" s="192">
        <v>37</v>
      </c>
      <c r="D12" s="14">
        <v>2.85</v>
      </c>
      <c r="E12" s="193">
        <v>707</v>
      </c>
      <c r="F12" s="194">
        <v>8.5</v>
      </c>
      <c r="G12" s="15">
        <f t="shared" si="0"/>
        <v>6009.5</v>
      </c>
      <c r="H12" s="16">
        <f t="shared" si="1"/>
        <v>314.5</v>
      </c>
      <c r="I12" s="198"/>
      <c r="J12" s="209"/>
      <c r="K12" s="210"/>
    </row>
    <row r="13" spans="1:11" ht="17" x14ac:dyDescent="0.15">
      <c r="A13" s="237">
        <v>5</v>
      </c>
      <c r="B13" s="208" t="s">
        <v>250</v>
      </c>
      <c r="C13" s="192">
        <v>40</v>
      </c>
      <c r="D13" s="14">
        <v>2.85</v>
      </c>
      <c r="E13" s="193">
        <v>659</v>
      </c>
      <c r="F13" s="194">
        <v>35</v>
      </c>
      <c r="G13" s="15">
        <f t="shared" si="0"/>
        <v>23065</v>
      </c>
      <c r="H13" s="16">
        <f t="shared" si="1"/>
        <v>1400</v>
      </c>
      <c r="I13" s="198"/>
      <c r="J13" s="209"/>
      <c r="K13" s="226"/>
    </row>
    <row r="14" spans="1:11" ht="16" x14ac:dyDescent="0.15">
      <c r="A14" s="207"/>
      <c r="B14" s="208"/>
      <c r="C14" s="200"/>
      <c r="D14" s="14"/>
      <c r="E14" s="201"/>
      <c r="F14" s="202"/>
      <c r="G14" s="15"/>
      <c r="H14" s="16"/>
      <c r="I14" s="241"/>
      <c r="J14" s="240"/>
      <c r="K14" s="211"/>
    </row>
    <row r="15" spans="1:11" ht="16" x14ac:dyDescent="0.2">
      <c r="A15" s="225"/>
      <c r="B15" s="208"/>
      <c r="C15" s="238"/>
      <c r="D15" s="14"/>
      <c r="E15" s="201"/>
      <c r="F15" s="239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93</v>
      </c>
      <c r="G22" s="47">
        <f>SUM(G9:G21)/F22</f>
        <v>957.44623655913983</v>
      </c>
      <c r="H22" s="48">
        <f>SUM(H9:H21)/F22</f>
        <v>30.236559139784948</v>
      </c>
      <c r="I22" s="49" t="s">
        <v>22</v>
      </c>
      <c r="J22" s="174">
        <v>6.9444444444444448E-2</v>
      </c>
      <c r="K22" s="43"/>
    </row>
    <row r="23" spans="1:11" x14ac:dyDescent="0.15">
      <c r="E23" s="50"/>
      <c r="F23" s="51"/>
      <c r="I23" s="52" t="s">
        <v>23</v>
      </c>
      <c r="J23" s="53">
        <v>1.67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93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70+81+71+70+84+75+70+86+78+83+70+67+38+24+74+60+57+65+40+59+80+84+61+64+66+81+93</f>
        <v>1851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171.75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478D3280-05C0-4E38-ACA2-2ACD3BBAB006}">
      <formula1>$I$41:$I$50</formula1>
    </dataValidation>
    <dataValidation type="list" allowBlank="1" showInputMessage="1" showErrorMessage="1" sqref="B20:B21" xr:uid="{854A08D8-1BD6-47C7-95B4-BE348A96BFF2}">
      <formula1>$K$29:$K$40</formula1>
    </dataValidation>
    <dataValidation type="list" allowBlank="1" showInputMessage="1" showErrorMessage="1" sqref="B16:B19" xr:uid="{4F3C55FD-BB58-46BC-9903-77805D4B87DD}">
      <formula1>$K$29:$K$85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X124"/>
  <sheetViews>
    <sheetView tabSelected="1" topLeftCell="B53" zoomScale="98" zoomScaleNormal="98" workbookViewId="0">
      <selection activeCell="G116" sqref="G116:G122"/>
    </sheetView>
  </sheetViews>
  <sheetFormatPr baseColWidth="10" defaultColWidth="9.1640625" defaultRowHeight="20" x14ac:dyDescent="0.2"/>
  <cols>
    <col min="1" max="1" width="5.5" style="171" bestFit="1" customWidth="1"/>
    <col min="2" max="2" width="65.5" style="69" bestFit="1" customWidth="1"/>
    <col min="3" max="3" width="14.83203125" style="172" hidden="1" customWidth="1"/>
    <col min="4" max="4" width="12.1640625" style="69" customWidth="1"/>
    <col min="5" max="5" width="12.6640625" style="69" hidden="1" customWidth="1"/>
    <col min="6" max="6" width="17.33203125" style="69" hidden="1" customWidth="1"/>
    <col min="7" max="7" width="16.1640625" style="69" bestFit="1" customWidth="1"/>
    <col min="8" max="8" width="14.1640625" style="69" bestFit="1" customWidth="1"/>
    <col min="9" max="9" width="13.6640625" style="69" bestFit="1" customWidth="1"/>
    <col min="10" max="10" width="12.33203125" style="69" bestFit="1" customWidth="1"/>
    <col min="11" max="11" width="12" style="69" bestFit="1" customWidth="1"/>
    <col min="12" max="19" width="12.5" style="69" bestFit="1" customWidth="1"/>
    <col min="20" max="23" width="11.6640625" style="69" bestFit="1" customWidth="1"/>
    <col min="24" max="35" width="12.5" style="69" bestFit="1" customWidth="1"/>
    <col min="36" max="36" width="13.83203125" style="69" bestFit="1" customWidth="1"/>
    <col min="37" max="37" width="12.5" style="69" bestFit="1" customWidth="1"/>
    <col min="38" max="38" width="10.1640625" style="69" hidden="1" customWidth="1"/>
    <col min="39" max="39" width="11.6640625" style="69" hidden="1" customWidth="1"/>
    <col min="40" max="40" width="12.5" style="69" hidden="1" customWidth="1"/>
    <col min="41" max="41" width="11.6640625" style="69" hidden="1" customWidth="1"/>
    <col min="42" max="42" width="12" style="69" hidden="1" customWidth="1"/>
    <col min="43" max="43" width="12.1640625" style="69" hidden="1" customWidth="1"/>
    <col min="44" max="44" width="11.83203125" style="69" hidden="1" customWidth="1"/>
    <col min="45" max="45" width="11" style="69" hidden="1" customWidth="1"/>
    <col min="46" max="50" width="11.33203125" style="69" hidden="1" customWidth="1"/>
    <col min="51" max="51" width="13.1640625" style="69" hidden="1" customWidth="1"/>
    <col min="52" max="52" width="12.6640625" style="69" hidden="1" customWidth="1"/>
    <col min="53" max="59" width="11.33203125" style="69" hidden="1" customWidth="1"/>
    <col min="60" max="72" width="11" style="69" hidden="1" customWidth="1"/>
    <col min="73" max="73" width="34.33203125" style="173" customWidth="1"/>
    <col min="74" max="74" width="14.83203125" style="69" customWidth="1"/>
    <col min="75" max="75" width="13.5" style="69" customWidth="1"/>
    <col min="76" max="76" width="17" style="69" customWidth="1"/>
    <col min="77" max="77" width="10" style="69" customWidth="1"/>
    <col min="78" max="16384" width="9.1640625" style="69"/>
  </cols>
  <sheetData>
    <row r="1" spans="1:75" ht="23" x14ac:dyDescent="0.25">
      <c r="A1" s="65" t="s">
        <v>3</v>
      </c>
      <c r="B1" s="66" t="s">
        <v>239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8"/>
    </row>
    <row r="2" spans="1:75" ht="44.25" customHeight="1" x14ac:dyDescent="0.2">
      <c r="A2" s="70"/>
      <c r="B2" s="71" t="s">
        <v>95</v>
      </c>
      <c r="C2" s="71" t="s">
        <v>96</v>
      </c>
      <c r="D2" s="72" t="s">
        <v>97</v>
      </c>
      <c r="E2" s="72">
        <v>1</v>
      </c>
      <c r="F2" s="72">
        <v>2</v>
      </c>
      <c r="G2" s="72">
        <v>1</v>
      </c>
      <c r="H2" s="72">
        <v>2</v>
      </c>
      <c r="I2" s="72">
        <v>3</v>
      </c>
      <c r="J2" s="72">
        <v>4</v>
      </c>
      <c r="K2" s="72">
        <v>5</v>
      </c>
      <c r="L2" s="72">
        <v>6</v>
      </c>
      <c r="M2" s="72">
        <v>7</v>
      </c>
      <c r="N2" s="72">
        <v>8</v>
      </c>
      <c r="O2" s="72">
        <v>9</v>
      </c>
      <c r="P2" s="72">
        <v>10</v>
      </c>
      <c r="Q2" s="72">
        <v>11</v>
      </c>
      <c r="R2" s="72">
        <v>12</v>
      </c>
      <c r="S2" s="72">
        <v>13</v>
      </c>
      <c r="T2" s="72">
        <v>14</v>
      </c>
      <c r="U2" s="72">
        <v>15</v>
      </c>
      <c r="V2" s="72">
        <v>16</v>
      </c>
      <c r="W2" s="72">
        <v>17</v>
      </c>
      <c r="X2" s="72">
        <v>18</v>
      </c>
      <c r="Y2" s="72">
        <v>19</v>
      </c>
      <c r="Z2" s="72">
        <v>20</v>
      </c>
      <c r="AA2" s="72">
        <v>21</v>
      </c>
      <c r="AB2" s="72">
        <v>22</v>
      </c>
      <c r="AC2" s="72">
        <v>23</v>
      </c>
      <c r="AD2" s="72">
        <v>24</v>
      </c>
      <c r="AE2" s="72">
        <v>25</v>
      </c>
      <c r="AF2" s="72">
        <v>26</v>
      </c>
      <c r="AG2" s="72">
        <v>27</v>
      </c>
      <c r="AH2" s="72">
        <v>28</v>
      </c>
      <c r="AI2" s="72">
        <v>29</v>
      </c>
      <c r="AJ2" s="72">
        <v>30</v>
      </c>
      <c r="AK2" s="72">
        <v>31</v>
      </c>
      <c r="AL2" s="72">
        <v>7</v>
      </c>
      <c r="AM2" s="72">
        <v>8</v>
      </c>
      <c r="AN2" s="72">
        <v>9</v>
      </c>
      <c r="AO2" s="72">
        <v>10</v>
      </c>
      <c r="AP2" s="72">
        <v>11</v>
      </c>
      <c r="AQ2" s="72">
        <v>12</v>
      </c>
      <c r="AR2" s="72">
        <v>13</v>
      </c>
      <c r="AS2" s="72">
        <v>14</v>
      </c>
      <c r="AT2" s="72">
        <v>15</v>
      </c>
      <c r="AU2" s="72">
        <v>16</v>
      </c>
      <c r="AV2" s="72">
        <v>17</v>
      </c>
      <c r="AW2" s="72">
        <v>18</v>
      </c>
      <c r="AX2" s="72">
        <v>19</v>
      </c>
      <c r="AY2" s="72">
        <v>20</v>
      </c>
      <c r="AZ2" s="72">
        <v>21</v>
      </c>
      <c r="BA2" s="72">
        <v>22</v>
      </c>
      <c r="BB2" s="72">
        <v>23</v>
      </c>
      <c r="BC2" s="72">
        <v>24</v>
      </c>
      <c r="BD2" s="72">
        <v>25</v>
      </c>
      <c r="BE2" s="72">
        <v>26</v>
      </c>
      <c r="BF2" s="72">
        <v>27</v>
      </c>
      <c r="BG2" s="72">
        <v>28</v>
      </c>
      <c r="BH2" s="72">
        <v>16</v>
      </c>
      <c r="BI2" s="72">
        <v>17</v>
      </c>
      <c r="BJ2" s="72">
        <v>18</v>
      </c>
      <c r="BK2" s="72">
        <v>19</v>
      </c>
      <c r="BL2" s="72">
        <v>20</v>
      </c>
      <c r="BM2" s="72">
        <v>21</v>
      </c>
      <c r="BN2" s="72">
        <v>22</v>
      </c>
      <c r="BO2" s="72">
        <v>23</v>
      </c>
      <c r="BP2" s="72">
        <v>24</v>
      </c>
      <c r="BQ2" s="72">
        <v>25</v>
      </c>
      <c r="BR2" s="72">
        <v>26</v>
      </c>
      <c r="BS2" s="72">
        <v>27</v>
      </c>
      <c r="BT2" s="72">
        <v>28</v>
      </c>
      <c r="BU2" s="73" t="s">
        <v>98</v>
      </c>
    </row>
    <row r="3" spans="1:75" s="80" customFormat="1" x14ac:dyDescent="0.2">
      <c r="A3" s="74" t="s">
        <v>99</v>
      </c>
      <c r="B3" s="75" t="s">
        <v>100</v>
      </c>
      <c r="C3" s="76"/>
      <c r="D3" s="77" t="s">
        <v>101</v>
      </c>
      <c r="E3" s="78"/>
      <c r="F3" s="79"/>
      <c r="G3" s="79"/>
      <c r="H3" s="79"/>
      <c r="I3" s="245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6"/>
      <c r="AW3" s="246"/>
      <c r="AX3" s="246"/>
      <c r="AY3" s="246"/>
      <c r="AZ3" s="246"/>
      <c r="BA3" s="246"/>
      <c r="BB3" s="246"/>
      <c r="BC3" s="246"/>
      <c r="BD3" s="246"/>
      <c r="BE3" s="246"/>
      <c r="BF3" s="246"/>
      <c r="BG3" s="246"/>
      <c r="BH3" s="246"/>
      <c r="BI3" s="246"/>
      <c r="BJ3" s="246"/>
      <c r="BK3" s="246"/>
      <c r="BL3" s="246"/>
      <c r="BM3" s="246"/>
      <c r="BN3" s="246"/>
      <c r="BO3" s="246"/>
      <c r="BP3" s="246"/>
      <c r="BQ3" s="246"/>
      <c r="BR3" s="246"/>
      <c r="BS3" s="246"/>
      <c r="BT3" s="246"/>
      <c r="BU3" s="247"/>
    </row>
    <row r="4" spans="1:75" x14ac:dyDescent="0.2">
      <c r="A4" s="81">
        <v>1</v>
      </c>
      <c r="B4" s="82" t="s">
        <v>102</v>
      </c>
      <c r="C4" s="83"/>
      <c r="D4" s="84" t="s">
        <v>16</v>
      </c>
      <c r="E4" s="78">
        <v>0</v>
      </c>
      <c r="F4" s="78">
        <v>0</v>
      </c>
      <c r="G4" s="85">
        <v>0</v>
      </c>
      <c r="H4" s="85">
        <v>0</v>
      </c>
      <c r="I4" s="85">
        <v>0</v>
      </c>
      <c r="J4" s="85">
        <v>0</v>
      </c>
      <c r="K4" s="85">
        <v>0</v>
      </c>
      <c r="L4" s="85">
        <v>0</v>
      </c>
      <c r="M4" s="85">
        <v>0</v>
      </c>
      <c r="N4" s="85">
        <v>0</v>
      </c>
      <c r="O4" s="85">
        <v>0</v>
      </c>
      <c r="P4" s="85">
        <v>0</v>
      </c>
      <c r="Q4" s="85">
        <v>0</v>
      </c>
      <c r="R4" s="85">
        <v>0</v>
      </c>
      <c r="S4" s="85">
        <v>0</v>
      </c>
      <c r="T4" s="85">
        <v>0</v>
      </c>
      <c r="U4" s="85">
        <v>0</v>
      </c>
      <c r="V4" s="85">
        <v>0</v>
      </c>
      <c r="W4" s="85">
        <v>0</v>
      </c>
      <c r="X4" s="85">
        <v>0</v>
      </c>
      <c r="Y4" s="85">
        <v>0</v>
      </c>
      <c r="Z4" s="85">
        <v>0</v>
      </c>
      <c r="AA4" s="85">
        <v>0</v>
      </c>
      <c r="AB4" s="85">
        <v>0</v>
      </c>
      <c r="AC4" s="85">
        <v>0</v>
      </c>
      <c r="AD4" s="85">
        <v>0</v>
      </c>
      <c r="AE4" s="85">
        <v>0</v>
      </c>
      <c r="AF4" s="85">
        <v>0</v>
      </c>
      <c r="AG4" s="85">
        <v>0</v>
      </c>
      <c r="AH4" s="85">
        <v>0</v>
      </c>
      <c r="AI4" s="85">
        <v>0</v>
      </c>
      <c r="AJ4" s="85">
        <v>0</v>
      </c>
      <c r="AK4" s="85">
        <v>0</v>
      </c>
      <c r="AL4" s="85"/>
      <c r="AM4" s="85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8">
        <f t="shared" ref="BU4:BU46" si="0">SUM(G4:BG4)</f>
        <v>0</v>
      </c>
      <c r="BV4" s="89"/>
    </row>
    <row r="5" spans="1:75" x14ac:dyDescent="0.2">
      <c r="A5" s="81">
        <v>2</v>
      </c>
      <c r="B5" s="82" t="s">
        <v>103</v>
      </c>
      <c r="C5" s="83"/>
      <c r="D5" s="84" t="s">
        <v>16</v>
      </c>
      <c r="E5" s="78"/>
      <c r="F5" s="78"/>
      <c r="G5" s="85">
        <v>41.25</v>
      </c>
      <c r="H5" s="85">
        <v>54.834000000000003</v>
      </c>
      <c r="I5" s="85">
        <v>44.774999999999999</v>
      </c>
      <c r="J5" s="85">
        <v>10.061999999999999</v>
      </c>
      <c r="K5" s="85">
        <v>21.638999999999999</v>
      </c>
      <c r="L5" s="85">
        <v>14.839</v>
      </c>
      <c r="M5" s="85">
        <v>16.350999999999999</v>
      </c>
      <c r="N5" s="85">
        <v>18.108000000000001</v>
      </c>
      <c r="O5" s="85">
        <v>27.161999999999999</v>
      </c>
      <c r="P5" s="85">
        <v>15.593</v>
      </c>
      <c r="Q5" s="85">
        <v>13.077999999999999</v>
      </c>
      <c r="R5" s="85">
        <v>30.934999999999999</v>
      </c>
      <c r="S5" s="85">
        <v>19.617000000000001</v>
      </c>
      <c r="T5" s="85">
        <v>0</v>
      </c>
      <c r="U5" s="85">
        <v>0</v>
      </c>
      <c r="V5" s="85">
        <v>0</v>
      </c>
      <c r="W5" s="85">
        <v>5.5330000000000004</v>
      </c>
      <c r="X5" s="85">
        <v>13.581</v>
      </c>
      <c r="Y5" s="85">
        <v>32.192</v>
      </c>
      <c r="Z5" s="85">
        <v>27.161999999999999</v>
      </c>
      <c r="AA5" s="85">
        <v>13.605</v>
      </c>
      <c r="AB5" s="85">
        <v>14.587</v>
      </c>
      <c r="AC5" s="85">
        <v>14.084</v>
      </c>
      <c r="AD5" s="85">
        <v>4.53</v>
      </c>
      <c r="AE5" s="85">
        <v>26.916</v>
      </c>
      <c r="AF5" s="85">
        <v>19.617000000000001</v>
      </c>
      <c r="AG5" s="85">
        <v>25.15</v>
      </c>
      <c r="AH5" s="85">
        <v>24.143999999999998</v>
      </c>
      <c r="AI5" s="85">
        <v>20.632000000000001</v>
      </c>
      <c r="AJ5" s="85">
        <v>19.114000000000001</v>
      </c>
      <c r="AK5" s="85">
        <v>8.5510000000000002</v>
      </c>
      <c r="AL5" s="85"/>
      <c r="AM5" s="85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8">
        <f t="shared" si="0"/>
        <v>597.64100000000008</v>
      </c>
      <c r="BV5" s="89"/>
      <c r="BW5" s="114"/>
    </row>
    <row r="6" spans="1:75" x14ac:dyDescent="0.2">
      <c r="A6" s="81">
        <v>3</v>
      </c>
      <c r="B6" s="82" t="s">
        <v>104</v>
      </c>
      <c r="C6" s="83"/>
      <c r="D6" s="84" t="s">
        <v>16</v>
      </c>
      <c r="E6" s="78">
        <v>0</v>
      </c>
      <c r="F6" s="78">
        <v>0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5">
        <v>0</v>
      </c>
      <c r="M6" s="85">
        <v>0</v>
      </c>
      <c r="N6" s="85">
        <v>0</v>
      </c>
      <c r="O6" s="85">
        <v>0</v>
      </c>
      <c r="P6" s="85">
        <v>0</v>
      </c>
      <c r="Q6" s="85">
        <v>0</v>
      </c>
      <c r="R6" s="85">
        <v>0</v>
      </c>
      <c r="S6" s="85">
        <v>0</v>
      </c>
      <c r="T6" s="85">
        <v>0</v>
      </c>
      <c r="U6" s="85">
        <v>0</v>
      </c>
      <c r="V6" s="85">
        <v>0</v>
      </c>
      <c r="W6" s="85">
        <v>0</v>
      </c>
      <c r="X6" s="85">
        <v>0</v>
      </c>
      <c r="Y6" s="85">
        <v>0</v>
      </c>
      <c r="Z6" s="85">
        <v>0</v>
      </c>
      <c r="AA6" s="85">
        <v>0</v>
      </c>
      <c r="AB6" s="85">
        <v>0</v>
      </c>
      <c r="AC6" s="85">
        <v>0</v>
      </c>
      <c r="AD6" s="85">
        <v>0</v>
      </c>
      <c r="AE6" s="85">
        <v>0</v>
      </c>
      <c r="AF6" s="85">
        <v>0</v>
      </c>
      <c r="AG6" s="85">
        <v>0</v>
      </c>
      <c r="AH6" s="85">
        <v>0</v>
      </c>
      <c r="AI6" s="85">
        <v>0</v>
      </c>
      <c r="AJ6" s="85">
        <v>0</v>
      </c>
      <c r="AK6" s="85">
        <v>0</v>
      </c>
      <c r="AL6" s="85"/>
      <c r="AM6" s="85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8">
        <f t="shared" si="0"/>
        <v>0</v>
      </c>
      <c r="BV6" s="89"/>
      <c r="BW6" s="114"/>
    </row>
    <row r="7" spans="1:75" x14ac:dyDescent="0.2">
      <c r="A7" s="81">
        <v>4</v>
      </c>
      <c r="B7" s="82" t="s">
        <v>105</v>
      </c>
      <c r="C7" s="83"/>
      <c r="D7" s="84" t="s">
        <v>16</v>
      </c>
      <c r="E7" s="78">
        <v>0</v>
      </c>
      <c r="F7" s="78">
        <v>0</v>
      </c>
      <c r="G7" s="85">
        <v>0</v>
      </c>
      <c r="H7" s="85">
        <v>0</v>
      </c>
      <c r="I7" s="85">
        <v>0.753</v>
      </c>
      <c r="J7" s="85">
        <v>21.084</v>
      </c>
      <c r="K7" s="85">
        <v>17.57</v>
      </c>
      <c r="L7" s="85">
        <v>11.63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5">
        <v>0</v>
      </c>
      <c r="T7" s="85">
        <v>0</v>
      </c>
      <c r="U7" s="85">
        <v>0</v>
      </c>
      <c r="V7" s="85">
        <v>0</v>
      </c>
      <c r="W7" s="85">
        <v>0</v>
      </c>
      <c r="X7" s="85">
        <v>0</v>
      </c>
      <c r="Y7" s="85">
        <v>0</v>
      </c>
      <c r="Z7" s="85">
        <v>0</v>
      </c>
      <c r="AA7" s="85">
        <v>0</v>
      </c>
      <c r="AB7" s="85">
        <v>0</v>
      </c>
      <c r="AC7" s="85">
        <v>0</v>
      </c>
      <c r="AD7" s="85">
        <v>0</v>
      </c>
      <c r="AE7" s="85">
        <v>40.159999999999997</v>
      </c>
      <c r="AF7" s="85">
        <v>23.594000000000001</v>
      </c>
      <c r="AG7" s="85">
        <v>12.55</v>
      </c>
      <c r="AH7" s="85">
        <v>11.532</v>
      </c>
      <c r="AI7" s="85">
        <v>0</v>
      </c>
      <c r="AJ7" s="85">
        <v>0</v>
      </c>
      <c r="AK7" s="85">
        <v>0</v>
      </c>
      <c r="AL7" s="85"/>
      <c r="AM7" s="85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8">
        <f t="shared" si="0"/>
        <v>138.87299999999999</v>
      </c>
      <c r="BV7" s="89"/>
    </row>
    <row r="8" spans="1:75" x14ac:dyDescent="0.2">
      <c r="A8" s="81">
        <v>5</v>
      </c>
      <c r="B8" s="82" t="s">
        <v>106</v>
      </c>
      <c r="C8" s="83"/>
      <c r="D8" s="84" t="s">
        <v>16</v>
      </c>
      <c r="E8" s="78"/>
      <c r="F8" s="78"/>
      <c r="G8" s="85">
        <v>19.760000000000002</v>
      </c>
      <c r="H8" s="85">
        <v>17.68</v>
      </c>
      <c r="I8" s="85">
        <v>15.34</v>
      </c>
      <c r="J8" s="85">
        <v>23.92</v>
      </c>
      <c r="K8" s="85">
        <v>28.6</v>
      </c>
      <c r="L8" s="85">
        <v>33.008000000000003</v>
      </c>
      <c r="M8" s="85">
        <v>45.24</v>
      </c>
      <c r="N8" s="85">
        <v>56.16</v>
      </c>
      <c r="O8" s="85">
        <v>40.56</v>
      </c>
      <c r="P8" s="85">
        <v>48.36</v>
      </c>
      <c r="Q8" s="85">
        <v>40.56</v>
      </c>
      <c r="R8" s="85">
        <v>24.18</v>
      </c>
      <c r="S8" s="85">
        <v>0</v>
      </c>
      <c r="T8" s="85">
        <v>0</v>
      </c>
      <c r="U8" s="85">
        <v>0</v>
      </c>
      <c r="V8" s="85">
        <v>0</v>
      </c>
      <c r="W8" s="85">
        <v>17.16</v>
      </c>
      <c r="X8" s="85">
        <v>42.12</v>
      </c>
      <c r="Y8" s="85">
        <v>1.56</v>
      </c>
      <c r="Z8" s="85">
        <v>0</v>
      </c>
      <c r="AA8" s="85">
        <v>26.52</v>
      </c>
      <c r="AB8" s="85">
        <v>20.28</v>
      </c>
      <c r="AC8" s="85">
        <v>37.44</v>
      </c>
      <c r="AD8" s="85">
        <v>9.36</v>
      </c>
      <c r="AE8" s="85">
        <v>0</v>
      </c>
      <c r="AF8" s="85">
        <v>0</v>
      </c>
      <c r="AG8" s="85">
        <v>0</v>
      </c>
      <c r="AH8" s="85">
        <v>0</v>
      </c>
      <c r="AI8" s="85">
        <v>14.56</v>
      </c>
      <c r="AJ8" s="85">
        <v>20.54</v>
      </c>
      <c r="AK8" s="85">
        <v>8.84</v>
      </c>
      <c r="AL8" s="85"/>
      <c r="AM8" s="85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8">
        <f t="shared" si="0"/>
        <v>591.74800000000005</v>
      </c>
      <c r="BV8" s="89"/>
    </row>
    <row r="9" spans="1:75" x14ac:dyDescent="0.2">
      <c r="A9" s="81">
        <v>6</v>
      </c>
      <c r="B9" s="82" t="s">
        <v>107</v>
      </c>
      <c r="C9" s="83"/>
      <c r="D9" s="84" t="s">
        <v>16</v>
      </c>
      <c r="E9" s="78"/>
      <c r="F9" s="78"/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5">
        <v>0</v>
      </c>
      <c r="M9" s="85">
        <v>0</v>
      </c>
      <c r="N9" s="85">
        <v>0</v>
      </c>
      <c r="O9" s="85">
        <v>0</v>
      </c>
      <c r="P9" s="85">
        <v>0</v>
      </c>
      <c r="Q9" s="85">
        <v>0</v>
      </c>
      <c r="R9" s="85">
        <v>0</v>
      </c>
      <c r="S9" s="85">
        <v>0</v>
      </c>
      <c r="T9" s="85">
        <v>0</v>
      </c>
      <c r="U9" s="85">
        <v>0</v>
      </c>
      <c r="V9" s="85">
        <v>0</v>
      </c>
      <c r="W9" s="85">
        <v>0</v>
      </c>
      <c r="X9" s="85">
        <v>0</v>
      </c>
      <c r="Y9" s="85">
        <v>0</v>
      </c>
      <c r="Z9" s="85">
        <v>0</v>
      </c>
      <c r="AA9" s="85">
        <v>0</v>
      </c>
      <c r="AB9" s="85">
        <v>0</v>
      </c>
      <c r="AC9" s="85">
        <v>0</v>
      </c>
      <c r="AD9" s="85">
        <v>0</v>
      </c>
      <c r="AE9" s="85">
        <v>0</v>
      </c>
      <c r="AF9" s="85">
        <v>0</v>
      </c>
      <c r="AG9" s="85">
        <v>0</v>
      </c>
      <c r="AH9" s="85">
        <v>0</v>
      </c>
      <c r="AI9" s="85">
        <v>0</v>
      </c>
      <c r="AJ9" s="85">
        <v>0</v>
      </c>
      <c r="AK9" s="85">
        <v>0</v>
      </c>
      <c r="AL9" s="85"/>
      <c r="AM9" s="85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8">
        <f t="shared" si="0"/>
        <v>0</v>
      </c>
      <c r="BV9" s="89"/>
    </row>
    <row r="10" spans="1:75" x14ac:dyDescent="0.2">
      <c r="A10" s="81">
        <v>7</v>
      </c>
      <c r="B10" s="82" t="s">
        <v>108</v>
      </c>
      <c r="C10" s="83"/>
      <c r="D10" s="84" t="s">
        <v>16</v>
      </c>
      <c r="E10" s="78"/>
      <c r="F10" s="78"/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0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0</v>
      </c>
      <c r="AC10" s="85">
        <v>0</v>
      </c>
      <c r="AD10" s="85">
        <v>0</v>
      </c>
      <c r="AE10" s="85">
        <v>0</v>
      </c>
      <c r="AF10" s="85">
        <v>0</v>
      </c>
      <c r="AG10" s="85">
        <v>0</v>
      </c>
      <c r="AH10" s="85">
        <v>0</v>
      </c>
      <c r="AI10" s="85">
        <v>0</v>
      </c>
      <c r="AJ10" s="85">
        <v>0</v>
      </c>
      <c r="AK10" s="85">
        <v>0</v>
      </c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78"/>
      <c r="BI10" s="78"/>
      <c r="BJ10" s="78"/>
      <c r="BK10" s="78"/>
      <c r="BL10" s="78"/>
      <c r="BM10" s="78"/>
      <c r="BN10" s="87"/>
      <c r="BO10" s="87"/>
      <c r="BP10" s="87"/>
      <c r="BQ10" s="87"/>
      <c r="BR10" s="87"/>
      <c r="BS10" s="87"/>
      <c r="BT10" s="87"/>
      <c r="BU10" s="88">
        <f t="shared" si="0"/>
        <v>0</v>
      </c>
      <c r="BV10" s="89"/>
    </row>
    <row r="11" spans="1:75" x14ac:dyDescent="0.2">
      <c r="A11" s="81">
        <v>8</v>
      </c>
      <c r="B11" s="82" t="s">
        <v>109</v>
      </c>
      <c r="C11" s="83"/>
      <c r="D11" s="84" t="s">
        <v>16</v>
      </c>
      <c r="E11" s="78"/>
      <c r="F11" s="78"/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0</v>
      </c>
      <c r="AC11" s="85">
        <v>0</v>
      </c>
      <c r="AD11" s="85">
        <v>0</v>
      </c>
      <c r="AE11" s="85">
        <v>0</v>
      </c>
      <c r="AF11" s="85">
        <v>0</v>
      </c>
      <c r="AG11" s="85">
        <v>0</v>
      </c>
      <c r="AH11" s="85">
        <v>0</v>
      </c>
      <c r="AI11" s="85">
        <v>0</v>
      </c>
      <c r="AJ11" s="85">
        <v>0</v>
      </c>
      <c r="AK11" s="85">
        <v>0</v>
      </c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78"/>
      <c r="BI11" s="78"/>
      <c r="BJ11" s="78"/>
      <c r="BK11" s="78"/>
      <c r="BL11" s="78"/>
      <c r="BM11" s="78"/>
      <c r="BN11" s="87"/>
      <c r="BO11" s="87"/>
      <c r="BP11" s="87"/>
      <c r="BQ11" s="87"/>
      <c r="BR11" s="87"/>
      <c r="BS11" s="87"/>
      <c r="BT11" s="87"/>
      <c r="BU11" s="88">
        <f t="shared" si="0"/>
        <v>0</v>
      </c>
      <c r="BV11" s="89"/>
    </row>
    <row r="12" spans="1:75" x14ac:dyDescent="0.2">
      <c r="A12" s="81">
        <v>9</v>
      </c>
      <c r="B12" s="82" t="s">
        <v>110</v>
      </c>
      <c r="C12" s="83"/>
      <c r="D12" s="84" t="s">
        <v>16</v>
      </c>
      <c r="E12" s="78"/>
      <c r="F12" s="78"/>
      <c r="G12" s="85">
        <v>0</v>
      </c>
      <c r="H12" s="85">
        <v>0</v>
      </c>
      <c r="I12" s="85">
        <v>0</v>
      </c>
      <c r="J12" s="85">
        <v>0</v>
      </c>
      <c r="K12" s="85">
        <v>3.5139999999999998</v>
      </c>
      <c r="L12" s="85">
        <v>3.5139999999999998</v>
      </c>
      <c r="M12" s="85">
        <v>4.016</v>
      </c>
      <c r="N12" s="85">
        <v>4.5179999999999998</v>
      </c>
      <c r="O12" s="85">
        <v>4.5179999999999998</v>
      </c>
      <c r="P12" s="85">
        <v>4.5179999999999998</v>
      </c>
      <c r="Q12" s="85">
        <v>3.5139999999999998</v>
      </c>
      <c r="R12" s="85">
        <v>4.5179999999999998</v>
      </c>
      <c r="S12" s="85">
        <v>2.5099999999999998</v>
      </c>
      <c r="T12" s="85">
        <v>0</v>
      </c>
      <c r="U12" s="85">
        <v>0</v>
      </c>
      <c r="V12" s="85">
        <v>0</v>
      </c>
      <c r="W12" s="85">
        <v>2.5099999999999998</v>
      </c>
      <c r="X12" s="85">
        <v>3.5139999999999998</v>
      </c>
      <c r="Y12" s="85">
        <v>4.5179999999999998</v>
      </c>
      <c r="Z12" s="85">
        <v>5.0199999999999996</v>
      </c>
      <c r="AA12" s="85">
        <v>3.5139999999999998</v>
      </c>
      <c r="AB12" s="85">
        <v>2.008</v>
      </c>
      <c r="AC12" s="85">
        <v>1.506</v>
      </c>
      <c r="AD12" s="85">
        <v>0</v>
      </c>
      <c r="AE12" s="85">
        <v>0</v>
      </c>
      <c r="AF12" s="85">
        <v>0</v>
      </c>
      <c r="AG12" s="85">
        <v>0</v>
      </c>
      <c r="AH12" s="85">
        <v>0</v>
      </c>
      <c r="AI12" s="85">
        <v>2.5099999999999998</v>
      </c>
      <c r="AJ12" s="85">
        <v>2.7610000000000001</v>
      </c>
      <c r="AK12" s="85">
        <v>1.2549999999999999</v>
      </c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78"/>
      <c r="BI12" s="78"/>
      <c r="BJ12" s="78"/>
      <c r="BK12" s="78"/>
      <c r="BL12" s="78"/>
      <c r="BM12" s="78"/>
      <c r="BN12" s="87"/>
      <c r="BO12" s="87"/>
      <c r="BP12" s="87"/>
      <c r="BQ12" s="87"/>
      <c r="BR12" s="87"/>
      <c r="BS12" s="87"/>
      <c r="BT12" s="87"/>
      <c r="BU12" s="88">
        <f t="shared" si="0"/>
        <v>64.256</v>
      </c>
      <c r="BV12" s="89"/>
    </row>
    <row r="13" spans="1:75" x14ac:dyDescent="0.2">
      <c r="A13" s="81">
        <v>10</v>
      </c>
      <c r="B13" s="82" t="s">
        <v>111</v>
      </c>
      <c r="C13" s="83"/>
      <c r="D13" s="84" t="s">
        <v>16</v>
      </c>
      <c r="E13" s="78"/>
      <c r="F13" s="78"/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0</v>
      </c>
      <c r="Z13" s="85">
        <v>0</v>
      </c>
      <c r="AA13" s="85">
        <v>0</v>
      </c>
      <c r="AB13" s="85">
        <v>0</v>
      </c>
      <c r="AC13" s="85">
        <v>0</v>
      </c>
      <c r="AD13" s="85">
        <v>0</v>
      </c>
      <c r="AE13" s="85">
        <v>0</v>
      </c>
      <c r="AF13" s="85">
        <v>0</v>
      </c>
      <c r="AG13" s="85">
        <v>0</v>
      </c>
      <c r="AH13" s="85">
        <v>0</v>
      </c>
      <c r="AI13" s="85">
        <v>0</v>
      </c>
      <c r="AJ13" s="85">
        <v>0</v>
      </c>
      <c r="AK13" s="85">
        <v>0</v>
      </c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78"/>
      <c r="BI13" s="78"/>
      <c r="BJ13" s="78"/>
      <c r="BK13" s="78"/>
      <c r="BL13" s="78"/>
      <c r="BM13" s="78"/>
      <c r="BN13" s="87"/>
      <c r="BO13" s="87"/>
      <c r="BP13" s="87"/>
      <c r="BQ13" s="87"/>
      <c r="BR13" s="87"/>
      <c r="BS13" s="87"/>
      <c r="BT13" s="87"/>
      <c r="BU13" s="88">
        <f t="shared" si="0"/>
        <v>0</v>
      </c>
      <c r="BV13" s="203"/>
    </row>
    <row r="14" spans="1:75" x14ac:dyDescent="0.2">
      <c r="A14" s="81">
        <v>11</v>
      </c>
      <c r="B14" s="82" t="s">
        <v>112</v>
      </c>
      <c r="C14" s="83"/>
      <c r="D14" s="84" t="s">
        <v>16</v>
      </c>
      <c r="E14" s="78"/>
      <c r="F14" s="78"/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U14" s="85">
        <v>0</v>
      </c>
      <c r="V14" s="85">
        <v>0</v>
      </c>
      <c r="W14" s="85">
        <v>0</v>
      </c>
      <c r="X14" s="85">
        <v>0</v>
      </c>
      <c r="Y14" s="85">
        <v>0</v>
      </c>
      <c r="Z14" s="85">
        <v>0</v>
      </c>
      <c r="AA14" s="85">
        <v>0</v>
      </c>
      <c r="AB14" s="85">
        <v>0</v>
      </c>
      <c r="AC14" s="85">
        <v>0</v>
      </c>
      <c r="AD14" s="85">
        <v>47.616</v>
      </c>
      <c r="AE14" s="85">
        <v>3.968</v>
      </c>
      <c r="AF14" s="85">
        <v>6.9720000000000004</v>
      </c>
      <c r="AG14" s="85">
        <v>12.45</v>
      </c>
      <c r="AH14" s="85">
        <v>11.952</v>
      </c>
      <c r="AI14" s="85">
        <v>29.888000000000002</v>
      </c>
      <c r="AJ14" s="85">
        <v>37.847999999999999</v>
      </c>
      <c r="AK14" s="85">
        <v>48.804000000000002</v>
      </c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78"/>
      <c r="BI14" s="78"/>
      <c r="BJ14" s="78"/>
      <c r="BK14" s="78"/>
      <c r="BL14" s="78"/>
      <c r="BM14" s="78"/>
      <c r="BN14" s="87"/>
      <c r="BO14" s="87"/>
      <c r="BP14" s="87"/>
      <c r="BQ14" s="87"/>
      <c r="BR14" s="87"/>
      <c r="BS14" s="87"/>
      <c r="BT14" s="87"/>
      <c r="BU14" s="88">
        <f t="shared" si="0"/>
        <v>199.49800000000002</v>
      </c>
      <c r="BV14" s="89"/>
    </row>
    <row r="15" spans="1:75" x14ac:dyDescent="0.2">
      <c r="A15" s="81">
        <v>12</v>
      </c>
      <c r="B15" s="82" t="s">
        <v>113</v>
      </c>
      <c r="C15" s="83"/>
      <c r="D15" s="84" t="s">
        <v>16</v>
      </c>
      <c r="E15" s="78"/>
      <c r="F15" s="78"/>
      <c r="G15" s="85">
        <v>0</v>
      </c>
      <c r="H15" s="85">
        <v>0</v>
      </c>
      <c r="I15" s="85">
        <v>0</v>
      </c>
      <c r="J15" s="85">
        <v>0</v>
      </c>
      <c r="K15" s="85">
        <v>3.4860000000000002</v>
      </c>
      <c r="L15" s="85">
        <v>3.4860000000000002</v>
      </c>
      <c r="M15" s="85">
        <v>3.984</v>
      </c>
      <c r="N15" s="85">
        <v>4.4820000000000002</v>
      </c>
      <c r="O15" s="85">
        <v>4.4820000000000002</v>
      </c>
      <c r="P15" s="85">
        <v>4.4820000000000002</v>
      </c>
      <c r="Q15" s="85">
        <v>3.4860000000000002</v>
      </c>
      <c r="R15" s="85">
        <v>4.4820000000000002</v>
      </c>
      <c r="S15" s="85">
        <v>2.4900000000000002</v>
      </c>
      <c r="T15" s="85">
        <v>0</v>
      </c>
      <c r="U15" s="85">
        <v>0</v>
      </c>
      <c r="V15" s="85">
        <v>0</v>
      </c>
      <c r="W15" s="85">
        <v>2.4900000000000002</v>
      </c>
      <c r="X15" s="85">
        <v>3.4860000000000002</v>
      </c>
      <c r="Y15" s="85">
        <v>4.4820000000000002</v>
      </c>
      <c r="Z15" s="85">
        <v>4.9800000000000004</v>
      </c>
      <c r="AA15" s="85">
        <v>3.4860000000000002</v>
      </c>
      <c r="AB15" s="85">
        <v>1.992</v>
      </c>
      <c r="AC15" s="85">
        <v>1.494</v>
      </c>
      <c r="AD15" s="85">
        <v>0</v>
      </c>
      <c r="AE15" s="85">
        <v>0</v>
      </c>
      <c r="AF15" s="85">
        <v>0</v>
      </c>
      <c r="AG15" s="85">
        <v>0</v>
      </c>
      <c r="AH15" s="85">
        <v>0</v>
      </c>
      <c r="AI15" s="85">
        <v>7.47</v>
      </c>
      <c r="AJ15" s="85">
        <v>8.2170000000000005</v>
      </c>
      <c r="AK15" s="85">
        <v>14.193</v>
      </c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78"/>
      <c r="BI15" s="78"/>
      <c r="BJ15" s="78"/>
      <c r="BK15" s="78"/>
      <c r="BL15" s="78"/>
      <c r="BM15" s="78"/>
      <c r="BN15" s="87"/>
      <c r="BO15" s="87"/>
      <c r="BP15" s="87"/>
      <c r="BQ15" s="87"/>
      <c r="BR15" s="87"/>
      <c r="BS15" s="87"/>
      <c r="BT15" s="87"/>
      <c r="BU15" s="88">
        <f t="shared" si="0"/>
        <v>87.149999999999991</v>
      </c>
      <c r="BV15" s="89"/>
    </row>
    <row r="16" spans="1:75" x14ac:dyDescent="0.2">
      <c r="A16" s="81">
        <v>13</v>
      </c>
      <c r="B16" s="82" t="s">
        <v>230</v>
      </c>
      <c r="C16" s="83"/>
      <c r="D16" s="84" t="s">
        <v>16</v>
      </c>
      <c r="E16" s="78"/>
      <c r="F16" s="78"/>
      <c r="G16" s="85">
        <v>5.1660000000000004</v>
      </c>
      <c r="H16" s="85">
        <v>8.61</v>
      </c>
      <c r="I16" s="85">
        <v>10.332000000000001</v>
      </c>
      <c r="J16" s="85">
        <v>12.054</v>
      </c>
      <c r="K16" s="85">
        <v>8.61</v>
      </c>
      <c r="L16" s="85">
        <v>5.1660000000000004</v>
      </c>
      <c r="M16" s="85">
        <v>5.9039999999999999</v>
      </c>
      <c r="N16" s="85">
        <v>6.6420000000000003</v>
      </c>
      <c r="O16" s="85">
        <v>6.6420000000000003</v>
      </c>
      <c r="P16" s="85">
        <v>6.6420000000000003</v>
      </c>
      <c r="Q16" s="85">
        <v>5.1660000000000004</v>
      </c>
      <c r="R16" s="85">
        <v>6.6420000000000003</v>
      </c>
      <c r="S16" s="85">
        <v>3.69</v>
      </c>
      <c r="T16" s="85">
        <v>0</v>
      </c>
      <c r="U16" s="85">
        <v>0</v>
      </c>
      <c r="V16" s="85">
        <v>0</v>
      </c>
      <c r="W16" s="85">
        <v>3.69</v>
      </c>
      <c r="X16" s="85">
        <v>5.1660000000000004</v>
      </c>
      <c r="Y16" s="85">
        <v>6.6420000000000003</v>
      </c>
      <c r="Z16" s="85">
        <v>7.38</v>
      </c>
      <c r="AA16" s="85">
        <v>5.1660000000000004</v>
      </c>
      <c r="AB16" s="85">
        <v>2.952</v>
      </c>
      <c r="AC16" s="85">
        <v>5.6580000000000004</v>
      </c>
      <c r="AD16" s="85">
        <v>13.776</v>
      </c>
      <c r="AE16" s="85">
        <v>17.22</v>
      </c>
      <c r="AF16" s="85">
        <v>13.776</v>
      </c>
      <c r="AG16" s="85">
        <v>12.054</v>
      </c>
      <c r="AH16" s="85">
        <v>17.22</v>
      </c>
      <c r="AI16" s="85">
        <v>10.824</v>
      </c>
      <c r="AJ16" s="85">
        <v>8.1180000000000003</v>
      </c>
      <c r="AK16" s="85">
        <v>3.69</v>
      </c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78"/>
      <c r="BI16" s="78"/>
      <c r="BJ16" s="78"/>
      <c r="BK16" s="78"/>
      <c r="BL16" s="78"/>
      <c r="BM16" s="78"/>
      <c r="BN16" s="87"/>
      <c r="BO16" s="87"/>
      <c r="BP16" s="87"/>
      <c r="BQ16" s="87"/>
      <c r="BR16" s="87"/>
      <c r="BS16" s="87"/>
      <c r="BT16" s="87"/>
      <c r="BU16" s="88">
        <f t="shared" si="0"/>
        <v>224.59799999999998</v>
      </c>
      <c r="BV16" s="89"/>
    </row>
    <row r="17" spans="1:74" x14ac:dyDescent="0.2">
      <c r="A17" s="81">
        <v>14</v>
      </c>
      <c r="B17" s="82" t="s">
        <v>232</v>
      </c>
      <c r="C17" s="83"/>
      <c r="D17" s="84" t="s">
        <v>16</v>
      </c>
      <c r="E17" s="78"/>
      <c r="F17" s="78"/>
      <c r="G17" s="85">
        <v>0</v>
      </c>
      <c r="H17" s="85">
        <v>0</v>
      </c>
      <c r="I17" s="85">
        <v>0</v>
      </c>
      <c r="J17" s="85">
        <v>1.004</v>
      </c>
      <c r="K17" s="85">
        <v>2.5099999999999998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6.5259999999999998</v>
      </c>
      <c r="T17" s="85">
        <v>0</v>
      </c>
      <c r="U17" s="85">
        <v>0</v>
      </c>
      <c r="V17" s="85">
        <v>0</v>
      </c>
      <c r="W17" s="85">
        <v>0</v>
      </c>
      <c r="X17" s="85">
        <v>0</v>
      </c>
      <c r="Y17" s="85">
        <v>10.542</v>
      </c>
      <c r="Z17" s="85">
        <v>9.0359999999999996</v>
      </c>
      <c r="AA17" s="85">
        <v>7.0119999999999996</v>
      </c>
      <c r="AB17" s="85">
        <v>0</v>
      </c>
      <c r="AC17" s="85">
        <v>0</v>
      </c>
      <c r="AD17" s="85">
        <v>0</v>
      </c>
      <c r="AE17" s="85">
        <v>0</v>
      </c>
      <c r="AF17" s="85">
        <v>0</v>
      </c>
      <c r="AG17" s="85">
        <v>0</v>
      </c>
      <c r="AH17" s="85">
        <v>0</v>
      </c>
      <c r="AI17" s="85">
        <v>0</v>
      </c>
      <c r="AJ17" s="85">
        <v>0</v>
      </c>
      <c r="AK17" s="85">
        <v>0</v>
      </c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78"/>
      <c r="BI17" s="78"/>
      <c r="BJ17" s="78"/>
      <c r="BK17" s="78"/>
      <c r="BL17" s="78"/>
      <c r="BM17" s="78"/>
      <c r="BN17" s="87"/>
      <c r="BO17" s="87"/>
      <c r="BP17" s="87"/>
      <c r="BQ17" s="87"/>
      <c r="BR17" s="87"/>
      <c r="BS17" s="87"/>
      <c r="BT17" s="87"/>
      <c r="BU17" s="88">
        <f t="shared" si="0"/>
        <v>36.630000000000003</v>
      </c>
      <c r="BV17" s="89"/>
    </row>
    <row r="18" spans="1:74" x14ac:dyDescent="0.2">
      <c r="A18" s="81"/>
      <c r="B18" s="90" t="s">
        <v>114</v>
      </c>
      <c r="C18" s="91"/>
      <c r="D18" s="92" t="s">
        <v>16</v>
      </c>
      <c r="E18" s="93">
        <f>SUM(E4:E7)</f>
        <v>0</v>
      </c>
      <c r="F18" s="93">
        <f>SUM(F4:F7)</f>
        <v>0</v>
      </c>
      <c r="G18" s="93">
        <f t="shared" ref="G18:L18" si="1">SUM(G4:G17)</f>
        <v>66.176000000000002</v>
      </c>
      <c r="H18" s="93">
        <f t="shared" si="1"/>
        <v>81.124000000000009</v>
      </c>
      <c r="I18" s="93">
        <f t="shared" si="1"/>
        <v>71.199999999999989</v>
      </c>
      <c r="J18" s="93">
        <f t="shared" si="1"/>
        <v>68.124000000000009</v>
      </c>
      <c r="K18" s="93">
        <f t="shared" si="1"/>
        <v>85.929000000000002</v>
      </c>
      <c r="L18" s="93">
        <f t="shared" si="1"/>
        <v>71.643000000000001</v>
      </c>
      <c r="M18" s="93">
        <f t="shared" ref="M18:R18" si="2">SUM(M4:M17)</f>
        <v>75.49499999999999</v>
      </c>
      <c r="N18" s="93">
        <f t="shared" si="2"/>
        <v>89.91</v>
      </c>
      <c r="O18" s="93">
        <f t="shared" si="2"/>
        <v>83.364000000000004</v>
      </c>
      <c r="P18" s="93">
        <f t="shared" si="2"/>
        <v>79.594999999999999</v>
      </c>
      <c r="Q18" s="93">
        <f t="shared" si="2"/>
        <v>65.804000000000002</v>
      </c>
      <c r="R18" s="93">
        <f t="shared" si="2"/>
        <v>70.756999999999991</v>
      </c>
      <c r="S18" s="93">
        <f t="shared" ref="S18:X18" si="3">SUM(S4:S17)</f>
        <v>34.833000000000006</v>
      </c>
      <c r="T18" s="93">
        <f t="shared" si="3"/>
        <v>0</v>
      </c>
      <c r="U18" s="93">
        <f t="shared" si="3"/>
        <v>0</v>
      </c>
      <c r="V18" s="93">
        <f t="shared" si="3"/>
        <v>0</v>
      </c>
      <c r="W18" s="93">
        <f t="shared" si="3"/>
        <v>31.383000000000006</v>
      </c>
      <c r="X18" s="93">
        <f t="shared" si="3"/>
        <v>67.86699999999999</v>
      </c>
      <c r="Y18" s="93">
        <f t="shared" ref="Y18:AD18" si="4">SUM(Y4:Y17)</f>
        <v>59.936000000000007</v>
      </c>
      <c r="Z18" s="93">
        <f t="shared" si="4"/>
        <v>53.57800000000001</v>
      </c>
      <c r="AA18" s="93">
        <f t="shared" si="4"/>
        <v>59.302999999999997</v>
      </c>
      <c r="AB18" s="93">
        <f t="shared" si="4"/>
        <v>41.819000000000003</v>
      </c>
      <c r="AC18" s="93">
        <f t="shared" si="4"/>
        <v>60.182000000000002</v>
      </c>
      <c r="AD18" s="93">
        <f t="shared" si="4"/>
        <v>75.281999999999996</v>
      </c>
      <c r="AE18" s="93">
        <f t="shared" ref="AE18:AK18" si="5">SUM(AE4:AE17)</f>
        <v>88.263999999999996</v>
      </c>
      <c r="AF18" s="93">
        <f t="shared" si="5"/>
        <v>63.959000000000003</v>
      </c>
      <c r="AG18" s="93">
        <f t="shared" si="5"/>
        <v>62.204000000000008</v>
      </c>
      <c r="AH18" s="93">
        <f t="shared" si="5"/>
        <v>64.847999999999999</v>
      </c>
      <c r="AI18" s="93">
        <f t="shared" si="5"/>
        <v>85.884</v>
      </c>
      <c r="AJ18" s="93">
        <f t="shared" ref="AJ18" si="6">SUM(AJ4:AJ17)</f>
        <v>96.597999999999999</v>
      </c>
      <c r="AK18" s="93">
        <f t="shared" si="5"/>
        <v>85.332999999999998</v>
      </c>
      <c r="AL18" s="93">
        <f t="shared" ref="AL18:BD18" si="7">SUM(AL4:AL15)</f>
        <v>0</v>
      </c>
      <c r="AM18" s="93">
        <f t="shared" si="7"/>
        <v>0</v>
      </c>
      <c r="AN18" s="93">
        <f t="shared" si="7"/>
        <v>0</v>
      </c>
      <c r="AO18" s="93">
        <f t="shared" si="7"/>
        <v>0</v>
      </c>
      <c r="AP18" s="93">
        <f t="shared" si="7"/>
        <v>0</v>
      </c>
      <c r="AQ18" s="93">
        <f t="shared" si="7"/>
        <v>0</v>
      </c>
      <c r="AR18" s="93">
        <f t="shared" si="7"/>
        <v>0</v>
      </c>
      <c r="AS18" s="93">
        <f t="shared" si="7"/>
        <v>0</v>
      </c>
      <c r="AT18" s="93">
        <f t="shared" si="7"/>
        <v>0</v>
      </c>
      <c r="AU18" s="93">
        <f t="shared" si="7"/>
        <v>0</v>
      </c>
      <c r="AV18" s="93">
        <f t="shared" si="7"/>
        <v>0</v>
      </c>
      <c r="AW18" s="93">
        <f t="shared" si="7"/>
        <v>0</v>
      </c>
      <c r="AX18" s="93">
        <f t="shared" si="7"/>
        <v>0</v>
      </c>
      <c r="AY18" s="93">
        <f t="shared" si="7"/>
        <v>0</v>
      </c>
      <c r="AZ18" s="93">
        <f t="shared" si="7"/>
        <v>0</v>
      </c>
      <c r="BA18" s="93">
        <f t="shared" si="7"/>
        <v>0</v>
      </c>
      <c r="BB18" s="93">
        <f t="shared" si="7"/>
        <v>0</v>
      </c>
      <c r="BC18" s="93">
        <f t="shared" si="7"/>
        <v>0</v>
      </c>
      <c r="BD18" s="93">
        <f t="shared" si="7"/>
        <v>0</v>
      </c>
      <c r="BE18" s="93">
        <f>SUM(BE4:BE15)</f>
        <v>0</v>
      </c>
      <c r="BF18" s="93">
        <f t="shared" ref="BF18:BG18" si="8">SUM(BF4:BF13)</f>
        <v>0</v>
      </c>
      <c r="BG18" s="93">
        <f t="shared" si="8"/>
        <v>0</v>
      </c>
      <c r="BH18" s="93">
        <f t="shared" ref="BH18:BM18" si="9">SUM(BH4:BH9)</f>
        <v>0</v>
      </c>
      <c r="BI18" s="93">
        <f t="shared" si="9"/>
        <v>0</v>
      </c>
      <c r="BJ18" s="93">
        <f t="shared" si="9"/>
        <v>0</v>
      </c>
      <c r="BK18" s="93">
        <f t="shared" si="9"/>
        <v>0</v>
      </c>
      <c r="BL18" s="93">
        <f t="shared" si="9"/>
        <v>0</v>
      </c>
      <c r="BM18" s="93">
        <f t="shared" si="9"/>
        <v>0</v>
      </c>
      <c r="BN18" s="93">
        <f t="shared" ref="BN18:BT18" si="10">SUM(BN4:BN10)</f>
        <v>0</v>
      </c>
      <c r="BO18" s="93">
        <f t="shared" si="10"/>
        <v>0</v>
      </c>
      <c r="BP18" s="93">
        <f t="shared" si="10"/>
        <v>0</v>
      </c>
      <c r="BQ18" s="93">
        <f t="shared" si="10"/>
        <v>0</v>
      </c>
      <c r="BR18" s="93">
        <f t="shared" si="10"/>
        <v>0</v>
      </c>
      <c r="BS18" s="93">
        <f t="shared" si="10"/>
        <v>0</v>
      </c>
      <c r="BT18" s="93">
        <f t="shared" si="10"/>
        <v>0</v>
      </c>
      <c r="BU18" s="88">
        <f t="shared" si="0"/>
        <v>1940.3939999999996</v>
      </c>
      <c r="BV18" s="89"/>
    </row>
    <row r="19" spans="1:74" ht="25" x14ac:dyDescent="0.25">
      <c r="A19" s="74" t="s">
        <v>115</v>
      </c>
      <c r="B19" s="94" t="s">
        <v>116</v>
      </c>
      <c r="C19" s="95"/>
      <c r="D19" s="95"/>
      <c r="E19" s="95"/>
      <c r="F19" s="95"/>
      <c r="G19" s="95"/>
      <c r="H19" s="248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  <c r="AC19" s="249"/>
      <c r="AD19" s="249"/>
      <c r="AE19" s="249"/>
      <c r="AF19" s="249"/>
      <c r="AG19" s="249"/>
      <c r="AH19" s="249"/>
      <c r="AI19" s="249"/>
      <c r="AJ19" s="249"/>
      <c r="AK19" s="249"/>
      <c r="AL19" s="249"/>
      <c r="AM19" s="249"/>
      <c r="AN19" s="249"/>
      <c r="AO19" s="250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88">
        <f t="shared" si="0"/>
        <v>0</v>
      </c>
      <c r="BV19" s="89"/>
    </row>
    <row r="20" spans="1:74" x14ac:dyDescent="0.2">
      <c r="A20" s="81">
        <v>1</v>
      </c>
      <c r="B20" s="97" t="s">
        <v>117</v>
      </c>
      <c r="C20" s="83"/>
      <c r="D20" s="84" t="s">
        <v>118</v>
      </c>
      <c r="E20" s="78"/>
      <c r="F20" s="78"/>
      <c r="G20" s="78">
        <v>0</v>
      </c>
      <c r="H20" s="78">
        <v>0</v>
      </c>
      <c r="I20" s="78">
        <v>0</v>
      </c>
      <c r="J20" s="98">
        <v>0</v>
      </c>
      <c r="K20" s="9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30</v>
      </c>
      <c r="AB20" s="78">
        <v>10</v>
      </c>
      <c r="AC20" s="78">
        <v>0</v>
      </c>
      <c r="AD20" s="78">
        <v>40</v>
      </c>
      <c r="AE20" s="78">
        <v>65</v>
      </c>
      <c r="AF20" s="78">
        <v>25</v>
      </c>
      <c r="AG20" s="78">
        <v>10</v>
      </c>
      <c r="AH20" s="78">
        <v>20</v>
      </c>
      <c r="AI20" s="78">
        <v>35</v>
      </c>
      <c r="AJ20" s="78">
        <v>54</v>
      </c>
      <c r="AK20" s="78">
        <v>52</v>
      </c>
      <c r="AL20" s="78"/>
      <c r="AM20" s="78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8">
        <f t="shared" si="0"/>
        <v>341</v>
      </c>
      <c r="BV20" s="89"/>
    </row>
    <row r="21" spans="1:74" x14ac:dyDescent="0.2">
      <c r="A21" s="81">
        <v>2</v>
      </c>
      <c r="B21" s="97" t="s">
        <v>119</v>
      </c>
      <c r="C21" s="83"/>
      <c r="D21" s="84" t="s">
        <v>118</v>
      </c>
      <c r="E21" s="78"/>
      <c r="F21" s="78"/>
      <c r="G21" s="78">
        <v>24</v>
      </c>
      <c r="H21" s="78">
        <v>28</v>
      </c>
      <c r="I21" s="78">
        <v>26</v>
      </c>
      <c r="J21" s="78">
        <v>25</v>
      </c>
      <c r="K21" s="78">
        <v>24</v>
      </c>
      <c r="L21" s="78">
        <v>17</v>
      </c>
      <c r="M21" s="78">
        <v>15</v>
      </c>
      <c r="N21" s="78">
        <v>27</v>
      </c>
      <c r="O21" s="78">
        <v>27</v>
      </c>
      <c r="P21" s="78">
        <v>34</v>
      </c>
      <c r="Q21" s="78">
        <v>16</v>
      </c>
      <c r="R21" s="78">
        <v>18</v>
      </c>
      <c r="S21" s="78">
        <v>15</v>
      </c>
      <c r="T21" s="78">
        <v>0</v>
      </c>
      <c r="U21" s="99">
        <v>0</v>
      </c>
      <c r="V21" s="78">
        <v>0</v>
      </c>
      <c r="W21" s="78">
        <v>40</v>
      </c>
      <c r="X21" s="78">
        <v>41</v>
      </c>
      <c r="Y21" s="78">
        <v>37</v>
      </c>
      <c r="Z21" s="78">
        <v>34</v>
      </c>
      <c r="AA21" s="78">
        <v>31</v>
      </c>
      <c r="AB21" s="78">
        <v>17</v>
      </c>
      <c r="AC21" s="78">
        <v>26</v>
      </c>
      <c r="AD21" s="78">
        <v>28</v>
      </c>
      <c r="AE21" s="78">
        <v>31</v>
      </c>
      <c r="AF21" s="78">
        <v>28</v>
      </c>
      <c r="AG21" s="78">
        <v>35</v>
      </c>
      <c r="AH21" s="78">
        <v>44</v>
      </c>
      <c r="AI21" s="78">
        <v>40</v>
      </c>
      <c r="AJ21" s="78">
        <v>40</v>
      </c>
      <c r="AK21" s="78">
        <v>35</v>
      </c>
      <c r="AL21" s="99"/>
      <c r="AM21" s="78"/>
      <c r="AN21" s="87"/>
      <c r="AO21" s="100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8">
        <f t="shared" si="0"/>
        <v>803</v>
      </c>
      <c r="BV21" s="89"/>
    </row>
    <row r="22" spans="1:74" x14ac:dyDescent="0.2">
      <c r="A22" s="81">
        <v>3</v>
      </c>
      <c r="B22" s="97" t="s">
        <v>120</v>
      </c>
      <c r="C22" s="83"/>
      <c r="D22" s="84" t="s">
        <v>118</v>
      </c>
      <c r="E22" s="78"/>
      <c r="F22" s="78"/>
      <c r="G22" s="78">
        <v>0</v>
      </c>
      <c r="H22" s="78">
        <v>0</v>
      </c>
      <c r="I22" s="78">
        <v>0</v>
      </c>
      <c r="J22" s="78">
        <v>20</v>
      </c>
      <c r="K22" s="78">
        <v>20</v>
      </c>
      <c r="L22" s="78">
        <v>20</v>
      </c>
      <c r="M22" s="78">
        <v>20</v>
      </c>
      <c r="N22" s="78">
        <v>20</v>
      </c>
      <c r="O22" s="78">
        <v>20</v>
      </c>
      <c r="P22" s="78">
        <v>20</v>
      </c>
      <c r="Q22" s="78">
        <v>20</v>
      </c>
      <c r="R22" s="78">
        <v>20</v>
      </c>
      <c r="S22" s="78">
        <v>20</v>
      </c>
      <c r="T22" s="78">
        <v>0</v>
      </c>
      <c r="U22" s="78">
        <v>0</v>
      </c>
      <c r="V22" s="78">
        <v>0</v>
      </c>
      <c r="W22" s="78">
        <v>20</v>
      </c>
      <c r="X22" s="78">
        <v>20</v>
      </c>
      <c r="Y22" s="78">
        <v>20</v>
      </c>
      <c r="Z22" s="78">
        <v>20</v>
      </c>
      <c r="AA22" s="78">
        <v>20</v>
      </c>
      <c r="AB22" s="78">
        <v>20</v>
      </c>
      <c r="AC22" s="78">
        <v>0</v>
      </c>
      <c r="AD22" s="78">
        <v>20</v>
      </c>
      <c r="AE22" s="78">
        <v>20</v>
      </c>
      <c r="AF22" s="78">
        <v>20</v>
      </c>
      <c r="AG22" s="78">
        <v>20</v>
      </c>
      <c r="AH22" s="78">
        <v>20</v>
      </c>
      <c r="AI22" s="78">
        <v>20</v>
      </c>
      <c r="AJ22" s="78">
        <v>20</v>
      </c>
      <c r="AK22" s="78">
        <v>20</v>
      </c>
      <c r="AL22" s="78"/>
      <c r="AM22" s="78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8">
        <f t="shared" si="0"/>
        <v>480</v>
      </c>
      <c r="BV22" s="89"/>
    </row>
    <row r="23" spans="1:74" x14ac:dyDescent="0.2">
      <c r="A23" s="81">
        <v>4</v>
      </c>
      <c r="B23" s="97" t="s">
        <v>223</v>
      </c>
      <c r="C23" s="83"/>
      <c r="D23" s="84" t="s">
        <v>118</v>
      </c>
      <c r="E23" s="78"/>
      <c r="F23" s="78"/>
      <c r="G23" s="78">
        <v>0</v>
      </c>
      <c r="H23" s="78">
        <v>0</v>
      </c>
      <c r="I23" s="78">
        <v>30</v>
      </c>
      <c r="J23" s="78">
        <v>360</v>
      </c>
      <c r="K23" s="78">
        <v>550</v>
      </c>
      <c r="L23" s="78">
        <v>440</v>
      </c>
      <c r="M23" s="78">
        <v>500</v>
      </c>
      <c r="N23" s="78">
        <v>640</v>
      </c>
      <c r="O23" s="78">
        <v>590</v>
      </c>
      <c r="P23" s="78">
        <v>580</v>
      </c>
      <c r="Q23" s="78">
        <v>290</v>
      </c>
      <c r="R23" s="78">
        <v>480</v>
      </c>
      <c r="S23" s="78">
        <v>120</v>
      </c>
      <c r="T23" s="78">
        <v>0</v>
      </c>
      <c r="U23" s="78">
        <v>0</v>
      </c>
      <c r="V23" s="78">
        <v>0</v>
      </c>
      <c r="W23" s="78">
        <v>130</v>
      </c>
      <c r="X23" s="78">
        <v>340</v>
      </c>
      <c r="Y23" s="78">
        <v>290</v>
      </c>
      <c r="Z23" s="78">
        <v>270</v>
      </c>
      <c r="AA23" s="78">
        <v>260</v>
      </c>
      <c r="AB23" s="78">
        <v>80</v>
      </c>
      <c r="AC23" s="78">
        <v>0</v>
      </c>
      <c r="AD23" s="78">
        <v>480</v>
      </c>
      <c r="AE23" s="78">
        <v>600</v>
      </c>
      <c r="AF23" s="78">
        <v>370</v>
      </c>
      <c r="AG23" s="78">
        <v>350</v>
      </c>
      <c r="AH23" s="78">
        <v>280</v>
      </c>
      <c r="AI23" s="78">
        <v>600</v>
      </c>
      <c r="AJ23" s="78">
        <v>650</v>
      </c>
      <c r="AK23" s="78">
        <v>500</v>
      </c>
      <c r="AL23" s="78"/>
      <c r="AM23" s="78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8">
        <f t="shared" si="0"/>
        <v>9780</v>
      </c>
      <c r="BV23" s="89"/>
    </row>
    <row r="24" spans="1:74" x14ac:dyDescent="0.2">
      <c r="A24" s="81">
        <v>5</v>
      </c>
      <c r="B24" s="97" t="s">
        <v>121</v>
      </c>
      <c r="C24" s="83"/>
      <c r="D24" s="84" t="s">
        <v>118</v>
      </c>
      <c r="E24" s="78"/>
      <c r="F24" s="78"/>
      <c r="G24" s="78">
        <v>0</v>
      </c>
      <c r="H24" s="78">
        <v>0</v>
      </c>
      <c r="I24" s="78">
        <v>0</v>
      </c>
      <c r="J24" s="78">
        <v>7</v>
      </c>
      <c r="K24" s="78">
        <v>2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10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12</v>
      </c>
      <c r="Z24" s="78">
        <v>12</v>
      </c>
      <c r="AA24" s="78">
        <v>5</v>
      </c>
      <c r="AB24" s="78">
        <v>0</v>
      </c>
      <c r="AC24" s="78">
        <v>0</v>
      </c>
      <c r="AD24" s="78">
        <v>0</v>
      </c>
      <c r="AE24" s="78">
        <v>0</v>
      </c>
      <c r="AF24" s="78">
        <v>6</v>
      </c>
      <c r="AG24" s="78">
        <v>10</v>
      </c>
      <c r="AH24" s="78">
        <v>10</v>
      </c>
      <c r="AI24" s="78">
        <v>2</v>
      </c>
      <c r="AJ24" s="78">
        <v>0</v>
      </c>
      <c r="AK24" s="78">
        <v>0</v>
      </c>
      <c r="AL24" s="78"/>
      <c r="AM24" s="78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8">
        <f t="shared" si="0"/>
        <v>76</v>
      </c>
      <c r="BV24" s="89"/>
    </row>
    <row r="25" spans="1:74" x14ac:dyDescent="0.2">
      <c r="A25" s="81">
        <v>6</v>
      </c>
      <c r="B25" s="97" t="s">
        <v>122</v>
      </c>
      <c r="C25" s="83"/>
      <c r="D25" s="84" t="s">
        <v>118</v>
      </c>
      <c r="E25" s="78"/>
      <c r="F25" s="78"/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99">
        <v>0</v>
      </c>
      <c r="Z25" s="99">
        <v>0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99">
        <v>0</v>
      </c>
      <c r="AG25" s="99">
        <v>0</v>
      </c>
      <c r="AH25" s="99">
        <v>0</v>
      </c>
      <c r="AI25" s="99">
        <v>0</v>
      </c>
      <c r="AJ25" s="99">
        <v>0</v>
      </c>
      <c r="AK25" s="99">
        <v>0</v>
      </c>
      <c r="AL25" s="78"/>
      <c r="AM25" s="78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78"/>
      <c r="AY25" s="78"/>
      <c r="AZ25" s="78"/>
      <c r="BA25" s="78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8">
        <f t="shared" si="0"/>
        <v>0</v>
      </c>
      <c r="BV25" s="89"/>
    </row>
    <row r="26" spans="1:74" x14ac:dyDescent="0.2">
      <c r="A26" s="81">
        <v>7</v>
      </c>
      <c r="B26" s="97" t="s">
        <v>123</v>
      </c>
      <c r="C26" s="83"/>
      <c r="D26" s="84" t="s">
        <v>118</v>
      </c>
      <c r="E26" s="78"/>
      <c r="F26" s="78"/>
      <c r="G26" s="78">
        <v>74</v>
      </c>
      <c r="H26" s="78">
        <v>61</v>
      </c>
      <c r="I26" s="78">
        <v>22</v>
      </c>
      <c r="J26" s="78">
        <v>68</v>
      </c>
      <c r="K26" s="78">
        <v>9</v>
      </c>
      <c r="L26" s="78">
        <v>0</v>
      </c>
      <c r="M26" s="78">
        <v>51</v>
      </c>
      <c r="N26" s="78">
        <v>109</v>
      </c>
      <c r="O26" s="78">
        <v>107</v>
      </c>
      <c r="P26" s="78">
        <v>122</v>
      </c>
      <c r="Q26" s="78">
        <v>96</v>
      </c>
      <c r="R26" s="78">
        <v>98</v>
      </c>
      <c r="S26" s="78">
        <v>66</v>
      </c>
      <c r="T26" s="78">
        <v>0</v>
      </c>
      <c r="U26" s="78">
        <v>0</v>
      </c>
      <c r="V26" s="78">
        <v>0</v>
      </c>
      <c r="W26" s="78">
        <v>38</v>
      </c>
      <c r="X26" s="78">
        <v>119</v>
      </c>
      <c r="Y26" s="78">
        <v>117</v>
      </c>
      <c r="Z26" s="78">
        <v>104</v>
      </c>
      <c r="AA26" s="78">
        <v>101</v>
      </c>
      <c r="AB26" s="78">
        <v>71</v>
      </c>
      <c r="AC26" s="78">
        <v>77</v>
      </c>
      <c r="AD26" s="78">
        <v>125</v>
      </c>
      <c r="AE26" s="78">
        <v>141</v>
      </c>
      <c r="AF26" s="78">
        <v>97</v>
      </c>
      <c r="AG26" s="78">
        <v>86</v>
      </c>
      <c r="AH26" s="78">
        <v>78</v>
      </c>
      <c r="AI26" s="78">
        <v>117</v>
      </c>
      <c r="AJ26" s="78">
        <v>133</v>
      </c>
      <c r="AK26" s="78">
        <v>38</v>
      </c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87"/>
      <c r="AX26" s="78"/>
      <c r="AY26" s="78"/>
      <c r="AZ26" s="78"/>
      <c r="BA26" s="78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8">
        <f t="shared" si="0"/>
        <v>2325</v>
      </c>
      <c r="BV26" s="89"/>
    </row>
    <row r="27" spans="1:74" x14ac:dyDescent="0.2">
      <c r="A27" s="81">
        <v>8</v>
      </c>
      <c r="B27" s="97" t="s">
        <v>124</v>
      </c>
      <c r="C27" s="83"/>
      <c r="D27" s="84" t="s">
        <v>118</v>
      </c>
      <c r="E27" s="78"/>
      <c r="F27" s="78"/>
      <c r="G27" s="78">
        <v>80</v>
      </c>
      <c r="H27" s="78">
        <v>68</v>
      </c>
      <c r="I27" s="78">
        <v>72</v>
      </c>
      <c r="J27" s="78">
        <v>75</v>
      </c>
      <c r="K27" s="78">
        <v>38</v>
      </c>
      <c r="L27" s="78">
        <v>10</v>
      </c>
      <c r="M27" s="78">
        <v>8</v>
      </c>
      <c r="N27" s="78">
        <v>7</v>
      </c>
      <c r="O27" s="78">
        <v>9</v>
      </c>
      <c r="P27" s="78">
        <v>28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  <c r="AF27" s="78">
        <v>0</v>
      </c>
      <c r="AG27" s="78">
        <v>0</v>
      </c>
      <c r="AH27" s="78">
        <v>0</v>
      </c>
      <c r="AI27" s="78">
        <v>0</v>
      </c>
      <c r="AJ27" s="78">
        <v>0</v>
      </c>
      <c r="AK27" s="78">
        <v>0</v>
      </c>
      <c r="AL27" s="78"/>
      <c r="AM27" s="78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78"/>
      <c r="AY27" s="78"/>
      <c r="AZ27" s="78"/>
      <c r="BA27" s="78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8">
        <f t="shared" si="0"/>
        <v>395</v>
      </c>
      <c r="BV27" s="89"/>
    </row>
    <row r="28" spans="1:74" x14ac:dyDescent="0.2">
      <c r="A28" s="81">
        <v>9</v>
      </c>
      <c r="B28" s="97" t="s">
        <v>125</v>
      </c>
      <c r="C28" s="83"/>
      <c r="D28" s="84" t="s">
        <v>118</v>
      </c>
      <c r="E28" s="78"/>
      <c r="F28" s="78"/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22</v>
      </c>
      <c r="Q28" s="78">
        <v>89</v>
      </c>
      <c r="R28" s="78">
        <v>73</v>
      </c>
      <c r="S28" s="78">
        <v>41</v>
      </c>
      <c r="T28" s="78">
        <v>0</v>
      </c>
      <c r="U28" s="78">
        <v>0</v>
      </c>
      <c r="V28" s="78">
        <v>0</v>
      </c>
      <c r="W28" s="78">
        <v>29</v>
      </c>
      <c r="X28" s="78">
        <v>72</v>
      </c>
      <c r="Y28" s="78">
        <v>67</v>
      </c>
      <c r="Z28" s="78">
        <v>58</v>
      </c>
      <c r="AA28" s="78">
        <v>62</v>
      </c>
      <c r="AB28" s="78">
        <v>47</v>
      </c>
      <c r="AC28" s="78">
        <v>60</v>
      </c>
      <c r="AD28" s="78">
        <v>58</v>
      </c>
      <c r="AE28" s="78">
        <v>62</v>
      </c>
      <c r="AF28" s="78">
        <v>61</v>
      </c>
      <c r="AG28" s="78">
        <v>78</v>
      </c>
      <c r="AH28" s="78">
        <v>65</v>
      </c>
      <c r="AI28" s="78">
        <v>23</v>
      </c>
      <c r="AJ28" s="78">
        <v>16</v>
      </c>
      <c r="AK28" s="78">
        <v>40</v>
      </c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8">
        <f t="shared" si="0"/>
        <v>1023</v>
      </c>
      <c r="BV28" s="89"/>
    </row>
    <row r="29" spans="1:74" x14ac:dyDescent="0.2">
      <c r="A29" s="81">
        <v>10</v>
      </c>
      <c r="B29" s="97" t="s">
        <v>126</v>
      </c>
      <c r="C29" s="101"/>
      <c r="D29" s="84" t="s">
        <v>118</v>
      </c>
      <c r="E29" s="78"/>
      <c r="F29" s="78"/>
      <c r="G29" s="78">
        <v>0</v>
      </c>
      <c r="H29" s="78">
        <v>0</v>
      </c>
      <c r="I29" s="78">
        <v>16</v>
      </c>
      <c r="J29" s="78">
        <v>17</v>
      </c>
      <c r="K29" s="78">
        <v>16</v>
      </c>
      <c r="L29" s="78">
        <v>15</v>
      </c>
      <c r="M29" s="78">
        <v>0</v>
      </c>
      <c r="N29" s="78">
        <v>0</v>
      </c>
      <c r="O29" s="78">
        <v>0</v>
      </c>
      <c r="P29" s="78">
        <v>8</v>
      </c>
      <c r="Q29" s="78">
        <v>12</v>
      </c>
      <c r="R29" s="78">
        <v>15</v>
      </c>
      <c r="S29" s="78">
        <v>15</v>
      </c>
      <c r="T29" s="78">
        <v>0</v>
      </c>
      <c r="U29" s="78">
        <v>0</v>
      </c>
      <c r="V29" s="78">
        <v>0</v>
      </c>
      <c r="W29" s="78">
        <v>0</v>
      </c>
      <c r="X29" s="78">
        <v>10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10</v>
      </c>
      <c r="AE29" s="78">
        <v>0</v>
      </c>
      <c r="AF29" s="78">
        <v>0</v>
      </c>
      <c r="AG29" s="78">
        <v>0</v>
      </c>
      <c r="AH29" s="78">
        <v>0</v>
      </c>
      <c r="AI29" s="78">
        <v>0</v>
      </c>
      <c r="AJ29" s="78">
        <v>0</v>
      </c>
      <c r="AK29" s="78">
        <v>0</v>
      </c>
      <c r="AL29" s="78"/>
      <c r="AM29" s="78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8">
        <f t="shared" si="0"/>
        <v>134</v>
      </c>
      <c r="BV29" s="89"/>
    </row>
    <row r="30" spans="1:74" x14ac:dyDescent="0.2">
      <c r="A30" s="81">
        <v>11</v>
      </c>
      <c r="B30" s="97" t="s">
        <v>127</v>
      </c>
      <c r="C30" s="83"/>
      <c r="D30" s="84" t="s">
        <v>118</v>
      </c>
      <c r="E30" s="78"/>
      <c r="F30" s="78"/>
      <c r="G30" s="78">
        <v>0</v>
      </c>
      <c r="H30" s="78">
        <v>0</v>
      </c>
      <c r="I30" s="78">
        <v>1</v>
      </c>
      <c r="J30" s="78">
        <v>2</v>
      </c>
      <c r="K30" s="78">
        <v>2</v>
      </c>
      <c r="L30" s="78">
        <v>2</v>
      </c>
      <c r="M30" s="78">
        <v>2</v>
      </c>
      <c r="N30" s="78">
        <v>2</v>
      </c>
      <c r="O30" s="78">
        <v>2</v>
      </c>
      <c r="P30" s="78">
        <v>5</v>
      </c>
      <c r="Q30" s="78">
        <v>5</v>
      </c>
      <c r="R30" s="78">
        <v>5</v>
      </c>
      <c r="S30" s="78">
        <v>4</v>
      </c>
      <c r="T30" s="78">
        <v>0</v>
      </c>
      <c r="U30" s="78">
        <v>0</v>
      </c>
      <c r="V30" s="78">
        <v>0</v>
      </c>
      <c r="W30" s="78">
        <v>4</v>
      </c>
      <c r="X30" s="78">
        <v>5</v>
      </c>
      <c r="Y30" s="78">
        <v>5</v>
      </c>
      <c r="Z30" s="78">
        <v>6</v>
      </c>
      <c r="AA30" s="78">
        <v>6</v>
      </c>
      <c r="AB30" s="78">
        <v>0</v>
      </c>
      <c r="AC30" s="78">
        <v>0</v>
      </c>
      <c r="AD30" s="78">
        <v>0</v>
      </c>
      <c r="AE30" s="78">
        <v>0</v>
      </c>
      <c r="AF30" s="78">
        <v>5</v>
      </c>
      <c r="AG30" s="78">
        <v>6</v>
      </c>
      <c r="AH30" s="78">
        <v>6</v>
      </c>
      <c r="AI30" s="78">
        <v>6</v>
      </c>
      <c r="AJ30" s="78">
        <v>6</v>
      </c>
      <c r="AK30" s="78">
        <v>6</v>
      </c>
      <c r="AL30" s="78"/>
      <c r="AM30" s="78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8">
        <f t="shared" si="0"/>
        <v>93</v>
      </c>
      <c r="BV30" s="89"/>
    </row>
    <row r="31" spans="1:74" x14ac:dyDescent="0.2">
      <c r="A31" s="81">
        <v>12</v>
      </c>
      <c r="B31" s="97" t="s">
        <v>128</v>
      </c>
      <c r="C31" s="83"/>
      <c r="D31" s="84" t="s">
        <v>118</v>
      </c>
      <c r="E31" s="78"/>
      <c r="F31" s="78"/>
      <c r="G31" s="78">
        <v>0</v>
      </c>
      <c r="H31" s="78">
        <v>0</v>
      </c>
      <c r="I31" s="78">
        <v>1</v>
      </c>
      <c r="J31" s="78">
        <v>3</v>
      </c>
      <c r="K31" s="78">
        <v>3</v>
      </c>
      <c r="L31" s="78">
        <v>3</v>
      </c>
      <c r="M31" s="78">
        <v>3</v>
      </c>
      <c r="N31" s="78">
        <v>3</v>
      </c>
      <c r="O31" s="78">
        <v>3</v>
      </c>
      <c r="P31" s="78">
        <v>3</v>
      </c>
      <c r="Q31" s="78">
        <v>1</v>
      </c>
      <c r="R31" s="78">
        <v>1</v>
      </c>
      <c r="S31" s="78">
        <v>1</v>
      </c>
      <c r="T31" s="78">
        <v>0</v>
      </c>
      <c r="U31" s="99">
        <v>0</v>
      </c>
      <c r="V31" s="78">
        <v>0</v>
      </c>
      <c r="W31" s="78">
        <v>1</v>
      </c>
      <c r="X31" s="78">
        <v>1</v>
      </c>
      <c r="Y31" s="78">
        <v>1</v>
      </c>
      <c r="Z31" s="78">
        <v>1</v>
      </c>
      <c r="AA31" s="78">
        <v>1</v>
      </c>
      <c r="AB31" s="78">
        <v>0</v>
      </c>
      <c r="AC31" s="78">
        <v>0</v>
      </c>
      <c r="AD31" s="78">
        <v>1</v>
      </c>
      <c r="AE31" s="78">
        <v>1</v>
      </c>
      <c r="AF31" s="78">
        <v>1</v>
      </c>
      <c r="AG31" s="78">
        <v>1</v>
      </c>
      <c r="AH31" s="78">
        <v>1</v>
      </c>
      <c r="AI31" s="78">
        <v>0</v>
      </c>
      <c r="AJ31" s="78">
        <v>0</v>
      </c>
      <c r="AK31" s="78">
        <v>0</v>
      </c>
      <c r="AL31" s="78"/>
      <c r="AM31" s="78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8">
        <f t="shared" si="0"/>
        <v>35</v>
      </c>
      <c r="BV31" s="89"/>
    </row>
    <row r="32" spans="1:74" x14ac:dyDescent="0.2">
      <c r="A32" s="81">
        <v>13</v>
      </c>
      <c r="B32" s="97" t="s">
        <v>129</v>
      </c>
      <c r="C32" s="83"/>
      <c r="D32" s="84" t="s">
        <v>118</v>
      </c>
      <c r="E32" s="78"/>
      <c r="F32" s="78"/>
      <c r="G32" s="78">
        <v>0</v>
      </c>
      <c r="H32" s="78">
        <v>0</v>
      </c>
      <c r="I32" s="78">
        <v>0</v>
      </c>
      <c r="J32" s="78">
        <v>4</v>
      </c>
      <c r="K32" s="78">
        <v>3</v>
      </c>
      <c r="L32" s="78">
        <v>3</v>
      </c>
      <c r="M32" s="78">
        <v>3</v>
      </c>
      <c r="N32" s="78">
        <v>3</v>
      </c>
      <c r="O32" s="78">
        <v>3</v>
      </c>
      <c r="P32" s="78">
        <v>3</v>
      </c>
      <c r="Q32" s="78">
        <v>1</v>
      </c>
      <c r="R32" s="78">
        <v>1</v>
      </c>
      <c r="S32" s="78">
        <v>1</v>
      </c>
      <c r="T32" s="78">
        <v>0</v>
      </c>
      <c r="U32" s="78">
        <v>0</v>
      </c>
      <c r="V32" s="78">
        <v>0</v>
      </c>
      <c r="W32" s="78">
        <v>1</v>
      </c>
      <c r="X32" s="78">
        <v>1</v>
      </c>
      <c r="Y32" s="78">
        <v>1</v>
      </c>
      <c r="Z32" s="78">
        <v>1</v>
      </c>
      <c r="AA32" s="78">
        <v>1</v>
      </c>
      <c r="AB32" s="78">
        <v>0</v>
      </c>
      <c r="AC32" s="78">
        <v>0</v>
      </c>
      <c r="AD32" s="78">
        <v>1</v>
      </c>
      <c r="AE32" s="78">
        <v>1</v>
      </c>
      <c r="AF32" s="78">
        <v>1</v>
      </c>
      <c r="AG32" s="78">
        <v>1</v>
      </c>
      <c r="AH32" s="78">
        <v>1</v>
      </c>
      <c r="AI32" s="78">
        <v>0</v>
      </c>
      <c r="AJ32" s="78">
        <v>0</v>
      </c>
      <c r="AK32" s="78">
        <v>0</v>
      </c>
      <c r="AL32" s="78"/>
      <c r="AM32" s="78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8">
        <f t="shared" si="0"/>
        <v>35</v>
      </c>
      <c r="BV32" s="89"/>
    </row>
    <row r="33" spans="1:76" x14ac:dyDescent="0.2">
      <c r="A33" s="81">
        <v>14</v>
      </c>
      <c r="B33" s="97" t="s">
        <v>130</v>
      </c>
      <c r="C33" s="83"/>
      <c r="D33" s="84" t="s">
        <v>118</v>
      </c>
      <c r="E33" s="78"/>
      <c r="F33" s="78"/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  <c r="AF33" s="78">
        <v>0</v>
      </c>
      <c r="AG33" s="78">
        <v>0</v>
      </c>
      <c r="AH33" s="78">
        <v>0</v>
      </c>
      <c r="AI33" s="78">
        <v>0</v>
      </c>
      <c r="AJ33" s="78">
        <v>0</v>
      </c>
      <c r="AK33" s="78">
        <v>0</v>
      </c>
      <c r="AL33" s="78"/>
      <c r="AM33" s="78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102"/>
      <c r="BO33" s="87"/>
      <c r="BP33" s="87"/>
      <c r="BQ33" s="87"/>
      <c r="BR33" s="87"/>
      <c r="BS33" s="87"/>
      <c r="BT33" s="87"/>
      <c r="BU33" s="88">
        <f t="shared" si="0"/>
        <v>0</v>
      </c>
      <c r="BV33" s="89"/>
    </row>
    <row r="34" spans="1:76" x14ac:dyDescent="0.2">
      <c r="A34" s="81">
        <v>15</v>
      </c>
      <c r="B34" s="97" t="s">
        <v>131</v>
      </c>
      <c r="C34" s="101"/>
      <c r="D34" s="84" t="s">
        <v>118</v>
      </c>
      <c r="E34" s="78"/>
      <c r="F34" s="78"/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  <c r="AI34" s="78">
        <v>0</v>
      </c>
      <c r="AJ34" s="78">
        <v>0</v>
      </c>
      <c r="AK34" s="78">
        <v>0</v>
      </c>
      <c r="AL34" s="78"/>
      <c r="AM34" s="78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8">
        <f t="shared" si="0"/>
        <v>0</v>
      </c>
      <c r="BW34" s="80"/>
      <c r="BX34" s="89"/>
    </row>
    <row r="35" spans="1:76" x14ac:dyDescent="0.2">
      <c r="A35" s="81">
        <v>16</v>
      </c>
      <c r="B35" s="97" t="s">
        <v>132</v>
      </c>
      <c r="C35" s="83"/>
      <c r="D35" s="84" t="s">
        <v>118</v>
      </c>
      <c r="E35" s="78"/>
      <c r="F35" s="78"/>
      <c r="G35" s="78">
        <v>2</v>
      </c>
      <c r="H35" s="78">
        <v>2</v>
      </c>
      <c r="I35" s="78">
        <v>2</v>
      </c>
      <c r="J35" s="78">
        <v>2</v>
      </c>
      <c r="K35" s="78">
        <v>2</v>
      </c>
      <c r="L35" s="78">
        <v>2</v>
      </c>
      <c r="M35" s="78">
        <v>2</v>
      </c>
      <c r="N35" s="78">
        <v>2</v>
      </c>
      <c r="O35" s="78">
        <v>2</v>
      </c>
      <c r="P35" s="78">
        <v>2</v>
      </c>
      <c r="Q35" s="78">
        <v>2</v>
      </c>
      <c r="R35" s="78">
        <v>2</v>
      </c>
      <c r="S35" s="78">
        <v>1</v>
      </c>
      <c r="T35" s="78">
        <v>0</v>
      </c>
      <c r="U35" s="78">
        <v>0</v>
      </c>
      <c r="V35" s="78">
        <v>0</v>
      </c>
      <c r="W35" s="78">
        <v>2</v>
      </c>
      <c r="X35" s="78">
        <v>2</v>
      </c>
      <c r="Y35" s="78">
        <v>3</v>
      </c>
      <c r="Z35" s="78">
        <v>3</v>
      </c>
      <c r="AA35" s="78">
        <v>3</v>
      </c>
      <c r="AB35" s="78">
        <v>2</v>
      </c>
      <c r="AC35" s="78">
        <v>3</v>
      </c>
      <c r="AD35" s="78">
        <v>3</v>
      </c>
      <c r="AE35" s="78">
        <v>3</v>
      </c>
      <c r="AF35" s="78">
        <v>3</v>
      </c>
      <c r="AG35" s="78">
        <v>3</v>
      </c>
      <c r="AH35" s="78">
        <v>3</v>
      </c>
      <c r="AI35" s="78">
        <v>3</v>
      </c>
      <c r="AJ35" s="78">
        <v>3</v>
      </c>
      <c r="AK35" s="78">
        <v>3</v>
      </c>
      <c r="AL35" s="78"/>
      <c r="AM35" s="78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8">
        <f t="shared" si="0"/>
        <v>67</v>
      </c>
      <c r="BW35" s="80"/>
      <c r="BX35" s="89"/>
    </row>
    <row r="36" spans="1:76" x14ac:dyDescent="0.2">
      <c r="A36" s="81">
        <v>17</v>
      </c>
      <c r="B36" s="97" t="s">
        <v>133</v>
      </c>
      <c r="C36" s="83"/>
      <c r="D36" s="84" t="s">
        <v>118</v>
      </c>
      <c r="E36" s="78"/>
      <c r="F36" s="78"/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  <c r="AF36" s="78">
        <v>0</v>
      </c>
      <c r="AG36" s="78">
        <v>0</v>
      </c>
      <c r="AH36" s="78">
        <v>0</v>
      </c>
      <c r="AI36" s="78">
        <v>0</v>
      </c>
      <c r="AJ36" s="78">
        <v>0</v>
      </c>
      <c r="AK36" s="78">
        <v>0</v>
      </c>
      <c r="AL36" s="78"/>
      <c r="AM36" s="78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8">
        <f t="shared" si="0"/>
        <v>0</v>
      </c>
      <c r="BW36" s="80"/>
      <c r="BX36" s="89"/>
    </row>
    <row r="37" spans="1:76" x14ac:dyDescent="0.2">
      <c r="A37" s="81">
        <v>18</v>
      </c>
      <c r="B37" s="97" t="s">
        <v>134</v>
      </c>
      <c r="C37" s="83"/>
      <c r="D37" s="84" t="s">
        <v>118</v>
      </c>
      <c r="E37" s="78"/>
      <c r="F37" s="78"/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  <c r="AF37" s="78">
        <v>0</v>
      </c>
      <c r="AG37" s="78">
        <v>0</v>
      </c>
      <c r="AH37" s="78">
        <v>0</v>
      </c>
      <c r="AI37" s="78">
        <v>0</v>
      </c>
      <c r="AJ37" s="78">
        <v>0</v>
      </c>
      <c r="AK37" s="78">
        <v>0</v>
      </c>
      <c r="AL37" s="78"/>
      <c r="AM37" s="78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8">
        <f t="shared" si="0"/>
        <v>0</v>
      </c>
      <c r="BW37" s="80"/>
      <c r="BX37" s="89"/>
    </row>
    <row r="38" spans="1:76" x14ac:dyDescent="0.2">
      <c r="A38" s="81">
        <v>19</v>
      </c>
      <c r="B38" s="97" t="s">
        <v>135</v>
      </c>
      <c r="C38" s="101"/>
      <c r="D38" s="84" t="s">
        <v>118</v>
      </c>
      <c r="E38" s="78"/>
      <c r="F38" s="78"/>
      <c r="G38" s="78">
        <v>4</v>
      </c>
      <c r="H38" s="78">
        <v>3</v>
      </c>
      <c r="I38" s="78">
        <v>3</v>
      </c>
      <c r="J38" s="78">
        <v>5</v>
      </c>
      <c r="K38" s="78">
        <v>5</v>
      </c>
      <c r="L38" s="78">
        <v>4</v>
      </c>
      <c r="M38" s="78">
        <v>4</v>
      </c>
      <c r="N38" s="78">
        <v>4</v>
      </c>
      <c r="O38" s="78">
        <v>4</v>
      </c>
      <c r="P38" s="78">
        <v>5</v>
      </c>
      <c r="Q38" s="78">
        <v>5</v>
      </c>
      <c r="R38" s="78">
        <v>6</v>
      </c>
      <c r="S38" s="78">
        <v>3</v>
      </c>
      <c r="T38" s="78">
        <v>0</v>
      </c>
      <c r="U38" s="78">
        <v>0</v>
      </c>
      <c r="V38" s="78">
        <v>0</v>
      </c>
      <c r="W38" s="78">
        <v>3</v>
      </c>
      <c r="X38" s="78">
        <v>5</v>
      </c>
      <c r="Y38" s="78">
        <v>5</v>
      </c>
      <c r="Z38" s="78">
        <v>4</v>
      </c>
      <c r="AA38" s="78">
        <v>5</v>
      </c>
      <c r="AB38" s="78">
        <v>3</v>
      </c>
      <c r="AC38" s="78">
        <v>3</v>
      </c>
      <c r="AD38" s="78">
        <v>4</v>
      </c>
      <c r="AE38" s="78">
        <v>5</v>
      </c>
      <c r="AF38" s="78">
        <v>4</v>
      </c>
      <c r="AG38" s="78">
        <v>3</v>
      </c>
      <c r="AH38" s="78">
        <v>5</v>
      </c>
      <c r="AI38" s="78">
        <v>5</v>
      </c>
      <c r="AJ38" s="78">
        <v>5</v>
      </c>
      <c r="AK38" s="78">
        <v>4</v>
      </c>
      <c r="AL38" s="78"/>
      <c r="AM38" s="78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8">
        <f t="shared" si="0"/>
        <v>118</v>
      </c>
      <c r="BW38" s="80"/>
      <c r="BX38" s="89"/>
    </row>
    <row r="39" spans="1:76" x14ac:dyDescent="0.2">
      <c r="A39" s="81">
        <v>20</v>
      </c>
      <c r="B39" s="97" t="s">
        <v>136</v>
      </c>
      <c r="C39" s="101"/>
      <c r="D39" s="84" t="s">
        <v>118</v>
      </c>
      <c r="E39" s="78"/>
      <c r="F39" s="78"/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  <c r="AF39" s="78">
        <v>0</v>
      </c>
      <c r="AG39" s="78">
        <v>0</v>
      </c>
      <c r="AH39" s="78">
        <v>0</v>
      </c>
      <c r="AI39" s="78">
        <v>0</v>
      </c>
      <c r="AJ39" s="78">
        <v>0</v>
      </c>
      <c r="AK39" s="78">
        <v>0</v>
      </c>
      <c r="AL39" s="78"/>
      <c r="AM39" s="78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8">
        <f t="shared" si="0"/>
        <v>0</v>
      </c>
      <c r="BW39" s="80"/>
      <c r="BX39" s="89"/>
    </row>
    <row r="40" spans="1:76" x14ac:dyDescent="0.2">
      <c r="A40" s="81">
        <v>21</v>
      </c>
      <c r="B40" s="97" t="s">
        <v>137</v>
      </c>
      <c r="C40" s="83"/>
      <c r="D40" s="84" t="s">
        <v>118</v>
      </c>
      <c r="E40" s="78"/>
      <c r="F40" s="78"/>
      <c r="G40" s="78">
        <v>31</v>
      </c>
      <c r="H40" s="78">
        <v>36</v>
      </c>
      <c r="I40" s="78">
        <v>34</v>
      </c>
      <c r="J40" s="78">
        <v>22</v>
      </c>
      <c r="K40" s="78">
        <v>17</v>
      </c>
      <c r="L40" s="78">
        <v>18</v>
      </c>
      <c r="M40" s="78">
        <v>15</v>
      </c>
      <c r="N40" s="78">
        <v>17</v>
      </c>
      <c r="O40" s="78">
        <v>25</v>
      </c>
      <c r="P40" s="78">
        <v>19</v>
      </c>
      <c r="Q40" s="78">
        <v>23</v>
      </c>
      <c r="R40" s="78">
        <v>25</v>
      </c>
      <c r="S40" s="78">
        <v>25</v>
      </c>
      <c r="T40" s="78">
        <v>0</v>
      </c>
      <c r="U40" s="78">
        <v>0</v>
      </c>
      <c r="V40" s="78">
        <v>0</v>
      </c>
      <c r="W40" s="78">
        <v>20</v>
      </c>
      <c r="X40" s="78">
        <v>25</v>
      </c>
      <c r="Y40" s="78">
        <v>25</v>
      </c>
      <c r="Z40" s="78">
        <v>25</v>
      </c>
      <c r="AA40" s="78">
        <v>25</v>
      </c>
      <c r="AB40" s="78">
        <v>20</v>
      </c>
      <c r="AC40" s="78">
        <v>35</v>
      </c>
      <c r="AD40" s="78">
        <v>25</v>
      </c>
      <c r="AE40" s="78">
        <v>25</v>
      </c>
      <c r="AF40" s="78">
        <v>25</v>
      </c>
      <c r="AG40" s="78">
        <v>25</v>
      </c>
      <c r="AH40" s="78">
        <v>25</v>
      </c>
      <c r="AI40" s="78">
        <v>25</v>
      </c>
      <c r="AJ40" s="78">
        <v>25</v>
      </c>
      <c r="AK40" s="78">
        <v>20</v>
      </c>
      <c r="AL40" s="78"/>
      <c r="AM40" s="78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8">
        <f t="shared" si="0"/>
        <v>677</v>
      </c>
      <c r="BW40" s="103"/>
      <c r="BX40" s="89"/>
    </row>
    <row r="41" spans="1:76" x14ac:dyDescent="0.2">
      <c r="A41" s="81">
        <v>22</v>
      </c>
      <c r="B41" s="97" t="s">
        <v>138</v>
      </c>
      <c r="C41" s="83"/>
      <c r="D41" s="84" t="s">
        <v>118</v>
      </c>
      <c r="E41" s="78"/>
      <c r="F41" s="78"/>
      <c r="G41" s="78">
        <v>10</v>
      </c>
      <c r="H41" s="78">
        <v>10</v>
      </c>
      <c r="I41" s="78">
        <v>10</v>
      </c>
      <c r="J41" s="78">
        <v>10</v>
      </c>
      <c r="K41" s="78">
        <v>10</v>
      </c>
      <c r="L41" s="78">
        <v>10</v>
      </c>
      <c r="M41" s="78">
        <v>10</v>
      </c>
      <c r="N41" s="78">
        <v>10</v>
      </c>
      <c r="O41" s="78">
        <v>10</v>
      </c>
      <c r="P41" s="78">
        <v>10</v>
      </c>
      <c r="Q41" s="78">
        <v>10</v>
      </c>
      <c r="R41" s="78">
        <v>10</v>
      </c>
      <c r="S41" s="78">
        <v>10</v>
      </c>
      <c r="T41" s="78">
        <v>0</v>
      </c>
      <c r="U41" s="78">
        <v>0</v>
      </c>
      <c r="V41" s="78">
        <v>0</v>
      </c>
      <c r="W41" s="78">
        <v>10</v>
      </c>
      <c r="X41" s="78">
        <v>10</v>
      </c>
      <c r="Y41" s="78">
        <v>10</v>
      </c>
      <c r="Z41" s="78">
        <v>10</v>
      </c>
      <c r="AA41" s="78">
        <v>10</v>
      </c>
      <c r="AB41" s="78">
        <v>10</v>
      </c>
      <c r="AC41" s="78">
        <v>10</v>
      </c>
      <c r="AD41" s="78">
        <v>10</v>
      </c>
      <c r="AE41" s="78">
        <v>10</v>
      </c>
      <c r="AF41" s="78">
        <v>10</v>
      </c>
      <c r="AG41" s="78">
        <v>10</v>
      </c>
      <c r="AH41" s="78">
        <v>10</v>
      </c>
      <c r="AI41" s="78">
        <v>10</v>
      </c>
      <c r="AJ41" s="78">
        <v>10</v>
      </c>
      <c r="AK41" s="78">
        <v>10</v>
      </c>
      <c r="AL41" s="78"/>
      <c r="AM41" s="78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8">
        <f t="shared" si="0"/>
        <v>280</v>
      </c>
      <c r="BW41" s="103"/>
      <c r="BX41" s="89"/>
    </row>
    <row r="42" spans="1:76" x14ac:dyDescent="0.2">
      <c r="A42" s="81">
        <v>23</v>
      </c>
      <c r="B42" s="97" t="s">
        <v>139</v>
      </c>
      <c r="C42" s="83"/>
      <c r="D42" s="84" t="s">
        <v>118</v>
      </c>
      <c r="E42" s="78"/>
      <c r="F42" s="78"/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15</v>
      </c>
      <c r="P42" s="78">
        <v>15</v>
      </c>
      <c r="Q42" s="78">
        <v>15</v>
      </c>
      <c r="R42" s="78">
        <v>15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  <c r="AF42" s="78">
        <v>0</v>
      </c>
      <c r="AG42" s="78">
        <v>0</v>
      </c>
      <c r="AH42" s="78">
        <v>0</v>
      </c>
      <c r="AI42" s="78">
        <v>0</v>
      </c>
      <c r="AJ42" s="78">
        <v>0</v>
      </c>
      <c r="AK42" s="78">
        <v>0</v>
      </c>
      <c r="AL42" s="78"/>
      <c r="AM42" s="78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8">
        <f t="shared" si="0"/>
        <v>60</v>
      </c>
      <c r="BW42" s="103"/>
      <c r="BX42" s="89"/>
    </row>
    <row r="43" spans="1:76" x14ac:dyDescent="0.2">
      <c r="A43" s="81">
        <v>24</v>
      </c>
      <c r="B43" s="97" t="s">
        <v>140</v>
      </c>
      <c r="C43" s="83"/>
      <c r="D43" s="84" t="s">
        <v>118</v>
      </c>
      <c r="E43" s="78"/>
      <c r="F43" s="78"/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  <c r="AF43" s="78">
        <v>0</v>
      </c>
      <c r="AG43" s="78">
        <v>0</v>
      </c>
      <c r="AH43" s="78">
        <v>0</v>
      </c>
      <c r="AI43" s="78">
        <v>0</v>
      </c>
      <c r="AJ43" s="78">
        <v>0</v>
      </c>
      <c r="AK43" s="78">
        <v>0</v>
      </c>
      <c r="AL43" s="78"/>
      <c r="AM43" s="78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8">
        <f t="shared" si="0"/>
        <v>0</v>
      </c>
      <c r="BW43" s="103"/>
      <c r="BX43" s="89"/>
    </row>
    <row r="44" spans="1:76" x14ac:dyDescent="0.2">
      <c r="A44" s="81">
        <v>25</v>
      </c>
      <c r="B44" s="97" t="s">
        <v>141</v>
      </c>
      <c r="C44" s="83"/>
      <c r="D44" s="84" t="s">
        <v>118</v>
      </c>
      <c r="E44" s="78"/>
      <c r="F44" s="78"/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40</v>
      </c>
      <c r="Q44" s="78">
        <v>50</v>
      </c>
      <c r="R44" s="78">
        <v>50</v>
      </c>
      <c r="S44" s="78">
        <v>50</v>
      </c>
      <c r="T44" s="78">
        <v>0</v>
      </c>
      <c r="U44" s="78">
        <v>50</v>
      </c>
      <c r="V44" s="78">
        <v>0</v>
      </c>
      <c r="W44" s="78">
        <v>50</v>
      </c>
      <c r="X44" s="78">
        <v>50</v>
      </c>
      <c r="Y44" s="78">
        <v>50</v>
      </c>
      <c r="Z44" s="78">
        <v>50</v>
      </c>
      <c r="AA44" s="78">
        <v>50</v>
      </c>
      <c r="AB44" s="78">
        <v>50</v>
      </c>
      <c r="AC44" s="78">
        <v>50</v>
      </c>
      <c r="AD44" s="78">
        <v>50</v>
      </c>
      <c r="AE44" s="78">
        <v>100</v>
      </c>
      <c r="AF44" s="78">
        <v>50</v>
      </c>
      <c r="AG44" s="78">
        <v>50</v>
      </c>
      <c r="AH44" s="78">
        <v>50</v>
      </c>
      <c r="AI44" s="78">
        <v>100</v>
      </c>
      <c r="AJ44" s="78">
        <v>50</v>
      </c>
      <c r="AK44" s="78">
        <v>50</v>
      </c>
      <c r="AL44" s="78"/>
      <c r="AM44" s="78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8">
        <f t="shared" si="0"/>
        <v>1090</v>
      </c>
      <c r="BW44" s="103"/>
      <c r="BX44" s="89"/>
    </row>
    <row r="45" spans="1:76" x14ac:dyDescent="0.2">
      <c r="A45" s="81">
        <v>26</v>
      </c>
      <c r="B45" s="97" t="s">
        <v>142</v>
      </c>
      <c r="C45" s="83"/>
      <c r="D45" s="84" t="s">
        <v>118</v>
      </c>
      <c r="E45" s="78"/>
      <c r="F45" s="78"/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50</v>
      </c>
      <c r="P45" s="78">
        <v>50</v>
      </c>
      <c r="Q45" s="78">
        <v>30</v>
      </c>
      <c r="R45" s="78">
        <v>30</v>
      </c>
      <c r="S45" s="78">
        <v>30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  <c r="AF45" s="78">
        <v>0</v>
      </c>
      <c r="AG45" s="78">
        <v>0</v>
      </c>
      <c r="AH45" s="78">
        <v>0</v>
      </c>
      <c r="AI45" s="78">
        <v>0</v>
      </c>
      <c r="AJ45" s="78">
        <v>0</v>
      </c>
      <c r="AK45" s="78">
        <v>0</v>
      </c>
      <c r="AL45" s="78"/>
      <c r="AM45" s="78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8">
        <f t="shared" si="0"/>
        <v>190</v>
      </c>
      <c r="BW45" s="103"/>
      <c r="BX45" s="89"/>
    </row>
    <row r="46" spans="1:76" x14ac:dyDescent="0.2">
      <c r="A46" s="81">
        <v>27</v>
      </c>
      <c r="B46" s="97" t="s">
        <v>143</v>
      </c>
      <c r="C46" s="83"/>
      <c r="D46" s="84" t="s">
        <v>118</v>
      </c>
      <c r="E46" s="78"/>
      <c r="F46" s="78"/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  <c r="AF46" s="78">
        <v>0</v>
      </c>
      <c r="AG46" s="78">
        <v>0</v>
      </c>
      <c r="AH46" s="78">
        <v>0</v>
      </c>
      <c r="AI46" s="78">
        <v>0</v>
      </c>
      <c r="AJ46" s="78">
        <v>0</v>
      </c>
      <c r="AK46" s="78">
        <v>0</v>
      </c>
      <c r="AL46" s="78"/>
      <c r="AM46" s="78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8">
        <f t="shared" si="0"/>
        <v>0</v>
      </c>
      <c r="BW46" s="103"/>
      <c r="BX46" s="89"/>
    </row>
    <row r="47" spans="1:76" x14ac:dyDescent="0.2">
      <c r="A47" s="81">
        <v>28</v>
      </c>
      <c r="B47" s="97" t="s">
        <v>235</v>
      </c>
      <c r="C47" s="83"/>
      <c r="D47" s="204" t="s">
        <v>118</v>
      </c>
      <c r="E47" s="205"/>
      <c r="F47" s="205"/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  <c r="AF47" s="78">
        <v>0</v>
      </c>
      <c r="AG47" s="78">
        <v>0</v>
      </c>
      <c r="AH47" s="78">
        <v>0</v>
      </c>
      <c r="AI47" s="78">
        <v>0</v>
      </c>
      <c r="AJ47" s="78">
        <v>0</v>
      </c>
      <c r="AK47" s="78">
        <v>0</v>
      </c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206">
        <f>SUM(G47:AK47)</f>
        <v>0</v>
      </c>
      <c r="BW47" s="103"/>
      <c r="BX47" s="89"/>
    </row>
    <row r="48" spans="1:76" x14ac:dyDescent="0.2">
      <c r="A48" s="81">
        <v>29</v>
      </c>
      <c r="B48" s="97" t="s">
        <v>241</v>
      </c>
      <c r="C48" s="83"/>
      <c r="D48" s="204" t="s">
        <v>118</v>
      </c>
      <c r="E48" s="205"/>
      <c r="F48" s="205"/>
      <c r="G48" s="78">
        <v>0</v>
      </c>
      <c r="H48" s="78">
        <v>25</v>
      </c>
      <c r="I48" s="78">
        <v>61</v>
      </c>
      <c r="J48" s="78">
        <v>0</v>
      </c>
      <c r="K48" s="78">
        <v>93</v>
      </c>
      <c r="L48" s="78">
        <v>91</v>
      </c>
      <c r="M48" s="78">
        <v>48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  <c r="AF48" s="78">
        <v>0</v>
      </c>
      <c r="AG48" s="78">
        <v>0</v>
      </c>
      <c r="AH48" s="78">
        <v>0</v>
      </c>
      <c r="AI48" s="78">
        <v>0</v>
      </c>
      <c r="AJ48" s="78">
        <v>0</v>
      </c>
      <c r="AK48" s="78">
        <v>82</v>
      </c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206">
        <f>SUM(G48:AK48)</f>
        <v>400</v>
      </c>
      <c r="BW48" s="103"/>
      <c r="BX48" s="89"/>
    </row>
    <row r="49" spans="1:76" x14ac:dyDescent="0.2">
      <c r="A49" s="81">
        <v>30</v>
      </c>
      <c r="B49" s="97" t="s">
        <v>247</v>
      </c>
      <c r="C49" s="83"/>
      <c r="D49" s="204" t="s">
        <v>118</v>
      </c>
      <c r="E49" s="205"/>
      <c r="F49" s="205"/>
      <c r="G49" s="78">
        <v>0</v>
      </c>
      <c r="H49" s="78">
        <v>0</v>
      </c>
      <c r="I49" s="78">
        <v>120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  <c r="AF49" s="78">
        <v>0</v>
      </c>
      <c r="AG49" s="78">
        <v>0</v>
      </c>
      <c r="AH49" s="78">
        <v>0</v>
      </c>
      <c r="AI49" s="78">
        <v>0</v>
      </c>
      <c r="AJ49" s="78">
        <v>0</v>
      </c>
      <c r="AK49" s="78">
        <v>0</v>
      </c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206">
        <v>120</v>
      </c>
      <c r="BW49" s="103"/>
      <c r="BX49" s="89"/>
    </row>
    <row r="50" spans="1:76" x14ac:dyDescent="0.2">
      <c r="A50" s="81"/>
      <c r="B50" s="180" t="s">
        <v>224</v>
      </c>
      <c r="C50" s="83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260"/>
      <c r="AH50" s="260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  <c r="BA50" s="260"/>
      <c r="BB50" s="260"/>
      <c r="BC50" s="260"/>
      <c r="BD50" s="260"/>
      <c r="BE50" s="260"/>
      <c r="BF50" s="260"/>
      <c r="BG50" s="260"/>
      <c r="BH50" s="260"/>
      <c r="BI50" s="260"/>
      <c r="BJ50" s="260"/>
      <c r="BK50" s="260"/>
      <c r="BL50" s="260"/>
      <c r="BM50" s="260"/>
      <c r="BN50" s="260"/>
      <c r="BO50" s="260"/>
      <c r="BP50" s="260"/>
      <c r="BQ50" s="260"/>
      <c r="BR50" s="260"/>
      <c r="BS50" s="260"/>
      <c r="BT50" s="260"/>
      <c r="BU50" s="260"/>
      <c r="BW50" s="103"/>
      <c r="BX50" s="89"/>
    </row>
    <row r="51" spans="1:76" x14ac:dyDescent="0.2">
      <c r="A51" s="81">
        <v>28</v>
      </c>
      <c r="B51" s="97" t="s">
        <v>225</v>
      </c>
      <c r="C51" s="83"/>
      <c r="D51" s="84" t="s">
        <v>228</v>
      </c>
      <c r="E51" s="78"/>
      <c r="F51" s="78"/>
      <c r="G51" s="78">
        <v>1042.5</v>
      </c>
      <c r="H51" s="78">
        <v>1035</v>
      </c>
      <c r="I51" s="78">
        <v>825</v>
      </c>
      <c r="J51" s="78">
        <v>682.5</v>
      </c>
      <c r="K51" s="78">
        <v>1057.5</v>
      </c>
      <c r="L51" s="78">
        <v>810</v>
      </c>
      <c r="M51" s="78">
        <v>750</v>
      </c>
      <c r="N51" s="78">
        <v>967.5</v>
      </c>
      <c r="O51" s="78">
        <v>795</v>
      </c>
      <c r="P51" s="78">
        <v>885</v>
      </c>
      <c r="Q51" s="78">
        <v>772.5</v>
      </c>
      <c r="R51" s="78">
        <v>915</v>
      </c>
      <c r="S51" s="78">
        <v>802.5</v>
      </c>
      <c r="T51" s="78">
        <v>300</v>
      </c>
      <c r="U51" s="78">
        <v>0</v>
      </c>
      <c r="V51" s="78">
        <v>0</v>
      </c>
      <c r="W51" s="78">
        <v>240</v>
      </c>
      <c r="X51" s="78">
        <v>847.5</v>
      </c>
      <c r="Y51" s="78">
        <v>930</v>
      </c>
      <c r="Z51" s="78">
        <v>952.5</v>
      </c>
      <c r="AA51" s="78">
        <v>952.5</v>
      </c>
      <c r="AB51" s="78">
        <v>817.5</v>
      </c>
      <c r="AC51" s="78">
        <v>915</v>
      </c>
      <c r="AD51" s="78">
        <v>937.5</v>
      </c>
      <c r="AE51" s="78">
        <v>997.5</v>
      </c>
      <c r="AF51" s="78">
        <v>952.5</v>
      </c>
      <c r="AG51" s="78">
        <v>937.5</v>
      </c>
      <c r="AH51" s="78">
        <v>870</v>
      </c>
      <c r="AI51" s="78">
        <v>892.5</v>
      </c>
      <c r="AJ51" s="78">
        <v>967.5</v>
      </c>
      <c r="AK51" s="78">
        <v>750</v>
      </c>
      <c r="AL51" s="78"/>
      <c r="AM51" s="78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8">
        <f>SUM(G51:BG51)</f>
        <v>24600</v>
      </c>
      <c r="BW51" s="103"/>
      <c r="BX51" s="89"/>
    </row>
    <row r="52" spans="1:76" x14ac:dyDescent="0.2">
      <c r="A52" s="81">
        <v>29</v>
      </c>
      <c r="B52" s="97" t="s">
        <v>226</v>
      </c>
      <c r="C52" s="83"/>
      <c r="D52" s="84" t="s">
        <v>229</v>
      </c>
      <c r="E52" s="78"/>
      <c r="F52" s="78"/>
      <c r="G52" s="78">
        <v>264</v>
      </c>
      <c r="H52" s="78">
        <v>260</v>
      </c>
      <c r="I52" s="78">
        <v>168</v>
      </c>
      <c r="J52" s="78">
        <v>56</v>
      </c>
      <c r="K52" s="78">
        <v>38</v>
      </c>
      <c r="L52" s="78">
        <v>0</v>
      </c>
      <c r="M52" s="78">
        <v>42</v>
      </c>
      <c r="N52" s="78">
        <v>236</v>
      </c>
      <c r="O52" s="78">
        <v>122</v>
      </c>
      <c r="P52" s="78">
        <v>138</v>
      </c>
      <c r="Q52" s="78">
        <v>18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80</v>
      </c>
      <c r="Y52" s="78">
        <v>80</v>
      </c>
      <c r="Z52" s="78">
        <v>0</v>
      </c>
      <c r="AA52" s="78">
        <v>0</v>
      </c>
      <c r="AB52" s="78">
        <v>0</v>
      </c>
      <c r="AC52" s="78">
        <v>0</v>
      </c>
      <c r="AD52" s="78">
        <v>86</v>
      </c>
      <c r="AE52" s="78">
        <v>226</v>
      </c>
      <c r="AF52" s="78">
        <v>82</v>
      </c>
      <c r="AG52" s="78">
        <v>6</v>
      </c>
      <c r="AH52" s="78">
        <v>0</v>
      </c>
      <c r="AI52" s="78">
        <v>0</v>
      </c>
      <c r="AJ52" s="78">
        <v>0</v>
      </c>
      <c r="AK52" s="78">
        <v>108</v>
      </c>
      <c r="AL52" s="78"/>
      <c r="AM52" s="78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8">
        <f>SUM(G52:BG52)</f>
        <v>2010</v>
      </c>
      <c r="BW52" s="103"/>
      <c r="BX52" s="89"/>
    </row>
    <row r="53" spans="1:76" x14ac:dyDescent="0.2">
      <c r="A53" s="81">
        <v>30</v>
      </c>
      <c r="B53" s="97" t="s">
        <v>227</v>
      </c>
      <c r="C53" s="83"/>
      <c r="D53" s="84" t="s">
        <v>228</v>
      </c>
      <c r="E53" s="78"/>
      <c r="F53" s="78"/>
      <c r="G53" s="78">
        <v>240</v>
      </c>
      <c r="H53" s="78">
        <v>285</v>
      </c>
      <c r="I53" s="78">
        <v>270</v>
      </c>
      <c r="J53" s="78">
        <v>270</v>
      </c>
      <c r="K53" s="78">
        <v>315</v>
      </c>
      <c r="L53" s="78">
        <v>300</v>
      </c>
      <c r="M53" s="78">
        <v>240</v>
      </c>
      <c r="N53" s="78">
        <v>330</v>
      </c>
      <c r="O53" s="78">
        <v>255</v>
      </c>
      <c r="P53" s="78">
        <v>255</v>
      </c>
      <c r="Q53" s="78">
        <v>255</v>
      </c>
      <c r="R53" s="78">
        <v>300</v>
      </c>
      <c r="S53" s="78">
        <v>225</v>
      </c>
      <c r="T53" s="78">
        <v>75</v>
      </c>
      <c r="U53" s="78">
        <v>15</v>
      </c>
      <c r="V53" s="78">
        <v>0</v>
      </c>
      <c r="W53" s="78">
        <v>75</v>
      </c>
      <c r="X53" s="78">
        <v>210</v>
      </c>
      <c r="Y53" s="78">
        <v>150</v>
      </c>
      <c r="Z53" s="78">
        <v>150</v>
      </c>
      <c r="AA53" s="78">
        <v>150</v>
      </c>
      <c r="AB53" s="78">
        <v>120</v>
      </c>
      <c r="AC53" s="78">
        <v>150</v>
      </c>
      <c r="AD53" s="78">
        <v>120</v>
      </c>
      <c r="AE53" s="78">
        <v>200</v>
      </c>
      <c r="AF53" s="78">
        <v>200</v>
      </c>
      <c r="AG53" s="78">
        <v>105</v>
      </c>
      <c r="AH53" s="78">
        <v>105</v>
      </c>
      <c r="AI53" s="78">
        <v>105</v>
      </c>
      <c r="AJ53" s="78">
        <v>105</v>
      </c>
      <c r="AK53" s="78">
        <v>105</v>
      </c>
      <c r="AL53" s="78"/>
      <c r="AM53" s="78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8">
        <f>SUM(G53:BG53)</f>
        <v>5680</v>
      </c>
      <c r="BW53" s="103"/>
      <c r="BX53" s="89"/>
    </row>
    <row r="54" spans="1:76" x14ac:dyDescent="0.2">
      <c r="A54" s="261"/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  <c r="AK54" s="243"/>
      <c r="AL54" s="243"/>
      <c r="AM54" s="243"/>
      <c r="AN54" s="243"/>
      <c r="AO54" s="243"/>
      <c r="AP54" s="243"/>
      <c r="AQ54" s="243"/>
      <c r="AR54" s="243"/>
      <c r="AS54" s="243"/>
      <c r="AT54" s="243"/>
      <c r="AU54" s="243"/>
      <c r="AV54" s="243"/>
      <c r="AW54" s="243"/>
      <c r="AX54" s="243"/>
      <c r="AY54" s="243"/>
      <c r="AZ54" s="243"/>
      <c r="BA54" s="243"/>
      <c r="BB54" s="243"/>
      <c r="BC54" s="243"/>
      <c r="BD54" s="243"/>
      <c r="BE54" s="243"/>
      <c r="BF54" s="243"/>
      <c r="BG54" s="243"/>
      <c r="BH54" s="243"/>
      <c r="BI54" s="243"/>
      <c r="BJ54" s="243"/>
      <c r="BK54" s="243"/>
      <c r="BL54" s="243"/>
      <c r="BM54" s="243"/>
      <c r="BN54" s="243"/>
      <c r="BO54" s="243"/>
      <c r="BP54" s="243"/>
      <c r="BQ54" s="243"/>
      <c r="BR54" s="243"/>
      <c r="BS54" s="243"/>
      <c r="BT54" s="243"/>
      <c r="BU54" s="262"/>
      <c r="BW54" s="103"/>
      <c r="BX54" s="89"/>
    </row>
    <row r="55" spans="1:76" x14ac:dyDescent="0.2">
      <c r="A55" s="81" t="s">
        <v>144</v>
      </c>
      <c r="B55" s="90" t="s">
        <v>145</v>
      </c>
      <c r="C55" s="91"/>
      <c r="D55" s="92" t="s">
        <v>16</v>
      </c>
      <c r="E55" s="104">
        <v>0</v>
      </c>
      <c r="F55" s="104">
        <v>0</v>
      </c>
      <c r="G55" s="104">
        <v>70</v>
      </c>
      <c r="H55" s="104">
        <v>81</v>
      </c>
      <c r="I55" s="104">
        <v>71</v>
      </c>
      <c r="J55" s="104">
        <v>70</v>
      </c>
      <c r="K55" s="104">
        <v>84</v>
      </c>
      <c r="L55" s="104">
        <v>75</v>
      </c>
      <c r="M55" s="104">
        <v>70</v>
      </c>
      <c r="N55" s="104">
        <v>86</v>
      </c>
      <c r="O55" s="104">
        <v>78</v>
      </c>
      <c r="P55" s="104">
        <v>83</v>
      </c>
      <c r="Q55" s="104">
        <v>70</v>
      </c>
      <c r="R55" s="104">
        <v>67</v>
      </c>
      <c r="S55" s="104">
        <v>38</v>
      </c>
      <c r="T55" s="104">
        <v>0</v>
      </c>
      <c r="U55" s="104">
        <v>0</v>
      </c>
      <c r="V55" s="104">
        <v>0</v>
      </c>
      <c r="W55" s="104">
        <v>24</v>
      </c>
      <c r="X55" s="104">
        <v>74</v>
      </c>
      <c r="Y55" s="104">
        <v>60</v>
      </c>
      <c r="Z55" s="104">
        <v>57</v>
      </c>
      <c r="AA55" s="104">
        <v>65</v>
      </c>
      <c r="AB55" s="104">
        <v>40</v>
      </c>
      <c r="AC55" s="104">
        <v>59</v>
      </c>
      <c r="AD55" s="104">
        <v>80</v>
      </c>
      <c r="AE55" s="104">
        <v>84</v>
      </c>
      <c r="AF55" s="104">
        <v>61</v>
      </c>
      <c r="AG55" s="104">
        <v>64</v>
      </c>
      <c r="AH55" s="104">
        <v>66</v>
      </c>
      <c r="AI55" s="104">
        <v>81</v>
      </c>
      <c r="AJ55" s="104">
        <v>93</v>
      </c>
      <c r="AK55" s="104">
        <v>83</v>
      </c>
      <c r="AL55" s="104"/>
      <c r="AM55" s="104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88">
        <f>SUM(G55:BG55)</f>
        <v>1934</v>
      </c>
      <c r="BW55" s="80"/>
      <c r="BX55" s="89"/>
    </row>
    <row r="56" spans="1:76" ht="21" thickBot="1" x14ac:dyDescent="0.25">
      <c r="A56" s="183" t="s">
        <v>146</v>
      </c>
      <c r="B56" s="184" t="s">
        <v>147</v>
      </c>
      <c r="C56" s="185"/>
      <c r="D56" s="186" t="s">
        <v>16</v>
      </c>
      <c r="E56" s="187">
        <f>E55*0.935</f>
        <v>0</v>
      </c>
      <c r="F56" s="187">
        <f t="shared" ref="F56" si="11">F55*0.935</f>
        <v>0</v>
      </c>
      <c r="G56" s="188">
        <v>49.515000000000001</v>
      </c>
      <c r="H56" s="188">
        <v>72.882000000000005</v>
      </c>
      <c r="I56" s="188">
        <v>58.363999999999997</v>
      </c>
      <c r="J56" s="188">
        <v>49.957999999999998</v>
      </c>
      <c r="K56" s="188">
        <v>80.938999999999993</v>
      </c>
      <c r="L56" s="188">
        <v>82.668999999999997</v>
      </c>
      <c r="M56" s="188">
        <v>54.084000000000003</v>
      </c>
      <c r="N56" s="188">
        <v>96.787999999999997</v>
      </c>
      <c r="O56" s="188">
        <v>73.933000000000007</v>
      </c>
      <c r="P56" s="188">
        <v>73.923000000000002</v>
      </c>
      <c r="Q56" s="188">
        <v>58.396999999999998</v>
      </c>
      <c r="R56" s="188">
        <v>57.384</v>
      </c>
      <c r="S56" s="188">
        <v>43.356000000000002</v>
      </c>
      <c r="T56" s="188">
        <v>18.902000000000001</v>
      </c>
      <c r="U56" s="188">
        <v>4.6779999999999999</v>
      </c>
      <c r="V56" s="188">
        <v>0</v>
      </c>
      <c r="W56" s="188">
        <v>9.548</v>
      </c>
      <c r="X56" s="188">
        <v>66.162999999999997</v>
      </c>
      <c r="Y56" s="188">
        <v>61.676000000000002</v>
      </c>
      <c r="Z56" s="188">
        <v>54.493000000000002</v>
      </c>
      <c r="AA56" s="188">
        <v>53.533000000000001</v>
      </c>
      <c r="AB56" s="188">
        <v>47.484000000000002</v>
      </c>
      <c r="AC56" s="188">
        <v>54.981999999999999</v>
      </c>
      <c r="AD56" s="188">
        <v>75.534999999999997</v>
      </c>
      <c r="AE56" s="188">
        <v>77.164000000000001</v>
      </c>
      <c r="AF56" s="188">
        <v>56.744999999999997</v>
      </c>
      <c r="AG56" s="188">
        <v>63.634</v>
      </c>
      <c r="AH56" s="188">
        <v>56.152000000000001</v>
      </c>
      <c r="AI56" s="188">
        <v>69.287999999999997</v>
      </c>
      <c r="AJ56" s="188">
        <v>100.276</v>
      </c>
      <c r="AK56" s="188">
        <v>85.406999999999996</v>
      </c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7">
        <f t="shared" ref="BH56:BR56" si="12">BH55*0.94</f>
        <v>0</v>
      </c>
      <c r="BI56" s="187">
        <f t="shared" si="12"/>
        <v>0</v>
      </c>
      <c r="BJ56" s="187">
        <f t="shared" si="12"/>
        <v>0</v>
      </c>
      <c r="BK56" s="187">
        <f t="shared" si="12"/>
        <v>0</v>
      </c>
      <c r="BL56" s="187">
        <f t="shared" si="12"/>
        <v>0</v>
      </c>
      <c r="BM56" s="187">
        <f t="shared" si="12"/>
        <v>0</v>
      </c>
      <c r="BN56" s="187">
        <f t="shared" si="12"/>
        <v>0</v>
      </c>
      <c r="BO56" s="187">
        <f t="shared" si="12"/>
        <v>0</v>
      </c>
      <c r="BP56" s="187">
        <f t="shared" si="12"/>
        <v>0</v>
      </c>
      <c r="BQ56" s="187">
        <f t="shared" si="12"/>
        <v>0</v>
      </c>
      <c r="BR56" s="187">
        <f t="shared" si="12"/>
        <v>0</v>
      </c>
      <c r="BS56" s="189">
        <v>0</v>
      </c>
      <c r="BT56" s="189">
        <v>0</v>
      </c>
      <c r="BU56" s="190">
        <f>SUM(G56:BG56)</f>
        <v>1807.8519999999999</v>
      </c>
      <c r="BW56" s="80"/>
      <c r="BX56" s="89"/>
    </row>
    <row r="57" spans="1:76" hidden="1" x14ac:dyDescent="0.2">
      <c r="A57" s="181"/>
      <c r="B57" s="182"/>
      <c r="C57" s="251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A57" s="252"/>
      <c r="AB57" s="252"/>
      <c r="AC57" s="252"/>
      <c r="AD57" s="252"/>
      <c r="AE57" s="252"/>
      <c r="AF57" s="252"/>
      <c r="AG57" s="252"/>
      <c r="AH57" s="252"/>
      <c r="AI57" s="252"/>
      <c r="AJ57" s="252"/>
      <c r="AK57" s="252"/>
      <c r="AL57" s="252"/>
      <c r="AM57" s="252"/>
      <c r="AN57" s="252"/>
      <c r="AO57" s="252"/>
      <c r="AP57" s="252"/>
      <c r="AQ57" s="252"/>
      <c r="AR57" s="252"/>
      <c r="AS57" s="252"/>
      <c r="AT57" s="252"/>
      <c r="AU57" s="252"/>
      <c r="AV57" s="252"/>
      <c r="AW57" s="252"/>
      <c r="AX57" s="252"/>
      <c r="AY57" s="252"/>
      <c r="AZ57" s="252"/>
      <c r="BA57" s="252"/>
      <c r="BB57" s="252"/>
      <c r="BC57" s="252"/>
      <c r="BD57" s="252"/>
      <c r="BE57" s="252"/>
      <c r="BF57" s="252"/>
      <c r="BG57" s="252"/>
      <c r="BH57" s="252"/>
      <c r="BI57" s="252"/>
      <c r="BJ57" s="252"/>
      <c r="BK57" s="252"/>
      <c r="BL57" s="252"/>
      <c r="BM57" s="252"/>
      <c r="BN57" s="252"/>
      <c r="BO57" s="252"/>
      <c r="BP57" s="252"/>
      <c r="BQ57" s="252"/>
      <c r="BR57" s="252"/>
      <c r="BS57" s="252"/>
      <c r="BT57" s="252"/>
      <c r="BU57" s="253"/>
      <c r="BW57" s="80"/>
      <c r="BX57" s="89"/>
    </row>
    <row r="58" spans="1:76" ht="23.25" hidden="1" customHeight="1" x14ac:dyDescent="0.25">
      <c r="A58" s="108" t="s">
        <v>148</v>
      </c>
      <c r="B58" s="109" t="s">
        <v>149</v>
      </c>
      <c r="C58" s="254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  <c r="BI58" s="255"/>
      <c r="BJ58" s="255"/>
      <c r="BK58" s="255"/>
      <c r="BL58" s="255"/>
      <c r="BM58" s="255"/>
      <c r="BN58" s="255"/>
      <c r="BO58" s="255"/>
      <c r="BP58" s="255"/>
      <c r="BQ58" s="255"/>
      <c r="BR58" s="255"/>
      <c r="BS58" s="255"/>
      <c r="BT58" s="255"/>
      <c r="BU58" s="256"/>
    </row>
    <row r="59" spans="1:76" hidden="1" x14ac:dyDescent="0.2">
      <c r="A59" s="108">
        <v>1</v>
      </c>
      <c r="B59" s="107" t="s">
        <v>150</v>
      </c>
      <c r="C59" s="110"/>
      <c r="D59" s="111" t="s">
        <v>16</v>
      </c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12">
        <f>SUM(E59:AL59)</f>
        <v>0</v>
      </c>
      <c r="BW59" s="80"/>
      <c r="BX59" s="89"/>
    </row>
    <row r="60" spans="1:76" ht="15.75" hidden="1" customHeight="1" x14ac:dyDescent="0.2">
      <c r="A60" s="108">
        <v>2</v>
      </c>
      <c r="B60" s="107" t="s">
        <v>151</v>
      </c>
      <c r="C60" s="110"/>
      <c r="D60" s="111" t="s">
        <v>16</v>
      </c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12">
        <f>SUM(E60:AL60)</f>
        <v>0</v>
      </c>
      <c r="BW60" s="113"/>
      <c r="BX60" s="89"/>
    </row>
    <row r="61" spans="1:76" ht="17.25" hidden="1" customHeight="1" x14ac:dyDescent="0.2">
      <c r="A61" s="108">
        <v>3</v>
      </c>
      <c r="B61" s="107" t="s">
        <v>152</v>
      </c>
      <c r="C61" s="110"/>
      <c r="D61" s="111" t="s">
        <v>153</v>
      </c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12">
        <f>SUM(E61:AL61)</f>
        <v>0</v>
      </c>
      <c r="BX61" s="114"/>
    </row>
    <row r="62" spans="1:76" ht="19.5" hidden="1" customHeight="1" x14ac:dyDescent="0.2">
      <c r="A62" s="106">
        <v>4</v>
      </c>
      <c r="B62" s="115" t="s">
        <v>154</v>
      </c>
      <c r="C62" s="116"/>
      <c r="D62" s="117" t="s">
        <v>29</v>
      </c>
      <c r="E62" s="118"/>
      <c r="F62" s="118"/>
      <c r="G62" s="118"/>
      <c r="H62" s="118"/>
      <c r="I62" s="118" t="e">
        <f>#REF!</f>
        <v>#REF!</v>
      </c>
      <c r="J62" s="118" t="e">
        <f>#REF!</f>
        <v>#REF!</v>
      </c>
      <c r="K62" s="118" t="e">
        <f>#REF!</f>
        <v>#REF!</v>
      </c>
      <c r="L62" s="118" t="e">
        <f>#REF!</f>
        <v>#REF!</v>
      </c>
      <c r="M62" s="118" t="e">
        <f>#REF!</f>
        <v>#REF!</v>
      </c>
      <c r="N62" s="118" t="e">
        <f>#REF!</f>
        <v>#REF!</v>
      </c>
      <c r="O62" s="118" t="e">
        <f>#REF!</f>
        <v>#REF!</v>
      </c>
      <c r="P62" s="118" t="e">
        <f>#REF!</f>
        <v>#REF!</v>
      </c>
      <c r="Q62" s="118" t="e">
        <f>#REF!</f>
        <v>#REF!</v>
      </c>
      <c r="R62" s="118" t="e">
        <f>#REF!</f>
        <v>#REF!</v>
      </c>
      <c r="S62" s="118" t="e">
        <f>#REF!</f>
        <v>#REF!</v>
      </c>
      <c r="T62" s="118" t="e">
        <f>#REF!</f>
        <v>#REF!</v>
      </c>
      <c r="U62" s="118" t="e">
        <f>#REF!</f>
        <v>#REF!</v>
      </c>
      <c r="V62" s="118" t="e">
        <f>#REF!</f>
        <v>#REF!</v>
      </c>
      <c r="W62" s="118" t="e">
        <f>#REF!</f>
        <v>#REF!</v>
      </c>
      <c r="X62" s="118" t="e">
        <f>#REF!</f>
        <v>#REF!</v>
      </c>
      <c r="Y62" s="118" t="e">
        <f>#REF!</f>
        <v>#REF!</v>
      </c>
      <c r="Z62" s="118" t="e">
        <f>#REF!</f>
        <v>#REF!</v>
      </c>
      <c r="AA62" s="118" t="e">
        <f>#REF!</f>
        <v>#REF!</v>
      </c>
      <c r="AB62" s="118" t="e">
        <f>#REF!</f>
        <v>#REF!</v>
      </c>
      <c r="AC62" s="118" t="e">
        <f>#REF!</f>
        <v>#REF!</v>
      </c>
      <c r="AD62" s="118" t="e">
        <f>#REF!</f>
        <v>#REF!</v>
      </c>
      <c r="AE62" s="118" t="e">
        <f>#REF!</f>
        <v>#REF!</v>
      </c>
      <c r="AF62" s="118" t="e">
        <f>#REF!</f>
        <v>#REF!</v>
      </c>
      <c r="AG62" s="118" t="e">
        <f>#REF!</f>
        <v>#REF!</v>
      </c>
      <c r="AH62" s="118" t="e">
        <f>#REF!</f>
        <v>#REF!</v>
      </c>
      <c r="AI62" s="118" t="e">
        <f>#REF!</f>
        <v>#REF!</v>
      </c>
      <c r="AJ62" s="118" t="e">
        <f>#REF!</f>
        <v>#REF!</v>
      </c>
      <c r="AK62" s="118" t="e">
        <f>#REF!</f>
        <v>#REF!</v>
      </c>
      <c r="AL62" s="118" t="e">
        <f>#REF!</f>
        <v>#REF!</v>
      </c>
      <c r="AM62" s="118" t="e">
        <f>#REF!</f>
        <v>#REF!</v>
      </c>
      <c r="AN62" s="119" t="e">
        <f>#REF!</f>
        <v>#REF!</v>
      </c>
      <c r="AO62" s="119" t="e">
        <f>#REF!</f>
        <v>#REF!</v>
      </c>
      <c r="AP62" s="119" t="e">
        <f>#REF!</f>
        <v>#REF!</v>
      </c>
      <c r="AQ62" s="119" t="e">
        <f>#REF!</f>
        <v>#REF!</v>
      </c>
      <c r="AR62" s="119" t="e">
        <f>#REF!</f>
        <v>#REF!</v>
      </c>
      <c r="AS62" s="119" t="e">
        <f>#REF!</f>
        <v>#REF!</v>
      </c>
      <c r="AT62" s="119" t="e">
        <f>#REF!</f>
        <v>#REF!</v>
      </c>
      <c r="AU62" s="119" t="e">
        <f>#REF!</f>
        <v>#REF!</v>
      </c>
      <c r="AV62" s="119" t="e">
        <f>#REF!</f>
        <v>#REF!</v>
      </c>
      <c r="AW62" s="119" t="e">
        <f>#REF!</f>
        <v>#REF!</v>
      </c>
      <c r="AX62" s="119" t="e">
        <f>#REF!</f>
        <v>#REF!</v>
      </c>
      <c r="AY62" s="119" t="e">
        <f>#REF!</f>
        <v>#REF!</v>
      </c>
      <c r="AZ62" s="119" t="e">
        <f>#REF!</f>
        <v>#REF!</v>
      </c>
      <c r="BA62" s="119" t="e">
        <f>#REF!</f>
        <v>#REF!</v>
      </c>
      <c r="BB62" s="119" t="e">
        <f>#REF!</f>
        <v>#REF!</v>
      </c>
      <c r="BC62" s="119" t="e">
        <f>#REF!</f>
        <v>#REF!</v>
      </c>
      <c r="BD62" s="119" t="e">
        <f>#REF!</f>
        <v>#REF!</v>
      </c>
      <c r="BE62" s="119" t="e">
        <f>#REF!</f>
        <v>#REF!</v>
      </c>
      <c r="BF62" s="119" t="e">
        <f>#REF!</f>
        <v>#REF!</v>
      </c>
      <c r="BG62" s="119" t="e">
        <f>#REF!</f>
        <v>#REF!</v>
      </c>
      <c r="BH62" s="119" t="e">
        <f>#REF!</f>
        <v>#REF!</v>
      </c>
      <c r="BI62" s="119" t="e">
        <f>#REF!</f>
        <v>#REF!</v>
      </c>
      <c r="BJ62" s="119">
        <v>2</v>
      </c>
      <c r="BK62" s="119">
        <v>2</v>
      </c>
      <c r="BL62" s="119">
        <v>2</v>
      </c>
      <c r="BM62" s="119">
        <v>2</v>
      </c>
      <c r="BN62" s="119">
        <v>2</v>
      </c>
      <c r="BO62" s="119">
        <v>2</v>
      </c>
      <c r="BP62" s="119">
        <v>2</v>
      </c>
      <c r="BQ62" s="119">
        <v>2</v>
      </c>
      <c r="BR62" s="119">
        <v>2</v>
      </c>
      <c r="BS62" s="119"/>
      <c r="BT62" s="119"/>
      <c r="BU62" s="112" t="e">
        <f>SUM(I62:BS62)</f>
        <v>#REF!</v>
      </c>
      <c r="BX62" s="114"/>
    </row>
    <row r="63" spans="1:76" ht="23.25" hidden="1" customHeight="1" x14ac:dyDescent="0.2">
      <c r="A63" s="108">
        <v>5</v>
      </c>
      <c r="B63" s="107" t="s">
        <v>155</v>
      </c>
      <c r="C63" s="110"/>
      <c r="D63" s="107" t="s">
        <v>156</v>
      </c>
      <c r="E63" s="120"/>
      <c r="F63" s="120"/>
      <c r="G63" s="120"/>
      <c r="H63" s="120"/>
      <c r="I63" s="120">
        <f t="shared" ref="I63:BR63" si="13">I18/I56</f>
        <v>1.2199300938934958</v>
      </c>
      <c r="J63" s="120">
        <f t="shared" si="13"/>
        <v>1.3636254453741146</v>
      </c>
      <c r="K63" s="120">
        <f t="shared" si="13"/>
        <v>1.0616513670789114</v>
      </c>
      <c r="L63" s="120">
        <f t="shared" ref="L63:AK63" si="14">L18/L56</f>
        <v>0.86662473236642523</v>
      </c>
      <c r="M63" s="120">
        <f t="shared" si="14"/>
        <v>1.3958841801641888</v>
      </c>
      <c r="N63" s="120">
        <f t="shared" si="14"/>
        <v>0.92893747158738682</v>
      </c>
      <c r="O63" s="120">
        <f t="shared" si="14"/>
        <v>1.1275614407639349</v>
      </c>
      <c r="P63" s="120">
        <f t="shared" si="14"/>
        <v>1.0767284877507677</v>
      </c>
      <c r="Q63" s="120">
        <f t="shared" si="14"/>
        <v>1.1268387074678494</v>
      </c>
      <c r="R63" s="120">
        <f t="shared" si="14"/>
        <v>1.2330440540917327</v>
      </c>
      <c r="S63" s="120">
        <f t="shared" si="14"/>
        <v>0.80341821201217833</v>
      </c>
      <c r="T63" s="120">
        <f t="shared" si="14"/>
        <v>0</v>
      </c>
      <c r="U63" s="120">
        <f t="shared" si="14"/>
        <v>0</v>
      </c>
      <c r="V63" s="120" t="e">
        <f t="shared" si="14"/>
        <v>#DIV/0!</v>
      </c>
      <c r="W63" s="120">
        <f t="shared" si="14"/>
        <v>3.2868663594470053</v>
      </c>
      <c r="X63" s="120">
        <f t="shared" si="14"/>
        <v>1.0257545758203224</v>
      </c>
      <c r="Y63" s="120">
        <f t="shared" si="14"/>
        <v>0.97178805369998067</v>
      </c>
      <c r="Z63" s="120">
        <f t="shared" si="14"/>
        <v>0.98320885251316703</v>
      </c>
      <c r="AA63" s="120">
        <f t="shared" si="14"/>
        <v>1.107783983710982</v>
      </c>
      <c r="AB63" s="120">
        <f t="shared" si="14"/>
        <v>0.88069665571560951</v>
      </c>
      <c r="AC63" s="120">
        <f t="shared" si="14"/>
        <v>1.0945764068240516</v>
      </c>
      <c r="AD63" s="120">
        <f t="shared" si="14"/>
        <v>0.99665055934335078</v>
      </c>
      <c r="AE63" s="120">
        <f t="shared" si="14"/>
        <v>1.1438494634803793</v>
      </c>
      <c r="AF63" s="120">
        <f t="shared" si="14"/>
        <v>1.1271301436249892</v>
      </c>
      <c r="AG63" s="120">
        <f t="shared" si="14"/>
        <v>0.97752773674450777</v>
      </c>
      <c r="AH63" s="120">
        <f t="shared" si="14"/>
        <v>1.1548653654366718</v>
      </c>
      <c r="AI63" s="120">
        <f t="shared" si="14"/>
        <v>1.2395219951506755</v>
      </c>
      <c r="AJ63" s="120">
        <f t="shared" ref="AJ63" si="15">AJ18/AJ56</f>
        <v>0.96332123339582754</v>
      </c>
      <c r="AK63" s="120">
        <f t="shared" si="14"/>
        <v>0.999133560480991</v>
      </c>
      <c r="AL63" s="120" t="e">
        <f t="shared" si="13"/>
        <v>#DIV/0!</v>
      </c>
      <c r="AM63" s="120" t="e">
        <f t="shared" si="13"/>
        <v>#DIV/0!</v>
      </c>
      <c r="AN63" s="120" t="e">
        <f t="shared" si="13"/>
        <v>#DIV/0!</v>
      </c>
      <c r="AO63" s="120" t="e">
        <f t="shared" si="13"/>
        <v>#DIV/0!</v>
      </c>
      <c r="AP63" s="120" t="e">
        <f t="shared" si="13"/>
        <v>#DIV/0!</v>
      </c>
      <c r="AQ63" s="120" t="e">
        <f t="shared" si="13"/>
        <v>#DIV/0!</v>
      </c>
      <c r="AR63" s="120" t="e">
        <f t="shared" si="13"/>
        <v>#DIV/0!</v>
      </c>
      <c r="AS63" s="120" t="e">
        <f t="shared" si="13"/>
        <v>#DIV/0!</v>
      </c>
      <c r="AT63" s="120" t="e">
        <f t="shared" si="13"/>
        <v>#DIV/0!</v>
      </c>
      <c r="AU63" s="120" t="e">
        <f t="shared" si="13"/>
        <v>#DIV/0!</v>
      </c>
      <c r="AV63" s="120" t="e">
        <f t="shared" si="13"/>
        <v>#DIV/0!</v>
      </c>
      <c r="AW63" s="120" t="e">
        <f t="shared" si="13"/>
        <v>#DIV/0!</v>
      </c>
      <c r="AX63" s="120" t="e">
        <f t="shared" si="13"/>
        <v>#DIV/0!</v>
      </c>
      <c r="AY63" s="120" t="e">
        <f t="shared" si="13"/>
        <v>#DIV/0!</v>
      </c>
      <c r="AZ63" s="120" t="e">
        <f t="shared" si="13"/>
        <v>#DIV/0!</v>
      </c>
      <c r="BA63" s="120" t="e">
        <f t="shared" si="13"/>
        <v>#DIV/0!</v>
      </c>
      <c r="BB63" s="120" t="e">
        <f t="shared" si="13"/>
        <v>#DIV/0!</v>
      </c>
      <c r="BC63" s="120" t="e">
        <f t="shared" si="13"/>
        <v>#DIV/0!</v>
      </c>
      <c r="BD63" s="120" t="e">
        <f t="shared" si="13"/>
        <v>#DIV/0!</v>
      </c>
      <c r="BE63" s="120" t="e">
        <f t="shared" si="13"/>
        <v>#DIV/0!</v>
      </c>
      <c r="BF63" s="120" t="e">
        <f t="shared" si="13"/>
        <v>#DIV/0!</v>
      </c>
      <c r="BG63" s="120" t="e">
        <f t="shared" si="13"/>
        <v>#DIV/0!</v>
      </c>
      <c r="BH63" s="120" t="e">
        <f t="shared" si="13"/>
        <v>#DIV/0!</v>
      </c>
      <c r="BI63" s="120" t="e">
        <f t="shared" si="13"/>
        <v>#DIV/0!</v>
      </c>
      <c r="BJ63" s="120" t="e">
        <f t="shared" si="13"/>
        <v>#DIV/0!</v>
      </c>
      <c r="BK63" s="120" t="e">
        <f t="shared" si="13"/>
        <v>#DIV/0!</v>
      </c>
      <c r="BL63" s="120" t="e">
        <f t="shared" si="13"/>
        <v>#DIV/0!</v>
      </c>
      <c r="BM63" s="120" t="e">
        <f t="shared" si="13"/>
        <v>#DIV/0!</v>
      </c>
      <c r="BN63" s="120" t="e">
        <f t="shared" si="13"/>
        <v>#DIV/0!</v>
      </c>
      <c r="BO63" s="120" t="e">
        <f t="shared" si="13"/>
        <v>#DIV/0!</v>
      </c>
      <c r="BP63" s="120" t="e">
        <f t="shared" si="13"/>
        <v>#DIV/0!</v>
      </c>
      <c r="BQ63" s="120" t="e">
        <f t="shared" si="13"/>
        <v>#DIV/0!</v>
      </c>
      <c r="BR63" s="120" t="e">
        <f t="shared" si="13"/>
        <v>#DIV/0!</v>
      </c>
      <c r="BS63" s="121"/>
      <c r="BT63" s="121"/>
      <c r="BU63" s="122" t="e">
        <f xml:space="preserve"> AVERAGE(E63:BS63)</f>
        <v>#DIV/0!</v>
      </c>
    </row>
    <row r="64" spans="1:76" ht="23.25" hidden="1" customHeight="1" x14ac:dyDescent="0.2">
      <c r="A64" s="108"/>
      <c r="B64" s="107"/>
      <c r="C64" s="257"/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  <c r="U64" s="258"/>
      <c r="V64" s="258"/>
      <c r="W64" s="258"/>
      <c r="X64" s="258"/>
      <c r="Y64" s="258"/>
      <c r="Z64" s="258"/>
      <c r="AA64" s="258"/>
      <c r="AB64" s="258"/>
      <c r="AC64" s="258"/>
      <c r="AD64" s="258"/>
      <c r="AE64" s="258"/>
      <c r="AF64" s="258"/>
      <c r="AG64" s="258"/>
      <c r="AH64" s="258"/>
      <c r="AI64" s="258"/>
      <c r="AJ64" s="258"/>
      <c r="AK64" s="258"/>
      <c r="AL64" s="258"/>
      <c r="AM64" s="258"/>
      <c r="AN64" s="258"/>
      <c r="AO64" s="258"/>
      <c r="AP64" s="258"/>
      <c r="AQ64" s="258"/>
      <c r="AR64" s="258"/>
      <c r="AS64" s="258"/>
      <c r="AT64" s="258"/>
      <c r="AU64" s="258"/>
      <c r="AV64" s="258"/>
      <c r="AW64" s="258"/>
      <c r="AX64" s="258"/>
      <c r="AY64" s="258"/>
      <c r="AZ64" s="258"/>
      <c r="BA64" s="258"/>
      <c r="BB64" s="258"/>
      <c r="BC64" s="258"/>
      <c r="BD64" s="258"/>
      <c r="BE64" s="258"/>
      <c r="BF64" s="258"/>
      <c r="BG64" s="258"/>
      <c r="BH64" s="258"/>
      <c r="BI64" s="258"/>
      <c r="BJ64" s="258"/>
      <c r="BK64" s="258"/>
      <c r="BL64" s="258"/>
      <c r="BM64" s="258"/>
      <c r="BN64" s="258"/>
      <c r="BO64" s="258"/>
      <c r="BP64" s="258"/>
      <c r="BQ64" s="258"/>
      <c r="BR64" s="258"/>
      <c r="BS64" s="258"/>
      <c r="BT64" s="258"/>
      <c r="BU64" s="259"/>
    </row>
    <row r="65" spans="1:76" hidden="1" x14ac:dyDescent="0.2">
      <c r="A65" s="108" t="s">
        <v>157</v>
      </c>
      <c r="B65" s="107" t="s">
        <v>158</v>
      </c>
      <c r="C65" s="110"/>
      <c r="D65" s="111" t="s">
        <v>159</v>
      </c>
      <c r="E65" s="118" t="e">
        <f>E59/E56</f>
        <v>#DIV/0!</v>
      </c>
      <c r="F65" s="118" t="e">
        <f>F59/F56</f>
        <v>#DIV/0!</v>
      </c>
      <c r="G65" s="118">
        <f>G59/G56</f>
        <v>0</v>
      </c>
      <c r="H65" s="118"/>
      <c r="I65" s="118">
        <f t="shared" ref="I65:AQ65" si="16">I59/I56</f>
        <v>0</v>
      </c>
      <c r="J65" s="118">
        <f t="shared" si="16"/>
        <v>0</v>
      </c>
      <c r="K65" s="118">
        <f t="shared" si="16"/>
        <v>0</v>
      </c>
      <c r="L65" s="118">
        <f t="shared" ref="L65:AK65" si="17">L59/L56</f>
        <v>0</v>
      </c>
      <c r="M65" s="118">
        <f t="shared" si="17"/>
        <v>0</v>
      </c>
      <c r="N65" s="118">
        <f t="shared" si="17"/>
        <v>0</v>
      </c>
      <c r="O65" s="118">
        <f t="shared" si="17"/>
        <v>0</v>
      </c>
      <c r="P65" s="118">
        <f t="shared" si="17"/>
        <v>0</v>
      </c>
      <c r="Q65" s="118">
        <f t="shared" si="17"/>
        <v>0</v>
      </c>
      <c r="R65" s="118">
        <f t="shared" si="17"/>
        <v>0</v>
      </c>
      <c r="S65" s="118">
        <f t="shared" si="17"/>
        <v>0</v>
      </c>
      <c r="T65" s="118">
        <f t="shared" si="17"/>
        <v>0</v>
      </c>
      <c r="U65" s="118">
        <f t="shared" si="17"/>
        <v>0</v>
      </c>
      <c r="V65" s="118" t="e">
        <f t="shared" si="17"/>
        <v>#DIV/0!</v>
      </c>
      <c r="W65" s="118">
        <f t="shared" si="17"/>
        <v>0</v>
      </c>
      <c r="X65" s="118">
        <f t="shared" si="17"/>
        <v>0</v>
      </c>
      <c r="Y65" s="118">
        <f t="shared" si="17"/>
        <v>0</v>
      </c>
      <c r="Z65" s="118">
        <f t="shared" si="17"/>
        <v>0</v>
      </c>
      <c r="AA65" s="118">
        <f t="shared" si="17"/>
        <v>0</v>
      </c>
      <c r="AB65" s="118">
        <f t="shared" si="17"/>
        <v>0</v>
      </c>
      <c r="AC65" s="118">
        <f t="shared" si="17"/>
        <v>0</v>
      </c>
      <c r="AD65" s="118">
        <f t="shared" si="17"/>
        <v>0</v>
      </c>
      <c r="AE65" s="118">
        <f t="shared" si="17"/>
        <v>0</v>
      </c>
      <c r="AF65" s="118">
        <f t="shared" si="17"/>
        <v>0</v>
      </c>
      <c r="AG65" s="118">
        <f t="shared" si="17"/>
        <v>0</v>
      </c>
      <c r="AH65" s="118">
        <f t="shared" si="17"/>
        <v>0</v>
      </c>
      <c r="AI65" s="118">
        <f t="shared" si="17"/>
        <v>0</v>
      </c>
      <c r="AJ65" s="118">
        <f t="shared" ref="AJ65" si="18">AJ59/AJ56</f>
        <v>0</v>
      </c>
      <c r="AK65" s="118">
        <f t="shared" si="17"/>
        <v>0</v>
      </c>
      <c r="AL65" s="118" t="e">
        <f t="shared" si="16"/>
        <v>#DIV/0!</v>
      </c>
      <c r="AM65" s="118" t="e">
        <f t="shared" si="16"/>
        <v>#DIV/0!</v>
      </c>
      <c r="AN65" s="118" t="e">
        <f t="shared" si="16"/>
        <v>#DIV/0!</v>
      </c>
      <c r="AO65" s="118" t="e">
        <f t="shared" si="16"/>
        <v>#DIV/0!</v>
      </c>
      <c r="AP65" s="118" t="e">
        <f t="shared" si="16"/>
        <v>#DIV/0!</v>
      </c>
      <c r="AQ65" s="118" t="e">
        <f t="shared" si="16"/>
        <v>#DIV/0!</v>
      </c>
      <c r="AR65" s="119">
        <v>0</v>
      </c>
      <c r="AS65" s="119">
        <v>0</v>
      </c>
      <c r="AT65" s="119">
        <v>0</v>
      </c>
      <c r="AU65" s="119">
        <v>0</v>
      </c>
      <c r="AV65" s="119">
        <v>0</v>
      </c>
      <c r="AW65" s="119">
        <v>0</v>
      </c>
      <c r="AX65" s="119">
        <v>0</v>
      </c>
      <c r="AY65" s="119">
        <v>0</v>
      </c>
      <c r="AZ65" s="119">
        <v>0</v>
      </c>
      <c r="BA65" s="119">
        <v>0</v>
      </c>
      <c r="BB65" s="119">
        <v>0</v>
      </c>
      <c r="BC65" s="119">
        <v>0</v>
      </c>
      <c r="BD65" s="119">
        <v>0</v>
      </c>
      <c r="BE65" s="119">
        <v>0</v>
      </c>
      <c r="BF65" s="119">
        <v>0</v>
      </c>
      <c r="BG65" s="119">
        <v>0</v>
      </c>
      <c r="BH65" s="119">
        <v>0</v>
      </c>
      <c r="BI65" s="119">
        <v>0</v>
      </c>
      <c r="BJ65" s="119">
        <v>0</v>
      </c>
      <c r="BK65" s="119">
        <v>0</v>
      </c>
      <c r="BL65" s="119">
        <v>0</v>
      </c>
      <c r="BM65" s="119">
        <v>0</v>
      </c>
      <c r="BN65" s="119">
        <v>0</v>
      </c>
      <c r="BO65" s="119">
        <v>0</v>
      </c>
      <c r="BP65" s="119">
        <v>0</v>
      </c>
      <c r="BQ65" s="119">
        <v>0</v>
      </c>
      <c r="BR65" s="119">
        <v>0</v>
      </c>
      <c r="BS65" s="119"/>
      <c r="BT65" s="119"/>
      <c r="BU65" s="112">
        <f>BU59/BU56</f>
        <v>0</v>
      </c>
      <c r="BX65" s="114"/>
    </row>
    <row r="66" spans="1:76" hidden="1" x14ac:dyDescent="0.2">
      <c r="A66" s="108" t="s">
        <v>160</v>
      </c>
      <c r="B66" s="107" t="s">
        <v>161</v>
      </c>
      <c r="C66" s="110"/>
      <c r="D66" s="111" t="s">
        <v>162</v>
      </c>
      <c r="E66" s="99" t="e">
        <f>E60*1000/E56</f>
        <v>#DIV/0!</v>
      </c>
      <c r="F66" s="99" t="e">
        <f>F60*1000/F56</f>
        <v>#DIV/0!</v>
      </c>
      <c r="G66" s="99">
        <f>G60*1000/G56</f>
        <v>0</v>
      </c>
      <c r="H66" s="99"/>
      <c r="I66" s="99">
        <f t="shared" ref="I66:AQ66" si="19">I60*1000/I56</f>
        <v>0</v>
      </c>
      <c r="J66" s="99">
        <f t="shared" si="19"/>
        <v>0</v>
      </c>
      <c r="K66" s="99">
        <f t="shared" si="19"/>
        <v>0</v>
      </c>
      <c r="L66" s="99">
        <f t="shared" ref="L66:AK66" si="20">L60*1000/L56</f>
        <v>0</v>
      </c>
      <c r="M66" s="99">
        <f t="shared" si="20"/>
        <v>0</v>
      </c>
      <c r="N66" s="99">
        <f t="shared" si="20"/>
        <v>0</v>
      </c>
      <c r="O66" s="99">
        <f t="shared" si="20"/>
        <v>0</v>
      </c>
      <c r="P66" s="99">
        <f t="shared" si="20"/>
        <v>0</v>
      </c>
      <c r="Q66" s="99">
        <f t="shared" si="20"/>
        <v>0</v>
      </c>
      <c r="R66" s="99">
        <f t="shared" si="20"/>
        <v>0</v>
      </c>
      <c r="S66" s="99">
        <f t="shared" si="20"/>
        <v>0</v>
      </c>
      <c r="T66" s="99">
        <f t="shared" si="20"/>
        <v>0</v>
      </c>
      <c r="U66" s="99">
        <f t="shared" si="20"/>
        <v>0</v>
      </c>
      <c r="V66" s="99" t="e">
        <f t="shared" si="20"/>
        <v>#DIV/0!</v>
      </c>
      <c r="W66" s="99">
        <f t="shared" si="20"/>
        <v>0</v>
      </c>
      <c r="X66" s="99">
        <f t="shared" si="20"/>
        <v>0</v>
      </c>
      <c r="Y66" s="99">
        <f t="shared" si="20"/>
        <v>0</v>
      </c>
      <c r="Z66" s="99">
        <f t="shared" si="20"/>
        <v>0</v>
      </c>
      <c r="AA66" s="99">
        <f t="shared" si="20"/>
        <v>0</v>
      </c>
      <c r="AB66" s="99">
        <f t="shared" si="20"/>
        <v>0</v>
      </c>
      <c r="AC66" s="99">
        <f t="shared" si="20"/>
        <v>0</v>
      </c>
      <c r="AD66" s="99">
        <f t="shared" si="20"/>
        <v>0</v>
      </c>
      <c r="AE66" s="99">
        <f t="shared" si="20"/>
        <v>0</v>
      </c>
      <c r="AF66" s="99">
        <f t="shared" si="20"/>
        <v>0</v>
      </c>
      <c r="AG66" s="99">
        <f t="shared" si="20"/>
        <v>0</v>
      </c>
      <c r="AH66" s="99">
        <f t="shared" si="20"/>
        <v>0</v>
      </c>
      <c r="AI66" s="99">
        <f t="shared" si="20"/>
        <v>0</v>
      </c>
      <c r="AJ66" s="99">
        <f t="shared" ref="AJ66" si="21">AJ60*1000/AJ56</f>
        <v>0</v>
      </c>
      <c r="AK66" s="99">
        <f t="shared" si="20"/>
        <v>0</v>
      </c>
      <c r="AL66" s="99" t="e">
        <f t="shared" si="19"/>
        <v>#DIV/0!</v>
      </c>
      <c r="AM66" s="99" t="e">
        <f t="shared" si="19"/>
        <v>#DIV/0!</v>
      </c>
      <c r="AN66" s="99" t="e">
        <f t="shared" si="19"/>
        <v>#DIV/0!</v>
      </c>
      <c r="AO66" s="99" t="e">
        <f t="shared" si="19"/>
        <v>#DIV/0!</v>
      </c>
      <c r="AP66" s="99" t="e">
        <f t="shared" si="19"/>
        <v>#DIV/0!</v>
      </c>
      <c r="AQ66" s="99" t="e">
        <f t="shared" si="19"/>
        <v>#DIV/0!</v>
      </c>
      <c r="AR66" s="100">
        <v>0</v>
      </c>
      <c r="AS66" s="100">
        <v>0</v>
      </c>
      <c r="AT66" s="100">
        <v>0</v>
      </c>
      <c r="AU66" s="100">
        <v>0</v>
      </c>
      <c r="AV66" s="100">
        <v>0</v>
      </c>
      <c r="AW66" s="100">
        <v>0</v>
      </c>
      <c r="AX66" s="100">
        <v>0</v>
      </c>
      <c r="AY66" s="100">
        <v>0</v>
      </c>
      <c r="AZ66" s="100">
        <v>0</v>
      </c>
      <c r="BA66" s="100">
        <v>0</v>
      </c>
      <c r="BB66" s="100">
        <v>0</v>
      </c>
      <c r="BC66" s="100">
        <v>0</v>
      </c>
      <c r="BD66" s="100">
        <v>0</v>
      </c>
      <c r="BE66" s="100">
        <v>0</v>
      </c>
      <c r="BF66" s="100">
        <v>0</v>
      </c>
      <c r="BG66" s="100">
        <v>0</v>
      </c>
      <c r="BH66" s="100">
        <v>0</v>
      </c>
      <c r="BI66" s="100">
        <v>0</v>
      </c>
      <c r="BJ66" s="100">
        <v>0</v>
      </c>
      <c r="BK66" s="100">
        <v>0</v>
      </c>
      <c r="BL66" s="100">
        <v>0</v>
      </c>
      <c r="BM66" s="100">
        <v>0</v>
      </c>
      <c r="BN66" s="100">
        <v>0</v>
      </c>
      <c r="BO66" s="100">
        <v>0</v>
      </c>
      <c r="BP66" s="100">
        <v>0</v>
      </c>
      <c r="BQ66" s="100">
        <v>0</v>
      </c>
      <c r="BR66" s="100">
        <v>0</v>
      </c>
      <c r="BS66" s="100"/>
      <c r="BT66" s="100"/>
      <c r="BU66" s="112">
        <f>BU60*1000/BU56</f>
        <v>0</v>
      </c>
      <c r="BX66" s="114"/>
    </row>
    <row r="67" spans="1:76" hidden="1" x14ac:dyDescent="0.2">
      <c r="A67" s="108" t="s">
        <v>163</v>
      </c>
      <c r="B67" s="107" t="s">
        <v>164</v>
      </c>
      <c r="C67" s="110"/>
      <c r="D67" s="111" t="s">
        <v>165</v>
      </c>
      <c r="E67" s="118" t="e">
        <f>E61/E56</f>
        <v>#DIV/0!</v>
      </c>
      <c r="F67" s="118" t="e">
        <f>F61/F56</f>
        <v>#DIV/0!</v>
      </c>
      <c r="G67" s="118">
        <f>G61/G56</f>
        <v>0</v>
      </c>
      <c r="H67" s="118"/>
      <c r="I67" s="118">
        <f t="shared" ref="I67:AQ67" si="22">I61/I56</f>
        <v>0</v>
      </c>
      <c r="J67" s="118">
        <f t="shared" si="22"/>
        <v>0</v>
      </c>
      <c r="K67" s="118">
        <f t="shared" si="22"/>
        <v>0</v>
      </c>
      <c r="L67" s="118">
        <f t="shared" ref="L67:AK67" si="23">L61/L56</f>
        <v>0</v>
      </c>
      <c r="M67" s="118">
        <f t="shared" si="23"/>
        <v>0</v>
      </c>
      <c r="N67" s="118">
        <f t="shared" si="23"/>
        <v>0</v>
      </c>
      <c r="O67" s="118">
        <f t="shared" si="23"/>
        <v>0</v>
      </c>
      <c r="P67" s="118">
        <f t="shared" si="23"/>
        <v>0</v>
      </c>
      <c r="Q67" s="118">
        <f t="shared" si="23"/>
        <v>0</v>
      </c>
      <c r="R67" s="118">
        <f t="shared" si="23"/>
        <v>0</v>
      </c>
      <c r="S67" s="118">
        <f t="shared" si="23"/>
        <v>0</v>
      </c>
      <c r="T67" s="118">
        <f t="shared" si="23"/>
        <v>0</v>
      </c>
      <c r="U67" s="118">
        <f t="shared" si="23"/>
        <v>0</v>
      </c>
      <c r="V67" s="118" t="e">
        <f t="shared" si="23"/>
        <v>#DIV/0!</v>
      </c>
      <c r="W67" s="118">
        <f t="shared" si="23"/>
        <v>0</v>
      </c>
      <c r="X67" s="118">
        <f t="shared" si="23"/>
        <v>0</v>
      </c>
      <c r="Y67" s="118">
        <f t="shared" si="23"/>
        <v>0</v>
      </c>
      <c r="Z67" s="118">
        <f t="shared" si="23"/>
        <v>0</v>
      </c>
      <c r="AA67" s="118">
        <f t="shared" si="23"/>
        <v>0</v>
      </c>
      <c r="AB67" s="118">
        <f t="shared" si="23"/>
        <v>0</v>
      </c>
      <c r="AC67" s="118">
        <f t="shared" si="23"/>
        <v>0</v>
      </c>
      <c r="AD67" s="118">
        <f t="shared" si="23"/>
        <v>0</v>
      </c>
      <c r="AE67" s="118">
        <f t="shared" si="23"/>
        <v>0</v>
      </c>
      <c r="AF67" s="118">
        <f t="shared" si="23"/>
        <v>0</v>
      </c>
      <c r="AG67" s="118">
        <f t="shared" si="23"/>
        <v>0</v>
      </c>
      <c r="AH67" s="118">
        <f t="shared" si="23"/>
        <v>0</v>
      </c>
      <c r="AI67" s="118">
        <f t="shared" si="23"/>
        <v>0</v>
      </c>
      <c r="AJ67" s="118">
        <f t="shared" ref="AJ67" si="24">AJ61/AJ56</f>
        <v>0</v>
      </c>
      <c r="AK67" s="118">
        <f t="shared" si="23"/>
        <v>0</v>
      </c>
      <c r="AL67" s="118" t="e">
        <f t="shared" si="22"/>
        <v>#DIV/0!</v>
      </c>
      <c r="AM67" s="118" t="e">
        <f t="shared" si="22"/>
        <v>#DIV/0!</v>
      </c>
      <c r="AN67" s="118" t="e">
        <f t="shared" si="22"/>
        <v>#DIV/0!</v>
      </c>
      <c r="AO67" s="118" t="e">
        <f t="shared" si="22"/>
        <v>#DIV/0!</v>
      </c>
      <c r="AP67" s="118" t="e">
        <f t="shared" si="22"/>
        <v>#DIV/0!</v>
      </c>
      <c r="AQ67" s="118" t="e">
        <f t="shared" si="22"/>
        <v>#DIV/0!</v>
      </c>
      <c r="AR67" s="119">
        <v>0</v>
      </c>
      <c r="AS67" s="119">
        <v>0</v>
      </c>
      <c r="AT67" s="119">
        <v>0</v>
      </c>
      <c r="AU67" s="119">
        <v>0</v>
      </c>
      <c r="AV67" s="119">
        <v>0</v>
      </c>
      <c r="AW67" s="119">
        <v>0</v>
      </c>
      <c r="AX67" s="119">
        <v>0</v>
      </c>
      <c r="AY67" s="119">
        <v>0</v>
      </c>
      <c r="AZ67" s="119">
        <v>0</v>
      </c>
      <c r="BA67" s="119">
        <v>0</v>
      </c>
      <c r="BB67" s="119">
        <v>0</v>
      </c>
      <c r="BC67" s="119">
        <v>0</v>
      </c>
      <c r="BD67" s="119">
        <v>0</v>
      </c>
      <c r="BE67" s="119">
        <v>0</v>
      </c>
      <c r="BF67" s="119">
        <v>0</v>
      </c>
      <c r="BG67" s="119">
        <v>0</v>
      </c>
      <c r="BH67" s="119">
        <v>0</v>
      </c>
      <c r="BI67" s="119">
        <v>0</v>
      </c>
      <c r="BJ67" s="119">
        <v>0</v>
      </c>
      <c r="BK67" s="119">
        <v>0</v>
      </c>
      <c r="BL67" s="119">
        <v>0</v>
      </c>
      <c r="BM67" s="119">
        <v>0</v>
      </c>
      <c r="BN67" s="119">
        <v>0</v>
      </c>
      <c r="BO67" s="119">
        <v>0</v>
      </c>
      <c r="BP67" s="119">
        <v>0</v>
      </c>
      <c r="BQ67" s="119">
        <v>0</v>
      </c>
      <c r="BR67" s="119">
        <v>0</v>
      </c>
      <c r="BS67" s="119"/>
      <c r="BT67" s="119"/>
      <c r="BU67" s="112">
        <f>BU61/BU56</f>
        <v>0</v>
      </c>
      <c r="BX67" s="114"/>
    </row>
    <row r="68" spans="1:76" hidden="1" x14ac:dyDescent="0.2">
      <c r="A68" s="108" t="s">
        <v>166</v>
      </c>
      <c r="B68" s="107" t="s">
        <v>167</v>
      </c>
      <c r="C68" s="110"/>
      <c r="D68" s="111" t="s">
        <v>168</v>
      </c>
      <c r="E68" s="123"/>
      <c r="F68" s="123"/>
      <c r="G68" s="123"/>
      <c r="H68" s="123"/>
      <c r="I68" s="123">
        <v>0</v>
      </c>
      <c r="J68" s="123">
        <v>0</v>
      </c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4"/>
      <c r="BH68" s="124"/>
      <c r="BI68" s="124"/>
      <c r="BJ68" s="124"/>
      <c r="BK68" s="124"/>
      <c r="BL68" s="124"/>
      <c r="BM68" s="124"/>
      <c r="BN68" s="124"/>
      <c r="BO68" s="124"/>
      <c r="BP68" s="124"/>
      <c r="BQ68" s="124"/>
      <c r="BR68" s="124"/>
      <c r="BS68" s="124"/>
      <c r="BT68" s="124"/>
      <c r="BU68" s="125" t="e">
        <f>+#REF!</f>
        <v>#REF!</v>
      </c>
      <c r="BV68" s="114"/>
    </row>
    <row r="69" spans="1:76" hidden="1" x14ac:dyDescent="0.2">
      <c r="A69" s="108" t="s">
        <v>169</v>
      </c>
      <c r="B69" s="107" t="s">
        <v>170</v>
      </c>
      <c r="C69" s="110"/>
      <c r="D69" s="111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26" t="s">
        <v>171</v>
      </c>
      <c r="BV69" s="114"/>
    </row>
    <row r="70" spans="1:76" hidden="1" x14ac:dyDescent="0.2">
      <c r="A70" s="108" t="s">
        <v>157</v>
      </c>
      <c r="B70" s="107" t="s">
        <v>172</v>
      </c>
      <c r="C70" s="110"/>
      <c r="D70" s="111" t="s">
        <v>173</v>
      </c>
      <c r="E70" s="99" t="e">
        <f>E56*100/#REF!</f>
        <v>#REF!</v>
      </c>
      <c r="F70" s="99" t="e">
        <f>F56*100/#REF!</f>
        <v>#REF!</v>
      </c>
      <c r="G70" s="99" t="e">
        <f>G56*100/#REF!</f>
        <v>#REF!</v>
      </c>
      <c r="H70" s="99" t="e">
        <f>H56*100/#REF!</f>
        <v>#REF!</v>
      </c>
      <c r="I70" s="99" t="e">
        <f>I56*100/#REF!</f>
        <v>#REF!</v>
      </c>
      <c r="J70" s="99" t="e">
        <f>J56*100/#REF!</f>
        <v>#REF!</v>
      </c>
      <c r="K70" s="99" t="e">
        <f>K56*100/#REF!</f>
        <v>#REF!</v>
      </c>
      <c r="L70" s="99" t="e">
        <f>L56*100/#REF!</f>
        <v>#REF!</v>
      </c>
      <c r="M70" s="99" t="e">
        <f>M56*100/#REF!</f>
        <v>#REF!</v>
      </c>
      <c r="N70" s="99" t="e">
        <f>N56*100/#REF!</f>
        <v>#REF!</v>
      </c>
      <c r="O70" s="99" t="e">
        <f>O56*100/#REF!</f>
        <v>#REF!</v>
      </c>
      <c r="P70" s="99" t="e">
        <f>P56*100/#REF!</f>
        <v>#REF!</v>
      </c>
      <c r="Q70" s="99" t="e">
        <f>Q56*100/#REF!</f>
        <v>#REF!</v>
      </c>
      <c r="R70" s="99" t="e">
        <f>R56*100/#REF!</f>
        <v>#REF!</v>
      </c>
      <c r="S70" s="99" t="e">
        <f>S56*100/#REF!</f>
        <v>#REF!</v>
      </c>
      <c r="T70" s="99" t="e">
        <f>T56*100/#REF!</f>
        <v>#REF!</v>
      </c>
      <c r="U70" s="99" t="e">
        <f>U56*100/#REF!</f>
        <v>#REF!</v>
      </c>
      <c r="V70" s="99" t="e">
        <f>V56*100/#REF!</f>
        <v>#REF!</v>
      </c>
      <c r="W70" s="99" t="e">
        <f>W56*100/#REF!</f>
        <v>#REF!</v>
      </c>
      <c r="X70" s="99" t="e">
        <f>X56*100/#REF!</f>
        <v>#REF!</v>
      </c>
      <c r="Y70" s="99" t="e">
        <f>Y56*100/#REF!</f>
        <v>#REF!</v>
      </c>
      <c r="Z70" s="99" t="e">
        <f>Z56*100/#REF!</f>
        <v>#REF!</v>
      </c>
      <c r="AA70" s="99" t="e">
        <f>AA56*100/#REF!</f>
        <v>#REF!</v>
      </c>
      <c r="AB70" s="99" t="e">
        <f>AB56*100/#REF!</f>
        <v>#REF!</v>
      </c>
      <c r="AC70" s="99" t="e">
        <f>AC56*100/#REF!</f>
        <v>#REF!</v>
      </c>
      <c r="AD70" s="99" t="e">
        <f>AD56*100/#REF!</f>
        <v>#REF!</v>
      </c>
      <c r="AE70" s="99" t="e">
        <f>AE56*100/#REF!</f>
        <v>#REF!</v>
      </c>
      <c r="AF70" s="99" t="e">
        <f>AF56*100/#REF!</f>
        <v>#REF!</v>
      </c>
      <c r="AG70" s="99" t="e">
        <f>AG56*100/#REF!</f>
        <v>#REF!</v>
      </c>
      <c r="AH70" s="99" t="e">
        <f>AH56*100/#REF!</f>
        <v>#REF!</v>
      </c>
      <c r="AI70" s="99" t="e">
        <f>AI56*100/#REF!</f>
        <v>#REF!</v>
      </c>
      <c r="AJ70" s="99" t="e">
        <f>AJ56*100/#REF!</f>
        <v>#REF!</v>
      </c>
      <c r="AK70" s="99" t="e">
        <f>AK56*100/#REF!</f>
        <v>#REF!</v>
      </c>
      <c r="AL70" s="99" t="e">
        <f>AL56*100/#REF!</f>
        <v>#REF!</v>
      </c>
      <c r="AM70" s="99" t="e">
        <f>AM56*100/#REF!</f>
        <v>#REF!</v>
      </c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26" t="s">
        <v>174</v>
      </c>
      <c r="BV70" s="114"/>
    </row>
    <row r="71" spans="1:76" hidden="1" x14ac:dyDescent="0.2">
      <c r="A71" s="108" t="s">
        <v>160</v>
      </c>
      <c r="B71" s="107" t="s">
        <v>175</v>
      </c>
      <c r="C71" s="110"/>
      <c r="D71" s="111" t="s">
        <v>176</v>
      </c>
      <c r="E71" s="99" t="e">
        <f>#REF!*E65</f>
        <v>#REF!</v>
      </c>
      <c r="F71" s="123" t="e">
        <f>#REF!*F65</f>
        <v>#REF!</v>
      </c>
      <c r="G71" s="123" t="e">
        <f>#REF!*G65</f>
        <v>#REF!</v>
      </c>
      <c r="H71" s="123" t="e">
        <f>#REF!*H65</f>
        <v>#REF!</v>
      </c>
      <c r="I71" s="123" t="e">
        <f>#REF!*I65</f>
        <v>#REF!</v>
      </c>
      <c r="J71" s="123" t="e">
        <f>#REF!*J65</f>
        <v>#REF!</v>
      </c>
      <c r="K71" s="123" t="e">
        <f>#REF!*K65</f>
        <v>#REF!</v>
      </c>
      <c r="L71" s="123" t="e">
        <f>#REF!*L65</f>
        <v>#REF!</v>
      </c>
      <c r="M71" s="123" t="e">
        <f>#REF!*M65</f>
        <v>#REF!</v>
      </c>
      <c r="N71" s="123" t="e">
        <f>#REF!*N65</f>
        <v>#REF!</v>
      </c>
      <c r="O71" s="123" t="e">
        <f>#REF!*O65</f>
        <v>#REF!</v>
      </c>
      <c r="P71" s="123" t="e">
        <f>#REF!*P65</f>
        <v>#REF!</v>
      </c>
      <c r="Q71" s="123" t="e">
        <f>#REF!*Q65</f>
        <v>#REF!</v>
      </c>
      <c r="R71" s="123" t="e">
        <f>#REF!*R65</f>
        <v>#REF!</v>
      </c>
      <c r="S71" s="123" t="e">
        <f>#REF!*S65</f>
        <v>#REF!</v>
      </c>
      <c r="T71" s="123" t="e">
        <f>#REF!*T65</f>
        <v>#REF!</v>
      </c>
      <c r="U71" s="123" t="e">
        <f>#REF!*U65</f>
        <v>#REF!</v>
      </c>
      <c r="V71" s="123" t="e">
        <f>#REF!*V65</f>
        <v>#REF!</v>
      </c>
      <c r="W71" s="123" t="e">
        <f>#REF!*W65</f>
        <v>#REF!</v>
      </c>
      <c r="X71" s="123" t="e">
        <f>#REF!*X65</f>
        <v>#REF!</v>
      </c>
      <c r="Y71" s="123" t="e">
        <f>#REF!*Y65</f>
        <v>#REF!</v>
      </c>
      <c r="Z71" s="123" t="e">
        <f>#REF!*Z65</f>
        <v>#REF!</v>
      </c>
      <c r="AA71" s="123" t="e">
        <f>#REF!*AA65</f>
        <v>#REF!</v>
      </c>
      <c r="AB71" s="123" t="e">
        <f>#REF!*AB65</f>
        <v>#REF!</v>
      </c>
      <c r="AC71" s="123" t="e">
        <f>#REF!*AC65</f>
        <v>#REF!</v>
      </c>
      <c r="AD71" s="123" t="e">
        <f>#REF!*AD65</f>
        <v>#REF!</v>
      </c>
      <c r="AE71" s="123" t="e">
        <f>#REF!*AE65</f>
        <v>#REF!</v>
      </c>
      <c r="AF71" s="123" t="e">
        <f>#REF!*AF65</f>
        <v>#REF!</v>
      </c>
      <c r="AG71" s="123" t="e">
        <f>#REF!*AG65</f>
        <v>#REF!</v>
      </c>
      <c r="AH71" s="123" t="e">
        <f>#REF!*AH65</f>
        <v>#REF!</v>
      </c>
      <c r="AI71" s="123" t="e">
        <f>#REF!*AI65</f>
        <v>#REF!</v>
      </c>
      <c r="AJ71" s="123" t="e">
        <f>#REF!*AJ65</f>
        <v>#REF!</v>
      </c>
      <c r="AK71" s="123" t="e">
        <f>#REF!*AK65</f>
        <v>#REF!</v>
      </c>
      <c r="AL71" s="123" t="e">
        <f>#REF!*AL65</f>
        <v>#REF!</v>
      </c>
      <c r="AM71" s="123" t="e">
        <f>#REF!*AM65</f>
        <v>#REF!</v>
      </c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  <c r="BK71" s="124"/>
      <c r="BL71" s="124"/>
      <c r="BM71" s="124"/>
      <c r="BN71" s="124"/>
      <c r="BO71" s="124"/>
      <c r="BP71" s="124"/>
      <c r="BQ71" s="124"/>
      <c r="BR71" s="124"/>
      <c r="BS71" s="124"/>
      <c r="BT71" s="124"/>
      <c r="BU71" s="127" t="e">
        <f>BU65*#REF!</f>
        <v>#REF!</v>
      </c>
      <c r="BV71" s="114"/>
    </row>
    <row r="72" spans="1:76" hidden="1" x14ac:dyDescent="0.2">
      <c r="A72" s="108" t="s">
        <v>163</v>
      </c>
      <c r="B72" s="107" t="s">
        <v>177</v>
      </c>
      <c r="C72" s="110"/>
      <c r="D72" s="111" t="s">
        <v>176</v>
      </c>
      <c r="E72" s="99" t="e">
        <f>#REF!*E66</f>
        <v>#REF!</v>
      </c>
      <c r="F72" s="123" t="e">
        <f>#REF!*F66</f>
        <v>#REF!</v>
      </c>
      <c r="G72" s="123" t="e">
        <f>#REF!*G66</f>
        <v>#REF!</v>
      </c>
      <c r="H72" s="123" t="e">
        <f>#REF!*H66</f>
        <v>#REF!</v>
      </c>
      <c r="I72" s="123" t="e">
        <f>#REF!*I66</f>
        <v>#REF!</v>
      </c>
      <c r="J72" s="123" t="e">
        <f>#REF!*J66</f>
        <v>#REF!</v>
      </c>
      <c r="K72" s="123" t="e">
        <f>#REF!*K66</f>
        <v>#REF!</v>
      </c>
      <c r="L72" s="123" t="e">
        <f>#REF!*L66</f>
        <v>#REF!</v>
      </c>
      <c r="M72" s="123" t="e">
        <f>#REF!*M66</f>
        <v>#REF!</v>
      </c>
      <c r="N72" s="123" t="e">
        <f>#REF!*N66</f>
        <v>#REF!</v>
      </c>
      <c r="O72" s="123" t="e">
        <f>#REF!*O66</f>
        <v>#REF!</v>
      </c>
      <c r="P72" s="123" t="e">
        <f>#REF!*P66</f>
        <v>#REF!</v>
      </c>
      <c r="Q72" s="123" t="e">
        <f>#REF!*Q66</f>
        <v>#REF!</v>
      </c>
      <c r="R72" s="123" t="e">
        <f>#REF!*R66</f>
        <v>#REF!</v>
      </c>
      <c r="S72" s="123" t="e">
        <f>#REF!*S66</f>
        <v>#REF!</v>
      </c>
      <c r="T72" s="123" t="e">
        <f>#REF!*T66</f>
        <v>#REF!</v>
      </c>
      <c r="U72" s="123" t="e">
        <f>#REF!*U66</f>
        <v>#REF!</v>
      </c>
      <c r="V72" s="123" t="e">
        <f>#REF!*V66</f>
        <v>#REF!</v>
      </c>
      <c r="W72" s="123" t="e">
        <f>#REF!*W66</f>
        <v>#REF!</v>
      </c>
      <c r="X72" s="123" t="e">
        <f>#REF!*X66</f>
        <v>#REF!</v>
      </c>
      <c r="Y72" s="123" t="e">
        <f>#REF!*Y66</f>
        <v>#REF!</v>
      </c>
      <c r="Z72" s="123" t="e">
        <f>#REF!*Z66</f>
        <v>#REF!</v>
      </c>
      <c r="AA72" s="123" t="e">
        <f>#REF!*AA66</f>
        <v>#REF!</v>
      </c>
      <c r="AB72" s="123" t="e">
        <f>#REF!*AB66</f>
        <v>#REF!</v>
      </c>
      <c r="AC72" s="123" t="e">
        <f>#REF!*AC66</f>
        <v>#REF!</v>
      </c>
      <c r="AD72" s="123" t="e">
        <f>#REF!*AD66</f>
        <v>#REF!</v>
      </c>
      <c r="AE72" s="123" t="e">
        <f>#REF!*AE66</f>
        <v>#REF!</v>
      </c>
      <c r="AF72" s="123" t="e">
        <f>#REF!*AF66</f>
        <v>#REF!</v>
      </c>
      <c r="AG72" s="123" t="e">
        <f>#REF!*AG66</f>
        <v>#REF!</v>
      </c>
      <c r="AH72" s="123" t="e">
        <f>#REF!*AH66</f>
        <v>#REF!</v>
      </c>
      <c r="AI72" s="123" t="e">
        <f>#REF!*AI66</f>
        <v>#REF!</v>
      </c>
      <c r="AJ72" s="123" t="e">
        <f>#REF!*AJ66</f>
        <v>#REF!</v>
      </c>
      <c r="AK72" s="123" t="e">
        <f>#REF!*AK66</f>
        <v>#REF!</v>
      </c>
      <c r="AL72" s="123" t="e">
        <f>#REF!*AL66</f>
        <v>#REF!</v>
      </c>
      <c r="AM72" s="123" t="e">
        <f>#REF!*AM66</f>
        <v>#REF!</v>
      </c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24"/>
      <c r="BK72" s="124"/>
      <c r="BL72" s="124"/>
      <c r="BM72" s="124"/>
      <c r="BN72" s="124"/>
      <c r="BO72" s="124"/>
      <c r="BP72" s="124"/>
      <c r="BQ72" s="124"/>
      <c r="BR72" s="124"/>
      <c r="BS72" s="124"/>
      <c r="BT72" s="124"/>
      <c r="BU72" s="127" t="e">
        <f>BU66*#REF!</f>
        <v>#REF!</v>
      </c>
      <c r="BV72" s="114"/>
    </row>
    <row r="73" spans="1:76" hidden="1" x14ac:dyDescent="0.2">
      <c r="A73" s="108" t="s">
        <v>166</v>
      </c>
      <c r="B73" s="107" t="s">
        <v>178</v>
      </c>
      <c r="C73" s="110"/>
      <c r="D73" s="111" t="s">
        <v>176</v>
      </c>
      <c r="E73" s="99" t="e">
        <f>#REF!*E67</f>
        <v>#REF!</v>
      </c>
      <c r="F73" s="123" t="e">
        <f>#REF!*F67</f>
        <v>#REF!</v>
      </c>
      <c r="G73" s="123" t="e">
        <f>#REF!*G67</f>
        <v>#REF!</v>
      </c>
      <c r="H73" s="123" t="e">
        <f>#REF!*H67</f>
        <v>#REF!</v>
      </c>
      <c r="I73" s="123" t="e">
        <f>#REF!*I67</f>
        <v>#REF!</v>
      </c>
      <c r="J73" s="123" t="e">
        <f>#REF!*J67</f>
        <v>#REF!</v>
      </c>
      <c r="K73" s="123" t="e">
        <f>#REF!*K67</f>
        <v>#REF!</v>
      </c>
      <c r="L73" s="123" t="e">
        <f>#REF!*L67</f>
        <v>#REF!</v>
      </c>
      <c r="M73" s="123" t="e">
        <f>#REF!*M67</f>
        <v>#REF!</v>
      </c>
      <c r="N73" s="123" t="e">
        <f>#REF!*N67</f>
        <v>#REF!</v>
      </c>
      <c r="O73" s="123" t="e">
        <f>#REF!*O67</f>
        <v>#REF!</v>
      </c>
      <c r="P73" s="123" t="e">
        <f>#REF!*P67</f>
        <v>#REF!</v>
      </c>
      <c r="Q73" s="123" t="e">
        <f>#REF!*Q67</f>
        <v>#REF!</v>
      </c>
      <c r="R73" s="123" t="e">
        <f>#REF!*R67</f>
        <v>#REF!</v>
      </c>
      <c r="S73" s="123" t="e">
        <f>#REF!*S67</f>
        <v>#REF!</v>
      </c>
      <c r="T73" s="123" t="e">
        <f>#REF!*T67</f>
        <v>#REF!</v>
      </c>
      <c r="U73" s="123" t="e">
        <f>#REF!*U67</f>
        <v>#REF!</v>
      </c>
      <c r="V73" s="123" t="e">
        <f>#REF!*V67</f>
        <v>#REF!</v>
      </c>
      <c r="W73" s="123" t="e">
        <f>#REF!*W67</f>
        <v>#REF!</v>
      </c>
      <c r="X73" s="123" t="e">
        <f>#REF!*X67</f>
        <v>#REF!</v>
      </c>
      <c r="Y73" s="123" t="e">
        <f>#REF!*Y67</f>
        <v>#REF!</v>
      </c>
      <c r="Z73" s="123" t="e">
        <f>#REF!*Z67</f>
        <v>#REF!</v>
      </c>
      <c r="AA73" s="123" t="e">
        <f>#REF!*AA67</f>
        <v>#REF!</v>
      </c>
      <c r="AB73" s="123" t="e">
        <f>#REF!*AB67</f>
        <v>#REF!</v>
      </c>
      <c r="AC73" s="123" t="e">
        <f>#REF!*AC67</f>
        <v>#REF!</v>
      </c>
      <c r="AD73" s="123" t="e">
        <f>#REF!*AD67</f>
        <v>#REF!</v>
      </c>
      <c r="AE73" s="123" t="e">
        <f>#REF!*AE67</f>
        <v>#REF!</v>
      </c>
      <c r="AF73" s="123" t="e">
        <f>#REF!*AF67</f>
        <v>#REF!</v>
      </c>
      <c r="AG73" s="123" t="e">
        <f>#REF!*AG67</f>
        <v>#REF!</v>
      </c>
      <c r="AH73" s="123" t="e">
        <f>#REF!*AH67</f>
        <v>#REF!</v>
      </c>
      <c r="AI73" s="123" t="e">
        <f>#REF!*AI67</f>
        <v>#REF!</v>
      </c>
      <c r="AJ73" s="123" t="e">
        <f>#REF!*AJ67</f>
        <v>#REF!</v>
      </c>
      <c r="AK73" s="123" t="e">
        <f>#REF!*AK67</f>
        <v>#REF!</v>
      </c>
      <c r="AL73" s="123" t="e">
        <f>#REF!*AL67</f>
        <v>#REF!</v>
      </c>
      <c r="AM73" s="123" t="e">
        <f>#REF!*AM67</f>
        <v>#REF!</v>
      </c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  <c r="BJ73" s="124"/>
      <c r="BK73" s="124"/>
      <c r="BL73" s="124"/>
      <c r="BM73" s="124"/>
      <c r="BN73" s="124"/>
      <c r="BO73" s="124"/>
      <c r="BP73" s="124"/>
      <c r="BQ73" s="124"/>
      <c r="BR73" s="124"/>
      <c r="BS73" s="124"/>
      <c r="BT73" s="124"/>
      <c r="BU73" s="127" t="e">
        <f>BU67*#REF!</f>
        <v>#REF!</v>
      </c>
      <c r="BV73" s="114"/>
    </row>
    <row r="74" spans="1:76" hidden="1" x14ac:dyDescent="0.2">
      <c r="A74" s="108" t="s">
        <v>179</v>
      </c>
      <c r="B74" s="107" t="s">
        <v>180</v>
      </c>
      <c r="C74" s="110"/>
      <c r="D74" s="111" t="s">
        <v>176</v>
      </c>
      <c r="E74" s="99" t="e">
        <f>#REF!*E68</f>
        <v>#REF!</v>
      </c>
      <c r="F74" s="123" t="e">
        <f>#REF!*F68</f>
        <v>#REF!</v>
      </c>
      <c r="G74" s="123" t="e">
        <f>#REF!*G68</f>
        <v>#REF!</v>
      </c>
      <c r="H74" s="123" t="e">
        <f>#REF!*H68</f>
        <v>#REF!</v>
      </c>
      <c r="I74" s="123" t="e">
        <f>#REF!*I68</f>
        <v>#REF!</v>
      </c>
      <c r="J74" s="123" t="e">
        <f>#REF!*J68</f>
        <v>#REF!</v>
      </c>
      <c r="K74" s="123" t="e">
        <f>#REF!*K68</f>
        <v>#REF!</v>
      </c>
      <c r="L74" s="123" t="e">
        <f>#REF!*L68</f>
        <v>#REF!</v>
      </c>
      <c r="M74" s="123" t="e">
        <f>#REF!*M68</f>
        <v>#REF!</v>
      </c>
      <c r="N74" s="123" t="e">
        <f>#REF!*N68</f>
        <v>#REF!</v>
      </c>
      <c r="O74" s="123" t="e">
        <f>#REF!*O68</f>
        <v>#REF!</v>
      </c>
      <c r="P74" s="123" t="e">
        <f>#REF!*P68</f>
        <v>#REF!</v>
      </c>
      <c r="Q74" s="123" t="e">
        <f>#REF!*Q68</f>
        <v>#REF!</v>
      </c>
      <c r="R74" s="123" t="e">
        <f>#REF!*R68</f>
        <v>#REF!</v>
      </c>
      <c r="S74" s="123" t="e">
        <f>#REF!*S68</f>
        <v>#REF!</v>
      </c>
      <c r="T74" s="123" t="e">
        <f>#REF!*T68</f>
        <v>#REF!</v>
      </c>
      <c r="U74" s="123" t="e">
        <f>#REF!*U68</f>
        <v>#REF!</v>
      </c>
      <c r="V74" s="123" t="e">
        <f>#REF!*V68</f>
        <v>#REF!</v>
      </c>
      <c r="W74" s="123" t="e">
        <f>#REF!*W68</f>
        <v>#REF!</v>
      </c>
      <c r="X74" s="123" t="e">
        <f>#REF!*X68</f>
        <v>#REF!</v>
      </c>
      <c r="Y74" s="123" t="e">
        <f>#REF!*Y68</f>
        <v>#REF!</v>
      </c>
      <c r="Z74" s="123" t="e">
        <f>#REF!*Z68</f>
        <v>#REF!</v>
      </c>
      <c r="AA74" s="123" t="e">
        <f>#REF!*AA68</f>
        <v>#REF!</v>
      </c>
      <c r="AB74" s="123" t="e">
        <f>#REF!*AB68</f>
        <v>#REF!</v>
      </c>
      <c r="AC74" s="123" t="e">
        <f>#REF!*AC68</f>
        <v>#REF!</v>
      </c>
      <c r="AD74" s="123" t="e">
        <f>#REF!*AD68</f>
        <v>#REF!</v>
      </c>
      <c r="AE74" s="123" t="e">
        <f>#REF!*AE68</f>
        <v>#REF!</v>
      </c>
      <c r="AF74" s="123" t="e">
        <f>#REF!*AF68</f>
        <v>#REF!</v>
      </c>
      <c r="AG74" s="123" t="e">
        <f>#REF!*AG68</f>
        <v>#REF!</v>
      </c>
      <c r="AH74" s="123" t="e">
        <f>#REF!*AH68</f>
        <v>#REF!</v>
      </c>
      <c r="AI74" s="123" t="e">
        <f>#REF!*AI68</f>
        <v>#REF!</v>
      </c>
      <c r="AJ74" s="123" t="e">
        <f>#REF!*AJ68</f>
        <v>#REF!</v>
      </c>
      <c r="AK74" s="123" t="e">
        <f>#REF!*AK68</f>
        <v>#REF!</v>
      </c>
      <c r="AL74" s="123" t="e">
        <f>#REF!*AL68</f>
        <v>#REF!</v>
      </c>
      <c r="AM74" s="123" t="e">
        <f>#REF!*AM68</f>
        <v>#REF!</v>
      </c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  <c r="BJ74" s="124"/>
      <c r="BK74" s="124"/>
      <c r="BL74" s="124"/>
      <c r="BM74" s="124"/>
      <c r="BN74" s="124"/>
      <c r="BO74" s="124"/>
      <c r="BP74" s="124"/>
      <c r="BQ74" s="124"/>
      <c r="BR74" s="124"/>
      <c r="BS74" s="124"/>
      <c r="BT74" s="124"/>
      <c r="BU74" s="127" t="e">
        <f>BU68*#REF!</f>
        <v>#REF!</v>
      </c>
      <c r="BV74" s="114"/>
    </row>
    <row r="75" spans="1:76" hidden="1" x14ac:dyDescent="0.2">
      <c r="A75" s="108" t="s">
        <v>181</v>
      </c>
      <c r="B75" s="107" t="s">
        <v>182</v>
      </c>
      <c r="C75" s="110"/>
      <c r="D75" s="111" t="s">
        <v>176</v>
      </c>
      <c r="E75" s="99" t="e">
        <f>#REF!/E56</f>
        <v>#REF!</v>
      </c>
      <c r="F75" s="123" t="e">
        <f>#REF!/F56</f>
        <v>#REF!</v>
      </c>
      <c r="G75" s="123" t="e">
        <f>#REF!/G56</f>
        <v>#REF!</v>
      </c>
      <c r="H75" s="123" t="e">
        <f>#REF!/H56</f>
        <v>#REF!</v>
      </c>
      <c r="I75" s="123" t="e">
        <f>#REF!/I56</f>
        <v>#REF!</v>
      </c>
      <c r="J75" s="123" t="e">
        <f>#REF!/J56</f>
        <v>#REF!</v>
      </c>
      <c r="K75" s="123" t="e">
        <f>#REF!/K56</f>
        <v>#REF!</v>
      </c>
      <c r="L75" s="123" t="e">
        <f>#REF!/L56</f>
        <v>#REF!</v>
      </c>
      <c r="M75" s="123" t="e">
        <f>#REF!/M56</f>
        <v>#REF!</v>
      </c>
      <c r="N75" s="123" t="e">
        <f>#REF!/N56</f>
        <v>#REF!</v>
      </c>
      <c r="O75" s="123" t="e">
        <f>#REF!/O56</f>
        <v>#REF!</v>
      </c>
      <c r="P75" s="123" t="e">
        <f>#REF!/P56</f>
        <v>#REF!</v>
      </c>
      <c r="Q75" s="123" t="e">
        <f>#REF!/Q56</f>
        <v>#REF!</v>
      </c>
      <c r="R75" s="123" t="e">
        <f>#REF!/R56</f>
        <v>#REF!</v>
      </c>
      <c r="S75" s="123" t="e">
        <f>#REF!/S56</f>
        <v>#REF!</v>
      </c>
      <c r="T75" s="123" t="e">
        <f>#REF!/T56</f>
        <v>#REF!</v>
      </c>
      <c r="U75" s="123" t="e">
        <f>#REF!/U56</f>
        <v>#REF!</v>
      </c>
      <c r="V75" s="123" t="e">
        <f>#REF!/V56</f>
        <v>#REF!</v>
      </c>
      <c r="W75" s="123" t="e">
        <f>#REF!/W56</f>
        <v>#REF!</v>
      </c>
      <c r="X75" s="123" t="e">
        <f>#REF!/X56</f>
        <v>#REF!</v>
      </c>
      <c r="Y75" s="123" t="e">
        <f>#REF!/Y56</f>
        <v>#REF!</v>
      </c>
      <c r="Z75" s="123" t="e">
        <f>#REF!/Z56</f>
        <v>#REF!</v>
      </c>
      <c r="AA75" s="123" t="e">
        <f>#REF!/AA56</f>
        <v>#REF!</v>
      </c>
      <c r="AB75" s="123" t="e">
        <f>#REF!/AB56</f>
        <v>#REF!</v>
      </c>
      <c r="AC75" s="123" t="e">
        <f>#REF!/AC56</f>
        <v>#REF!</v>
      </c>
      <c r="AD75" s="123" t="e">
        <f>#REF!/AD56</f>
        <v>#REF!</v>
      </c>
      <c r="AE75" s="123" t="e">
        <f>#REF!/AE56</f>
        <v>#REF!</v>
      </c>
      <c r="AF75" s="123" t="e">
        <f>#REF!/AF56</f>
        <v>#REF!</v>
      </c>
      <c r="AG75" s="123" t="e">
        <f>#REF!/AG56</f>
        <v>#REF!</v>
      </c>
      <c r="AH75" s="123" t="e">
        <f>#REF!/AH56</f>
        <v>#REF!</v>
      </c>
      <c r="AI75" s="123" t="e">
        <f>#REF!/AI56</f>
        <v>#REF!</v>
      </c>
      <c r="AJ75" s="123" t="e">
        <f>#REF!/AJ56</f>
        <v>#REF!</v>
      </c>
      <c r="AK75" s="123" t="e">
        <f>#REF!/AK56</f>
        <v>#REF!</v>
      </c>
      <c r="AL75" s="123" t="e">
        <f>#REF!/AL56</f>
        <v>#REF!</v>
      </c>
      <c r="AM75" s="123" t="e">
        <f>#REF!/AM56</f>
        <v>#REF!</v>
      </c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4"/>
      <c r="BF75" s="124"/>
      <c r="BG75" s="124"/>
      <c r="BH75" s="124"/>
      <c r="BI75" s="124"/>
      <c r="BJ75" s="124"/>
      <c r="BK75" s="124"/>
      <c r="BL75" s="124"/>
      <c r="BM75" s="124"/>
      <c r="BN75" s="124"/>
      <c r="BO75" s="124"/>
      <c r="BP75" s="124"/>
      <c r="BQ75" s="124"/>
      <c r="BR75" s="124"/>
      <c r="BS75" s="124"/>
      <c r="BT75" s="124"/>
      <c r="BU75" s="127" t="e">
        <f>#REF!/BU56</f>
        <v>#REF!</v>
      </c>
      <c r="BV75" s="114"/>
    </row>
    <row r="76" spans="1:76" hidden="1" x14ac:dyDescent="0.2">
      <c r="A76" s="108" t="s">
        <v>183</v>
      </c>
      <c r="B76" s="107" t="s">
        <v>184</v>
      </c>
      <c r="C76" s="110"/>
      <c r="D76" s="111" t="s">
        <v>176</v>
      </c>
      <c r="E76" s="123">
        <v>291</v>
      </c>
      <c r="F76" s="123">
        <v>291</v>
      </c>
      <c r="G76" s="123">
        <v>291</v>
      </c>
      <c r="H76" s="123">
        <v>291</v>
      </c>
      <c r="I76" s="123">
        <v>291</v>
      </c>
      <c r="J76" s="123">
        <v>291</v>
      </c>
      <c r="K76" s="123">
        <v>291</v>
      </c>
      <c r="L76" s="123">
        <v>291</v>
      </c>
      <c r="M76" s="123">
        <v>291</v>
      </c>
      <c r="N76" s="123">
        <v>291</v>
      </c>
      <c r="O76" s="123">
        <v>291</v>
      </c>
      <c r="P76" s="123">
        <v>291</v>
      </c>
      <c r="Q76" s="123">
        <v>291</v>
      </c>
      <c r="R76" s="123">
        <v>291</v>
      </c>
      <c r="S76" s="123">
        <v>291</v>
      </c>
      <c r="T76" s="123">
        <v>291</v>
      </c>
      <c r="U76" s="123">
        <v>291</v>
      </c>
      <c r="V76" s="123">
        <v>291</v>
      </c>
      <c r="W76" s="123">
        <v>291</v>
      </c>
      <c r="X76" s="123">
        <v>291</v>
      </c>
      <c r="Y76" s="123">
        <v>291</v>
      </c>
      <c r="Z76" s="123">
        <v>291</v>
      </c>
      <c r="AA76" s="123">
        <v>291</v>
      </c>
      <c r="AB76" s="123">
        <v>291</v>
      </c>
      <c r="AC76" s="123">
        <v>291</v>
      </c>
      <c r="AD76" s="123">
        <v>291</v>
      </c>
      <c r="AE76" s="123">
        <v>291</v>
      </c>
      <c r="AF76" s="123">
        <v>291</v>
      </c>
      <c r="AG76" s="123">
        <v>291</v>
      </c>
      <c r="AH76" s="123">
        <v>291</v>
      </c>
      <c r="AI76" s="123">
        <v>291</v>
      </c>
      <c r="AJ76" s="123">
        <v>291</v>
      </c>
      <c r="AK76" s="123">
        <v>291</v>
      </c>
      <c r="AL76" s="123">
        <v>291</v>
      </c>
      <c r="AM76" s="123">
        <v>291</v>
      </c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7">
        <f>AVERAGE(E76:AL76)</f>
        <v>291</v>
      </c>
      <c r="BV76" s="114"/>
    </row>
    <row r="77" spans="1:76" ht="20.25" hidden="1" customHeight="1" x14ac:dyDescent="0.2">
      <c r="A77" s="108"/>
      <c r="B77" s="107"/>
      <c r="C77" s="110"/>
      <c r="D77" s="257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58"/>
      <c r="X77" s="258"/>
      <c r="Y77" s="258"/>
      <c r="Z77" s="258"/>
      <c r="AA77" s="258"/>
      <c r="AB77" s="258"/>
      <c r="AC77" s="258"/>
      <c r="AD77" s="258"/>
      <c r="AE77" s="258"/>
      <c r="AF77" s="258"/>
      <c r="AG77" s="258"/>
      <c r="AH77" s="258"/>
      <c r="AI77" s="258"/>
      <c r="AJ77" s="258"/>
      <c r="AK77" s="258"/>
      <c r="AL77" s="258"/>
      <c r="AM77" s="258"/>
      <c r="AN77" s="258"/>
      <c r="AO77" s="258"/>
      <c r="AP77" s="258"/>
      <c r="AQ77" s="258"/>
      <c r="AR77" s="258"/>
      <c r="AS77" s="258"/>
      <c r="AT77" s="258"/>
      <c r="AU77" s="258"/>
      <c r="AV77" s="258"/>
      <c r="AW77" s="258"/>
      <c r="AX77" s="258"/>
      <c r="AY77" s="258"/>
      <c r="AZ77" s="258"/>
      <c r="BA77" s="258"/>
      <c r="BB77" s="258"/>
      <c r="BC77" s="258"/>
      <c r="BD77" s="258"/>
      <c r="BE77" s="258"/>
      <c r="BF77" s="258"/>
      <c r="BG77" s="258"/>
      <c r="BH77" s="258"/>
      <c r="BI77" s="258"/>
      <c r="BJ77" s="258"/>
      <c r="BK77" s="258"/>
      <c r="BL77" s="258"/>
      <c r="BM77" s="258"/>
      <c r="BN77" s="258"/>
      <c r="BO77" s="258"/>
      <c r="BP77" s="258"/>
      <c r="BQ77" s="258"/>
      <c r="BR77" s="258"/>
      <c r="BS77" s="258"/>
      <c r="BT77" s="258"/>
      <c r="BU77" s="259"/>
      <c r="BV77" s="114"/>
    </row>
    <row r="78" spans="1:76" hidden="1" x14ac:dyDescent="0.2">
      <c r="A78" s="108" t="s">
        <v>179</v>
      </c>
      <c r="B78" s="107" t="s">
        <v>185</v>
      </c>
      <c r="C78" s="110"/>
      <c r="D78" s="111"/>
      <c r="E78" s="128"/>
      <c r="F78" s="129"/>
      <c r="G78" s="129"/>
      <c r="H78" s="129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  <c r="BH78" s="131"/>
      <c r="BI78" s="131"/>
      <c r="BJ78" s="131"/>
      <c r="BK78" s="131"/>
      <c r="BL78" s="131"/>
      <c r="BM78" s="131"/>
      <c r="BN78" s="131"/>
      <c r="BO78" s="131"/>
      <c r="BP78" s="131"/>
      <c r="BQ78" s="131"/>
      <c r="BR78" s="131"/>
      <c r="BS78" s="131"/>
      <c r="BT78" s="131"/>
      <c r="BU78" s="112" t="s">
        <v>186</v>
      </c>
      <c r="BV78" s="114"/>
    </row>
    <row r="79" spans="1:76" hidden="1" x14ac:dyDescent="0.2">
      <c r="A79" s="108"/>
      <c r="B79" s="132" t="s">
        <v>187</v>
      </c>
      <c r="C79" s="133"/>
      <c r="D79" s="111"/>
      <c r="E79" s="128"/>
      <c r="F79" s="129"/>
      <c r="G79" s="129"/>
      <c r="H79" s="134"/>
      <c r="I79" s="242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  <c r="AI79" s="243"/>
      <c r="AJ79" s="243"/>
      <c r="AK79" s="243"/>
      <c r="AL79" s="244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6" t="s">
        <v>187</v>
      </c>
      <c r="BV79" s="114"/>
    </row>
    <row r="80" spans="1:76" hidden="1" x14ac:dyDescent="0.2">
      <c r="A80" s="137" t="s">
        <v>157</v>
      </c>
      <c r="B80" s="107" t="s">
        <v>188</v>
      </c>
      <c r="C80" s="110"/>
      <c r="D80" s="111" t="s">
        <v>16</v>
      </c>
      <c r="E80" s="99"/>
      <c r="F80" s="99"/>
      <c r="G80" s="99"/>
      <c r="H80" s="99"/>
      <c r="I80" s="138">
        <v>1.6</v>
      </c>
      <c r="J80" s="138">
        <v>3.5</v>
      </c>
      <c r="K80" s="138">
        <v>12</v>
      </c>
      <c r="L80" s="138">
        <v>26.5</v>
      </c>
      <c r="M80" s="138">
        <v>26.5</v>
      </c>
      <c r="N80" s="138">
        <v>26.5</v>
      </c>
      <c r="O80" s="138">
        <v>26.5</v>
      </c>
      <c r="P80" s="138">
        <v>26.5</v>
      </c>
      <c r="Q80" s="138">
        <v>26.5</v>
      </c>
      <c r="R80" s="138">
        <v>26.5</v>
      </c>
      <c r="S80" s="138">
        <v>26.5</v>
      </c>
      <c r="T80" s="138">
        <v>26.5</v>
      </c>
      <c r="U80" s="138">
        <v>26.5</v>
      </c>
      <c r="V80" s="138">
        <v>26.5</v>
      </c>
      <c r="W80" s="138">
        <v>26.5</v>
      </c>
      <c r="X80" s="138">
        <v>26.5</v>
      </c>
      <c r="Y80" s="138">
        <v>26.5</v>
      </c>
      <c r="Z80" s="138">
        <v>26.5</v>
      </c>
      <c r="AA80" s="138">
        <v>26.5</v>
      </c>
      <c r="AB80" s="138">
        <v>26.5</v>
      </c>
      <c r="AC80" s="138">
        <v>26.5</v>
      </c>
      <c r="AD80" s="138">
        <v>26.5</v>
      </c>
      <c r="AE80" s="138">
        <v>26.5</v>
      </c>
      <c r="AF80" s="138">
        <v>26.5</v>
      </c>
      <c r="AG80" s="138">
        <v>26.5</v>
      </c>
      <c r="AH80" s="138">
        <v>26.5</v>
      </c>
      <c r="AI80" s="138">
        <v>26.5</v>
      </c>
      <c r="AJ80" s="138">
        <v>26.5</v>
      </c>
      <c r="AK80" s="138">
        <v>26.5</v>
      </c>
      <c r="AL80" s="138">
        <v>12</v>
      </c>
      <c r="AM80" s="138">
        <v>17.5</v>
      </c>
      <c r="AN80" s="139">
        <v>26</v>
      </c>
      <c r="AO80" s="139">
        <v>2.5</v>
      </c>
      <c r="AP80" s="139">
        <v>0</v>
      </c>
      <c r="AQ80" s="139">
        <v>0</v>
      </c>
      <c r="AR80" s="139">
        <v>23.5</v>
      </c>
      <c r="AS80" s="139">
        <v>2.5</v>
      </c>
      <c r="AT80" s="139">
        <v>2.5</v>
      </c>
      <c r="AU80" s="139">
        <v>2.5</v>
      </c>
      <c r="AV80" s="139">
        <v>2.5</v>
      </c>
      <c r="AW80" s="139">
        <v>2.5</v>
      </c>
      <c r="AX80" s="139">
        <v>2.5</v>
      </c>
      <c r="AY80" s="139">
        <v>2.5</v>
      </c>
      <c r="AZ80" s="139">
        <v>2.5</v>
      </c>
      <c r="BA80" s="139">
        <v>2.5</v>
      </c>
      <c r="BB80" s="139">
        <v>2.5</v>
      </c>
      <c r="BC80" s="139">
        <v>2.5</v>
      </c>
      <c r="BD80" s="139">
        <v>2.5</v>
      </c>
      <c r="BE80" s="139">
        <v>2.5</v>
      </c>
      <c r="BF80" s="139">
        <v>2.5</v>
      </c>
      <c r="BG80" s="139">
        <v>2.5</v>
      </c>
      <c r="BH80" s="139">
        <v>2.5</v>
      </c>
      <c r="BI80" s="139">
        <v>2.5</v>
      </c>
      <c r="BJ80" s="139">
        <v>2.5</v>
      </c>
      <c r="BK80" s="139">
        <v>2.5</v>
      </c>
      <c r="BL80" s="139">
        <v>2.5</v>
      </c>
      <c r="BM80" s="139">
        <v>2.5</v>
      </c>
      <c r="BN80" s="139">
        <v>2.5</v>
      </c>
      <c r="BO80" s="139">
        <v>2.5</v>
      </c>
      <c r="BP80" s="139">
        <v>2.5</v>
      </c>
      <c r="BQ80" s="139">
        <v>2.5</v>
      </c>
      <c r="BR80" s="139">
        <v>2.5</v>
      </c>
      <c r="BS80" s="139"/>
      <c r="BT80" s="139"/>
      <c r="BU80" s="112">
        <f>SUM(I80:BS80)</f>
        <v>852.6</v>
      </c>
      <c r="BV80" s="114"/>
    </row>
    <row r="81" spans="1:74" hidden="1" x14ac:dyDescent="0.2">
      <c r="A81" s="137" t="s">
        <v>160</v>
      </c>
      <c r="B81" s="107" t="s">
        <v>189</v>
      </c>
      <c r="C81" s="110"/>
      <c r="D81" s="111" t="s">
        <v>16</v>
      </c>
      <c r="E81" s="99"/>
      <c r="F81" s="99"/>
      <c r="G81" s="99"/>
      <c r="H81" s="99"/>
      <c r="I81" s="99">
        <v>0</v>
      </c>
      <c r="J81" s="99">
        <v>0</v>
      </c>
      <c r="K81" s="99">
        <v>0</v>
      </c>
      <c r="L81" s="99">
        <v>0</v>
      </c>
      <c r="M81" s="99">
        <v>0</v>
      </c>
      <c r="N81" s="99">
        <v>0</v>
      </c>
      <c r="O81" s="99">
        <v>0</v>
      </c>
      <c r="P81" s="99">
        <v>0</v>
      </c>
      <c r="Q81" s="99">
        <v>0</v>
      </c>
      <c r="R81" s="99">
        <v>0</v>
      </c>
      <c r="S81" s="99">
        <v>0</v>
      </c>
      <c r="T81" s="99">
        <v>0</v>
      </c>
      <c r="U81" s="99">
        <v>0</v>
      </c>
      <c r="V81" s="99">
        <v>0</v>
      </c>
      <c r="W81" s="99">
        <v>0</v>
      </c>
      <c r="X81" s="99">
        <v>0</v>
      </c>
      <c r="Y81" s="99">
        <v>0</v>
      </c>
      <c r="Z81" s="99">
        <v>0</v>
      </c>
      <c r="AA81" s="99">
        <v>0</v>
      </c>
      <c r="AB81" s="99">
        <v>0</v>
      </c>
      <c r="AC81" s="99">
        <v>0</v>
      </c>
      <c r="AD81" s="99">
        <v>0</v>
      </c>
      <c r="AE81" s="99">
        <v>0</v>
      </c>
      <c r="AF81" s="99">
        <v>0</v>
      </c>
      <c r="AG81" s="99">
        <v>0</v>
      </c>
      <c r="AH81" s="99">
        <v>0</v>
      </c>
      <c r="AI81" s="99">
        <v>0</v>
      </c>
      <c r="AJ81" s="99">
        <v>0</v>
      </c>
      <c r="AK81" s="99">
        <v>0</v>
      </c>
      <c r="AL81" s="99">
        <v>0</v>
      </c>
      <c r="AM81" s="99">
        <v>0</v>
      </c>
      <c r="AN81" s="100">
        <v>0</v>
      </c>
      <c r="AO81" s="100">
        <v>0</v>
      </c>
      <c r="AP81" s="100">
        <v>15</v>
      </c>
      <c r="AQ81" s="100">
        <v>0</v>
      </c>
      <c r="AR81" s="100">
        <v>0</v>
      </c>
      <c r="AS81" s="100">
        <v>12.5</v>
      </c>
      <c r="AT81" s="100">
        <v>12.5</v>
      </c>
      <c r="AU81" s="100">
        <v>12.5</v>
      </c>
      <c r="AV81" s="100">
        <v>12.5</v>
      </c>
      <c r="AW81" s="100">
        <v>12.5</v>
      </c>
      <c r="AX81" s="100">
        <v>12.5</v>
      </c>
      <c r="AY81" s="100">
        <v>12.5</v>
      </c>
      <c r="AZ81" s="100">
        <v>12.5</v>
      </c>
      <c r="BA81" s="100">
        <v>12.5</v>
      </c>
      <c r="BB81" s="100">
        <v>12.5</v>
      </c>
      <c r="BC81" s="100">
        <v>12.5</v>
      </c>
      <c r="BD81" s="100">
        <v>12.5</v>
      </c>
      <c r="BE81" s="100">
        <v>12.5</v>
      </c>
      <c r="BF81" s="100">
        <v>12.5</v>
      </c>
      <c r="BG81" s="100">
        <v>12.5</v>
      </c>
      <c r="BH81" s="100">
        <v>12.5</v>
      </c>
      <c r="BI81" s="100">
        <v>12.5</v>
      </c>
      <c r="BJ81" s="100">
        <v>12.5</v>
      </c>
      <c r="BK81" s="100">
        <v>12.5</v>
      </c>
      <c r="BL81" s="100">
        <v>12.5</v>
      </c>
      <c r="BM81" s="100">
        <v>12.5</v>
      </c>
      <c r="BN81" s="100">
        <v>12.5</v>
      </c>
      <c r="BO81" s="100">
        <v>12.5</v>
      </c>
      <c r="BP81" s="100">
        <v>12.5</v>
      </c>
      <c r="BQ81" s="100">
        <v>12.5</v>
      </c>
      <c r="BR81" s="100">
        <v>12.5</v>
      </c>
      <c r="BS81" s="100"/>
      <c r="BT81" s="100"/>
      <c r="BU81" s="112">
        <f>SUM(I81:BS81)</f>
        <v>340</v>
      </c>
      <c r="BV81" s="114"/>
    </row>
    <row r="82" spans="1:74" hidden="1" x14ac:dyDescent="0.2">
      <c r="A82" s="137" t="s">
        <v>163</v>
      </c>
      <c r="B82" s="107" t="s">
        <v>190</v>
      </c>
      <c r="C82" s="110"/>
      <c r="D82" s="111" t="s">
        <v>16</v>
      </c>
      <c r="E82" s="99"/>
      <c r="F82" s="99"/>
      <c r="G82" s="99"/>
      <c r="H82" s="99"/>
      <c r="I82" s="99">
        <v>0</v>
      </c>
      <c r="J82" s="99">
        <v>0</v>
      </c>
      <c r="K82" s="99">
        <v>0</v>
      </c>
      <c r="L82" s="99">
        <v>0</v>
      </c>
      <c r="M82" s="99">
        <v>0</v>
      </c>
      <c r="N82" s="99">
        <v>0</v>
      </c>
      <c r="O82" s="99">
        <v>0</v>
      </c>
      <c r="P82" s="99">
        <v>0</v>
      </c>
      <c r="Q82" s="99">
        <v>0</v>
      </c>
      <c r="R82" s="99">
        <v>0</v>
      </c>
      <c r="S82" s="99">
        <v>0</v>
      </c>
      <c r="T82" s="99">
        <v>0</v>
      </c>
      <c r="U82" s="99">
        <v>0</v>
      </c>
      <c r="V82" s="99">
        <v>0</v>
      </c>
      <c r="W82" s="99">
        <v>0</v>
      </c>
      <c r="X82" s="99">
        <v>0</v>
      </c>
      <c r="Y82" s="99">
        <v>0</v>
      </c>
      <c r="Z82" s="99">
        <v>0</v>
      </c>
      <c r="AA82" s="99">
        <v>0</v>
      </c>
      <c r="AB82" s="99">
        <v>0</v>
      </c>
      <c r="AC82" s="99">
        <v>0</v>
      </c>
      <c r="AD82" s="99">
        <v>0</v>
      </c>
      <c r="AE82" s="99">
        <v>0</v>
      </c>
      <c r="AF82" s="99">
        <v>0</v>
      </c>
      <c r="AG82" s="99">
        <v>0</v>
      </c>
      <c r="AH82" s="99">
        <v>0</v>
      </c>
      <c r="AI82" s="99">
        <v>0</v>
      </c>
      <c r="AJ82" s="99">
        <v>0</v>
      </c>
      <c r="AK82" s="99">
        <v>0</v>
      </c>
      <c r="AL82" s="99">
        <v>0</v>
      </c>
      <c r="AM82" s="99">
        <v>0</v>
      </c>
      <c r="AN82" s="100">
        <v>0</v>
      </c>
      <c r="AO82" s="100">
        <v>32.5</v>
      </c>
      <c r="AP82" s="100">
        <v>5.5</v>
      </c>
      <c r="AQ82" s="100">
        <v>32.5</v>
      </c>
      <c r="AR82" s="100">
        <v>23.5</v>
      </c>
      <c r="AS82" s="100">
        <v>38</v>
      </c>
      <c r="AT82" s="100">
        <v>38</v>
      </c>
      <c r="AU82" s="100">
        <v>38</v>
      </c>
      <c r="AV82" s="100">
        <v>38</v>
      </c>
      <c r="AW82" s="100">
        <v>38</v>
      </c>
      <c r="AX82" s="100">
        <v>38</v>
      </c>
      <c r="AY82" s="100">
        <v>38</v>
      </c>
      <c r="AZ82" s="100">
        <v>38</v>
      </c>
      <c r="BA82" s="100">
        <v>38</v>
      </c>
      <c r="BB82" s="100">
        <v>38</v>
      </c>
      <c r="BC82" s="100">
        <v>38</v>
      </c>
      <c r="BD82" s="100">
        <v>38</v>
      </c>
      <c r="BE82" s="100">
        <v>38</v>
      </c>
      <c r="BF82" s="100">
        <v>38</v>
      </c>
      <c r="BG82" s="100">
        <v>38</v>
      </c>
      <c r="BH82" s="100">
        <v>38</v>
      </c>
      <c r="BI82" s="100">
        <v>38</v>
      </c>
      <c r="BJ82" s="100">
        <v>38</v>
      </c>
      <c r="BK82" s="100">
        <v>38</v>
      </c>
      <c r="BL82" s="100">
        <v>38</v>
      </c>
      <c r="BM82" s="100">
        <v>38</v>
      </c>
      <c r="BN82" s="100">
        <v>38</v>
      </c>
      <c r="BO82" s="100">
        <v>38</v>
      </c>
      <c r="BP82" s="100">
        <v>38</v>
      </c>
      <c r="BQ82" s="100">
        <v>38</v>
      </c>
      <c r="BR82" s="100">
        <v>38</v>
      </c>
      <c r="BS82" s="100"/>
      <c r="BT82" s="100"/>
      <c r="BU82" s="112">
        <f>SUM(I82:BS82)</f>
        <v>1082</v>
      </c>
      <c r="BV82" s="114"/>
    </row>
    <row r="83" spans="1:74" hidden="1" x14ac:dyDescent="0.2">
      <c r="A83" s="137" t="s">
        <v>166</v>
      </c>
      <c r="B83" s="107" t="s">
        <v>191</v>
      </c>
      <c r="C83" s="110"/>
      <c r="D83" s="111" t="s">
        <v>16</v>
      </c>
      <c r="E83" s="99"/>
      <c r="F83" s="99"/>
      <c r="G83" s="99"/>
      <c r="H83" s="99"/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Z83" s="99">
        <v>0</v>
      </c>
      <c r="AA83" s="99">
        <v>0</v>
      </c>
      <c r="AB83" s="99">
        <v>0</v>
      </c>
      <c r="AC83" s="99">
        <v>0</v>
      </c>
      <c r="AD83" s="99">
        <v>0</v>
      </c>
      <c r="AE83" s="99">
        <v>0</v>
      </c>
      <c r="AF83" s="99">
        <v>0</v>
      </c>
      <c r="AG83" s="99">
        <v>0</v>
      </c>
      <c r="AH83" s="99">
        <v>0</v>
      </c>
      <c r="AI83" s="99">
        <v>0</v>
      </c>
      <c r="AJ83" s="99">
        <v>0</v>
      </c>
      <c r="AK83" s="99">
        <v>0</v>
      </c>
      <c r="AL83" s="99">
        <v>0</v>
      </c>
      <c r="AM83" s="99">
        <v>0</v>
      </c>
      <c r="AN83" s="100">
        <v>0</v>
      </c>
      <c r="AO83" s="100">
        <v>0</v>
      </c>
      <c r="AP83" s="100">
        <v>0</v>
      </c>
      <c r="AQ83" s="100">
        <v>0</v>
      </c>
      <c r="AR83" s="100">
        <v>0</v>
      </c>
      <c r="AS83" s="100">
        <v>0</v>
      </c>
      <c r="AT83" s="100">
        <v>0</v>
      </c>
      <c r="AU83" s="100">
        <v>0</v>
      </c>
      <c r="AV83" s="100">
        <v>0</v>
      </c>
      <c r="AW83" s="100">
        <v>0</v>
      </c>
      <c r="AX83" s="100">
        <v>0</v>
      </c>
      <c r="AY83" s="100">
        <v>0</v>
      </c>
      <c r="AZ83" s="100">
        <v>0</v>
      </c>
      <c r="BA83" s="100">
        <v>0</v>
      </c>
      <c r="BB83" s="100">
        <v>0</v>
      </c>
      <c r="BC83" s="100">
        <v>0</v>
      </c>
      <c r="BD83" s="100">
        <v>0</v>
      </c>
      <c r="BE83" s="100">
        <v>0</v>
      </c>
      <c r="BF83" s="100">
        <v>0</v>
      </c>
      <c r="BG83" s="100">
        <v>0</v>
      </c>
      <c r="BH83" s="100">
        <v>0</v>
      </c>
      <c r="BI83" s="100">
        <v>0</v>
      </c>
      <c r="BJ83" s="100">
        <v>0</v>
      </c>
      <c r="BK83" s="100">
        <v>0</v>
      </c>
      <c r="BL83" s="100">
        <v>0</v>
      </c>
      <c r="BM83" s="100">
        <v>0</v>
      </c>
      <c r="BN83" s="100">
        <v>0</v>
      </c>
      <c r="BO83" s="100">
        <v>0</v>
      </c>
      <c r="BP83" s="100">
        <v>0</v>
      </c>
      <c r="BQ83" s="100">
        <v>0</v>
      </c>
      <c r="BR83" s="100">
        <v>0</v>
      </c>
      <c r="BS83" s="100"/>
      <c r="BT83" s="100"/>
      <c r="BU83" s="112">
        <f>SUM(I83:BS83)</f>
        <v>0</v>
      </c>
      <c r="BV83" s="114"/>
    </row>
    <row r="84" spans="1:74" hidden="1" x14ac:dyDescent="0.2">
      <c r="A84" s="140"/>
      <c r="B84" s="107" t="s">
        <v>192</v>
      </c>
      <c r="C84" s="110"/>
      <c r="D84" s="111" t="s">
        <v>16</v>
      </c>
      <c r="E84" s="141">
        <f t="shared" ref="E84:BU84" si="25">SUM(E80:E83)</f>
        <v>0</v>
      </c>
      <c r="F84" s="141">
        <f t="shared" si="25"/>
        <v>0</v>
      </c>
      <c r="G84" s="141">
        <f t="shared" si="25"/>
        <v>0</v>
      </c>
      <c r="H84" s="141">
        <f t="shared" si="25"/>
        <v>0</v>
      </c>
      <c r="I84" s="141">
        <f t="shared" si="25"/>
        <v>1.6</v>
      </c>
      <c r="J84" s="141">
        <f t="shared" si="25"/>
        <v>3.5</v>
      </c>
      <c r="K84" s="141">
        <f t="shared" si="25"/>
        <v>12</v>
      </c>
      <c r="L84" s="141">
        <f t="shared" ref="L84:AK84" si="26">SUM(L80:L83)</f>
        <v>26.5</v>
      </c>
      <c r="M84" s="141">
        <f t="shared" si="26"/>
        <v>26.5</v>
      </c>
      <c r="N84" s="141">
        <f t="shared" si="26"/>
        <v>26.5</v>
      </c>
      <c r="O84" s="141">
        <f t="shared" si="26"/>
        <v>26.5</v>
      </c>
      <c r="P84" s="141">
        <f t="shared" si="26"/>
        <v>26.5</v>
      </c>
      <c r="Q84" s="141">
        <f t="shared" si="26"/>
        <v>26.5</v>
      </c>
      <c r="R84" s="141">
        <f t="shared" si="26"/>
        <v>26.5</v>
      </c>
      <c r="S84" s="141">
        <f t="shared" si="26"/>
        <v>26.5</v>
      </c>
      <c r="T84" s="141">
        <f t="shared" si="26"/>
        <v>26.5</v>
      </c>
      <c r="U84" s="141">
        <f t="shared" si="26"/>
        <v>26.5</v>
      </c>
      <c r="V84" s="141">
        <f t="shared" si="26"/>
        <v>26.5</v>
      </c>
      <c r="W84" s="141">
        <f t="shared" si="26"/>
        <v>26.5</v>
      </c>
      <c r="X84" s="141">
        <f t="shared" si="26"/>
        <v>26.5</v>
      </c>
      <c r="Y84" s="141">
        <f t="shared" si="26"/>
        <v>26.5</v>
      </c>
      <c r="Z84" s="141">
        <f t="shared" si="26"/>
        <v>26.5</v>
      </c>
      <c r="AA84" s="141">
        <f t="shared" si="26"/>
        <v>26.5</v>
      </c>
      <c r="AB84" s="141">
        <f t="shared" si="26"/>
        <v>26.5</v>
      </c>
      <c r="AC84" s="141">
        <f t="shared" si="26"/>
        <v>26.5</v>
      </c>
      <c r="AD84" s="141">
        <f t="shared" si="26"/>
        <v>26.5</v>
      </c>
      <c r="AE84" s="141">
        <f t="shared" si="26"/>
        <v>26.5</v>
      </c>
      <c r="AF84" s="141">
        <f t="shared" si="26"/>
        <v>26.5</v>
      </c>
      <c r="AG84" s="141">
        <f t="shared" si="26"/>
        <v>26.5</v>
      </c>
      <c r="AH84" s="141">
        <f t="shared" si="26"/>
        <v>26.5</v>
      </c>
      <c r="AI84" s="141">
        <f t="shared" si="26"/>
        <v>26.5</v>
      </c>
      <c r="AJ84" s="141">
        <f t="shared" ref="AJ84" si="27">SUM(AJ80:AJ83)</f>
        <v>26.5</v>
      </c>
      <c r="AK84" s="141">
        <f t="shared" si="26"/>
        <v>26.5</v>
      </c>
      <c r="AL84" s="141">
        <f t="shared" si="25"/>
        <v>12</v>
      </c>
      <c r="AM84" s="141">
        <f t="shared" si="25"/>
        <v>17.5</v>
      </c>
      <c r="AN84" s="141">
        <f t="shared" si="25"/>
        <v>26</v>
      </c>
      <c r="AO84" s="141">
        <f t="shared" si="25"/>
        <v>35</v>
      </c>
      <c r="AP84" s="141">
        <f t="shared" si="25"/>
        <v>20.5</v>
      </c>
      <c r="AQ84" s="141">
        <f t="shared" si="25"/>
        <v>32.5</v>
      </c>
      <c r="AR84" s="141">
        <f t="shared" si="25"/>
        <v>47</v>
      </c>
      <c r="AS84" s="141">
        <f t="shared" si="25"/>
        <v>53</v>
      </c>
      <c r="AT84" s="141">
        <f t="shared" si="25"/>
        <v>53</v>
      </c>
      <c r="AU84" s="141">
        <f t="shared" si="25"/>
        <v>53</v>
      </c>
      <c r="AV84" s="141">
        <f t="shared" si="25"/>
        <v>53</v>
      </c>
      <c r="AW84" s="141">
        <f t="shared" si="25"/>
        <v>53</v>
      </c>
      <c r="AX84" s="141">
        <f t="shared" si="25"/>
        <v>53</v>
      </c>
      <c r="AY84" s="141">
        <f t="shared" si="25"/>
        <v>53</v>
      </c>
      <c r="AZ84" s="141">
        <f t="shared" si="25"/>
        <v>53</v>
      </c>
      <c r="BA84" s="141">
        <f t="shared" si="25"/>
        <v>53</v>
      </c>
      <c r="BB84" s="141">
        <f t="shared" si="25"/>
        <v>53</v>
      </c>
      <c r="BC84" s="141">
        <f t="shared" si="25"/>
        <v>53</v>
      </c>
      <c r="BD84" s="141">
        <f t="shared" si="25"/>
        <v>53</v>
      </c>
      <c r="BE84" s="141">
        <f t="shared" si="25"/>
        <v>53</v>
      </c>
      <c r="BF84" s="141">
        <f t="shared" si="25"/>
        <v>53</v>
      </c>
      <c r="BG84" s="141">
        <f t="shared" si="25"/>
        <v>53</v>
      </c>
      <c r="BH84" s="141">
        <f t="shared" si="25"/>
        <v>53</v>
      </c>
      <c r="BI84" s="141">
        <f t="shared" si="25"/>
        <v>53</v>
      </c>
      <c r="BJ84" s="141">
        <f t="shared" si="25"/>
        <v>53</v>
      </c>
      <c r="BK84" s="141">
        <f t="shared" si="25"/>
        <v>53</v>
      </c>
      <c r="BL84" s="141">
        <f t="shared" si="25"/>
        <v>53</v>
      </c>
      <c r="BM84" s="141">
        <f t="shared" si="25"/>
        <v>53</v>
      </c>
      <c r="BN84" s="141">
        <f t="shared" si="25"/>
        <v>53</v>
      </c>
      <c r="BO84" s="141">
        <f t="shared" si="25"/>
        <v>53</v>
      </c>
      <c r="BP84" s="141">
        <f t="shared" si="25"/>
        <v>53</v>
      </c>
      <c r="BQ84" s="141">
        <f t="shared" si="25"/>
        <v>53</v>
      </c>
      <c r="BR84" s="141">
        <f t="shared" si="25"/>
        <v>53</v>
      </c>
      <c r="BS84" s="142"/>
      <c r="BT84" s="142"/>
      <c r="BU84" s="126">
        <f t="shared" si="25"/>
        <v>2274.6</v>
      </c>
      <c r="BV84" s="114"/>
    </row>
    <row r="85" spans="1:74" hidden="1" x14ac:dyDescent="0.2">
      <c r="A85" s="140"/>
      <c r="B85" s="132" t="s">
        <v>193</v>
      </c>
      <c r="C85" s="133"/>
      <c r="D85" s="129"/>
      <c r="E85" s="129"/>
      <c r="F85" s="129"/>
      <c r="G85" s="129"/>
      <c r="H85" s="129"/>
      <c r="I85" s="242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  <c r="AK85" s="243"/>
      <c r="AL85" s="244"/>
      <c r="AM85" s="135"/>
      <c r="AN85" s="135"/>
      <c r="AO85" s="135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43" t="s">
        <v>193</v>
      </c>
      <c r="BV85" s="114"/>
    </row>
    <row r="86" spans="1:74" hidden="1" x14ac:dyDescent="0.2">
      <c r="A86" s="137" t="s">
        <v>157</v>
      </c>
      <c r="B86" s="107" t="s">
        <v>188</v>
      </c>
      <c r="C86" s="110"/>
      <c r="D86" s="111" t="s">
        <v>16</v>
      </c>
      <c r="E86" s="99"/>
      <c r="F86" s="99"/>
      <c r="G86" s="99"/>
      <c r="H86" s="99"/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Z86" s="99">
        <v>0</v>
      </c>
      <c r="AA86" s="99">
        <v>0</v>
      </c>
      <c r="AB86" s="99">
        <v>0</v>
      </c>
      <c r="AC86" s="99">
        <v>0</v>
      </c>
      <c r="AD86" s="99">
        <v>0</v>
      </c>
      <c r="AE86" s="99">
        <v>0</v>
      </c>
      <c r="AF86" s="99">
        <v>0</v>
      </c>
      <c r="AG86" s="99">
        <v>0</v>
      </c>
      <c r="AH86" s="99">
        <v>0</v>
      </c>
      <c r="AI86" s="99">
        <v>0</v>
      </c>
      <c r="AJ86" s="99">
        <v>0</v>
      </c>
      <c r="AK86" s="99">
        <v>0</v>
      </c>
      <c r="AL86" s="99">
        <v>0</v>
      </c>
      <c r="AM86" s="99">
        <v>0</v>
      </c>
      <c r="AN86" s="100">
        <v>0</v>
      </c>
      <c r="AO86" s="100">
        <v>0</v>
      </c>
      <c r="AP86" s="100">
        <v>0</v>
      </c>
      <c r="AQ86" s="100">
        <v>0</v>
      </c>
      <c r="AR86" s="100">
        <v>0</v>
      </c>
      <c r="AS86" s="100">
        <v>0</v>
      </c>
      <c r="AT86" s="100">
        <v>0</v>
      </c>
      <c r="AU86" s="100">
        <v>0</v>
      </c>
      <c r="AV86" s="100">
        <v>0</v>
      </c>
      <c r="AW86" s="100">
        <v>0</v>
      </c>
      <c r="AX86" s="100">
        <v>0</v>
      </c>
      <c r="AY86" s="100">
        <v>0</v>
      </c>
      <c r="AZ86" s="100">
        <v>0</v>
      </c>
      <c r="BA86" s="100">
        <v>0</v>
      </c>
      <c r="BB86" s="100">
        <v>0</v>
      </c>
      <c r="BC86" s="100">
        <v>0</v>
      </c>
      <c r="BD86" s="100">
        <v>0</v>
      </c>
      <c r="BE86" s="100">
        <v>0</v>
      </c>
      <c r="BF86" s="100">
        <v>0</v>
      </c>
      <c r="BG86" s="100">
        <v>0</v>
      </c>
      <c r="BH86" s="100">
        <v>0</v>
      </c>
      <c r="BI86" s="100">
        <v>0</v>
      </c>
      <c r="BJ86" s="100">
        <v>0</v>
      </c>
      <c r="BK86" s="100">
        <v>0</v>
      </c>
      <c r="BL86" s="100">
        <v>0</v>
      </c>
      <c r="BM86" s="100">
        <v>0</v>
      </c>
      <c r="BN86" s="100">
        <v>0</v>
      </c>
      <c r="BO86" s="100">
        <v>0</v>
      </c>
      <c r="BP86" s="100">
        <v>0</v>
      </c>
      <c r="BQ86" s="100">
        <v>0</v>
      </c>
      <c r="BR86" s="100">
        <v>0</v>
      </c>
      <c r="BS86" s="100"/>
      <c r="BT86" s="100"/>
      <c r="BU86" s="112">
        <f>SUM(E86:AL86)</f>
        <v>0</v>
      </c>
      <c r="BV86" s="114"/>
    </row>
    <row r="87" spans="1:74" hidden="1" x14ac:dyDescent="0.2">
      <c r="A87" s="137" t="s">
        <v>160</v>
      </c>
      <c r="B87" s="107" t="s">
        <v>189</v>
      </c>
      <c r="C87" s="110"/>
      <c r="D87" s="111" t="s">
        <v>16</v>
      </c>
      <c r="E87" s="99"/>
      <c r="F87" s="99"/>
      <c r="G87" s="99"/>
      <c r="H87" s="99"/>
      <c r="I87" s="99">
        <v>0</v>
      </c>
      <c r="J87" s="99">
        <v>0</v>
      </c>
      <c r="K87" s="99">
        <v>0</v>
      </c>
      <c r="L87" s="99">
        <v>0</v>
      </c>
      <c r="M87" s="99">
        <v>0</v>
      </c>
      <c r="N87" s="99">
        <v>0</v>
      </c>
      <c r="O87" s="99">
        <v>0</v>
      </c>
      <c r="P87" s="99">
        <v>0</v>
      </c>
      <c r="Q87" s="99">
        <v>0</v>
      </c>
      <c r="R87" s="99">
        <v>0</v>
      </c>
      <c r="S87" s="99">
        <v>0</v>
      </c>
      <c r="T87" s="99">
        <v>0</v>
      </c>
      <c r="U87" s="99">
        <v>0</v>
      </c>
      <c r="V87" s="99">
        <v>0</v>
      </c>
      <c r="W87" s="99">
        <v>0</v>
      </c>
      <c r="X87" s="99">
        <v>0</v>
      </c>
      <c r="Y87" s="99">
        <v>0</v>
      </c>
      <c r="Z87" s="99">
        <v>0</v>
      </c>
      <c r="AA87" s="99">
        <v>0</v>
      </c>
      <c r="AB87" s="99">
        <v>0</v>
      </c>
      <c r="AC87" s="99">
        <v>0</v>
      </c>
      <c r="AD87" s="99">
        <v>0</v>
      </c>
      <c r="AE87" s="99">
        <v>0</v>
      </c>
      <c r="AF87" s="99">
        <v>0</v>
      </c>
      <c r="AG87" s="99">
        <v>0</v>
      </c>
      <c r="AH87" s="99">
        <v>0</v>
      </c>
      <c r="AI87" s="99">
        <v>0</v>
      </c>
      <c r="AJ87" s="99">
        <v>0</v>
      </c>
      <c r="AK87" s="99">
        <v>0</v>
      </c>
      <c r="AL87" s="99">
        <v>0</v>
      </c>
      <c r="AM87" s="99">
        <v>0</v>
      </c>
      <c r="AN87" s="100">
        <v>0</v>
      </c>
      <c r="AO87" s="100">
        <v>0</v>
      </c>
      <c r="AP87" s="100">
        <v>0</v>
      </c>
      <c r="AQ87" s="100">
        <v>0</v>
      </c>
      <c r="AR87" s="100">
        <v>0</v>
      </c>
      <c r="AS87" s="100">
        <v>0</v>
      </c>
      <c r="AT87" s="100">
        <v>0</v>
      </c>
      <c r="AU87" s="100">
        <v>0</v>
      </c>
      <c r="AV87" s="100">
        <v>0</v>
      </c>
      <c r="AW87" s="100">
        <v>0</v>
      </c>
      <c r="AX87" s="100">
        <v>0</v>
      </c>
      <c r="AY87" s="100">
        <v>0</v>
      </c>
      <c r="AZ87" s="100">
        <v>0</v>
      </c>
      <c r="BA87" s="100">
        <v>0</v>
      </c>
      <c r="BB87" s="100">
        <v>0</v>
      </c>
      <c r="BC87" s="100">
        <v>0</v>
      </c>
      <c r="BD87" s="100">
        <v>0</v>
      </c>
      <c r="BE87" s="100">
        <v>0</v>
      </c>
      <c r="BF87" s="100">
        <v>0</v>
      </c>
      <c r="BG87" s="100">
        <v>0</v>
      </c>
      <c r="BH87" s="100">
        <v>0</v>
      </c>
      <c r="BI87" s="100">
        <v>0</v>
      </c>
      <c r="BJ87" s="100">
        <v>0</v>
      </c>
      <c r="BK87" s="100">
        <v>0</v>
      </c>
      <c r="BL87" s="100">
        <v>0</v>
      </c>
      <c r="BM87" s="100">
        <v>0</v>
      </c>
      <c r="BN87" s="100">
        <v>0</v>
      </c>
      <c r="BO87" s="100">
        <v>0</v>
      </c>
      <c r="BP87" s="100">
        <v>0</v>
      </c>
      <c r="BQ87" s="100">
        <v>0</v>
      </c>
      <c r="BR87" s="100">
        <v>0</v>
      </c>
      <c r="BS87" s="100"/>
      <c r="BT87" s="100"/>
      <c r="BU87" s="112">
        <f>SUM(E87:AL87)</f>
        <v>0</v>
      </c>
      <c r="BV87" s="114"/>
    </row>
    <row r="88" spans="1:74" hidden="1" x14ac:dyDescent="0.2">
      <c r="A88" s="137" t="s">
        <v>163</v>
      </c>
      <c r="B88" s="107" t="s">
        <v>190</v>
      </c>
      <c r="C88" s="110"/>
      <c r="D88" s="111" t="s">
        <v>16</v>
      </c>
      <c r="E88" s="99"/>
      <c r="F88" s="99"/>
      <c r="G88" s="99"/>
      <c r="H88" s="99"/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Z88" s="99">
        <v>0</v>
      </c>
      <c r="AA88" s="99">
        <v>0</v>
      </c>
      <c r="AB88" s="99">
        <v>0</v>
      </c>
      <c r="AC88" s="99">
        <v>0</v>
      </c>
      <c r="AD88" s="99">
        <v>0</v>
      </c>
      <c r="AE88" s="99">
        <v>0</v>
      </c>
      <c r="AF88" s="99">
        <v>0</v>
      </c>
      <c r="AG88" s="99">
        <v>0</v>
      </c>
      <c r="AH88" s="99">
        <v>0</v>
      </c>
      <c r="AI88" s="99">
        <v>0</v>
      </c>
      <c r="AJ88" s="99">
        <v>0</v>
      </c>
      <c r="AK88" s="99">
        <v>0</v>
      </c>
      <c r="AL88" s="99">
        <v>0</v>
      </c>
      <c r="AM88" s="99">
        <v>0</v>
      </c>
      <c r="AN88" s="100">
        <v>0</v>
      </c>
      <c r="AO88" s="100">
        <v>0</v>
      </c>
      <c r="AP88" s="100">
        <v>0</v>
      </c>
      <c r="AQ88" s="100">
        <v>0</v>
      </c>
      <c r="AR88" s="100">
        <v>0</v>
      </c>
      <c r="AS88" s="100">
        <v>0</v>
      </c>
      <c r="AT88" s="100">
        <v>0</v>
      </c>
      <c r="AU88" s="100">
        <v>0</v>
      </c>
      <c r="AV88" s="100">
        <v>0</v>
      </c>
      <c r="AW88" s="100">
        <v>0</v>
      </c>
      <c r="AX88" s="100">
        <v>0</v>
      </c>
      <c r="AY88" s="100">
        <v>0</v>
      </c>
      <c r="AZ88" s="100">
        <v>0</v>
      </c>
      <c r="BA88" s="100">
        <v>0</v>
      </c>
      <c r="BB88" s="100">
        <v>0</v>
      </c>
      <c r="BC88" s="100">
        <v>0</v>
      </c>
      <c r="BD88" s="100">
        <v>0</v>
      </c>
      <c r="BE88" s="100">
        <v>0</v>
      </c>
      <c r="BF88" s="100">
        <v>0</v>
      </c>
      <c r="BG88" s="100">
        <v>0</v>
      </c>
      <c r="BH88" s="100">
        <v>0</v>
      </c>
      <c r="BI88" s="100">
        <v>0</v>
      </c>
      <c r="BJ88" s="100">
        <v>0</v>
      </c>
      <c r="BK88" s="100">
        <v>0</v>
      </c>
      <c r="BL88" s="100">
        <v>0</v>
      </c>
      <c r="BM88" s="100">
        <v>0</v>
      </c>
      <c r="BN88" s="100">
        <v>0</v>
      </c>
      <c r="BO88" s="100">
        <v>0</v>
      </c>
      <c r="BP88" s="100">
        <v>0</v>
      </c>
      <c r="BQ88" s="100">
        <v>0</v>
      </c>
      <c r="BR88" s="100">
        <v>0</v>
      </c>
      <c r="BS88" s="100"/>
      <c r="BT88" s="100"/>
      <c r="BU88" s="112">
        <f>SUM(E88:AL88)</f>
        <v>0</v>
      </c>
      <c r="BV88" s="114"/>
    </row>
    <row r="89" spans="1:74" hidden="1" x14ac:dyDescent="0.2">
      <c r="A89" s="137" t="s">
        <v>166</v>
      </c>
      <c r="B89" s="107" t="s">
        <v>191</v>
      </c>
      <c r="C89" s="110"/>
      <c r="D89" s="111" t="s">
        <v>16</v>
      </c>
      <c r="E89" s="99"/>
      <c r="F89" s="99"/>
      <c r="G89" s="99"/>
      <c r="H89" s="99"/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Z89" s="99">
        <v>0</v>
      </c>
      <c r="AA89" s="99">
        <v>0</v>
      </c>
      <c r="AB89" s="99">
        <v>0</v>
      </c>
      <c r="AC89" s="99">
        <v>0</v>
      </c>
      <c r="AD89" s="99">
        <v>0</v>
      </c>
      <c r="AE89" s="99">
        <v>0</v>
      </c>
      <c r="AF89" s="99">
        <v>0</v>
      </c>
      <c r="AG89" s="99">
        <v>0</v>
      </c>
      <c r="AH89" s="99">
        <v>0</v>
      </c>
      <c r="AI89" s="99">
        <v>0</v>
      </c>
      <c r="AJ89" s="99">
        <v>0</v>
      </c>
      <c r="AK89" s="99">
        <v>0</v>
      </c>
      <c r="AL89" s="99">
        <v>0</v>
      </c>
      <c r="AM89" s="99">
        <v>0</v>
      </c>
      <c r="AN89" s="100">
        <v>0</v>
      </c>
      <c r="AO89" s="100">
        <v>0</v>
      </c>
      <c r="AP89" s="100">
        <v>0</v>
      </c>
      <c r="AQ89" s="100">
        <v>0</v>
      </c>
      <c r="AR89" s="100">
        <v>0</v>
      </c>
      <c r="AS89" s="100">
        <v>0</v>
      </c>
      <c r="AT89" s="100">
        <v>0</v>
      </c>
      <c r="AU89" s="100">
        <v>0</v>
      </c>
      <c r="AV89" s="100">
        <v>0</v>
      </c>
      <c r="AW89" s="100">
        <v>0</v>
      </c>
      <c r="AX89" s="100">
        <v>0</v>
      </c>
      <c r="AY89" s="100">
        <v>0</v>
      </c>
      <c r="AZ89" s="100">
        <v>0</v>
      </c>
      <c r="BA89" s="100">
        <v>0</v>
      </c>
      <c r="BB89" s="100">
        <v>0</v>
      </c>
      <c r="BC89" s="100">
        <v>0</v>
      </c>
      <c r="BD89" s="100">
        <v>0</v>
      </c>
      <c r="BE89" s="100">
        <v>0</v>
      </c>
      <c r="BF89" s="100">
        <v>0</v>
      </c>
      <c r="BG89" s="100">
        <v>0</v>
      </c>
      <c r="BH89" s="100">
        <v>0</v>
      </c>
      <c r="BI89" s="100">
        <v>0</v>
      </c>
      <c r="BJ89" s="100">
        <v>0</v>
      </c>
      <c r="BK89" s="100">
        <v>0</v>
      </c>
      <c r="BL89" s="100">
        <v>0</v>
      </c>
      <c r="BM89" s="100">
        <v>0</v>
      </c>
      <c r="BN89" s="100">
        <v>0</v>
      </c>
      <c r="BO89" s="100">
        <v>0</v>
      </c>
      <c r="BP89" s="100">
        <v>0</v>
      </c>
      <c r="BQ89" s="100">
        <v>0</v>
      </c>
      <c r="BR89" s="100">
        <v>0</v>
      </c>
      <c r="BS89" s="100"/>
      <c r="BT89" s="100"/>
      <c r="BU89" s="112">
        <f>SUM(E89:AL89)</f>
        <v>0</v>
      </c>
      <c r="BV89" s="114"/>
    </row>
    <row r="90" spans="1:74" hidden="1" x14ac:dyDescent="0.2">
      <c r="A90" s="137" t="s">
        <v>179</v>
      </c>
      <c r="B90" s="107" t="s">
        <v>194</v>
      </c>
      <c r="C90" s="110"/>
      <c r="D90" s="111" t="s">
        <v>16</v>
      </c>
      <c r="E90" s="99"/>
      <c r="F90" s="99"/>
      <c r="G90" s="99"/>
      <c r="H90" s="99"/>
      <c r="I90" s="99">
        <v>0</v>
      </c>
      <c r="J90" s="99">
        <v>0</v>
      </c>
      <c r="K90" s="99">
        <v>0</v>
      </c>
      <c r="L90" s="99">
        <v>0</v>
      </c>
      <c r="M90" s="99">
        <v>0</v>
      </c>
      <c r="N90" s="99">
        <v>0</v>
      </c>
      <c r="O90" s="99">
        <v>0</v>
      </c>
      <c r="P90" s="99">
        <v>0</v>
      </c>
      <c r="Q90" s="99">
        <v>0</v>
      </c>
      <c r="R90" s="99">
        <v>0</v>
      </c>
      <c r="S90" s="99">
        <v>0</v>
      </c>
      <c r="T90" s="99">
        <v>0</v>
      </c>
      <c r="U90" s="99">
        <v>0</v>
      </c>
      <c r="V90" s="99">
        <v>0</v>
      </c>
      <c r="W90" s="99">
        <v>0</v>
      </c>
      <c r="X90" s="99">
        <v>0</v>
      </c>
      <c r="Y90" s="99">
        <v>0</v>
      </c>
      <c r="Z90" s="99">
        <v>0</v>
      </c>
      <c r="AA90" s="99">
        <v>0</v>
      </c>
      <c r="AB90" s="99">
        <v>0</v>
      </c>
      <c r="AC90" s="99">
        <v>0</v>
      </c>
      <c r="AD90" s="99">
        <v>0</v>
      </c>
      <c r="AE90" s="99">
        <v>0</v>
      </c>
      <c r="AF90" s="99">
        <v>0</v>
      </c>
      <c r="AG90" s="99">
        <v>0</v>
      </c>
      <c r="AH90" s="99">
        <v>0</v>
      </c>
      <c r="AI90" s="99">
        <v>0</v>
      </c>
      <c r="AJ90" s="99">
        <v>0</v>
      </c>
      <c r="AK90" s="99">
        <v>0</v>
      </c>
      <c r="AL90" s="99">
        <v>0</v>
      </c>
      <c r="AM90" s="99">
        <v>0</v>
      </c>
      <c r="AN90" s="100">
        <v>0</v>
      </c>
      <c r="AO90" s="100">
        <v>0</v>
      </c>
      <c r="AP90" s="100">
        <v>0</v>
      </c>
      <c r="AQ90" s="100">
        <v>0</v>
      </c>
      <c r="AR90" s="100">
        <v>0</v>
      </c>
      <c r="AS90" s="100">
        <v>0</v>
      </c>
      <c r="AT90" s="100">
        <v>0</v>
      </c>
      <c r="AU90" s="100">
        <v>0</v>
      </c>
      <c r="AV90" s="100">
        <v>0</v>
      </c>
      <c r="AW90" s="100">
        <v>0</v>
      </c>
      <c r="AX90" s="100">
        <v>0</v>
      </c>
      <c r="AY90" s="100">
        <v>0</v>
      </c>
      <c r="AZ90" s="100">
        <v>0</v>
      </c>
      <c r="BA90" s="100">
        <v>0</v>
      </c>
      <c r="BB90" s="100">
        <v>0</v>
      </c>
      <c r="BC90" s="100">
        <v>0</v>
      </c>
      <c r="BD90" s="100">
        <v>0</v>
      </c>
      <c r="BE90" s="100">
        <v>0</v>
      </c>
      <c r="BF90" s="100">
        <v>0</v>
      </c>
      <c r="BG90" s="100">
        <v>0</v>
      </c>
      <c r="BH90" s="100">
        <v>0</v>
      </c>
      <c r="BI90" s="100">
        <v>0</v>
      </c>
      <c r="BJ90" s="100">
        <v>0</v>
      </c>
      <c r="BK90" s="100">
        <v>0</v>
      </c>
      <c r="BL90" s="100">
        <v>0</v>
      </c>
      <c r="BM90" s="100">
        <v>0</v>
      </c>
      <c r="BN90" s="100">
        <v>0</v>
      </c>
      <c r="BO90" s="100">
        <v>0</v>
      </c>
      <c r="BP90" s="100">
        <v>0</v>
      </c>
      <c r="BQ90" s="100">
        <v>0</v>
      </c>
      <c r="BR90" s="100">
        <v>0</v>
      </c>
      <c r="BS90" s="100"/>
      <c r="BT90" s="100"/>
      <c r="BU90" s="112">
        <f>SUM(E90:AL90)</f>
        <v>0</v>
      </c>
      <c r="BV90" s="114"/>
    </row>
    <row r="91" spans="1:74" hidden="1" x14ac:dyDescent="0.2">
      <c r="A91" s="140"/>
      <c r="B91" s="107" t="s">
        <v>192</v>
      </c>
      <c r="C91" s="110"/>
      <c r="D91" s="111" t="s">
        <v>16</v>
      </c>
      <c r="E91" s="141">
        <f t="shared" ref="E91:BU91" si="28">SUM(E86:E90)</f>
        <v>0</v>
      </c>
      <c r="F91" s="141">
        <f t="shared" si="28"/>
        <v>0</v>
      </c>
      <c r="G91" s="141">
        <f t="shared" si="28"/>
        <v>0</v>
      </c>
      <c r="H91" s="141">
        <f t="shared" si="28"/>
        <v>0</v>
      </c>
      <c r="I91" s="141">
        <f t="shared" si="28"/>
        <v>0</v>
      </c>
      <c r="J91" s="141">
        <f t="shared" si="28"/>
        <v>0</v>
      </c>
      <c r="K91" s="141">
        <f t="shared" si="28"/>
        <v>0</v>
      </c>
      <c r="L91" s="141">
        <f t="shared" ref="L91:AK91" si="29">SUM(L86:L90)</f>
        <v>0</v>
      </c>
      <c r="M91" s="141">
        <f t="shared" si="29"/>
        <v>0</v>
      </c>
      <c r="N91" s="141">
        <f t="shared" si="29"/>
        <v>0</v>
      </c>
      <c r="O91" s="141">
        <f t="shared" si="29"/>
        <v>0</v>
      </c>
      <c r="P91" s="141">
        <f t="shared" si="29"/>
        <v>0</v>
      </c>
      <c r="Q91" s="141">
        <f t="shared" si="29"/>
        <v>0</v>
      </c>
      <c r="R91" s="141">
        <f t="shared" si="29"/>
        <v>0</v>
      </c>
      <c r="S91" s="141">
        <f t="shared" si="29"/>
        <v>0</v>
      </c>
      <c r="T91" s="141">
        <f t="shared" si="29"/>
        <v>0</v>
      </c>
      <c r="U91" s="141">
        <f t="shared" si="29"/>
        <v>0</v>
      </c>
      <c r="V91" s="141">
        <f t="shared" si="29"/>
        <v>0</v>
      </c>
      <c r="W91" s="141">
        <f t="shared" si="29"/>
        <v>0</v>
      </c>
      <c r="X91" s="141">
        <f t="shared" si="29"/>
        <v>0</v>
      </c>
      <c r="Y91" s="141">
        <f t="shared" si="29"/>
        <v>0</v>
      </c>
      <c r="Z91" s="141">
        <f t="shared" si="29"/>
        <v>0</v>
      </c>
      <c r="AA91" s="141">
        <f t="shared" si="29"/>
        <v>0</v>
      </c>
      <c r="AB91" s="141">
        <f t="shared" si="29"/>
        <v>0</v>
      </c>
      <c r="AC91" s="141">
        <f t="shared" si="29"/>
        <v>0</v>
      </c>
      <c r="AD91" s="141">
        <f t="shared" si="29"/>
        <v>0</v>
      </c>
      <c r="AE91" s="141">
        <f t="shared" si="29"/>
        <v>0</v>
      </c>
      <c r="AF91" s="141">
        <f t="shared" si="29"/>
        <v>0</v>
      </c>
      <c r="AG91" s="141">
        <f t="shared" si="29"/>
        <v>0</v>
      </c>
      <c r="AH91" s="141">
        <f t="shared" si="29"/>
        <v>0</v>
      </c>
      <c r="AI91" s="141">
        <f t="shared" si="29"/>
        <v>0</v>
      </c>
      <c r="AJ91" s="141">
        <f t="shared" ref="AJ91" si="30">SUM(AJ86:AJ90)</f>
        <v>0</v>
      </c>
      <c r="AK91" s="141">
        <f t="shared" si="29"/>
        <v>0</v>
      </c>
      <c r="AL91" s="141">
        <f t="shared" si="28"/>
        <v>0</v>
      </c>
      <c r="AM91" s="141">
        <f t="shared" si="28"/>
        <v>0</v>
      </c>
      <c r="AN91" s="141">
        <f t="shared" si="28"/>
        <v>0</v>
      </c>
      <c r="AO91" s="142">
        <v>0</v>
      </c>
      <c r="AP91" s="142">
        <v>0</v>
      </c>
      <c r="AQ91" s="142">
        <v>0</v>
      </c>
      <c r="AR91" s="142">
        <v>0</v>
      </c>
      <c r="AS91" s="142">
        <v>0</v>
      </c>
      <c r="AT91" s="142">
        <v>0</v>
      </c>
      <c r="AU91" s="142">
        <v>0</v>
      </c>
      <c r="AV91" s="142">
        <v>0</v>
      </c>
      <c r="AW91" s="142">
        <v>0</v>
      </c>
      <c r="AX91" s="142">
        <v>0</v>
      </c>
      <c r="AY91" s="142">
        <v>0</v>
      </c>
      <c r="AZ91" s="142">
        <v>0</v>
      </c>
      <c r="BA91" s="142">
        <v>0</v>
      </c>
      <c r="BB91" s="142">
        <v>0</v>
      </c>
      <c r="BC91" s="142">
        <v>0</v>
      </c>
      <c r="BD91" s="142">
        <v>0</v>
      </c>
      <c r="BE91" s="142">
        <v>0</v>
      </c>
      <c r="BF91" s="142">
        <v>0</v>
      </c>
      <c r="BG91" s="142">
        <v>0</v>
      </c>
      <c r="BH91" s="142">
        <v>0</v>
      </c>
      <c r="BI91" s="142">
        <v>0</v>
      </c>
      <c r="BJ91" s="142">
        <v>0</v>
      </c>
      <c r="BK91" s="142">
        <v>0</v>
      </c>
      <c r="BL91" s="142">
        <v>0</v>
      </c>
      <c r="BM91" s="142">
        <v>0</v>
      </c>
      <c r="BN91" s="142">
        <v>0</v>
      </c>
      <c r="BO91" s="142">
        <v>0</v>
      </c>
      <c r="BP91" s="142">
        <v>0</v>
      </c>
      <c r="BQ91" s="142">
        <v>0</v>
      </c>
      <c r="BR91" s="142">
        <v>0</v>
      </c>
      <c r="BS91" s="142"/>
      <c r="BT91" s="142"/>
      <c r="BU91" s="112">
        <f t="shared" si="28"/>
        <v>0</v>
      </c>
    </row>
    <row r="92" spans="1:74" hidden="1" x14ac:dyDescent="0.2">
      <c r="A92" s="140"/>
      <c r="B92" s="107" t="s">
        <v>195</v>
      </c>
      <c r="C92" s="110"/>
      <c r="D92" s="111" t="s">
        <v>16</v>
      </c>
      <c r="E92" s="141">
        <f t="shared" ref="E92:BU92" si="31">E84+E91</f>
        <v>0</v>
      </c>
      <c r="F92" s="141">
        <f t="shared" si="31"/>
        <v>0</v>
      </c>
      <c r="G92" s="141">
        <f t="shared" si="31"/>
        <v>0</v>
      </c>
      <c r="H92" s="141">
        <f t="shared" si="31"/>
        <v>0</v>
      </c>
      <c r="I92" s="141">
        <f t="shared" si="31"/>
        <v>1.6</v>
      </c>
      <c r="J92" s="141">
        <f t="shared" si="31"/>
        <v>3.5</v>
      </c>
      <c r="K92" s="141">
        <f t="shared" si="31"/>
        <v>12</v>
      </c>
      <c r="L92" s="141">
        <f t="shared" ref="L92:AK92" si="32">L84+L91</f>
        <v>26.5</v>
      </c>
      <c r="M92" s="141">
        <f t="shared" si="32"/>
        <v>26.5</v>
      </c>
      <c r="N92" s="141">
        <f t="shared" si="32"/>
        <v>26.5</v>
      </c>
      <c r="O92" s="141">
        <f t="shared" si="32"/>
        <v>26.5</v>
      </c>
      <c r="P92" s="141">
        <f t="shared" si="32"/>
        <v>26.5</v>
      </c>
      <c r="Q92" s="141">
        <f t="shared" si="32"/>
        <v>26.5</v>
      </c>
      <c r="R92" s="141">
        <f t="shared" si="32"/>
        <v>26.5</v>
      </c>
      <c r="S92" s="141">
        <f t="shared" si="32"/>
        <v>26.5</v>
      </c>
      <c r="T92" s="141">
        <f t="shared" si="32"/>
        <v>26.5</v>
      </c>
      <c r="U92" s="141">
        <f t="shared" si="32"/>
        <v>26.5</v>
      </c>
      <c r="V92" s="141">
        <f t="shared" si="32"/>
        <v>26.5</v>
      </c>
      <c r="W92" s="141">
        <f t="shared" si="32"/>
        <v>26.5</v>
      </c>
      <c r="X92" s="141">
        <f t="shared" si="32"/>
        <v>26.5</v>
      </c>
      <c r="Y92" s="141">
        <f t="shared" si="32"/>
        <v>26.5</v>
      </c>
      <c r="Z92" s="141">
        <f t="shared" si="32"/>
        <v>26.5</v>
      </c>
      <c r="AA92" s="141">
        <f t="shared" si="32"/>
        <v>26.5</v>
      </c>
      <c r="AB92" s="141">
        <f t="shared" si="32"/>
        <v>26.5</v>
      </c>
      <c r="AC92" s="141">
        <f t="shared" si="32"/>
        <v>26.5</v>
      </c>
      <c r="AD92" s="141">
        <f t="shared" si="32"/>
        <v>26.5</v>
      </c>
      <c r="AE92" s="141">
        <f t="shared" si="32"/>
        <v>26.5</v>
      </c>
      <c r="AF92" s="141">
        <f t="shared" si="32"/>
        <v>26.5</v>
      </c>
      <c r="AG92" s="141">
        <f t="shared" si="32"/>
        <v>26.5</v>
      </c>
      <c r="AH92" s="141">
        <f t="shared" si="32"/>
        <v>26.5</v>
      </c>
      <c r="AI92" s="141">
        <f t="shared" si="32"/>
        <v>26.5</v>
      </c>
      <c r="AJ92" s="141">
        <f t="shared" ref="AJ92" si="33">AJ84+AJ91</f>
        <v>26.5</v>
      </c>
      <c r="AK92" s="141">
        <f t="shared" si="32"/>
        <v>26.5</v>
      </c>
      <c r="AL92" s="141">
        <f t="shared" si="31"/>
        <v>12</v>
      </c>
      <c r="AM92" s="141">
        <f t="shared" si="31"/>
        <v>17.5</v>
      </c>
      <c r="AN92" s="141">
        <f t="shared" si="31"/>
        <v>26</v>
      </c>
      <c r="AO92" s="141">
        <f t="shared" si="31"/>
        <v>35</v>
      </c>
      <c r="AP92" s="141">
        <f t="shared" si="31"/>
        <v>20.5</v>
      </c>
      <c r="AQ92" s="141">
        <f t="shared" si="31"/>
        <v>32.5</v>
      </c>
      <c r="AR92" s="141">
        <f t="shared" si="31"/>
        <v>47</v>
      </c>
      <c r="AS92" s="141">
        <f t="shared" si="31"/>
        <v>53</v>
      </c>
      <c r="AT92" s="141">
        <f t="shared" si="31"/>
        <v>53</v>
      </c>
      <c r="AU92" s="141">
        <f t="shared" si="31"/>
        <v>53</v>
      </c>
      <c r="AV92" s="141">
        <f t="shared" si="31"/>
        <v>53</v>
      </c>
      <c r="AW92" s="141">
        <f t="shared" si="31"/>
        <v>53</v>
      </c>
      <c r="AX92" s="141">
        <f t="shared" si="31"/>
        <v>53</v>
      </c>
      <c r="AY92" s="141">
        <f t="shared" si="31"/>
        <v>53</v>
      </c>
      <c r="AZ92" s="141">
        <f t="shared" si="31"/>
        <v>53</v>
      </c>
      <c r="BA92" s="141">
        <f t="shared" si="31"/>
        <v>53</v>
      </c>
      <c r="BB92" s="141">
        <f t="shared" si="31"/>
        <v>53</v>
      </c>
      <c r="BC92" s="141">
        <f t="shared" si="31"/>
        <v>53</v>
      </c>
      <c r="BD92" s="141">
        <f t="shared" si="31"/>
        <v>53</v>
      </c>
      <c r="BE92" s="141">
        <f t="shared" si="31"/>
        <v>53</v>
      </c>
      <c r="BF92" s="141">
        <f t="shared" si="31"/>
        <v>53</v>
      </c>
      <c r="BG92" s="141">
        <f t="shared" si="31"/>
        <v>53</v>
      </c>
      <c r="BH92" s="141">
        <f t="shared" si="31"/>
        <v>53</v>
      </c>
      <c r="BI92" s="141">
        <f t="shared" si="31"/>
        <v>53</v>
      </c>
      <c r="BJ92" s="141">
        <f t="shared" si="31"/>
        <v>53</v>
      </c>
      <c r="BK92" s="141">
        <f t="shared" si="31"/>
        <v>53</v>
      </c>
      <c r="BL92" s="141">
        <f t="shared" si="31"/>
        <v>53</v>
      </c>
      <c r="BM92" s="141">
        <f t="shared" si="31"/>
        <v>53</v>
      </c>
      <c r="BN92" s="141">
        <f t="shared" si="31"/>
        <v>53</v>
      </c>
      <c r="BO92" s="141">
        <f t="shared" si="31"/>
        <v>53</v>
      </c>
      <c r="BP92" s="141">
        <f t="shared" si="31"/>
        <v>53</v>
      </c>
      <c r="BQ92" s="141">
        <f t="shared" si="31"/>
        <v>53</v>
      </c>
      <c r="BR92" s="141">
        <f t="shared" si="31"/>
        <v>53</v>
      </c>
      <c r="BS92" s="142"/>
      <c r="BT92" s="142"/>
      <c r="BU92" s="112">
        <f t="shared" si="31"/>
        <v>2274.6</v>
      </c>
    </row>
    <row r="93" spans="1:74" ht="21" hidden="1" thickBot="1" x14ac:dyDescent="0.25">
      <c r="A93" s="144"/>
      <c r="B93" s="145" t="s">
        <v>11</v>
      </c>
      <c r="C93" s="146"/>
      <c r="D93" s="147" t="s">
        <v>196</v>
      </c>
      <c r="E93" s="148">
        <f>E97</f>
        <v>0</v>
      </c>
      <c r="F93" s="148">
        <f t="shared" ref="F93:BR93" si="34">F97</f>
        <v>0</v>
      </c>
      <c r="G93" s="148">
        <v>12.5</v>
      </c>
      <c r="H93" s="148">
        <f t="shared" si="34"/>
        <v>0</v>
      </c>
      <c r="I93" s="148">
        <f t="shared" si="34"/>
        <v>26</v>
      </c>
      <c r="J93" s="148">
        <f t="shared" si="34"/>
        <v>17</v>
      </c>
      <c r="K93" s="148">
        <f t="shared" si="34"/>
        <v>17</v>
      </c>
      <c r="L93" s="148">
        <f t="shared" ref="L93:AK93" si="35">L97</f>
        <v>17</v>
      </c>
      <c r="M93" s="148">
        <f t="shared" si="35"/>
        <v>17</v>
      </c>
      <c r="N93" s="148">
        <f t="shared" si="35"/>
        <v>17</v>
      </c>
      <c r="O93" s="148">
        <f t="shared" si="35"/>
        <v>17</v>
      </c>
      <c r="P93" s="148">
        <f t="shared" si="35"/>
        <v>17</v>
      </c>
      <c r="Q93" s="148">
        <f t="shared" si="35"/>
        <v>17</v>
      </c>
      <c r="R93" s="148">
        <f t="shared" si="35"/>
        <v>17</v>
      </c>
      <c r="S93" s="148">
        <f t="shared" si="35"/>
        <v>17</v>
      </c>
      <c r="T93" s="148">
        <f t="shared" si="35"/>
        <v>17</v>
      </c>
      <c r="U93" s="148">
        <f t="shared" si="35"/>
        <v>17</v>
      </c>
      <c r="V93" s="148">
        <f t="shared" si="35"/>
        <v>17</v>
      </c>
      <c r="W93" s="148">
        <f t="shared" si="35"/>
        <v>17</v>
      </c>
      <c r="X93" s="148">
        <f t="shared" si="35"/>
        <v>17</v>
      </c>
      <c r="Y93" s="148">
        <f t="shared" si="35"/>
        <v>17</v>
      </c>
      <c r="Z93" s="148">
        <f t="shared" si="35"/>
        <v>17</v>
      </c>
      <c r="AA93" s="148">
        <f t="shared" si="35"/>
        <v>17</v>
      </c>
      <c r="AB93" s="148">
        <f t="shared" si="35"/>
        <v>17</v>
      </c>
      <c r="AC93" s="148">
        <f t="shared" si="35"/>
        <v>17</v>
      </c>
      <c r="AD93" s="148">
        <f t="shared" si="35"/>
        <v>17</v>
      </c>
      <c r="AE93" s="148">
        <f t="shared" si="35"/>
        <v>17</v>
      </c>
      <c r="AF93" s="148">
        <f t="shared" si="35"/>
        <v>17</v>
      </c>
      <c r="AG93" s="148">
        <f t="shared" si="35"/>
        <v>17</v>
      </c>
      <c r="AH93" s="148">
        <f t="shared" si="35"/>
        <v>17</v>
      </c>
      <c r="AI93" s="148">
        <f t="shared" si="35"/>
        <v>17</v>
      </c>
      <c r="AJ93" s="148">
        <f t="shared" ref="AJ93" si="36">AJ97</f>
        <v>17</v>
      </c>
      <c r="AK93" s="148">
        <f t="shared" si="35"/>
        <v>17</v>
      </c>
      <c r="AL93" s="148">
        <f t="shared" si="34"/>
        <v>17</v>
      </c>
      <c r="AM93" s="148">
        <f t="shared" si="34"/>
        <v>15</v>
      </c>
      <c r="AN93" s="148">
        <f t="shared" si="34"/>
        <v>15</v>
      </c>
      <c r="AO93" s="148">
        <f t="shared" si="34"/>
        <v>15</v>
      </c>
      <c r="AP93" s="148">
        <f t="shared" si="34"/>
        <v>13.2</v>
      </c>
      <c r="AQ93" s="148" t="e">
        <f t="shared" si="34"/>
        <v>#REF!</v>
      </c>
      <c r="AR93" s="148" t="e">
        <f t="shared" si="34"/>
        <v>#REF!</v>
      </c>
      <c r="AS93" s="148" t="e">
        <f t="shared" si="34"/>
        <v>#REF!</v>
      </c>
      <c r="AT93" s="148" t="e">
        <f t="shared" si="34"/>
        <v>#REF!</v>
      </c>
      <c r="AU93" s="148" t="e">
        <f t="shared" si="34"/>
        <v>#REF!</v>
      </c>
      <c r="AV93" s="148" t="e">
        <f t="shared" si="34"/>
        <v>#REF!</v>
      </c>
      <c r="AW93" s="148" t="e">
        <f t="shared" si="34"/>
        <v>#REF!</v>
      </c>
      <c r="AX93" s="148" t="e">
        <f t="shared" si="34"/>
        <v>#REF!</v>
      </c>
      <c r="AY93" s="148" t="e">
        <f t="shared" si="34"/>
        <v>#REF!</v>
      </c>
      <c r="AZ93" s="148" t="e">
        <f t="shared" si="34"/>
        <v>#REF!</v>
      </c>
      <c r="BA93" s="148" t="e">
        <f t="shared" si="34"/>
        <v>#REF!</v>
      </c>
      <c r="BB93" s="148" t="e">
        <f t="shared" si="34"/>
        <v>#REF!</v>
      </c>
      <c r="BC93" s="148" t="e">
        <f t="shared" si="34"/>
        <v>#REF!</v>
      </c>
      <c r="BD93" s="148" t="e">
        <f t="shared" si="34"/>
        <v>#REF!</v>
      </c>
      <c r="BE93" s="148" t="e">
        <f t="shared" si="34"/>
        <v>#REF!</v>
      </c>
      <c r="BF93" s="148" t="e">
        <f t="shared" si="34"/>
        <v>#REF!</v>
      </c>
      <c r="BG93" s="148" t="e">
        <f t="shared" si="34"/>
        <v>#REF!</v>
      </c>
      <c r="BH93" s="148" t="e">
        <f t="shared" si="34"/>
        <v>#REF!</v>
      </c>
      <c r="BI93" s="148" t="e">
        <f t="shared" si="34"/>
        <v>#REF!</v>
      </c>
      <c r="BJ93" s="148" t="e">
        <f t="shared" si="34"/>
        <v>#REF!</v>
      </c>
      <c r="BK93" s="148" t="e">
        <f t="shared" si="34"/>
        <v>#REF!</v>
      </c>
      <c r="BL93" s="148" t="e">
        <f t="shared" si="34"/>
        <v>#REF!</v>
      </c>
      <c r="BM93" s="148" t="e">
        <f t="shared" si="34"/>
        <v>#REF!</v>
      </c>
      <c r="BN93" s="148" t="e">
        <f t="shared" si="34"/>
        <v>#REF!</v>
      </c>
      <c r="BO93" s="148" t="e">
        <f t="shared" si="34"/>
        <v>#REF!</v>
      </c>
      <c r="BP93" s="148" t="e">
        <f t="shared" si="34"/>
        <v>#REF!</v>
      </c>
      <c r="BQ93" s="148" t="e">
        <f t="shared" si="34"/>
        <v>#REF!</v>
      </c>
      <c r="BR93" s="148" t="e">
        <f t="shared" si="34"/>
        <v>#REF!</v>
      </c>
      <c r="BS93" s="149"/>
      <c r="BT93" s="149"/>
      <c r="BU93" s="150">
        <f>+BU97</f>
        <v>16.976470588235294</v>
      </c>
    </row>
    <row r="94" spans="1:74" ht="21" hidden="1" thickBot="1" x14ac:dyDescent="0.25">
      <c r="A94" s="151"/>
      <c r="B94" s="152"/>
      <c r="C94" s="153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49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2"/>
      <c r="BL94" s="152"/>
      <c r="BM94" s="152"/>
      <c r="BN94" s="152"/>
      <c r="BO94" s="152"/>
      <c r="BP94" s="152"/>
      <c r="BQ94" s="152"/>
      <c r="BR94" s="152"/>
      <c r="BS94" s="152"/>
      <c r="BT94" s="152"/>
      <c r="BU94" s="154"/>
    </row>
    <row r="95" spans="1:74" hidden="1" x14ac:dyDescent="0.2">
      <c r="A95" s="155" t="s">
        <v>197</v>
      </c>
      <c r="B95" s="156" t="s">
        <v>198</v>
      </c>
      <c r="C95" s="156"/>
      <c r="D95" s="157"/>
      <c r="E95" s="157"/>
      <c r="F95" s="158" t="s">
        <v>199</v>
      </c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  <c r="AN95" s="159"/>
      <c r="AO95" s="159"/>
      <c r="AP95" s="159"/>
      <c r="AQ95" s="159"/>
      <c r="AR95" s="159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  <c r="BF95" s="160"/>
      <c r="BG95" s="160"/>
      <c r="BH95" s="160"/>
      <c r="BI95" s="160"/>
      <c r="BJ95" s="160"/>
      <c r="BK95" s="160"/>
      <c r="BL95" s="160"/>
      <c r="BM95" s="160"/>
      <c r="BN95" s="160"/>
      <c r="BO95" s="160"/>
      <c r="BP95" s="160"/>
      <c r="BQ95" s="160"/>
      <c r="BR95" s="160"/>
      <c r="BS95" s="161"/>
      <c r="BT95" s="161"/>
      <c r="BU95" s="152"/>
    </row>
    <row r="96" spans="1:74" hidden="1" x14ac:dyDescent="0.2">
      <c r="A96" s="108"/>
      <c r="B96" s="129"/>
      <c r="C96" s="162"/>
      <c r="D96" s="111" t="s">
        <v>101</v>
      </c>
      <c r="E96" s="111">
        <v>1</v>
      </c>
      <c r="F96" s="111">
        <v>2</v>
      </c>
      <c r="G96" s="111">
        <v>3</v>
      </c>
      <c r="H96" s="111">
        <v>4</v>
      </c>
      <c r="I96" s="111">
        <v>5</v>
      </c>
      <c r="J96" s="111">
        <v>6</v>
      </c>
      <c r="K96" s="111">
        <v>7</v>
      </c>
      <c r="L96" s="111">
        <v>8</v>
      </c>
      <c r="M96" s="111">
        <v>8</v>
      </c>
      <c r="N96" s="111">
        <v>8</v>
      </c>
      <c r="O96" s="111">
        <v>8</v>
      </c>
      <c r="P96" s="111">
        <v>8</v>
      </c>
      <c r="Q96" s="111">
        <v>8</v>
      </c>
      <c r="R96" s="111">
        <v>8</v>
      </c>
      <c r="S96" s="111">
        <v>8</v>
      </c>
      <c r="T96" s="111">
        <v>8</v>
      </c>
      <c r="U96" s="111">
        <v>8</v>
      </c>
      <c r="V96" s="111">
        <v>8</v>
      </c>
      <c r="W96" s="111">
        <v>8</v>
      </c>
      <c r="X96" s="111">
        <v>8</v>
      </c>
      <c r="Y96" s="111">
        <v>8</v>
      </c>
      <c r="Z96" s="111">
        <v>8</v>
      </c>
      <c r="AA96" s="111">
        <v>8</v>
      </c>
      <c r="AB96" s="111">
        <v>8</v>
      </c>
      <c r="AC96" s="111">
        <v>8</v>
      </c>
      <c r="AD96" s="111">
        <v>8</v>
      </c>
      <c r="AE96" s="111">
        <v>8</v>
      </c>
      <c r="AF96" s="111">
        <v>8</v>
      </c>
      <c r="AG96" s="111">
        <v>8</v>
      </c>
      <c r="AH96" s="111">
        <v>8</v>
      </c>
      <c r="AI96" s="111">
        <v>8</v>
      </c>
      <c r="AJ96" s="111">
        <v>8</v>
      </c>
      <c r="AK96" s="111">
        <v>8</v>
      </c>
      <c r="AL96" s="111">
        <v>9</v>
      </c>
      <c r="AM96" s="111">
        <v>10</v>
      </c>
      <c r="AN96" s="163">
        <v>11</v>
      </c>
      <c r="AO96" s="163">
        <v>12</v>
      </c>
      <c r="AP96" s="163">
        <v>13</v>
      </c>
      <c r="AQ96" s="163">
        <v>14</v>
      </c>
      <c r="AR96" s="163">
        <v>15</v>
      </c>
      <c r="AS96" s="163">
        <v>16</v>
      </c>
      <c r="AT96" s="163">
        <v>16</v>
      </c>
      <c r="AU96" s="163">
        <v>16</v>
      </c>
      <c r="AV96" s="163">
        <v>16</v>
      </c>
      <c r="AW96" s="163">
        <v>16</v>
      </c>
      <c r="AX96" s="163">
        <v>16</v>
      </c>
      <c r="AY96" s="163">
        <v>16</v>
      </c>
      <c r="AZ96" s="163">
        <v>16</v>
      </c>
      <c r="BA96" s="163">
        <v>16</v>
      </c>
      <c r="BB96" s="163">
        <v>16</v>
      </c>
      <c r="BC96" s="163">
        <v>16</v>
      </c>
      <c r="BD96" s="163">
        <v>16</v>
      </c>
      <c r="BE96" s="163">
        <v>16</v>
      </c>
      <c r="BF96" s="163">
        <v>16</v>
      </c>
      <c r="BG96" s="163">
        <v>16</v>
      </c>
      <c r="BH96" s="163">
        <v>16</v>
      </c>
      <c r="BI96" s="163">
        <v>16</v>
      </c>
      <c r="BJ96" s="163">
        <v>16</v>
      </c>
      <c r="BK96" s="163">
        <v>16</v>
      </c>
      <c r="BL96" s="163">
        <v>16</v>
      </c>
      <c r="BM96" s="163">
        <v>16</v>
      </c>
      <c r="BN96" s="163">
        <v>16</v>
      </c>
      <c r="BO96" s="163">
        <v>16</v>
      </c>
      <c r="BP96" s="163">
        <v>16</v>
      </c>
      <c r="BQ96" s="163">
        <v>16</v>
      </c>
      <c r="BR96" s="163">
        <v>16</v>
      </c>
      <c r="BS96" s="163"/>
      <c r="BT96" s="163"/>
      <c r="BU96" s="164" t="s">
        <v>192</v>
      </c>
    </row>
    <row r="97" spans="1:73" hidden="1" x14ac:dyDescent="0.2">
      <c r="A97" s="137" t="s">
        <v>157</v>
      </c>
      <c r="B97" s="129" t="s">
        <v>200</v>
      </c>
      <c r="C97" s="162"/>
      <c r="D97" s="165" t="s">
        <v>196</v>
      </c>
      <c r="E97" s="118"/>
      <c r="F97" s="118"/>
      <c r="G97" s="118"/>
      <c r="H97" s="118"/>
      <c r="I97" s="118">
        <v>26</v>
      </c>
      <c r="J97" s="118">
        <v>17</v>
      </c>
      <c r="K97" s="118">
        <v>17</v>
      </c>
      <c r="L97" s="118">
        <v>17</v>
      </c>
      <c r="M97" s="118">
        <v>17</v>
      </c>
      <c r="N97" s="118">
        <v>17</v>
      </c>
      <c r="O97" s="118">
        <v>17</v>
      </c>
      <c r="P97" s="118">
        <v>17</v>
      </c>
      <c r="Q97" s="118">
        <v>17</v>
      </c>
      <c r="R97" s="118">
        <v>17</v>
      </c>
      <c r="S97" s="118">
        <v>17</v>
      </c>
      <c r="T97" s="118">
        <v>17</v>
      </c>
      <c r="U97" s="118">
        <v>17</v>
      </c>
      <c r="V97" s="118">
        <v>17</v>
      </c>
      <c r="W97" s="118">
        <v>17</v>
      </c>
      <c r="X97" s="118">
        <v>17</v>
      </c>
      <c r="Y97" s="118">
        <v>17</v>
      </c>
      <c r="Z97" s="118">
        <v>17</v>
      </c>
      <c r="AA97" s="118">
        <v>17</v>
      </c>
      <c r="AB97" s="118">
        <v>17</v>
      </c>
      <c r="AC97" s="118">
        <v>17</v>
      </c>
      <c r="AD97" s="118">
        <v>17</v>
      </c>
      <c r="AE97" s="118">
        <v>17</v>
      </c>
      <c r="AF97" s="118">
        <v>17</v>
      </c>
      <c r="AG97" s="118">
        <v>17</v>
      </c>
      <c r="AH97" s="118">
        <v>17</v>
      </c>
      <c r="AI97" s="118">
        <v>17</v>
      </c>
      <c r="AJ97" s="118">
        <v>17</v>
      </c>
      <c r="AK97" s="118">
        <v>17</v>
      </c>
      <c r="AL97" s="118">
        <v>17</v>
      </c>
      <c r="AM97" s="118">
        <v>15</v>
      </c>
      <c r="AN97" s="119">
        <v>15</v>
      </c>
      <c r="AO97" s="119">
        <v>15</v>
      </c>
      <c r="AP97" s="119">
        <v>13.2</v>
      </c>
      <c r="AQ97" s="119" t="e">
        <f>#REF!</f>
        <v>#REF!</v>
      </c>
      <c r="AR97" s="119" t="e">
        <f>#REF!</f>
        <v>#REF!</v>
      </c>
      <c r="AS97" s="119" t="e">
        <f>#REF!</f>
        <v>#REF!</v>
      </c>
      <c r="AT97" s="119" t="e">
        <f>#REF!</f>
        <v>#REF!</v>
      </c>
      <c r="AU97" s="119" t="e">
        <f>#REF!</f>
        <v>#REF!</v>
      </c>
      <c r="AV97" s="119" t="e">
        <f>#REF!</f>
        <v>#REF!</v>
      </c>
      <c r="AW97" s="119" t="e">
        <f>#REF!</f>
        <v>#REF!</v>
      </c>
      <c r="AX97" s="119" t="e">
        <f>#REF!</f>
        <v>#REF!</v>
      </c>
      <c r="AY97" s="119" t="e">
        <f>#REF!</f>
        <v>#REF!</v>
      </c>
      <c r="AZ97" s="119" t="e">
        <f>#REF!</f>
        <v>#REF!</v>
      </c>
      <c r="BA97" s="119" t="e">
        <f>#REF!</f>
        <v>#REF!</v>
      </c>
      <c r="BB97" s="119" t="e">
        <f>#REF!</f>
        <v>#REF!</v>
      </c>
      <c r="BC97" s="119" t="e">
        <f>#REF!</f>
        <v>#REF!</v>
      </c>
      <c r="BD97" s="119" t="e">
        <f>#REF!</f>
        <v>#REF!</v>
      </c>
      <c r="BE97" s="119" t="e">
        <f>#REF!</f>
        <v>#REF!</v>
      </c>
      <c r="BF97" s="119" t="e">
        <f>#REF!</f>
        <v>#REF!</v>
      </c>
      <c r="BG97" s="119" t="e">
        <f>#REF!</f>
        <v>#REF!</v>
      </c>
      <c r="BH97" s="119" t="e">
        <f>#REF!</f>
        <v>#REF!</v>
      </c>
      <c r="BI97" s="119" t="e">
        <f>#REF!</f>
        <v>#REF!</v>
      </c>
      <c r="BJ97" s="119" t="e">
        <f>#REF!</f>
        <v>#REF!</v>
      </c>
      <c r="BK97" s="119" t="e">
        <f>#REF!</f>
        <v>#REF!</v>
      </c>
      <c r="BL97" s="119" t="e">
        <f>#REF!</f>
        <v>#REF!</v>
      </c>
      <c r="BM97" s="119" t="e">
        <f>#REF!</f>
        <v>#REF!</v>
      </c>
      <c r="BN97" s="119" t="e">
        <f>#REF!</f>
        <v>#REF!</v>
      </c>
      <c r="BO97" s="119" t="e">
        <f>#REF!</f>
        <v>#REF!</v>
      </c>
      <c r="BP97" s="119" t="e">
        <f>#REF!</f>
        <v>#REF!</v>
      </c>
      <c r="BQ97" s="119" t="e">
        <f>#REF!</f>
        <v>#REF!</v>
      </c>
      <c r="BR97" s="119" t="e">
        <f>#REF!</f>
        <v>#REF!</v>
      </c>
      <c r="BS97" s="119"/>
      <c r="BT97" s="119"/>
      <c r="BU97" s="166">
        <f>AVERAGE(E97:AP97)</f>
        <v>16.976470588235294</v>
      </c>
    </row>
    <row r="98" spans="1:73" hidden="1" x14ac:dyDescent="0.2">
      <c r="A98" s="137" t="s">
        <v>160</v>
      </c>
      <c r="B98" s="129" t="s">
        <v>201</v>
      </c>
      <c r="C98" s="162"/>
      <c r="D98" s="165" t="s">
        <v>14</v>
      </c>
      <c r="E98" s="118"/>
      <c r="F98" s="118"/>
      <c r="G98" s="118"/>
      <c r="H98" s="118"/>
      <c r="I98" s="118">
        <v>2.85</v>
      </c>
      <c r="J98" s="118">
        <v>2.85</v>
      </c>
      <c r="K98" s="118">
        <v>2.85</v>
      </c>
      <c r="L98" s="118">
        <v>2.85</v>
      </c>
      <c r="M98" s="118">
        <v>2.85</v>
      </c>
      <c r="N98" s="118">
        <v>2.85</v>
      </c>
      <c r="O98" s="118">
        <v>2.85</v>
      </c>
      <c r="P98" s="118">
        <v>2.85</v>
      </c>
      <c r="Q98" s="118">
        <v>2.85</v>
      </c>
      <c r="R98" s="118">
        <v>2.85</v>
      </c>
      <c r="S98" s="118">
        <v>2.85</v>
      </c>
      <c r="T98" s="118">
        <v>2.85</v>
      </c>
      <c r="U98" s="118">
        <v>2.85</v>
      </c>
      <c r="V98" s="118">
        <v>2.85</v>
      </c>
      <c r="W98" s="118">
        <v>2.85</v>
      </c>
      <c r="X98" s="118">
        <v>2.85</v>
      </c>
      <c r="Y98" s="118">
        <v>2.85</v>
      </c>
      <c r="Z98" s="118">
        <v>2.85</v>
      </c>
      <c r="AA98" s="118">
        <v>2.85</v>
      </c>
      <c r="AB98" s="118">
        <v>2.85</v>
      </c>
      <c r="AC98" s="118">
        <v>2.85</v>
      </c>
      <c r="AD98" s="118">
        <v>2.85</v>
      </c>
      <c r="AE98" s="118">
        <v>2.85</v>
      </c>
      <c r="AF98" s="118">
        <v>2.85</v>
      </c>
      <c r="AG98" s="118">
        <v>2.85</v>
      </c>
      <c r="AH98" s="118">
        <v>2.85</v>
      </c>
      <c r="AI98" s="118">
        <v>2.85</v>
      </c>
      <c r="AJ98" s="118">
        <v>2.85</v>
      </c>
      <c r="AK98" s="118">
        <v>2.85</v>
      </c>
      <c r="AL98" s="118">
        <v>2.85</v>
      </c>
      <c r="AM98" s="118">
        <v>2.85</v>
      </c>
      <c r="AN98" s="119">
        <v>2.85</v>
      </c>
      <c r="AO98" s="119">
        <v>2.85</v>
      </c>
      <c r="AP98" s="119">
        <v>2.85</v>
      </c>
      <c r="AQ98" s="119">
        <v>2.85</v>
      </c>
      <c r="AR98" s="119">
        <v>2.85</v>
      </c>
      <c r="AS98" s="119">
        <v>2.85</v>
      </c>
      <c r="AT98" s="119">
        <v>2.85</v>
      </c>
      <c r="AU98" s="119">
        <v>2.85</v>
      </c>
      <c r="AV98" s="119">
        <v>2.85</v>
      </c>
      <c r="AW98" s="119">
        <v>2.85</v>
      </c>
      <c r="AX98" s="119">
        <v>2.85</v>
      </c>
      <c r="AY98" s="119">
        <v>2.85</v>
      </c>
      <c r="AZ98" s="119">
        <v>2.85</v>
      </c>
      <c r="BA98" s="119">
        <v>2.85</v>
      </c>
      <c r="BB98" s="119">
        <v>2.85</v>
      </c>
      <c r="BC98" s="119">
        <v>2.85</v>
      </c>
      <c r="BD98" s="119">
        <v>2.85</v>
      </c>
      <c r="BE98" s="119">
        <v>2.85</v>
      </c>
      <c r="BF98" s="119">
        <v>2.85</v>
      </c>
      <c r="BG98" s="119">
        <v>2.85</v>
      </c>
      <c r="BH98" s="119">
        <v>2.85</v>
      </c>
      <c r="BI98" s="119">
        <v>2.85</v>
      </c>
      <c r="BJ98" s="119">
        <v>2.85</v>
      </c>
      <c r="BK98" s="119">
        <v>2.85</v>
      </c>
      <c r="BL98" s="119">
        <v>2.85</v>
      </c>
      <c r="BM98" s="119">
        <v>2.85</v>
      </c>
      <c r="BN98" s="119">
        <v>2.85</v>
      </c>
      <c r="BO98" s="119">
        <v>2.85</v>
      </c>
      <c r="BP98" s="119">
        <v>2.85</v>
      </c>
      <c r="BQ98" s="119">
        <v>2.85</v>
      </c>
      <c r="BR98" s="119">
        <v>2.85</v>
      </c>
      <c r="BS98" s="119"/>
      <c r="BT98" s="119"/>
      <c r="BU98" s="166">
        <f>AVERAGE(E98:AL98)</f>
        <v>2.8499999999999996</v>
      </c>
    </row>
    <row r="99" spans="1:73" hidden="1" x14ac:dyDescent="0.2">
      <c r="A99" s="137" t="s">
        <v>163</v>
      </c>
      <c r="B99" s="129" t="s">
        <v>202</v>
      </c>
      <c r="C99" s="162"/>
      <c r="D99" s="165" t="s">
        <v>203</v>
      </c>
      <c r="E99" s="99"/>
      <c r="F99" s="99"/>
      <c r="G99" s="99"/>
      <c r="H99" s="99"/>
      <c r="I99" s="99" t="e">
        <f>#REF!</f>
        <v>#REF!</v>
      </c>
      <c r="J99" s="99" t="e">
        <f>#REF!</f>
        <v>#REF!</v>
      </c>
      <c r="K99" s="99" t="e">
        <f>#REF!</f>
        <v>#REF!</v>
      </c>
      <c r="L99" s="99" t="e">
        <f>#REF!</f>
        <v>#REF!</v>
      </c>
      <c r="M99" s="99" t="e">
        <f>#REF!</f>
        <v>#REF!</v>
      </c>
      <c r="N99" s="99" t="e">
        <f>#REF!</f>
        <v>#REF!</v>
      </c>
      <c r="O99" s="99" t="e">
        <f>#REF!</f>
        <v>#REF!</v>
      </c>
      <c r="P99" s="99" t="e">
        <f>#REF!</f>
        <v>#REF!</v>
      </c>
      <c r="Q99" s="99" t="e">
        <f>#REF!</f>
        <v>#REF!</v>
      </c>
      <c r="R99" s="99" t="e">
        <f>#REF!</f>
        <v>#REF!</v>
      </c>
      <c r="S99" s="99" t="e">
        <f>#REF!</f>
        <v>#REF!</v>
      </c>
      <c r="T99" s="99" t="e">
        <f>#REF!</f>
        <v>#REF!</v>
      </c>
      <c r="U99" s="99" t="e">
        <f>#REF!</f>
        <v>#REF!</v>
      </c>
      <c r="V99" s="99" t="e">
        <f>#REF!</f>
        <v>#REF!</v>
      </c>
      <c r="W99" s="99" t="e">
        <f>#REF!</f>
        <v>#REF!</v>
      </c>
      <c r="X99" s="99" t="e">
        <f>#REF!</f>
        <v>#REF!</v>
      </c>
      <c r="Y99" s="99" t="e">
        <f>#REF!</f>
        <v>#REF!</v>
      </c>
      <c r="Z99" s="99" t="e">
        <f>#REF!</f>
        <v>#REF!</v>
      </c>
      <c r="AA99" s="99" t="e">
        <f>#REF!</f>
        <v>#REF!</v>
      </c>
      <c r="AB99" s="99" t="e">
        <f>#REF!</f>
        <v>#REF!</v>
      </c>
      <c r="AC99" s="99" t="e">
        <f>#REF!</f>
        <v>#REF!</v>
      </c>
      <c r="AD99" s="99" t="e">
        <f>#REF!</f>
        <v>#REF!</v>
      </c>
      <c r="AE99" s="99" t="e">
        <f>#REF!</f>
        <v>#REF!</v>
      </c>
      <c r="AF99" s="99" t="e">
        <f>#REF!</f>
        <v>#REF!</v>
      </c>
      <c r="AG99" s="99" t="e">
        <f>#REF!</f>
        <v>#REF!</v>
      </c>
      <c r="AH99" s="99" t="e">
        <f>#REF!</f>
        <v>#REF!</v>
      </c>
      <c r="AI99" s="99" t="e">
        <f>#REF!</f>
        <v>#REF!</v>
      </c>
      <c r="AJ99" s="99" t="e">
        <f>#REF!</f>
        <v>#REF!</v>
      </c>
      <c r="AK99" s="99" t="e">
        <f>#REF!</f>
        <v>#REF!</v>
      </c>
      <c r="AL99" s="99" t="e">
        <f>#REF!</f>
        <v>#REF!</v>
      </c>
      <c r="AM99" s="99" t="e">
        <f>#REF!</f>
        <v>#REF!</v>
      </c>
      <c r="AN99" s="99" t="e">
        <f>#REF!</f>
        <v>#REF!</v>
      </c>
      <c r="AO99" s="100" t="e">
        <f>#REF!</f>
        <v>#REF!</v>
      </c>
      <c r="AP99" s="100" t="e">
        <f>#REF!</f>
        <v>#REF!</v>
      </c>
      <c r="AQ99" s="100" t="e">
        <f>#REF!</f>
        <v>#REF!</v>
      </c>
      <c r="AR99" s="100" t="e">
        <f>#REF!</f>
        <v>#REF!</v>
      </c>
      <c r="AS99" s="100" t="e">
        <f>#REF!</f>
        <v>#REF!</v>
      </c>
      <c r="AT99" s="100" t="e">
        <f>#REF!</f>
        <v>#REF!</v>
      </c>
      <c r="AU99" s="100" t="e">
        <f>#REF!</f>
        <v>#REF!</v>
      </c>
      <c r="AV99" s="100" t="e">
        <f>#REF!</f>
        <v>#REF!</v>
      </c>
      <c r="AW99" s="100" t="e">
        <f>#REF!</f>
        <v>#REF!</v>
      </c>
      <c r="AX99" s="100" t="e">
        <f>#REF!</f>
        <v>#REF!</v>
      </c>
      <c r="AY99" s="100" t="e">
        <f>#REF!</f>
        <v>#REF!</v>
      </c>
      <c r="AZ99" s="100" t="e">
        <f>#REF!</f>
        <v>#REF!</v>
      </c>
      <c r="BA99" s="100" t="e">
        <f>#REF!</f>
        <v>#REF!</v>
      </c>
      <c r="BB99" s="100" t="e">
        <f>#REF!</f>
        <v>#REF!</v>
      </c>
      <c r="BC99" s="100" t="e">
        <f>#REF!</f>
        <v>#REF!</v>
      </c>
      <c r="BD99" s="100" t="e">
        <f>#REF!</f>
        <v>#REF!</v>
      </c>
      <c r="BE99" s="100" t="e">
        <f>#REF!</f>
        <v>#REF!</v>
      </c>
      <c r="BF99" s="100" t="e">
        <f>#REF!</f>
        <v>#REF!</v>
      </c>
      <c r="BG99" s="100" t="e">
        <f>#REF!</f>
        <v>#REF!</v>
      </c>
      <c r="BH99" s="100" t="e">
        <f>#REF!</f>
        <v>#REF!</v>
      </c>
      <c r="BI99" s="100" t="e">
        <f>#REF!</f>
        <v>#REF!</v>
      </c>
      <c r="BJ99" s="100" t="e">
        <f>#REF!</f>
        <v>#REF!</v>
      </c>
      <c r="BK99" s="100" t="e">
        <f>#REF!</f>
        <v>#REF!</v>
      </c>
      <c r="BL99" s="100" t="e">
        <f>#REF!</f>
        <v>#REF!</v>
      </c>
      <c r="BM99" s="100" t="e">
        <f>#REF!</f>
        <v>#REF!</v>
      </c>
      <c r="BN99" s="100" t="e">
        <f>#REF!</f>
        <v>#REF!</v>
      </c>
      <c r="BO99" s="100" t="e">
        <f>#REF!</f>
        <v>#REF!</v>
      </c>
      <c r="BP99" s="100" t="e">
        <f>#REF!</f>
        <v>#REF!</v>
      </c>
      <c r="BQ99" s="100" t="e">
        <f>#REF!</f>
        <v>#REF!</v>
      </c>
      <c r="BR99" s="100" t="e">
        <f>#REF!</f>
        <v>#REF!</v>
      </c>
      <c r="BS99" s="100"/>
      <c r="BT99" s="100"/>
      <c r="BU99" s="166" t="e">
        <f>AVERAGE(E99:AP99)</f>
        <v>#REF!</v>
      </c>
    </row>
    <row r="100" spans="1:73" hidden="1" x14ac:dyDescent="0.2">
      <c r="A100" s="137" t="s">
        <v>166</v>
      </c>
      <c r="B100" s="129" t="s">
        <v>204</v>
      </c>
      <c r="C100" s="162"/>
      <c r="D100" s="165" t="s">
        <v>16</v>
      </c>
      <c r="E100" s="118"/>
      <c r="F100" s="118"/>
      <c r="G100" s="118"/>
      <c r="H100" s="118"/>
      <c r="I100" s="118">
        <f t="shared" ref="I100:BR100" si="37">+I92</f>
        <v>1.6</v>
      </c>
      <c r="J100" s="118">
        <f t="shared" si="37"/>
        <v>3.5</v>
      </c>
      <c r="K100" s="118">
        <f t="shared" si="37"/>
        <v>12</v>
      </c>
      <c r="L100" s="118">
        <f t="shared" ref="L100:AK100" si="38">+L92</f>
        <v>26.5</v>
      </c>
      <c r="M100" s="118">
        <f t="shared" si="38"/>
        <v>26.5</v>
      </c>
      <c r="N100" s="118">
        <f t="shared" si="38"/>
        <v>26.5</v>
      </c>
      <c r="O100" s="118">
        <f t="shared" si="38"/>
        <v>26.5</v>
      </c>
      <c r="P100" s="118">
        <f t="shared" si="38"/>
        <v>26.5</v>
      </c>
      <c r="Q100" s="118">
        <f t="shared" si="38"/>
        <v>26.5</v>
      </c>
      <c r="R100" s="118">
        <f t="shared" si="38"/>
        <v>26.5</v>
      </c>
      <c r="S100" s="118">
        <f t="shared" si="38"/>
        <v>26.5</v>
      </c>
      <c r="T100" s="118">
        <f t="shared" si="38"/>
        <v>26.5</v>
      </c>
      <c r="U100" s="118">
        <f t="shared" si="38"/>
        <v>26.5</v>
      </c>
      <c r="V100" s="118">
        <f t="shared" si="38"/>
        <v>26.5</v>
      </c>
      <c r="W100" s="118">
        <f t="shared" si="38"/>
        <v>26.5</v>
      </c>
      <c r="X100" s="118">
        <f t="shared" si="38"/>
        <v>26.5</v>
      </c>
      <c r="Y100" s="118">
        <f t="shared" si="38"/>
        <v>26.5</v>
      </c>
      <c r="Z100" s="118">
        <f t="shared" si="38"/>
        <v>26.5</v>
      </c>
      <c r="AA100" s="118">
        <f t="shared" si="38"/>
        <v>26.5</v>
      </c>
      <c r="AB100" s="118">
        <f t="shared" si="38"/>
        <v>26.5</v>
      </c>
      <c r="AC100" s="118">
        <f t="shared" si="38"/>
        <v>26.5</v>
      </c>
      <c r="AD100" s="118">
        <f t="shared" si="38"/>
        <v>26.5</v>
      </c>
      <c r="AE100" s="118">
        <f t="shared" si="38"/>
        <v>26.5</v>
      </c>
      <c r="AF100" s="118">
        <f t="shared" si="38"/>
        <v>26.5</v>
      </c>
      <c r="AG100" s="118">
        <f t="shared" si="38"/>
        <v>26.5</v>
      </c>
      <c r="AH100" s="118">
        <f t="shared" si="38"/>
        <v>26.5</v>
      </c>
      <c r="AI100" s="118">
        <f t="shared" si="38"/>
        <v>26.5</v>
      </c>
      <c r="AJ100" s="118">
        <f t="shared" ref="AJ100" si="39">+AJ92</f>
        <v>26.5</v>
      </c>
      <c r="AK100" s="118">
        <f t="shared" si="38"/>
        <v>26.5</v>
      </c>
      <c r="AL100" s="118">
        <f t="shared" si="37"/>
        <v>12</v>
      </c>
      <c r="AM100" s="118">
        <f t="shared" si="37"/>
        <v>17.5</v>
      </c>
      <c r="AN100" s="118">
        <f t="shared" si="37"/>
        <v>26</v>
      </c>
      <c r="AO100" s="118">
        <f t="shared" si="37"/>
        <v>35</v>
      </c>
      <c r="AP100" s="118">
        <f t="shared" si="37"/>
        <v>20.5</v>
      </c>
      <c r="AQ100" s="118">
        <f t="shared" si="37"/>
        <v>32.5</v>
      </c>
      <c r="AR100" s="118">
        <f t="shared" si="37"/>
        <v>47</v>
      </c>
      <c r="AS100" s="118">
        <f t="shared" si="37"/>
        <v>53</v>
      </c>
      <c r="AT100" s="118">
        <f t="shared" si="37"/>
        <v>53</v>
      </c>
      <c r="AU100" s="118">
        <f t="shared" si="37"/>
        <v>53</v>
      </c>
      <c r="AV100" s="118">
        <f t="shared" si="37"/>
        <v>53</v>
      </c>
      <c r="AW100" s="118">
        <f t="shared" si="37"/>
        <v>53</v>
      </c>
      <c r="AX100" s="118">
        <f t="shared" si="37"/>
        <v>53</v>
      </c>
      <c r="AY100" s="118">
        <f t="shared" si="37"/>
        <v>53</v>
      </c>
      <c r="AZ100" s="118">
        <f t="shared" si="37"/>
        <v>53</v>
      </c>
      <c r="BA100" s="118">
        <f t="shared" si="37"/>
        <v>53</v>
      </c>
      <c r="BB100" s="118">
        <f t="shared" si="37"/>
        <v>53</v>
      </c>
      <c r="BC100" s="118">
        <f t="shared" si="37"/>
        <v>53</v>
      </c>
      <c r="BD100" s="118">
        <f t="shared" si="37"/>
        <v>53</v>
      </c>
      <c r="BE100" s="118">
        <f t="shared" si="37"/>
        <v>53</v>
      </c>
      <c r="BF100" s="118">
        <f t="shared" si="37"/>
        <v>53</v>
      </c>
      <c r="BG100" s="118">
        <f t="shared" si="37"/>
        <v>53</v>
      </c>
      <c r="BH100" s="118">
        <f t="shared" si="37"/>
        <v>53</v>
      </c>
      <c r="BI100" s="118">
        <f t="shared" si="37"/>
        <v>53</v>
      </c>
      <c r="BJ100" s="118">
        <f t="shared" si="37"/>
        <v>53</v>
      </c>
      <c r="BK100" s="118">
        <f t="shared" si="37"/>
        <v>53</v>
      </c>
      <c r="BL100" s="118">
        <f t="shared" si="37"/>
        <v>53</v>
      </c>
      <c r="BM100" s="118">
        <f t="shared" si="37"/>
        <v>53</v>
      </c>
      <c r="BN100" s="118">
        <f t="shared" si="37"/>
        <v>53</v>
      </c>
      <c r="BO100" s="118">
        <f t="shared" si="37"/>
        <v>53</v>
      </c>
      <c r="BP100" s="118">
        <f t="shared" si="37"/>
        <v>53</v>
      </c>
      <c r="BQ100" s="118">
        <f t="shared" si="37"/>
        <v>53</v>
      </c>
      <c r="BR100" s="118">
        <f t="shared" si="37"/>
        <v>53</v>
      </c>
      <c r="BS100" s="119"/>
      <c r="BT100" s="119"/>
      <c r="BU100" s="166">
        <f>SUM(E100:AP100)</f>
        <v>817.1</v>
      </c>
    </row>
    <row r="101" spans="1:73" hidden="1" x14ac:dyDescent="0.2">
      <c r="A101" s="137" t="s">
        <v>179</v>
      </c>
      <c r="B101" s="129" t="s">
        <v>205</v>
      </c>
      <c r="C101" s="162"/>
      <c r="D101" s="165" t="s">
        <v>206</v>
      </c>
      <c r="E101" s="99">
        <v>24</v>
      </c>
      <c r="F101" s="99">
        <v>24</v>
      </c>
      <c r="G101" s="99">
        <v>24</v>
      </c>
      <c r="H101" s="99"/>
      <c r="I101" s="99">
        <v>24</v>
      </c>
      <c r="J101" s="99">
        <v>24</v>
      </c>
      <c r="K101" s="99">
        <v>24</v>
      </c>
      <c r="L101" s="99">
        <v>24</v>
      </c>
      <c r="M101" s="99">
        <v>24</v>
      </c>
      <c r="N101" s="99">
        <v>24</v>
      </c>
      <c r="O101" s="99">
        <v>24</v>
      </c>
      <c r="P101" s="99">
        <v>24</v>
      </c>
      <c r="Q101" s="99">
        <v>24</v>
      </c>
      <c r="R101" s="99">
        <v>24</v>
      </c>
      <c r="S101" s="99">
        <v>24</v>
      </c>
      <c r="T101" s="99">
        <v>24</v>
      </c>
      <c r="U101" s="99">
        <v>24</v>
      </c>
      <c r="V101" s="99">
        <v>24</v>
      </c>
      <c r="W101" s="99">
        <v>24</v>
      </c>
      <c r="X101" s="99">
        <v>24</v>
      </c>
      <c r="Y101" s="99">
        <v>24</v>
      </c>
      <c r="Z101" s="99">
        <v>24</v>
      </c>
      <c r="AA101" s="99">
        <v>24</v>
      </c>
      <c r="AB101" s="99">
        <v>24</v>
      </c>
      <c r="AC101" s="99">
        <v>24</v>
      </c>
      <c r="AD101" s="99">
        <v>24</v>
      </c>
      <c r="AE101" s="99">
        <v>24</v>
      </c>
      <c r="AF101" s="99">
        <v>24</v>
      </c>
      <c r="AG101" s="99">
        <v>24</v>
      </c>
      <c r="AH101" s="99">
        <v>24</v>
      </c>
      <c r="AI101" s="99">
        <v>24</v>
      </c>
      <c r="AJ101" s="99">
        <v>24</v>
      </c>
      <c r="AK101" s="99">
        <v>24</v>
      </c>
      <c r="AL101" s="99">
        <v>24</v>
      </c>
      <c r="AM101" s="99">
        <v>24</v>
      </c>
      <c r="AN101" s="99">
        <v>24</v>
      </c>
      <c r="AO101" s="99">
        <v>24</v>
      </c>
      <c r="AP101" s="99">
        <v>24</v>
      </c>
      <c r="AQ101" s="99">
        <v>24</v>
      </c>
      <c r="AR101" s="99">
        <v>24</v>
      </c>
      <c r="AS101" s="99">
        <v>24</v>
      </c>
      <c r="AT101" s="99">
        <v>24</v>
      </c>
      <c r="AU101" s="99">
        <v>24</v>
      </c>
      <c r="AV101" s="99">
        <v>24</v>
      </c>
      <c r="AW101" s="99">
        <v>24</v>
      </c>
      <c r="AX101" s="99">
        <v>24</v>
      </c>
      <c r="AY101" s="99">
        <v>24</v>
      </c>
      <c r="AZ101" s="99">
        <v>24</v>
      </c>
      <c r="BA101" s="99">
        <v>24</v>
      </c>
      <c r="BB101" s="99">
        <v>24</v>
      </c>
      <c r="BC101" s="99">
        <v>24</v>
      </c>
      <c r="BD101" s="99">
        <v>24</v>
      </c>
      <c r="BE101" s="99">
        <v>24</v>
      </c>
      <c r="BF101" s="99">
        <v>24</v>
      </c>
      <c r="BG101" s="99">
        <v>24</v>
      </c>
      <c r="BH101" s="99">
        <v>24</v>
      </c>
      <c r="BI101" s="99">
        <v>24</v>
      </c>
      <c r="BJ101" s="99">
        <v>24</v>
      </c>
      <c r="BK101" s="99">
        <v>24</v>
      </c>
      <c r="BL101" s="99">
        <v>24</v>
      </c>
      <c r="BM101" s="99">
        <v>24</v>
      </c>
      <c r="BN101" s="99">
        <v>24</v>
      </c>
      <c r="BO101" s="99">
        <v>24</v>
      </c>
      <c r="BP101" s="99">
        <v>24</v>
      </c>
      <c r="BQ101" s="99">
        <v>24</v>
      </c>
      <c r="BR101" s="99">
        <v>24</v>
      </c>
      <c r="BS101" s="100"/>
      <c r="BT101" s="100"/>
      <c r="BU101" s="166">
        <f>SUM(E101:AP101)</f>
        <v>888</v>
      </c>
    </row>
    <row r="102" spans="1:73" hidden="1" x14ac:dyDescent="0.2">
      <c r="A102" s="137" t="s">
        <v>181</v>
      </c>
      <c r="B102" s="129" t="s">
        <v>207</v>
      </c>
      <c r="C102" s="162"/>
      <c r="D102" s="165" t="s">
        <v>206</v>
      </c>
      <c r="E102" s="118">
        <f t="shared" ref="E102:BR102" si="40">E62</f>
        <v>0</v>
      </c>
      <c r="F102" s="99">
        <f t="shared" si="40"/>
        <v>0</v>
      </c>
      <c r="G102" s="99">
        <f t="shared" si="40"/>
        <v>0</v>
      </c>
      <c r="H102" s="99"/>
      <c r="I102" s="118" t="e">
        <f t="shared" si="40"/>
        <v>#REF!</v>
      </c>
      <c r="J102" s="118" t="e">
        <f t="shared" si="40"/>
        <v>#REF!</v>
      </c>
      <c r="K102" s="118" t="e">
        <f t="shared" si="40"/>
        <v>#REF!</v>
      </c>
      <c r="L102" s="118" t="e">
        <f t="shared" ref="L102:AK102" si="41">L62</f>
        <v>#REF!</v>
      </c>
      <c r="M102" s="118" t="e">
        <f t="shared" si="41"/>
        <v>#REF!</v>
      </c>
      <c r="N102" s="118" t="e">
        <f t="shared" si="41"/>
        <v>#REF!</v>
      </c>
      <c r="O102" s="118" t="e">
        <f t="shared" si="41"/>
        <v>#REF!</v>
      </c>
      <c r="P102" s="118" t="e">
        <f t="shared" si="41"/>
        <v>#REF!</v>
      </c>
      <c r="Q102" s="118" t="e">
        <f t="shared" si="41"/>
        <v>#REF!</v>
      </c>
      <c r="R102" s="118" t="e">
        <f t="shared" si="41"/>
        <v>#REF!</v>
      </c>
      <c r="S102" s="118" t="e">
        <f t="shared" si="41"/>
        <v>#REF!</v>
      </c>
      <c r="T102" s="118" t="e">
        <f t="shared" si="41"/>
        <v>#REF!</v>
      </c>
      <c r="U102" s="118" t="e">
        <f t="shared" si="41"/>
        <v>#REF!</v>
      </c>
      <c r="V102" s="118" t="e">
        <f t="shared" si="41"/>
        <v>#REF!</v>
      </c>
      <c r="W102" s="118" t="e">
        <f t="shared" si="41"/>
        <v>#REF!</v>
      </c>
      <c r="X102" s="118" t="e">
        <f t="shared" si="41"/>
        <v>#REF!</v>
      </c>
      <c r="Y102" s="118" t="e">
        <f t="shared" si="41"/>
        <v>#REF!</v>
      </c>
      <c r="Z102" s="118" t="e">
        <f t="shared" si="41"/>
        <v>#REF!</v>
      </c>
      <c r="AA102" s="118" t="e">
        <f t="shared" si="41"/>
        <v>#REF!</v>
      </c>
      <c r="AB102" s="118" t="e">
        <f t="shared" si="41"/>
        <v>#REF!</v>
      </c>
      <c r="AC102" s="118" t="e">
        <f t="shared" si="41"/>
        <v>#REF!</v>
      </c>
      <c r="AD102" s="118" t="e">
        <f t="shared" si="41"/>
        <v>#REF!</v>
      </c>
      <c r="AE102" s="118" t="e">
        <f t="shared" si="41"/>
        <v>#REF!</v>
      </c>
      <c r="AF102" s="118" t="e">
        <f t="shared" si="41"/>
        <v>#REF!</v>
      </c>
      <c r="AG102" s="118" t="e">
        <f t="shared" si="41"/>
        <v>#REF!</v>
      </c>
      <c r="AH102" s="118" t="e">
        <f t="shared" si="41"/>
        <v>#REF!</v>
      </c>
      <c r="AI102" s="118" t="e">
        <f t="shared" si="41"/>
        <v>#REF!</v>
      </c>
      <c r="AJ102" s="118" t="e">
        <f t="shared" ref="AJ102" si="42">AJ62</f>
        <v>#REF!</v>
      </c>
      <c r="AK102" s="118" t="e">
        <f t="shared" si="41"/>
        <v>#REF!</v>
      </c>
      <c r="AL102" s="118" t="e">
        <f t="shared" si="40"/>
        <v>#REF!</v>
      </c>
      <c r="AM102" s="118" t="e">
        <f t="shared" si="40"/>
        <v>#REF!</v>
      </c>
      <c r="AN102" s="118" t="e">
        <f t="shared" si="40"/>
        <v>#REF!</v>
      </c>
      <c r="AO102" s="118" t="e">
        <f t="shared" si="40"/>
        <v>#REF!</v>
      </c>
      <c r="AP102" s="118" t="e">
        <f t="shared" si="40"/>
        <v>#REF!</v>
      </c>
      <c r="AQ102" s="118" t="e">
        <f t="shared" si="40"/>
        <v>#REF!</v>
      </c>
      <c r="AR102" s="118" t="e">
        <f t="shared" si="40"/>
        <v>#REF!</v>
      </c>
      <c r="AS102" s="118" t="e">
        <f t="shared" si="40"/>
        <v>#REF!</v>
      </c>
      <c r="AT102" s="118" t="e">
        <f t="shared" si="40"/>
        <v>#REF!</v>
      </c>
      <c r="AU102" s="118" t="e">
        <f t="shared" si="40"/>
        <v>#REF!</v>
      </c>
      <c r="AV102" s="118" t="e">
        <f t="shared" si="40"/>
        <v>#REF!</v>
      </c>
      <c r="AW102" s="118" t="e">
        <f t="shared" si="40"/>
        <v>#REF!</v>
      </c>
      <c r="AX102" s="118" t="e">
        <f t="shared" si="40"/>
        <v>#REF!</v>
      </c>
      <c r="AY102" s="118" t="e">
        <f t="shared" si="40"/>
        <v>#REF!</v>
      </c>
      <c r="AZ102" s="118" t="e">
        <f t="shared" si="40"/>
        <v>#REF!</v>
      </c>
      <c r="BA102" s="118" t="e">
        <f t="shared" si="40"/>
        <v>#REF!</v>
      </c>
      <c r="BB102" s="118" t="e">
        <f t="shared" si="40"/>
        <v>#REF!</v>
      </c>
      <c r="BC102" s="118" t="e">
        <f t="shared" si="40"/>
        <v>#REF!</v>
      </c>
      <c r="BD102" s="118" t="e">
        <f t="shared" si="40"/>
        <v>#REF!</v>
      </c>
      <c r="BE102" s="118" t="e">
        <f t="shared" si="40"/>
        <v>#REF!</v>
      </c>
      <c r="BF102" s="118" t="e">
        <f t="shared" si="40"/>
        <v>#REF!</v>
      </c>
      <c r="BG102" s="118" t="e">
        <f t="shared" si="40"/>
        <v>#REF!</v>
      </c>
      <c r="BH102" s="118" t="e">
        <f t="shared" si="40"/>
        <v>#REF!</v>
      </c>
      <c r="BI102" s="118" t="e">
        <f t="shared" si="40"/>
        <v>#REF!</v>
      </c>
      <c r="BJ102" s="118">
        <f t="shared" si="40"/>
        <v>2</v>
      </c>
      <c r="BK102" s="118">
        <f t="shared" si="40"/>
        <v>2</v>
      </c>
      <c r="BL102" s="118">
        <f t="shared" si="40"/>
        <v>2</v>
      </c>
      <c r="BM102" s="118">
        <f t="shared" si="40"/>
        <v>2</v>
      </c>
      <c r="BN102" s="118">
        <f t="shared" si="40"/>
        <v>2</v>
      </c>
      <c r="BO102" s="118">
        <f t="shared" si="40"/>
        <v>2</v>
      </c>
      <c r="BP102" s="118">
        <f t="shared" si="40"/>
        <v>2</v>
      </c>
      <c r="BQ102" s="118">
        <f t="shared" si="40"/>
        <v>2</v>
      </c>
      <c r="BR102" s="118">
        <f t="shared" si="40"/>
        <v>2</v>
      </c>
      <c r="BS102" s="119"/>
      <c r="BT102" s="119"/>
      <c r="BU102" s="166" t="e">
        <f>SUM(E102:AP102)</f>
        <v>#REF!</v>
      </c>
    </row>
    <row r="103" spans="1:73" hidden="1" x14ac:dyDescent="0.2">
      <c r="A103" s="137" t="s">
        <v>183</v>
      </c>
      <c r="B103" s="129" t="s">
        <v>208</v>
      </c>
      <c r="C103" s="162"/>
      <c r="D103" s="165" t="s">
        <v>206</v>
      </c>
      <c r="E103" s="99">
        <v>0</v>
      </c>
      <c r="F103" s="99">
        <v>0</v>
      </c>
      <c r="G103" s="99">
        <v>0</v>
      </c>
      <c r="H103" s="99"/>
      <c r="I103" s="99">
        <v>0</v>
      </c>
      <c r="J103" s="99">
        <v>0</v>
      </c>
      <c r="K103" s="99">
        <v>0</v>
      </c>
      <c r="L103" s="99">
        <v>0</v>
      </c>
      <c r="M103" s="99">
        <v>0</v>
      </c>
      <c r="N103" s="99">
        <v>0</v>
      </c>
      <c r="O103" s="99">
        <v>0</v>
      </c>
      <c r="P103" s="99">
        <v>0</v>
      </c>
      <c r="Q103" s="99">
        <v>0</v>
      </c>
      <c r="R103" s="99">
        <v>0</v>
      </c>
      <c r="S103" s="99">
        <v>0</v>
      </c>
      <c r="T103" s="99">
        <v>0</v>
      </c>
      <c r="U103" s="99">
        <v>0</v>
      </c>
      <c r="V103" s="99">
        <v>0</v>
      </c>
      <c r="W103" s="99">
        <v>0</v>
      </c>
      <c r="X103" s="99">
        <v>0</v>
      </c>
      <c r="Y103" s="99">
        <v>0</v>
      </c>
      <c r="Z103" s="99">
        <v>0</v>
      </c>
      <c r="AA103" s="99">
        <v>0</v>
      </c>
      <c r="AB103" s="99">
        <v>0</v>
      </c>
      <c r="AC103" s="99">
        <v>0</v>
      </c>
      <c r="AD103" s="99">
        <v>0</v>
      </c>
      <c r="AE103" s="99">
        <v>0</v>
      </c>
      <c r="AF103" s="99">
        <v>0</v>
      </c>
      <c r="AG103" s="99">
        <v>0</v>
      </c>
      <c r="AH103" s="99">
        <v>0</v>
      </c>
      <c r="AI103" s="99">
        <v>0</v>
      </c>
      <c r="AJ103" s="99">
        <v>0</v>
      </c>
      <c r="AK103" s="99">
        <v>0</v>
      </c>
      <c r="AL103" s="99">
        <v>0</v>
      </c>
      <c r="AM103" s="99">
        <v>0</v>
      </c>
      <c r="AN103" s="99">
        <v>0</v>
      </c>
      <c r="AO103" s="100">
        <v>0</v>
      </c>
      <c r="AP103" s="100">
        <v>0</v>
      </c>
      <c r="AQ103" s="100">
        <v>0</v>
      </c>
      <c r="AR103" s="100">
        <v>0</v>
      </c>
      <c r="AS103" s="100">
        <v>0</v>
      </c>
      <c r="AT103" s="100">
        <v>0</v>
      </c>
      <c r="AU103" s="100">
        <v>0</v>
      </c>
      <c r="AV103" s="100">
        <v>0</v>
      </c>
      <c r="AW103" s="100">
        <v>0</v>
      </c>
      <c r="AX103" s="100">
        <v>0</v>
      </c>
      <c r="AY103" s="100">
        <v>0</v>
      </c>
      <c r="AZ103" s="100">
        <v>0</v>
      </c>
      <c r="BA103" s="100">
        <v>0</v>
      </c>
      <c r="BB103" s="100">
        <v>0</v>
      </c>
      <c r="BC103" s="100">
        <v>0</v>
      </c>
      <c r="BD103" s="100">
        <v>0</v>
      </c>
      <c r="BE103" s="100">
        <v>0</v>
      </c>
      <c r="BF103" s="100">
        <v>0</v>
      </c>
      <c r="BG103" s="100">
        <v>0</v>
      </c>
      <c r="BH103" s="100">
        <v>0</v>
      </c>
      <c r="BI103" s="100">
        <v>0</v>
      </c>
      <c r="BJ103" s="100">
        <v>0</v>
      </c>
      <c r="BK103" s="100">
        <v>0</v>
      </c>
      <c r="BL103" s="100">
        <v>0</v>
      </c>
      <c r="BM103" s="100">
        <v>0</v>
      </c>
      <c r="BN103" s="100">
        <v>0</v>
      </c>
      <c r="BO103" s="100">
        <v>0</v>
      </c>
      <c r="BP103" s="100">
        <v>0</v>
      </c>
      <c r="BQ103" s="100">
        <v>0</v>
      </c>
      <c r="BR103" s="100">
        <v>0</v>
      </c>
      <c r="BS103" s="100"/>
      <c r="BT103" s="100"/>
      <c r="BU103" s="166">
        <f>SUM(E103:AP103)</f>
        <v>0</v>
      </c>
    </row>
    <row r="104" spans="1:73" hidden="1" x14ac:dyDescent="0.2">
      <c r="A104" s="137"/>
      <c r="B104" s="129"/>
      <c r="C104" s="162"/>
      <c r="D104" s="165"/>
      <c r="E104" s="118"/>
      <c r="F104" s="165"/>
      <c r="G104" s="118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34"/>
      <c r="AO104" s="134"/>
      <c r="AP104" s="134"/>
      <c r="AQ104" s="134"/>
      <c r="AR104" s="134"/>
      <c r="AS104" s="134"/>
      <c r="AT104" s="134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/>
      <c r="BF104" s="134"/>
      <c r="BG104" s="134"/>
      <c r="BH104" s="134"/>
      <c r="BI104" s="134"/>
      <c r="BJ104" s="134"/>
      <c r="BK104" s="134"/>
      <c r="BL104" s="134"/>
      <c r="BM104" s="134"/>
      <c r="BN104" s="134"/>
      <c r="BO104" s="134"/>
      <c r="BP104" s="134"/>
      <c r="BQ104" s="134"/>
      <c r="BR104" s="134"/>
      <c r="BS104" s="134"/>
      <c r="BT104" s="134"/>
      <c r="BU104" s="166"/>
    </row>
    <row r="105" spans="1:73" hidden="1" x14ac:dyDescent="0.2">
      <c r="A105" s="137" t="s">
        <v>209</v>
      </c>
      <c r="B105" s="129" t="s">
        <v>210</v>
      </c>
      <c r="C105" s="162"/>
      <c r="D105" s="165" t="s">
        <v>211</v>
      </c>
      <c r="E105" s="99">
        <f>E97*E98*E99*60/1000000</f>
        <v>0</v>
      </c>
      <c r="F105" s="99">
        <f>F97*F98*F99*60/1000000</f>
        <v>0</v>
      </c>
      <c r="G105" s="99">
        <f>G97*G98*G99*60/1000000</f>
        <v>0</v>
      </c>
      <c r="H105" s="99"/>
      <c r="I105" s="99" t="e">
        <f>I97*I98*I99*60/1000000</f>
        <v>#REF!</v>
      </c>
      <c r="J105" s="99" t="e">
        <f t="shared" ref="J105:BR105" si="43">J97*J98*J99*60/1000000</f>
        <v>#REF!</v>
      </c>
      <c r="K105" s="99" t="e">
        <f t="shared" si="43"/>
        <v>#REF!</v>
      </c>
      <c r="L105" s="99" t="e">
        <f t="shared" ref="L105:AK105" si="44">L97*L98*L99*60/1000000</f>
        <v>#REF!</v>
      </c>
      <c r="M105" s="99" t="e">
        <f t="shared" si="44"/>
        <v>#REF!</v>
      </c>
      <c r="N105" s="99" t="e">
        <f t="shared" si="44"/>
        <v>#REF!</v>
      </c>
      <c r="O105" s="99" t="e">
        <f t="shared" si="44"/>
        <v>#REF!</v>
      </c>
      <c r="P105" s="99" t="e">
        <f t="shared" si="44"/>
        <v>#REF!</v>
      </c>
      <c r="Q105" s="99" t="e">
        <f t="shared" si="44"/>
        <v>#REF!</v>
      </c>
      <c r="R105" s="99" t="e">
        <f t="shared" si="44"/>
        <v>#REF!</v>
      </c>
      <c r="S105" s="99" t="e">
        <f t="shared" si="44"/>
        <v>#REF!</v>
      </c>
      <c r="T105" s="99" t="e">
        <f t="shared" si="44"/>
        <v>#REF!</v>
      </c>
      <c r="U105" s="99" t="e">
        <f t="shared" si="44"/>
        <v>#REF!</v>
      </c>
      <c r="V105" s="99" t="e">
        <f t="shared" si="44"/>
        <v>#REF!</v>
      </c>
      <c r="W105" s="99" t="e">
        <f t="shared" si="44"/>
        <v>#REF!</v>
      </c>
      <c r="X105" s="99" t="e">
        <f t="shared" si="44"/>
        <v>#REF!</v>
      </c>
      <c r="Y105" s="99" t="e">
        <f t="shared" si="44"/>
        <v>#REF!</v>
      </c>
      <c r="Z105" s="99" t="e">
        <f t="shared" si="44"/>
        <v>#REF!</v>
      </c>
      <c r="AA105" s="99" t="e">
        <f t="shared" si="44"/>
        <v>#REF!</v>
      </c>
      <c r="AB105" s="99" t="e">
        <f t="shared" si="44"/>
        <v>#REF!</v>
      </c>
      <c r="AC105" s="99" t="e">
        <f t="shared" si="44"/>
        <v>#REF!</v>
      </c>
      <c r="AD105" s="99" t="e">
        <f t="shared" si="44"/>
        <v>#REF!</v>
      </c>
      <c r="AE105" s="99" t="e">
        <f t="shared" si="44"/>
        <v>#REF!</v>
      </c>
      <c r="AF105" s="99" t="e">
        <f t="shared" si="44"/>
        <v>#REF!</v>
      </c>
      <c r="AG105" s="99" t="e">
        <f t="shared" si="44"/>
        <v>#REF!</v>
      </c>
      <c r="AH105" s="99" t="e">
        <f t="shared" si="44"/>
        <v>#REF!</v>
      </c>
      <c r="AI105" s="99" t="e">
        <f t="shared" si="44"/>
        <v>#REF!</v>
      </c>
      <c r="AJ105" s="99" t="e">
        <f t="shared" ref="AJ105" si="45">AJ97*AJ98*AJ99*60/1000000</f>
        <v>#REF!</v>
      </c>
      <c r="AK105" s="99" t="e">
        <f t="shared" si="44"/>
        <v>#REF!</v>
      </c>
      <c r="AL105" s="99" t="e">
        <f t="shared" si="43"/>
        <v>#REF!</v>
      </c>
      <c r="AM105" s="99" t="e">
        <f t="shared" si="43"/>
        <v>#REF!</v>
      </c>
      <c r="AN105" s="99" t="e">
        <f t="shared" si="43"/>
        <v>#REF!</v>
      </c>
      <c r="AO105" s="99" t="e">
        <f t="shared" si="43"/>
        <v>#REF!</v>
      </c>
      <c r="AP105" s="99" t="e">
        <f t="shared" si="43"/>
        <v>#REF!</v>
      </c>
      <c r="AQ105" s="99" t="e">
        <f t="shared" si="43"/>
        <v>#REF!</v>
      </c>
      <c r="AR105" s="99" t="e">
        <f t="shared" si="43"/>
        <v>#REF!</v>
      </c>
      <c r="AS105" s="99" t="e">
        <f t="shared" si="43"/>
        <v>#REF!</v>
      </c>
      <c r="AT105" s="99" t="e">
        <f t="shared" si="43"/>
        <v>#REF!</v>
      </c>
      <c r="AU105" s="99" t="e">
        <f t="shared" si="43"/>
        <v>#REF!</v>
      </c>
      <c r="AV105" s="99" t="e">
        <f t="shared" si="43"/>
        <v>#REF!</v>
      </c>
      <c r="AW105" s="99" t="e">
        <f t="shared" si="43"/>
        <v>#REF!</v>
      </c>
      <c r="AX105" s="99" t="e">
        <f t="shared" si="43"/>
        <v>#REF!</v>
      </c>
      <c r="AY105" s="99" t="e">
        <f t="shared" si="43"/>
        <v>#REF!</v>
      </c>
      <c r="AZ105" s="99" t="e">
        <f t="shared" si="43"/>
        <v>#REF!</v>
      </c>
      <c r="BA105" s="99" t="e">
        <f t="shared" si="43"/>
        <v>#REF!</v>
      </c>
      <c r="BB105" s="99" t="e">
        <f t="shared" si="43"/>
        <v>#REF!</v>
      </c>
      <c r="BC105" s="99" t="e">
        <f t="shared" si="43"/>
        <v>#REF!</v>
      </c>
      <c r="BD105" s="99" t="e">
        <f t="shared" si="43"/>
        <v>#REF!</v>
      </c>
      <c r="BE105" s="99" t="e">
        <f t="shared" si="43"/>
        <v>#REF!</v>
      </c>
      <c r="BF105" s="99" t="e">
        <f t="shared" si="43"/>
        <v>#REF!</v>
      </c>
      <c r="BG105" s="99" t="e">
        <f t="shared" si="43"/>
        <v>#REF!</v>
      </c>
      <c r="BH105" s="99" t="e">
        <f t="shared" si="43"/>
        <v>#REF!</v>
      </c>
      <c r="BI105" s="99" t="e">
        <f t="shared" si="43"/>
        <v>#REF!</v>
      </c>
      <c r="BJ105" s="99" t="e">
        <f t="shared" si="43"/>
        <v>#REF!</v>
      </c>
      <c r="BK105" s="99" t="e">
        <f t="shared" si="43"/>
        <v>#REF!</v>
      </c>
      <c r="BL105" s="99" t="e">
        <f t="shared" si="43"/>
        <v>#REF!</v>
      </c>
      <c r="BM105" s="99" t="e">
        <f t="shared" si="43"/>
        <v>#REF!</v>
      </c>
      <c r="BN105" s="99" t="e">
        <f t="shared" si="43"/>
        <v>#REF!</v>
      </c>
      <c r="BO105" s="99" t="e">
        <f t="shared" si="43"/>
        <v>#REF!</v>
      </c>
      <c r="BP105" s="99" t="e">
        <f t="shared" si="43"/>
        <v>#REF!</v>
      </c>
      <c r="BQ105" s="99" t="e">
        <f t="shared" si="43"/>
        <v>#REF!</v>
      </c>
      <c r="BR105" s="99" t="e">
        <f t="shared" si="43"/>
        <v>#REF!</v>
      </c>
      <c r="BS105" s="100"/>
      <c r="BT105" s="100"/>
      <c r="BU105" s="166" t="e">
        <f>BU97*BU98*BU99*60/1000000</f>
        <v>#REF!</v>
      </c>
    </row>
    <row r="106" spans="1:73" hidden="1" x14ac:dyDescent="0.2">
      <c r="A106" s="137" t="s">
        <v>212</v>
      </c>
      <c r="B106" s="129" t="s">
        <v>213</v>
      </c>
      <c r="C106" s="162"/>
      <c r="D106" s="165" t="s">
        <v>214</v>
      </c>
      <c r="E106" s="99" t="e">
        <f t="shared" ref="E106:BU106" si="46">1/E105</f>
        <v>#DIV/0!</v>
      </c>
      <c r="F106" s="99" t="e">
        <f t="shared" si="46"/>
        <v>#DIV/0!</v>
      </c>
      <c r="G106" s="99" t="e">
        <f t="shared" si="46"/>
        <v>#DIV/0!</v>
      </c>
      <c r="H106" s="99"/>
      <c r="I106" s="99" t="e">
        <f t="shared" si="46"/>
        <v>#REF!</v>
      </c>
      <c r="J106" s="99" t="e">
        <f t="shared" si="46"/>
        <v>#REF!</v>
      </c>
      <c r="K106" s="99" t="e">
        <f t="shared" si="46"/>
        <v>#REF!</v>
      </c>
      <c r="L106" s="99" t="e">
        <f t="shared" ref="L106:AK106" si="47">1/L105</f>
        <v>#REF!</v>
      </c>
      <c r="M106" s="99" t="e">
        <f t="shared" si="47"/>
        <v>#REF!</v>
      </c>
      <c r="N106" s="99" t="e">
        <f t="shared" si="47"/>
        <v>#REF!</v>
      </c>
      <c r="O106" s="99" t="e">
        <f t="shared" si="47"/>
        <v>#REF!</v>
      </c>
      <c r="P106" s="99" t="e">
        <f t="shared" si="47"/>
        <v>#REF!</v>
      </c>
      <c r="Q106" s="99" t="e">
        <f t="shared" si="47"/>
        <v>#REF!</v>
      </c>
      <c r="R106" s="99" t="e">
        <f t="shared" si="47"/>
        <v>#REF!</v>
      </c>
      <c r="S106" s="99" t="e">
        <f t="shared" si="47"/>
        <v>#REF!</v>
      </c>
      <c r="T106" s="99" t="e">
        <f t="shared" si="47"/>
        <v>#REF!</v>
      </c>
      <c r="U106" s="99" t="e">
        <f t="shared" si="47"/>
        <v>#REF!</v>
      </c>
      <c r="V106" s="99" t="e">
        <f t="shared" si="47"/>
        <v>#REF!</v>
      </c>
      <c r="W106" s="99" t="e">
        <f t="shared" si="47"/>
        <v>#REF!</v>
      </c>
      <c r="X106" s="99" t="e">
        <f t="shared" si="47"/>
        <v>#REF!</v>
      </c>
      <c r="Y106" s="99" t="e">
        <f t="shared" si="47"/>
        <v>#REF!</v>
      </c>
      <c r="Z106" s="99" t="e">
        <f t="shared" si="47"/>
        <v>#REF!</v>
      </c>
      <c r="AA106" s="99" t="e">
        <f t="shared" si="47"/>
        <v>#REF!</v>
      </c>
      <c r="AB106" s="99" t="e">
        <f t="shared" si="47"/>
        <v>#REF!</v>
      </c>
      <c r="AC106" s="99" t="e">
        <f t="shared" si="47"/>
        <v>#REF!</v>
      </c>
      <c r="AD106" s="99" t="e">
        <f t="shared" si="47"/>
        <v>#REF!</v>
      </c>
      <c r="AE106" s="99" t="e">
        <f t="shared" si="47"/>
        <v>#REF!</v>
      </c>
      <c r="AF106" s="99" t="e">
        <f t="shared" si="47"/>
        <v>#REF!</v>
      </c>
      <c r="AG106" s="99" t="e">
        <f t="shared" si="47"/>
        <v>#REF!</v>
      </c>
      <c r="AH106" s="99" t="e">
        <f t="shared" si="47"/>
        <v>#REF!</v>
      </c>
      <c r="AI106" s="99" t="e">
        <f t="shared" si="47"/>
        <v>#REF!</v>
      </c>
      <c r="AJ106" s="99" t="e">
        <f t="shared" ref="AJ106" si="48">1/AJ105</f>
        <v>#REF!</v>
      </c>
      <c r="AK106" s="99" t="e">
        <f t="shared" si="47"/>
        <v>#REF!</v>
      </c>
      <c r="AL106" s="99" t="e">
        <f t="shared" si="46"/>
        <v>#REF!</v>
      </c>
      <c r="AM106" s="99" t="e">
        <f t="shared" si="46"/>
        <v>#REF!</v>
      </c>
      <c r="AN106" s="99" t="e">
        <f t="shared" si="46"/>
        <v>#REF!</v>
      </c>
      <c r="AO106" s="99" t="e">
        <f t="shared" si="46"/>
        <v>#REF!</v>
      </c>
      <c r="AP106" s="99" t="e">
        <f t="shared" si="46"/>
        <v>#REF!</v>
      </c>
      <c r="AQ106" s="99" t="e">
        <f t="shared" si="46"/>
        <v>#REF!</v>
      </c>
      <c r="AR106" s="99" t="e">
        <f t="shared" si="46"/>
        <v>#REF!</v>
      </c>
      <c r="AS106" s="99" t="e">
        <f t="shared" si="46"/>
        <v>#REF!</v>
      </c>
      <c r="AT106" s="99" t="e">
        <f t="shared" si="46"/>
        <v>#REF!</v>
      </c>
      <c r="AU106" s="99" t="e">
        <f t="shared" si="46"/>
        <v>#REF!</v>
      </c>
      <c r="AV106" s="99" t="e">
        <f t="shared" si="46"/>
        <v>#REF!</v>
      </c>
      <c r="AW106" s="99" t="e">
        <f t="shared" si="46"/>
        <v>#REF!</v>
      </c>
      <c r="AX106" s="99" t="e">
        <f t="shared" si="46"/>
        <v>#REF!</v>
      </c>
      <c r="AY106" s="99" t="e">
        <f t="shared" si="46"/>
        <v>#REF!</v>
      </c>
      <c r="AZ106" s="99" t="e">
        <f t="shared" si="46"/>
        <v>#REF!</v>
      </c>
      <c r="BA106" s="99" t="e">
        <f t="shared" si="46"/>
        <v>#REF!</v>
      </c>
      <c r="BB106" s="99" t="e">
        <f t="shared" si="46"/>
        <v>#REF!</v>
      </c>
      <c r="BC106" s="99" t="e">
        <f t="shared" si="46"/>
        <v>#REF!</v>
      </c>
      <c r="BD106" s="99" t="e">
        <f t="shared" si="46"/>
        <v>#REF!</v>
      </c>
      <c r="BE106" s="99" t="e">
        <f t="shared" si="46"/>
        <v>#REF!</v>
      </c>
      <c r="BF106" s="99" t="e">
        <f t="shared" si="46"/>
        <v>#REF!</v>
      </c>
      <c r="BG106" s="99" t="e">
        <f t="shared" si="46"/>
        <v>#REF!</v>
      </c>
      <c r="BH106" s="99" t="e">
        <f t="shared" si="46"/>
        <v>#REF!</v>
      </c>
      <c r="BI106" s="99" t="e">
        <f t="shared" si="46"/>
        <v>#REF!</v>
      </c>
      <c r="BJ106" s="99" t="e">
        <f t="shared" si="46"/>
        <v>#REF!</v>
      </c>
      <c r="BK106" s="99" t="e">
        <f t="shared" si="46"/>
        <v>#REF!</v>
      </c>
      <c r="BL106" s="99" t="e">
        <f t="shared" si="46"/>
        <v>#REF!</v>
      </c>
      <c r="BM106" s="99" t="e">
        <f t="shared" si="46"/>
        <v>#REF!</v>
      </c>
      <c r="BN106" s="99" t="e">
        <f t="shared" si="46"/>
        <v>#REF!</v>
      </c>
      <c r="BO106" s="99" t="e">
        <f t="shared" si="46"/>
        <v>#REF!</v>
      </c>
      <c r="BP106" s="99" t="e">
        <f t="shared" si="46"/>
        <v>#REF!</v>
      </c>
      <c r="BQ106" s="99" t="e">
        <f t="shared" si="46"/>
        <v>#REF!</v>
      </c>
      <c r="BR106" s="99" t="e">
        <f t="shared" si="46"/>
        <v>#REF!</v>
      </c>
      <c r="BS106" s="100"/>
      <c r="BT106" s="100"/>
      <c r="BU106" s="166" t="e">
        <f t="shared" si="46"/>
        <v>#REF!</v>
      </c>
    </row>
    <row r="107" spans="1:73" hidden="1" x14ac:dyDescent="0.2">
      <c r="A107" s="137" t="s">
        <v>215</v>
      </c>
      <c r="B107" s="129" t="s">
        <v>216</v>
      </c>
      <c r="C107" s="162"/>
      <c r="D107" s="165" t="s">
        <v>206</v>
      </c>
      <c r="E107" s="99">
        <f t="shared" ref="E107:BU107" si="49">E101-E103</f>
        <v>24</v>
      </c>
      <c r="F107" s="99">
        <f t="shared" si="49"/>
        <v>24</v>
      </c>
      <c r="G107" s="99">
        <f t="shared" si="49"/>
        <v>24</v>
      </c>
      <c r="H107" s="99"/>
      <c r="I107" s="99">
        <f t="shared" si="49"/>
        <v>24</v>
      </c>
      <c r="J107" s="99">
        <f t="shared" si="49"/>
        <v>24</v>
      </c>
      <c r="K107" s="99">
        <f t="shared" si="49"/>
        <v>24</v>
      </c>
      <c r="L107" s="99">
        <f t="shared" ref="L107:AK107" si="50">L101-L103</f>
        <v>24</v>
      </c>
      <c r="M107" s="99">
        <f t="shared" si="50"/>
        <v>24</v>
      </c>
      <c r="N107" s="99">
        <f t="shared" si="50"/>
        <v>24</v>
      </c>
      <c r="O107" s="99">
        <f t="shared" si="50"/>
        <v>24</v>
      </c>
      <c r="P107" s="99">
        <f t="shared" si="50"/>
        <v>24</v>
      </c>
      <c r="Q107" s="99">
        <f t="shared" si="50"/>
        <v>24</v>
      </c>
      <c r="R107" s="99">
        <f t="shared" si="50"/>
        <v>24</v>
      </c>
      <c r="S107" s="99">
        <f t="shared" si="50"/>
        <v>24</v>
      </c>
      <c r="T107" s="99">
        <f t="shared" si="50"/>
        <v>24</v>
      </c>
      <c r="U107" s="99">
        <f t="shared" si="50"/>
        <v>24</v>
      </c>
      <c r="V107" s="99">
        <f t="shared" si="50"/>
        <v>24</v>
      </c>
      <c r="W107" s="99">
        <f t="shared" si="50"/>
        <v>24</v>
      </c>
      <c r="X107" s="99">
        <f t="shared" si="50"/>
        <v>24</v>
      </c>
      <c r="Y107" s="99">
        <f t="shared" si="50"/>
        <v>24</v>
      </c>
      <c r="Z107" s="99">
        <f t="shared" si="50"/>
        <v>24</v>
      </c>
      <c r="AA107" s="99">
        <f t="shared" si="50"/>
        <v>24</v>
      </c>
      <c r="AB107" s="99">
        <f t="shared" si="50"/>
        <v>24</v>
      </c>
      <c r="AC107" s="99">
        <f t="shared" si="50"/>
        <v>24</v>
      </c>
      <c r="AD107" s="99">
        <f t="shared" si="50"/>
        <v>24</v>
      </c>
      <c r="AE107" s="99">
        <f t="shared" si="50"/>
        <v>24</v>
      </c>
      <c r="AF107" s="99">
        <f t="shared" si="50"/>
        <v>24</v>
      </c>
      <c r="AG107" s="99">
        <f t="shared" si="50"/>
        <v>24</v>
      </c>
      <c r="AH107" s="99">
        <f t="shared" si="50"/>
        <v>24</v>
      </c>
      <c r="AI107" s="99">
        <f t="shared" si="50"/>
        <v>24</v>
      </c>
      <c r="AJ107" s="99">
        <f t="shared" ref="AJ107" si="51">AJ101-AJ103</f>
        <v>24</v>
      </c>
      <c r="AK107" s="99">
        <f t="shared" si="50"/>
        <v>24</v>
      </c>
      <c r="AL107" s="99">
        <f t="shared" si="49"/>
        <v>24</v>
      </c>
      <c r="AM107" s="99">
        <f t="shared" si="49"/>
        <v>24</v>
      </c>
      <c r="AN107" s="99">
        <f t="shared" si="49"/>
        <v>24</v>
      </c>
      <c r="AO107" s="99">
        <f t="shared" si="49"/>
        <v>24</v>
      </c>
      <c r="AP107" s="99">
        <f t="shared" si="49"/>
        <v>24</v>
      </c>
      <c r="AQ107" s="99">
        <f t="shared" si="49"/>
        <v>24</v>
      </c>
      <c r="AR107" s="99">
        <f t="shared" si="49"/>
        <v>24</v>
      </c>
      <c r="AS107" s="99">
        <f t="shared" si="49"/>
        <v>24</v>
      </c>
      <c r="AT107" s="99">
        <f t="shared" si="49"/>
        <v>24</v>
      </c>
      <c r="AU107" s="99">
        <f t="shared" si="49"/>
        <v>24</v>
      </c>
      <c r="AV107" s="99">
        <f t="shared" si="49"/>
        <v>24</v>
      </c>
      <c r="AW107" s="99">
        <f t="shared" si="49"/>
        <v>24</v>
      </c>
      <c r="AX107" s="99">
        <f t="shared" si="49"/>
        <v>24</v>
      </c>
      <c r="AY107" s="99">
        <f t="shared" si="49"/>
        <v>24</v>
      </c>
      <c r="AZ107" s="99">
        <f t="shared" si="49"/>
        <v>24</v>
      </c>
      <c r="BA107" s="99">
        <f t="shared" si="49"/>
        <v>24</v>
      </c>
      <c r="BB107" s="99">
        <f t="shared" si="49"/>
        <v>24</v>
      </c>
      <c r="BC107" s="99">
        <f t="shared" si="49"/>
        <v>24</v>
      </c>
      <c r="BD107" s="99">
        <f t="shared" si="49"/>
        <v>24</v>
      </c>
      <c r="BE107" s="99">
        <f t="shared" si="49"/>
        <v>24</v>
      </c>
      <c r="BF107" s="99">
        <f t="shared" si="49"/>
        <v>24</v>
      </c>
      <c r="BG107" s="99">
        <f t="shared" si="49"/>
        <v>24</v>
      </c>
      <c r="BH107" s="99">
        <f t="shared" si="49"/>
        <v>24</v>
      </c>
      <c r="BI107" s="99">
        <f t="shared" si="49"/>
        <v>24</v>
      </c>
      <c r="BJ107" s="99">
        <f t="shared" si="49"/>
        <v>24</v>
      </c>
      <c r="BK107" s="99">
        <f t="shared" si="49"/>
        <v>24</v>
      </c>
      <c r="BL107" s="99">
        <f t="shared" si="49"/>
        <v>24</v>
      </c>
      <c r="BM107" s="99">
        <f t="shared" si="49"/>
        <v>24</v>
      </c>
      <c r="BN107" s="99">
        <f t="shared" si="49"/>
        <v>24</v>
      </c>
      <c r="BO107" s="99">
        <f t="shared" si="49"/>
        <v>24</v>
      </c>
      <c r="BP107" s="99">
        <f t="shared" si="49"/>
        <v>24</v>
      </c>
      <c r="BQ107" s="99">
        <f t="shared" si="49"/>
        <v>24</v>
      </c>
      <c r="BR107" s="99">
        <f t="shared" si="49"/>
        <v>24</v>
      </c>
      <c r="BS107" s="100"/>
      <c r="BT107" s="100"/>
      <c r="BU107" s="166">
        <f t="shared" si="49"/>
        <v>888</v>
      </c>
    </row>
    <row r="108" spans="1:73" hidden="1" x14ac:dyDescent="0.2">
      <c r="A108" s="137" t="s">
        <v>217</v>
      </c>
      <c r="B108" s="129" t="s">
        <v>218</v>
      </c>
      <c r="C108" s="162"/>
      <c r="D108" s="165" t="s">
        <v>206</v>
      </c>
      <c r="E108" s="99">
        <f t="shared" ref="E108:BU108" si="52">E101-E102</f>
        <v>24</v>
      </c>
      <c r="F108" s="99">
        <f t="shared" si="52"/>
        <v>24</v>
      </c>
      <c r="G108" s="99">
        <f t="shared" si="52"/>
        <v>24</v>
      </c>
      <c r="H108" s="99"/>
      <c r="I108" s="99" t="e">
        <f t="shared" si="52"/>
        <v>#REF!</v>
      </c>
      <c r="J108" s="99" t="e">
        <f t="shared" si="52"/>
        <v>#REF!</v>
      </c>
      <c r="K108" s="99" t="e">
        <f t="shared" si="52"/>
        <v>#REF!</v>
      </c>
      <c r="L108" s="99" t="e">
        <f t="shared" ref="L108:AK108" si="53">L101-L102</f>
        <v>#REF!</v>
      </c>
      <c r="M108" s="99" t="e">
        <f t="shared" si="53"/>
        <v>#REF!</v>
      </c>
      <c r="N108" s="99" t="e">
        <f t="shared" si="53"/>
        <v>#REF!</v>
      </c>
      <c r="O108" s="99" t="e">
        <f t="shared" si="53"/>
        <v>#REF!</v>
      </c>
      <c r="P108" s="99" t="e">
        <f t="shared" si="53"/>
        <v>#REF!</v>
      </c>
      <c r="Q108" s="99" t="e">
        <f t="shared" si="53"/>
        <v>#REF!</v>
      </c>
      <c r="R108" s="99" t="e">
        <f t="shared" si="53"/>
        <v>#REF!</v>
      </c>
      <c r="S108" s="99" t="e">
        <f t="shared" si="53"/>
        <v>#REF!</v>
      </c>
      <c r="T108" s="99" t="e">
        <f t="shared" si="53"/>
        <v>#REF!</v>
      </c>
      <c r="U108" s="99" t="e">
        <f t="shared" si="53"/>
        <v>#REF!</v>
      </c>
      <c r="V108" s="99" t="e">
        <f t="shared" si="53"/>
        <v>#REF!</v>
      </c>
      <c r="W108" s="99" t="e">
        <f t="shared" si="53"/>
        <v>#REF!</v>
      </c>
      <c r="X108" s="99" t="e">
        <f t="shared" si="53"/>
        <v>#REF!</v>
      </c>
      <c r="Y108" s="99" t="e">
        <f t="shared" si="53"/>
        <v>#REF!</v>
      </c>
      <c r="Z108" s="99" t="e">
        <f t="shared" si="53"/>
        <v>#REF!</v>
      </c>
      <c r="AA108" s="99" t="e">
        <f t="shared" si="53"/>
        <v>#REF!</v>
      </c>
      <c r="AB108" s="99" t="e">
        <f t="shared" si="53"/>
        <v>#REF!</v>
      </c>
      <c r="AC108" s="99" t="e">
        <f t="shared" si="53"/>
        <v>#REF!</v>
      </c>
      <c r="AD108" s="99" t="e">
        <f t="shared" si="53"/>
        <v>#REF!</v>
      </c>
      <c r="AE108" s="99" t="e">
        <f t="shared" si="53"/>
        <v>#REF!</v>
      </c>
      <c r="AF108" s="99" t="e">
        <f t="shared" si="53"/>
        <v>#REF!</v>
      </c>
      <c r="AG108" s="99" t="e">
        <f t="shared" si="53"/>
        <v>#REF!</v>
      </c>
      <c r="AH108" s="99" t="e">
        <f t="shared" si="53"/>
        <v>#REF!</v>
      </c>
      <c r="AI108" s="99" t="e">
        <f t="shared" si="53"/>
        <v>#REF!</v>
      </c>
      <c r="AJ108" s="99" t="e">
        <f t="shared" ref="AJ108" si="54">AJ101-AJ102</f>
        <v>#REF!</v>
      </c>
      <c r="AK108" s="99" t="e">
        <f t="shared" si="53"/>
        <v>#REF!</v>
      </c>
      <c r="AL108" s="99" t="e">
        <f t="shared" si="52"/>
        <v>#REF!</v>
      </c>
      <c r="AM108" s="99" t="e">
        <f t="shared" si="52"/>
        <v>#REF!</v>
      </c>
      <c r="AN108" s="99" t="e">
        <f t="shared" si="52"/>
        <v>#REF!</v>
      </c>
      <c r="AO108" s="99" t="e">
        <f t="shared" si="52"/>
        <v>#REF!</v>
      </c>
      <c r="AP108" s="99" t="e">
        <f t="shared" si="52"/>
        <v>#REF!</v>
      </c>
      <c r="AQ108" s="99" t="e">
        <f t="shared" si="52"/>
        <v>#REF!</v>
      </c>
      <c r="AR108" s="99" t="e">
        <f t="shared" si="52"/>
        <v>#REF!</v>
      </c>
      <c r="AS108" s="99" t="e">
        <f t="shared" si="52"/>
        <v>#REF!</v>
      </c>
      <c r="AT108" s="99" t="e">
        <f t="shared" si="52"/>
        <v>#REF!</v>
      </c>
      <c r="AU108" s="99" t="e">
        <f t="shared" si="52"/>
        <v>#REF!</v>
      </c>
      <c r="AV108" s="99" t="e">
        <f t="shared" si="52"/>
        <v>#REF!</v>
      </c>
      <c r="AW108" s="99" t="e">
        <f t="shared" si="52"/>
        <v>#REF!</v>
      </c>
      <c r="AX108" s="99" t="e">
        <f t="shared" si="52"/>
        <v>#REF!</v>
      </c>
      <c r="AY108" s="99" t="e">
        <f t="shared" si="52"/>
        <v>#REF!</v>
      </c>
      <c r="AZ108" s="99" t="e">
        <f t="shared" si="52"/>
        <v>#REF!</v>
      </c>
      <c r="BA108" s="99" t="e">
        <f t="shared" si="52"/>
        <v>#REF!</v>
      </c>
      <c r="BB108" s="99" t="e">
        <f t="shared" si="52"/>
        <v>#REF!</v>
      </c>
      <c r="BC108" s="99" t="e">
        <f t="shared" si="52"/>
        <v>#REF!</v>
      </c>
      <c r="BD108" s="99" t="e">
        <f t="shared" si="52"/>
        <v>#REF!</v>
      </c>
      <c r="BE108" s="99" t="e">
        <f t="shared" si="52"/>
        <v>#REF!</v>
      </c>
      <c r="BF108" s="99" t="e">
        <f t="shared" si="52"/>
        <v>#REF!</v>
      </c>
      <c r="BG108" s="99" t="e">
        <f t="shared" si="52"/>
        <v>#REF!</v>
      </c>
      <c r="BH108" s="99" t="e">
        <f t="shared" si="52"/>
        <v>#REF!</v>
      </c>
      <c r="BI108" s="99" t="e">
        <f t="shared" si="52"/>
        <v>#REF!</v>
      </c>
      <c r="BJ108" s="99">
        <f t="shared" si="52"/>
        <v>22</v>
      </c>
      <c r="BK108" s="99">
        <f t="shared" si="52"/>
        <v>22</v>
      </c>
      <c r="BL108" s="99">
        <f t="shared" si="52"/>
        <v>22</v>
      </c>
      <c r="BM108" s="99">
        <f t="shared" si="52"/>
        <v>22</v>
      </c>
      <c r="BN108" s="99">
        <f t="shared" si="52"/>
        <v>22</v>
      </c>
      <c r="BO108" s="99">
        <f t="shared" si="52"/>
        <v>22</v>
      </c>
      <c r="BP108" s="99">
        <f t="shared" si="52"/>
        <v>22</v>
      </c>
      <c r="BQ108" s="99">
        <f t="shared" si="52"/>
        <v>22</v>
      </c>
      <c r="BR108" s="99">
        <f t="shared" si="52"/>
        <v>22</v>
      </c>
      <c r="BS108" s="100"/>
      <c r="BT108" s="100"/>
      <c r="BU108" s="166" t="e">
        <f t="shared" si="52"/>
        <v>#REF!</v>
      </c>
    </row>
    <row r="109" spans="1:73" hidden="1" x14ac:dyDescent="0.2">
      <c r="A109" s="137" t="s">
        <v>219</v>
      </c>
      <c r="B109" s="129" t="s">
        <v>220</v>
      </c>
      <c r="C109" s="162"/>
      <c r="D109" s="165"/>
      <c r="E109" s="99">
        <f t="shared" ref="E109:BU109" si="55">E108/E107</f>
        <v>1</v>
      </c>
      <c r="F109" s="99">
        <f t="shared" si="55"/>
        <v>1</v>
      </c>
      <c r="G109" s="99">
        <f t="shared" si="55"/>
        <v>1</v>
      </c>
      <c r="H109" s="99"/>
      <c r="I109" s="99" t="e">
        <f t="shared" si="55"/>
        <v>#REF!</v>
      </c>
      <c r="J109" s="99" t="e">
        <f t="shared" si="55"/>
        <v>#REF!</v>
      </c>
      <c r="K109" s="99" t="e">
        <f t="shared" si="55"/>
        <v>#REF!</v>
      </c>
      <c r="L109" s="99" t="e">
        <f t="shared" ref="L109:AK109" si="56">L108/L107</f>
        <v>#REF!</v>
      </c>
      <c r="M109" s="99" t="e">
        <f t="shared" si="56"/>
        <v>#REF!</v>
      </c>
      <c r="N109" s="99" t="e">
        <f t="shared" si="56"/>
        <v>#REF!</v>
      </c>
      <c r="O109" s="99" t="e">
        <f t="shared" si="56"/>
        <v>#REF!</v>
      </c>
      <c r="P109" s="99" t="e">
        <f t="shared" si="56"/>
        <v>#REF!</v>
      </c>
      <c r="Q109" s="99" t="e">
        <f t="shared" si="56"/>
        <v>#REF!</v>
      </c>
      <c r="R109" s="99" t="e">
        <f t="shared" si="56"/>
        <v>#REF!</v>
      </c>
      <c r="S109" s="99" t="e">
        <f t="shared" si="56"/>
        <v>#REF!</v>
      </c>
      <c r="T109" s="99" t="e">
        <f t="shared" si="56"/>
        <v>#REF!</v>
      </c>
      <c r="U109" s="99" t="e">
        <f t="shared" si="56"/>
        <v>#REF!</v>
      </c>
      <c r="V109" s="99" t="e">
        <f t="shared" si="56"/>
        <v>#REF!</v>
      </c>
      <c r="W109" s="99" t="e">
        <f t="shared" si="56"/>
        <v>#REF!</v>
      </c>
      <c r="X109" s="99" t="e">
        <f t="shared" si="56"/>
        <v>#REF!</v>
      </c>
      <c r="Y109" s="99" t="e">
        <f t="shared" si="56"/>
        <v>#REF!</v>
      </c>
      <c r="Z109" s="99" t="e">
        <f t="shared" si="56"/>
        <v>#REF!</v>
      </c>
      <c r="AA109" s="99" t="e">
        <f t="shared" si="56"/>
        <v>#REF!</v>
      </c>
      <c r="AB109" s="99" t="e">
        <f t="shared" si="56"/>
        <v>#REF!</v>
      </c>
      <c r="AC109" s="99" t="e">
        <f t="shared" si="56"/>
        <v>#REF!</v>
      </c>
      <c r="AD109" s="99" t="e">
        <f t="shared" si="56"/>
        <v>#REF!</v>
      </c>
      <c r="AE109" s="99" t="e">
        <f t="shared" si="56"/>
        <v>#REF!</v>
      </c>
      <c r="AF109" s="99" t="e">
        <f t="shared" si="56"/>
        <v>#REF!</v>
      </c>
      <c r="AG109" s="99" t="e">
        <f t="shared" si="56"/>
        <v>#REF!</v>
      </c>
      <c r="AH109" s="99" t="e">
        <f t="shared" si="56"/>
        <v>#REF!</v>
      </c>
      <c r="AI109" s="99" t="e">
        <f t="shared" si="56"/>
        <v>#REF!</v>
      </c>
      <c r="AJ109" s="99" t="e">
        <f t="shared" ref="AJ109" si="57">AJ108/AJ107</f>
        <v>#REF!</v>
      </c>
      <c r="AK109" s="99" t="e">
        <f t="shared" si="56"/>
        <v>#REF!</v>
      </c>
      <c r="AL109" s="99" t="e">
        <f t="shared" si="55"/>
        <v>#REF!</v>
      </c>
      <c r="AM109" s="99" t="e">
        <f t="shared" si="55"/>
        <v>#REF!</v>
      </c>
      <c r="AN109" s="99" t="e">
        <f t="shared" si="55"/>
        <v>#REF!</v>
      </c>
      <c r="AO109" s="99" t="e">
        <f t="shared" si="55"/>
        <v>#REF!</v>
      </c>
      <c r="AP109" s="99" t="e">
        <f t="shared" si="55"/>
        <v>#REF!</v>
      </c>
      <c r="AQ109" s="99" t="e">
        <f t="shared" si="55"/>
        <v>#REF!</v>
      </c>
      <c r="AR109" s="99" t="e">
        <f t="shared" si="55"/>
        <v>#REF!</v>
      </c>
      <c r="AS109" s="99" t="e">
        <f t="shared" si="55"/>
        <v>#REF!</v>
      </c>
      <c r="AT109" s="99" t="e">
        <f t="shared" si="55"/>
        <v>#REF!</v>
      </c>
      <c r="AU109" s="99" t="e">
        <f t="shared" si="55"/>
        <v>#REF!</v>
      </c>
      <c r="AV109" s="99" t="e">
        <f t="shared" si="55"/>
        <v>#REF!</v>
      </c>
      <c r="AW109" s="99" t="e">
        <f t="shared" si="55"/>
        <v>#REF!</v>
      </c>
      <c r="AX109" s="99" t="e">
        <f t="shared" si="55"/>
        <v>#REF!</v>
      </c>
      <c r="AY109" s="99" t="e">
        <f t="shared" si="55"/>
        <v>#REF!</v>
      </c>
      <c r="AZ109" s="99" t="e">
        <f t="shared" si="55"/>
        <v>#REF!</v>
      </c>
      <c r="BA109" s="99" t="e">
        <f t="shared" si="55"/>
        <v>#REF!</v>
      </c>
      <c r="BB109" s="99" t="e">
        <f t="shared" si="55"/>
        <v>#REF!</v>
      </c>
      <c r="BC109" s="99" t="e">
        <f t="shared" si="55"/>
        <v>#REF!</v>
      </c>
      <c r="BD109" s="99" t="e">
        <f t="shared" si="55"/>
        <v>#REF!</v>
      </c>
      <c r="BE109" s="99" t="e">
        <f t="shared" si="55"/>
        <v>#REF!</v>
      </c>
      <c r="BF109" s="99" t="e">
        <f t="shared" si="55"/>
        <v>#REF!</v>
      </c>
      <c r="BG109" s="99" t="e">
        <f t="shared" si="55"/>
        <v>#REF!</v>
      </c>
      <c r="BH109" s="99" t="e">
        <f t="shared" si="55"/>
        <v>#REF!</v>
      </c>
      <c r="BI109" s="99" t="e">
        <f t="shared" si="55"/>
        <v>#REF!</v>
      </c>
      <c r="BJ109" s="99">
        <f t="shared" si="55"/>
        <v>0.91666666666666663</v>
      </c>
      <c r="BK109" s="99">
        <f t="shared" si="55"/>
        <v>0.91666666666666663</v>
      </c>
      <c r="BL109" s="99">
        <f t="shared" si="55"/>
        <v>0.91666666666666663</v>
      </c>
      <c r="BM109" s="99">
        <f t="shared" si="55"/>
        <v>0.91666666666666663</v>
      </c>
      <c r="BN109" s="99">
        <f t="shared" si="55"/>
        <v>0.91666666666666663</v>
      </c>
      <c r="BO109" s="99">
        <f t="shared" si="55"/>
        <v>0.91666666666666663</v>
      </c>
      <c r="BP109" s="99">
        <f t="shared" si="55"/>
        <v>0.91666666666666663</v>
      </c>
      <c r="BQ109" s="99">
        <f t="shared" si="55"/>
        <v>0.91666666666666663</v>
      </c>
      <c r="BR109" s="99">
        <f t="shared" si="55"/>
        <v>0.91666666666666663</v>
      </c>
      <c r="BS109" s="100"/>
      <c r="BT109" s="100"/>
      <c r="BU109" s="166" t="e">
        <f t="shared" si="55"/>
        <v>#REF!</v>
      </c>
    </row>
    <row r="110" spans="1:73" hidden="1" x14ac:dyDescent="0.2">
      <c r="A110" s="137" t="s">
        <v>14</v>
      </c>
      <c r="B110" s="129" t="s">
        <v>221</v>
      </c>
      <c r="C110" s="162"/>
      <c r="D110" s="165"/>
      <c r="E110" s="99" t="e">
        <f t="shared" ref="E110:BU110" si="58">E106*E100/E108</f>
        <v>#DIV/0!</v>
      </c>
      <c r="F110" s="99" t="e">
        <f t="shared" si="58"/>
        <v>#DIV/0!</v>
      </c>
      <c r="G110" s="99" t="e">
        <f t="shared" si="58"/>
        <v>#DIV/0!</v>
      </c>
      <c r="H110" s="99"/>
      <c r="I110" s="99" t="e">
        <f t="shared" si="58"/>
        <v>#REF!</v>
      </c>
      <c r="J110" s="99" t="e">
        <f t="shared" si="58"/>
        <v>#REF!</v>
      </c>
      <c r="K110" s="99" t="e">
        <f t="shared" si="58"/>
        <v>#REF!</v>
      </c>
      <c r="L110" s="99" t="e">
        <f t="shared" ref="L110:AK110" si="59">L106*L100/L108</f>
        <v>#REF!</v>
      </c>
      <c r="M110" s="99" t="e">
        <f t="shared" si="59"/>
        <v>#REF!</v>
      </c>
      <c r="N110" s="99" t="e">
        <f t="shared" si="59"/>
        <v>#REF!</v>
      </c>
      <c r="O110" s="99" t="e">
        <f t="shared" si="59"/>
        <v>#REF!</v>
      </c>
      <c r="P110" s="99" t="e">
        <f t="shared" si="59"/>
        <v>#REF!</v>
      </c>
      <c r="Q110" s="99" t="e">
        <f t="shared" si="59"/>
        <v>#REF!</v>
      </c>
      <c r="R110" s="99" t="e">
        <f t="shared" si="59"/>
        <v>#REF!</v>
      </c>
      <c r="S110" s="99" t="e">
        <f t="shared" si="59"/>
        <v>#REF!</v>
      </c>
      <c r="T110" s="99" t="e">
        <f t="shared" si="59"/>
        <v>#REF!</v>
      </c>
      <c r="U110" s="99" t="e">
        <f t="shared" si="59"/>
        <v>#REF!</v>
      </c>
      <c r="V110" s="99" t="e">
        <f t="shared" si="59"/>
        <v>#REF!</v>
      </c>
      <c r="W110" s="99" t="e">
        <f t="shared" si="59"/>
        <v>#REF!</v>
      </c>
      <c r="X110" s="99" t="e">
        <f t="shared" si="59"/>
        <v>#REF!</v>
      </c>
      <c r="Y110" s="99" t="e">
        <f t="shared" si="59"/>
        <v>#REF!</v>
      </c>
      <c r="Z110" s="99" t="e">
        <f t="shared" si="59"/>
        <v>#REF!</v>
      </c>
      <c r="AA110" s="99" t="e">
        <f t="shared" si="59"/>
        <v>#REF!</v>
      </c>
      <c r="AB110" s="99" t="e">
        <f t="shared" si="59"/>
        <v>#REF!</v>
      </c>
      <c r="AC110" s="99" t="e">
        <f t="shared" si="59"/>
        <v>#REF!</v>
      </c>
      <c r="AD110" s="99" t="e">
        <f t="shared" si="59"/>
        <v>#REF!</v>
      </c>
      <c r="AE110" s="99" t="e">
        <f t="shared" si="59"/>
        <v>#REF!</v>
      </c>
      <c r="AF110" s="99" t="e">
        <f t="shared" si="59"/>
        <v>#REF!</v>
      </c>
      <c r="AG110" s="99" t="e">
        <f t="shared" si="59"/>
        <v>#REF!</v>
      </c>
      <c r="AH110" s="99" t="e">
        <f t="shared" si="59"/>
        <v>#REF!</v>
      </c>
      <c r="AI110" s="99" t="e">
        <f t="shared" si="59"/>
        <v>#REF!</v>
      </c>
      <c r="AJ110" s="99" t="e">
        <f t="shared" ref="AJ110" si="60">AJ106*AJ100/AJ108</f>
        <v>#REF!</v>
      </c>
      <c r="AK110" s="99" t="e">
        <f t="shared" si="59"/>
        <v>#REF!</v>
      </c>
      <c r="AL110" s="99" t="e">
        <f t="shared" si="58"/>
        <v>#REF!</v>
      </c>
      <c r="AM110" s="99" t="e">
        <f t="shared" si="58"/>
        <v>#REF!</v>
      </c>
      <c r="AN110" s="99" t="e">
        <f t="shared" si="58"/>
        <v>#REF!</v>
      </c>
      <c r="AO110" s="99" t="e">
        <f t="shared" si="58"/>
        <v>#REF!</v>
      </c>
      <c r="AP110" s="99" t="e">
        <f t="shared" si="58"/>
        <v>#REF!</v>
      </c>
      <c r="AQ110" s="99" t="e">
        <f t="shared" si="58"/>
        <v>#REF!</v>
      </c>
      <c r="AR110" s="99" t="e">
        <f t="shared" si="58"/>
        <v>#REF!</v>
      </c>
      <c r="AS110" s="99" t="e">
        <f t="shared" si="58"/>
        <v>#REF!</v>
      </c>
      <c r="AT110" s="99" t="e">
        <f t="shared" si="58"/>
        <v>#REF!</v>
      </c>
      <c r="AU110" s="99" t="e">
        <f t="shared" si="58"/>
        <v>#REF!</v>
      </c>
      <c r="AV110" s="99" t="e">
        <f t="shared" si="58"/>
        <v>#REF!</v>
      </c>
      <c r="AW110" s="99" t="e">
        <f t="shared" si="58"/>
        <v>#REF!</v>
      </c>
      <c r="AX110" s="99" t="e">
        <f t="shared" si="58"/>
        <v>#REF!</v>
      </c>
      <c r="AY110" s="99" t="e">
        <f t="shared" si="58"/>
        <v>#REF!</v>
      </c>
      <c r="AZ110" s="99" t="e">
        <f t="shared" si="58"/>
        <v>#REF!</v>
      </c>
      <c r="BA110" s="99" t="e">
        <f t="shared" si="58"/>
        <v>#REF!</v>
      </c>
      <c r="BB110" s="99" t="e">
        <f t="shared" si="58"/>
        <v>#REF!</v>
      </c>
      <c r="BC110" s="99" t="e">
        <f t="shared" si="58"/>
        <v>#REF!</v>
      </c>
      <c r="BD110" s="99" t="e">
        <f t="shared" si="58"/>
        <v>#REF!</v>
      </c>
      <c r="BE110" s="99" t="e">
        <f t="shared" si="58"/>
        <v>#REF!</v>
      </c>
      <c r="BF110" s="99" t="e">
        <f t="shared" si="58"/>
        <v>#REF!</v>
      </c>
      <c r="BG110" s="99" t="e">
        <f t="shared" si="58"/>
        <v>#REF!</v>
      </c>
      <c r="BH110" s="99" t="e">
        <f t="shared" si="58"/>
        <v>#REF!</v>
      </c>
      <c r="BI110" s="99" t="e">
        <f t="shared" si="58"/>
        <v>#REF!</v>
      </c>
      <c r="BJ110" s="99" t="e">
        <f t="shared" si="58"/>
        <v>#REF!</v>
      </c>
      <c r="BK110" s="99" t="e">
        <f t="shared" si="58"/>
        <v>#REF!</v>
      </c>
      <c r="BL110" s="99" t="e">
        <f t="shared" si="58"/>
        <v>#REF!</v>
      </c>
      <c r="BM110" s="99" t="e">
        <f t="shared" si="58"/>
        <v>#REF!</v>
      </c>
      <c r="BN110" s="99" t="e">
        <f t="shared" si="58"/>
        <v>#REF!</v>
      </c>
      <c r="BO110" s="99" t="e">
        <f t="shared" si="58"/>
        <v>#REF!</v>
      </c>
      <c r="BP110" s="99" t="e">
        <f t="shared" si="58"/>
        <v>#REF!</v>
      </c>
      <c r="BQ110" s="99" t="e">
        <f t="shared" si="58"/>
        <v>#REF!</v>
      </c>
      <c r="BR110" s="99" t="e">
        <f t="shared" si="58"/>
        <v>#REF!</v>
      </c>
      <c r="BS110" s="100"/>
      <c r="BT110" s="100"/>
      <c r="BU110" s="166" t="e">
        <f t="shared" si="58"/>
        <v>#REF!</v>
      </c>
    </row>
    <row r="111" spans="1:73" ht="21" hidden="1" thickBot="1" x14ac:dyDescent="0.25">
      <c r="A111" s="167"/>
      <c r="B111" s="145" t="s">
        <v>222</v>
      </c>
      <c r="C111" s="146"/>
      <c r="D111" s="147" t="s">
        <v>173</v>
      </c>
      <c r="E111" s="168" t="e">
        <f t="shared" ref="E111:BU111" si="61">E110*E109*100</f>
        <v>#DIV/0!</v>
      </c>
      <c r="F111" s="168" t="e">
        <f t="shared" si="61"/>
        <v>#DIV/0!</v>
      </c>
      <c r="G111" s="168" t="e">
        <f t="shared" si="61"/>
        <v>#DIV/0!</v>
      </c>
      <c r="H111" s="168">
        <f t="shared" si="61"/>
        <v>0</v>
      </c>
      <c r="I111" s="168" t="e">
        <f t="shared" si="61"/>
        <v>#REF!</v>
      </c>
      <c r="J111" s="168" t="e">
        <f t="shared" si="61"/>
        <v>#REF!</v>
      </c>
      <c r="K111" s="168" t="e">
        <f t="shared" si="61"/>
        <v>#REF!</v>
      </c>
      <c r="L111" s="168" t="e">
        <f t="shared" ref="L111:AK111" si="62">L110*L109*100</f>
        <v>#REF!</v>
      </c>
      <c r="M111" s="168" t="e">
        <f t="shared" si="62"/>
        <v>#REF!</v>
      </c>
      <c r="N111" s="168" t="e">
        <f t="shared" si="62"/>
        <v>#REF!</v>
      </c>
      <c r="O111" s="168" t="e">
        <f t="shared" si="62"/>
        <v>#REF!</v>
      </c>
      <c r="P111" s="168" t="e">
        <f t="shared" si="62"/>
        <v>#REF!</v>
      </c>
      <c r="Q111" s="168" t="e">
        <f t="shared" si="62"/>
        <v>#REF!</v>
      </c>
      <c r="R111" s="168" t="e">
        <f t="shared" si="62"/>
        <v>#REF!</v>
      </c>
      <c r="S111" s="168" t="e">
        <f t="shared" si="62"/>
        <v>#REF!</v>
      </c>
      <c r="T111" s="168" t="e">
        <f t="shared" si="62"/>
        <v>#REF!</v>
      </c>
      <c r="U111" s="168" t="e">
        <f t="shared" si="62"/>
        <v>#REF!</v>
      </c>
      <c r="V111" s="168" t="e">
        <f t="shared" si="62"/>
        <v>#REF!</v>
      </c>
      <c r="W111" s="168" t="e">
        <f t="shared" si="62"/>
        <v>#REF!</v>
      </c>
      <c r="X111" s="168" t="e">
        <f t="shared" si="62"/>
        <v>#REF!</v>
      </c>
      <c r="Y111" s="168" t="e">
        <f t="shared" si="62"/>
        <v>#REF!</v>
      </c>
      <c r="Z111" s="168" t="e">
        <f t="shared" si="62"/>
        <v>#REF!</v>
      </c>
      <c r="AA111" s="168" t="e">
        <f t="shared" si="62"/>
        <v>#REF!</v>
      </c>
      <c r="AB111" s="168" t="e">
        <f t="shared" si="62"/>
        <v>#REF!</v>
      </c>
      <c r="AC111" s="168" t="e">
        <f t="shared" si="62"/>
        <v>#REF!</v>
      </c>
      <c r="AD111" s="168" t="e">
        <f t="shared" si="62"/>
        <v>#REF!</v>
      </c>
      <c r="AE111" s="168" t="e">
        <f t="shared" si="62"/>
        <v>#REF!</v>
      </c>
      <c r="AF111" s="168" t="e">
        <f t="shared" si="62"/>
        <v>#REF!</v>
      </c>
      <c r="AG111" s="168" t="e">
        <f t="shared" si="62"/>
        <v>#REF!</v>
      </c>
      <c r="AH111" s="168" t="e">
        <f t="shared" si="62"/>
        <v>#REF!</v>
      </c>
      <c r="AI111" s="168" t="e">
        <f t="shared" si="62"/>
        <v>#REF!</v>
      </c>
      <c r="AJ111" s="168" t="e">
        <f t="shared" ref="AJ111" si="63">AJ110*AJ109*100</f>
        <v>#REF!</v>
      </c>
      <c r="AK111" s="168" t="e">
        <f t="shared" si="62"/>
        <v>#REF!</v>
      </c>
      <c r="AL111" s="168" t="e">
        <f t="shared" si="61"/>
        <v>#REF!</v>
      </c>
      <c r="AM111" s="168" t="e">
        <f t="shared" si="61"/>
        <v>#REF!</v>
      </c>
      <c r="AN111" s="168" t="e">
        <f t="shared" si="61"/>
        <v>#REF!</v>
      </c>
      <c r="AO111" s="168" t="e">
        <f t="shared" si="61"/>
        <v>#REF!</v>
      </c>
      <c r="AP111" s="168" t="e">
        <f t="shared" si="61"/>
        <v>#REF!</v>
      </c>
      <c r="AQ111" s="168" t="e">
        <f t="shared" si="61"/>
        <v>#REF!</v>
      </c>
      <c r="AR111" s="168" t="e">
        <f t="shared" si="61"/>
        <v>#REF!</v>
      </c>
      <c r="AS111" s="168" t="e">
        <f t="shared" si="61"/>
        <v>#REF!</v>
      </c>
      <c r="AT111" s="168" t="e">
        <f t="shared" si="61"/>
        <v>#REF!</v>
      </c>
      <c r="AU111" s="168" t="e">
        <f t="shared" si="61"/>
        <v>#REF!</v>
      </c>
      <c r="AV111" s="168" t="e">
        <f t="shared" si="61"/>
        <v>#REF!</v>
      </c>
      <c r="AW111" s="168" t="e">
        <f t="shared" si="61"/>
        <v>#REF!</v>
      </c>
      <c r="AX111" s="168" t="e">
        <f t="shared" si="61"/>
        <v>#REF!</v>
      </c>
      <c r="AY111" s="168" t="e">
        <f t="shared" si="61"/>
        <v>#REF!</v>
      </c>
      <c r="AZ111" s="168" t="e">
        <f t="shared" si="61"/>
        <v>#REF!</v>
      </c>
      <c r="BA111" s="168" t="e">
        <f t="shared" si="61"/>
        <v>#REF!</v>
      </c>
      <c r="BB111" s="168" t="e">
        <f t="shared" si="61"/>
        <v>#REF!</v>
      </c>
      <c r="BC111" s="168" t="e">
        <f t="shared" si="61"/>
        <v>#REF!</v>
      </c>
      <c r="BD111" s="168" t="e">
        <f t="shared" si="61"/>
        <v>#REF!</v>
      </c>
      <c r="BE111" s="168" t="e">
        <f t="shared" si="61"/>
        <v>#REF!</v>
      </c>
      <c r="BF111" s="168" t="e">
        <f t="shared" si="61"/>
        <v>#REF!</v>
      </c>
      <c r="BG111" s="168" t="e">
        <f t="shared" si="61"/>
        <v>#REF!</v>
      </c>
      <c r="BH111" s="168" t="e">
        <f t="shared" si="61"/>
        <v>#REF!</v>
      </c>
      <c r="BI111" s="168" t="e">
        <f t="shared" si="61"/>
        <v>#REF!</v>
      </c>
      <c r="BJ111" s="168" t="e">
        <f t="shared" si="61"/>
        <v>#REF!</v>
      </c>
      <c r="BK111" s="168" t="e">
        <f t="shared" si="61"/>
        <v>#REF!</v>
      </c>
      <c r="BL111" s="168" t="e">
        <f t="shared" si="61"/>
        <v>#REF!</v>
      </c>
      <c r="BM111" s="168" t="e">
        <f t="shared" si="61"/>
        <v>#REF!</v>
      </c>
      <c r="BN111" s="168" t="e">
        <f t="shared" si="61"/>
        <v>#REF!</v>
      </c>
      <c r="BO111" s="168" t="e">
        <f t="shared" si="61"/>
        <v>#REF!</v>
      </c>
      <c r="BP111" s="168" t="e">
        <f t="shared" si="61"/>
        <v>#REF!</v>
      </c>
      <c r="BQ111" s="168" t="e">
        <f t="shared" si="61"/>
        <v>#REF!</v>
      </c>
      <c r="BR111" s="168" t="e">
        <f t="shared" si="61"/>
        <v>#REF!</v>
      </c>
      <c r="BS111" s="169"/>
      <c r="BT111" s="169"/>
      <c r="BU111" s="150" t="e">
        <f t="shared" si="61"/>
        <v>#REF!</v>
      </c>
    </row>
    <row r="112" spans="1:73" x14ac:dyDescent="0.2">
      <c r="A112" s="152"/>
      <c r="B112" s="152"/>
      <c r="C112" s="153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70"/>
      <c r="AT112" s="170"/>
      <c r="AU112" s="170"/>
      <c r="AV112" s="170"/>
      <c r="AW112" s="170"/>
      <c r="AX112" s="170"/>
      <c r="AY112" s="170"/>
      <c r="AZ112" s="170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  <c r="BK112" s="170"/>
      <c r="BL112" s="170"/>
      <c r="BM112" s="170"/>
      <c r="BN112" s="170"/>
      <c r="BO112" s="170"/>
      <c r="BP112" s="170"/>
      <c r="BQ112" s="170"/>
      <c r="BR112" s="170"/>
      <c r="BS112" s="170"/>
      <c r="BT112" s="170"/>
      <c r="BU112" s="152"/>
    </row>
    <row r="113" spans="1:73" x14ac:dyDescent="0.2">
      <c r="A113" s="152"/>
      <c r="B113" s="152"/>
      <c r="C113" s="153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70"/>
      <c r="AT113" s="170"/>
      <c r="AU113" s="170"/>
      <c r="AV113" s="170"/>
      <c r="AW113" s="170"/>
      <c r="AX113" s="170"/>
      <c r="AY113" s="170"/>
      <c r="AZ113" s="170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  <c r="BK113" s="170"/>
      <c r="BL113" s="170"/>
      <c r="BM113" s="170"/>
      <c r="BN113" s="170"/>
      <c r="BO113" s="170"/>
      <c r="BP113" s="170"/>
      <c r="BQ113" s="170"/>
      <c r="BR113" s="170"/>
      <c r="BS113" s="170"/>
      <c r="BT113" s="170"/>
      <c r="BU113" s="152"/>
    </row>
    <row r="114" spans="1:73" ht="26.25" customHeight="1" x14ac:dyDescent="0.2">
      <c r="A114" s="152"/>
      <c r="B114" s="152"/>
      <c r="C114" s="153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2"/>
      <c r="BL114" s="152"/>
      <c r="BM114" s="152"/>
      <c r="BN114" s="152"/>
      <c r="BO114" s="152"/>
      <c r="BP114" s="152"/>
      <c r="BQ114" s="152"/>
      <c r="BR114" s="152"/>
      <c r="BS114" s="152"/>
      <c r="BT114" s="152"/>
      <c r="BU114" s="170"/>
    </row>
    <row r="115" spans="1:73" ht="15.75" customHeight="1" x14ac:dyDescent="0.2">
      <c r="A115" s="152"/>
      <c r="B115" s="152"/>
      <c r="C115" s="153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2"/>
      <c r="BL115" s="152"/>
      <c r="BM115" s="152"/>
      <c r="BN115" s="152"/>
      <c r="BO115" s="152"/>
      <c r="BP115" s="152"/>
      <c r="BQ115" s="152"/>
      <c r="BR115" s="152"/>
      <c r="BS115" s="152"/>
      <c r="BT115" s="152"/>
      <c r="BU115" s="170"/>
    </row>
    <row r="116" spans="1:73" x14ac:dyDescent="0.2">
      <c r="A116" s="152"/>
      <c r="B116" s="152" t="s">
        <v>150</v>
      </c>
      <c r="C116" s="153"/>
      <c r="D116" s="152" t="s">
        <v>16</v>
      </c>
      <c r="E116" s="152"/>
      <c r="F116" s="152"/>
      <c r="G116" s="152">
        <v>130.69999999999999</v>
      </c>
      <c r="H116" s="152">
        <v>138.69999999999999</v>
      </c>
      <c r="I116" s="152">
        <v>129.19999999999999</v>
      </c>
      <c r="J116" s="152">
        <v>126.6</v>
      </c>
      <c r="K116" s="152">
        <v>136.80000000000001</v>
      </c>
      <c r="L116" s="152">
        <v>121.1</v>
      </c>
      <c r="M116" s="152">
        <v>115.3</v>
      </c>
      <c r="N116" s="152">
        <v>137.19999999999999</v>
      </c>
      <c r="O116" s="152">
        <v>131</v>
      </c>
      <c r="P116" s="152">
        <v>142.9</v>
      </c>
      <c r="Q116" s="152">
        <v>126.9</v>
      </c>
      <c r="R116" s="152">
        <v>113.7</v>
      </c>
      <c r="S116" s="152">
        <v>74.599999999999994</v>
      </c>
      <c r="T116" s="152">
        <v>0</v>
      </c>
      <c r="U116" s="152">
        <v>10</v>
      </c>
      <c r="V116" s="152">
        <v>2.6</v>
      </c>
      <c r="W116" s="152">
        <v>47.7</v>
      </c>
      <c r="X116" s="152">
        <v>133.69999999999999</v>
      </c>
      <c r="Y116" s="152">
        <v>108.8</v>
      </c>
      <c r="Z116" s="152">
        <v>107.3</v>
      </c>
      <c r="AA116" s="152">
        <v>113.8</v>
      </c>
      <c r="AB116" s="152">
        <v>81.400000000000006</v>
      </c>
      <c r="AC116" s="152">
        <v>103.6</v>
      </c>
      <c r="AD116" s="152">
        <v>127.7</v>
      </c>
      <c r="AE116" s="152">
        <v>137.4</v>
      </c>
      <c r="AF116" s="152">
        <v>111.4</v>
      </c>
      <c r="AG116" s="152">
        <v>113.4</v>
      </c>
      <c r="AH116" s="152">
        <v>111.3</v>
      </c>
      <c r="AI116" s="152">
        <v>122.4</v>
      </c>
      <c r="AJ116" s="152">
        <v>135.1</v>
      </c>
      <c r="AK116" s="152">
        <v>141.80000000000001</v>
      </c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2"/>
      <c r="BL116" s="152"/>
      <c r="BM116" s="152"/>
      <c r="BN116" s="152"/>
      <c r="BO116" s="152"/>
      <c r="BP116" s="152"/>
      <c r="BQ116" s="152"/>
      <c r="BR116" s="152"/>
      <c r="BS116" s="152"/>
      <c r="BT116" s="152"/>
      <c r="BU116" s="170"/>
    </row>
    <row r="117" spans="1:73" x14ac:dyDescent="0.2">
      <c r="A117" s="152"/>
      <c r="B117" s="152" t="s">
        <v>283</v>
      </c>
      <c r="C117" s="153"/>
      <c r="D117" s="152" t="s">
        <v>289</v>
      </c>
      <c r="E117" s="152"/>
      <c r="F117" s="152"/>
      <c r="G117" s="152">
        <v>5545.1</v>
      </c>
      <c r="H117" s="152">
        <v>5253.8</v>
      </c>
      <c r="I117" s="152">
        <v>5144.3999999999996</v>
      </c>
      <c r="J117" s="152">
        <v>6295.8</v>
      </c>
      <c r="K117" s="152">
        <v>6603</v>
      </c>
      <c r="L117" s="152">
        <v>6148.2</v>
      </c>
      <c r="M117" s="152">
        <v>6439.7</v>
      </c>
      <c r="N117" s="152">
        <v>8399.7999999999993</v>
      </c>
      <c r="O117" s="152">
        <v>8279</v>
      </c>
      <c r="P117" s="152">
        <v>8681.7000000000007</v>
      </c>
      <c r="Q117" s="152">
        <v>6969.5</v>
      </c>
      <c r="R117" s="152">
        <v>5472.7</v>
      </c>
      <c r="S117" s="152">
        <v>3322.9</v>
      </c>
      <c r="T117" s="152">
        <v>0</v>
      </c>
      <c r="U117" s="152">
        <v>0</v>
      </c>
      <c r="V117" s="152">
        <v>0</v>
      </c>
      <c r="W117" s="152">
        <v>2189.4</v>
      </c>
      <c r="X117" s="152">
        <v>7772</v>
      </c>
      <c r="Y117" s="152">
        <v>5354.3</v>
      </c>
      <c r="Z117" s="152">
        <v>5381.2</v>
      </c>
      <c r="AA117" s="152">
        <v>4640.5</v>
      </c>
      <c r="AB117" s="152">
        <v>3362.4</v>
      </c>
      <c r="AC117" s="152">
        <v>5409.9</v>
      </c>
      <c r="AD117" s="152">
        <v>7983.6</v>
      </c>
      <c r="AE117" s="152">
        <v>9068.5</v>
      </c>
      <c r="AF117" s="152">
        <v>6420.9</v>
      </c>
      <c r="AG117" s="152">
        <v>6063.7</v>
      </c>
      <c r="AH117" s="152">
        <v>6072</v>
      </c>
      <c r="AI117" s="152">
        <v>7748.7</v>
      </c>
      <c r="AJ117" s="152">
        <v>7543.6</v>
      </c>
      <c r="AK117" s="152">
        <v>8274.2000000000007</v>
      </c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2"/>
      <c r="BL117" s="152"/>
      <c r="BM117" s="152"/>
      <c r="BN117" s="152"/>
      <c r="BO117" s="152"/>
      <c r="BP117" s="152"/>
      <c r="BQ117" s="152"/>
      <c r="BR117" s="152"/>
      <c r="BS117" s="152"/>
      <c r="BT117" s="152"/>
      <c r="BU117" s="170"/>
    </row>
    <row r="118" spans="1:73" x14ac:dyDescent="0.2">
      <c r="A118" s="152"/>
      <c r="B118" s="152" t="s">
        <v>284</v>
      </c>
      <c r="C118" s="153"/>
      <c r="D118" s="152" t="s">
        <v>289</v>
      </c>
      <c r="E118" s="152"/>
      <c r="F118" s="152"/>
      <c r="G118" s="152">
        <v>0</v>
      </c>
      <c r="H118" s="152">
        <v>0</v>
      </c>
      <c r="I118" s="152">
        <v>0</v>
      </c>
      <c r="J118" s="152">
        <v>5.8</v>
      </c>
      <c r="K118" s="152">
        <v>0</v>
      </c>
      <c r="L118" s="152">
        <v>0</v>
      </c>
      <c r="M118" s="152">
        <v>0</v>
      </c>
      <c r="N118" s="152">
        <v>0</v>
      </c>
      <c r="O118" s="152">
        <v>0</v>
      </c>
      <c r="P118" s="152">
        <v>6.6</v>
      </c>
      <c r="Q118" s="152">
        <v>12.7</v>
      </c>
      <c r="R118" s="152">
        <v>48.5</v>
      </c>
      <c r="S118" s="152">
        <v>0</v>
      </c>
      <c r="T118" s="152">
        <v>0</v>
      </c>
      <c r="U118" s="152">
        <v>0</v>
      </c>
      <c r="V118" s="152">
        <v>0</v>
      </c>
      <c r="W118" s="152">
        <v>0</v>
      </c>
      <c r="X118" s="152">
        <v>21.8</v>
      </c>
      <c r="Y118" s="152">
        <v>0</v>
      </c>
      <c r="Z118" s="152">
        <v>0</v>
      </c>
      <c r="AA118" s="152">
        <v>0</v>
      </c>
      <c r="AB118" s="152">
        <v>0</v>
      </c>
      <c r="AC118" s="152">
        <v>0</v>
      </c>
      <c r="AD118" s="152">
        <v>9.3000000000000007</v>
      </c>
      <c r="AE118" s="152">
        <v>0</v>
      </c>
      <c r="AF118" s="152">
        <v>0</v>
      </c>
      <c r="AG118" s="152">
        <v>0</v>
      </c>
      <c r="AH118" s="152">
        <v>0</v>
      </c>
      <c r="AI118" s="152">
        <v>0</v>
      </c>
      <c r="AJ118" s="152">
        <v>0</v>
      </c>
      <c r="AK118" s="152">
        <v>0</v>
      </c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2"/>
      <c r="BL118" s="152"/>
      <c r="BM118" s="152"/>
      <c r="BN118" s="152"/>
      <c r="BO118" s="152"/>
      <c r="BP118" s="152"/>
      <c r="BQ118" s="152"/>
      <c r="BR118" s="152"/>
      <c r="BS118" s="152"/>
      <c r="BT118" s="152"/>
      <c r="BU118" s="170"/>
    </row>
    <row r="119" spans="1:73" x14ac:dyDescent="0.2">
      <c r="A119" s="152"/>
      <c r="B119" s="152" t="s">
        <v>285</v>
      </c>
      <c r="C119" s="153"/>
      <c r="D119" s="152" t="s">
        <v>153</v>
      </c>
      <c r="E119" s="152"/>
      <c r="F119" s="152"/>
      <c r="G119" s="152">
        <v>348</v>
      </c>
      <c r="H119" s="152">
        <v>372</v>
      </c>
      <c r="I119" s="152">
        <v>717</v>
      </c>
      <c r="J119" s="152">
        <v>455</v>
      </c>
      <c r="K119" s="152">
        <v>237</v>
      </c>
      <c r="L119" s="152">
        <v>387</v>
      </c>
      <c r="M119" s="152">
        <v>482</v>
      </c>
      <c r="N119" s="152">
        <v>365</v>
      </c>
      <c r="O119" s="152">
        <v>405</v>
      </c>
      <c r="P119" s="152">
        <v>442</v>
      </c>
      <c r="Q119" s="152">
        <v>552</v>
      </c>
      <c r="R119" s="152">
        <v>539</v>
      </c>
      <c r="S119" s="152">
        <v>469</v>
      </c>
      <c r="T119" s="152">
        <v>140</v>
      </c>
      <c r="U119" s="152">
        <v>377</v>
      </c>
      <c r="V119" s="152">
        <v>317</v>
      </c>
      <c r="W119" s="152">
        <v>507</v>
      </c>
      <c r="X119" s="152">
        <v>490</v>
      </c>
      <c r="Y119" s="152">
        <v>399</v>
      </c>
      <c r="Z119" s="152">
        <v>516</v>
      </c>
      <c r="AA119" s="152">
        <v>430</v>
      </c>
      <c r="AB119" s="152">
        <v>437</v>
      </c>
      <c r="AC119" s="152">
        <v>436</v>
      </c>
      <c r="AD119" s="152">
        <v>515</v>
      </c>
      <c r="AE119" s="152">
        <v>622</v>
      </c>
      <c r="AF119" s="152">
        <v>535</v>
      </c>
      <c r="AG119" s="152">
        <v>541</v>
      </c>
      <c r="AH119" s="152">
        <v>418</v>
      </c>
      <c r="AI119" s="152">
        <v>413</v>
      </c>
      <c r="AJ119" s="152">
        <v>548</v>
      </c>
      <c r="AK119" s="152">
        <v>486</v>
      </c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2"/>
      <c r="BL119" s="152"/>
      <c r="BM119" s="152"/>
      <c r="BN119" s="152"/>
      <c r="BO119" s="152"/>
      <c r="BP119" s="152"/>
      <c r="BQ119" s="152"/>
      <c r="BR119" s="152"/>
      <c r="BS119" s="152"/>
      <c r="BT119" s="152"/>
      <c r="BU119" s="170"/>
    </row>
    <row r="120" spans="1:73" x14ac:dyDescent="0.2">
      <c r="A120" s="152"/>
      <c r="B120" s="152" t="s">
        <v>286</v>
      </c>
      <c r="C120" s="153"/>
      <c r="D120" s="152" t="s">
        <v>153</v>
      </c>
      <c r="E120" s="152"/>
      <c r="F120" s="152"/>
      <c r="G120" s="152">
        <v>189</v>
      </c>
      <c r="H120" s="152">
        <v>158</v>
      </c>
      <c r="I120" s="152">
        <v>172</v>
      </c>
      <c r="J120" s="152">
        <v>293</v>
      </c>
      <c r="K120" s="152">
        <v>338</v>
      </c>
      <c r="L120" s="152">
        <v>236</v>
      </c>
      <c r="M120" s="152">
        <v>227</v>
      </c>
      <c r="N120" s="152">
        <v>184</v>
      </c>
      <c r="O120" s="152">
        <v>163</v>
      </c>
      <c r="P120" s="152">
        <v>146</v>
      </c>
      <c r="Q120" s="152">
        <v>128</v>
      </c>
      <c r="R120" s="152">
        <v>87</v>
      </c>
      <c r="S120" s="152">
        <v>119</v>
      </c>
      <c r="T120" s="152">
        <v>6</v>
      </c>
      <c r="U120" s="152">
        <v>0</v>
      </c>
      <c r="V120" s="152">
        <v>25</v>
      </c>
      <c r="W120" s="152">
        <v>41</v>
      </c>
      <c r="X120" s="152">
        <v>204</v>
      </c>
      <c r="Y120" s="152">
        <v>354</v>
      </c>
      <c r="Z120" s="152">
        <v>219</v>
      </c>
      <c r="AA120" s="152">
        <v>279</v>
      </c>
      <c r="AB120" s="152">
        <v>64</v>
      </c>
      <c r="AC120" s="152">
        <v>9</v>
      </c>
      <c r="AD120" s="152">
        <v>0</v>
      </c>
      <c r="AE120" s="152">
        <v>0</v>
      </c>
      <c r="AF120" s="152">
        <v>0</v>
      </c>
      <c r="AG120" s="152">
        <v>0</v>
      </c>
      <c r="AH120" s="152">
        <v>100</v>
      </c>
      <c r="AI120" s="152">
        <v>106</v>
      </c>
      <c r="AJ120" s="152">
        <v>62</v>
      </c>
      <c r="AK120" s="152">
        <v>137</v>
      </c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2"/>
      <c r="BL120" s="152"/>
      <c r="BM120" s="152"/>
      <c r="BN120" s="152"/>
      <c r="BO120" s="152"/>
      <c r="BP120" s="152"/>
      <c r="BQ120" s="152"/>
      <c r="BR120" s="152"/>
      <c r="BS120" s="152"/>
      <c r="BT120" s="152"/>
      <c r="BU120" s="170"/>
    </row>
    <row r="121" spans="1:73" x14ac:dyDescent="0.2">
      <c r="A121" s="152"/>
      <c r="B121" s="152" t="s">
        <v>287</v>
      </c>
      <c r="C121" s="153"/>
      <c r="D121" s="152" t="s">
        <v>101</v>
      </c>
      <c r="E121" s="152"/>
      <c r="F121" s="152"/>
      <c r="G121" s="152">
        <v>88670</v>
      </c>
      <c r="H121" s="152">
        <v>92424</v>
      </c>
      <c r="I121" s="152">
        <v>88787</v>
      </c>
      <c r="J121" s="152">
        <v>94706</v>
      </c>
      <c r="K121" s="152">
        <v>95606</v>
      </c>
      <c r="L121" s="152">
        <v>78823</v>
      </c>
      <c r="M121" s="152">
        <v>73330</v>
      </c>
      <c r="N121" s="152">
        <v>84821</v>
      </c>
      <c r="O121" s="152">
        <v>80969</v>
      </c>
      <c r="P121" s="152">
        <v>96879</v>
      </c>
      <c r="Q121" s="152">
        <v>94433</v>
      </c>
      <c r="R121" s="152">
        <v>88710</v>
      </c>
      <c r="S121" s="152">
        <v>63159</v>
      </c>
      <c r="T121" s="152">
        <v>7865</v>
      </c>
      <c r="U121" s="152">
        <v>7744</v>
      </c>
      <c r="V121" s="152">
        <v>10879</v>
      </c>
      <c r="W121" s="152">
        <v>32287</v>
      </c>
      <c r="X121" s="152">
        <v>94844</v>
      </c>
      <c r="Y121" s="152">
        <v>85698</v>
      </c>
      <c r="Z121" s="152">
        <v>82693</v>
      </c>
      <c r="AA121" s="152">
        <v>86964</v>
      </c>
      <c r="AB121" s="152">
        <v>61015</v>
      </c>
      <c r="AC121" s="152">
        <v>73573</v>
      </c>
      <c r="AD121" s="152">
        <v>91040</v>
      </c>
      <c r="AE121" s="152">
        <v>90793</v>
      </c>
      <c r="AF121" s="152">
        <v>82956</v>
      </c>
      <c r="AG121" s="152">
        <v>84671</v>
      </c>
      <c r="AH121" s="152">
        <v>84717</v>
      </c>
      <c r="AI121" s="152">
        <v>81252</v>
      </c>
      <c r="AJ121" s="152">
        <v>88099</v>
      </c>
      <c r="AK121" s="152">
        <v>100802</v>
      </c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2"/>
      <c r="BL121" s="152"/>
      <c r="BM121" s="152"/>
      <c r="BN121" s="152"/>
      <c r="BO121" s="152"/>
      <c r="BP121" s="152"/>
      <c r="BQ121" s="152"/>
      <c r="BR121" s="152"/>
      <c r="BS121" s="152"/>
      <c r="BT121" s="152"/>
      <c r="BU121" s="170"/>
    </row>
    <row r="122" spans="1:73" x14ac:dyDescent="0.2">
      <c r="A122" s="152"/>
      <c r="B122" s="152" t="s">
        <v>288</v>
      </c>
      <c r="C122" s="153"/>
      <c r="D122" s="152" t="s">
        <v>101</v>
      </c>
      <c r="E122" s="152"/>
      <c r="F122" s="152"/>
      <c r="G122" s="152">
        <v>7630</v>
      </c>
      <c r="H122" s="152">
        <v>7476</v>
      </c>
      <c r="I122" s="152">
        <v>7063</v>
      </c>
      <c r="J122" s="152">
        <v>7894</v>
      </c>
      <c r="K122" s="152">
        <v>7894</v>
      </c>
      <c r="L122" s="152">
        <v>8027</v>
      </c>
      <c r="M122" s="152">
        <v>8120</v>
      </c>
      <c r="N122" s="152">
        <v>7879</v>
      </c>
      <c r="O122" s="152">
        <v>7681</v>
      </c>
      <c r="P122" s="152">
        <v>6621</v>
      </c>
      <c r="Q122" s="152">
        <v>7717</v>
      </c>
      <c r="R122" s="152">
        <v>7140</v>
      </c>
      <c r="S122" s="152">
        <v>7041</v>
      </c>
      <c r="T122" s="152">
        <v>2485</v>
      </c>
      <c r="U122" s="152">
        <v>3056</v>
      </c>
      <c r="V122" s="152">
        <v>5771</v>
      </c>
      <c r="W122" s="152">
        <v>5513</v>
      </c>
      <c r="X122" s="152">
        <v>8206</v>
      </c>
      <c r="Y122" s="152">
        <v>7902</v>
      </c>
      <c r="Z122" s="152">
        <v>8207</v>
      </c>
      <c r="AA122" s="152">
        <v>7986</v>
      </c>
      <c r="AB122" s="152">
        <v>7835</v>
      </c>
      <c r="AC122" s="152">
        <v>7427</v>
      </c>
      <c r="AD122" s="152">
        <v>7510</v>
      </c>
      <c r="AE122" s="152">
        <v>7757</v>
      </c>
      <c r="AF122" s="152">
        <v>7944</v>
      </c>
      <c r="AG122" s="152">
        <v>7579</v>
      </c>
      <c r="AH122" s="152">
        <v>7533</v>
      </c>
      <c r="AI122" s="152">
        <v>7398</v>
      </c>
      <c r="AJ122" s="152">
        <v>7751</v>
      </c>
      <c r="AK122" s="152">
        <v>8098</v>
      </c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2"/>
      <c r="BL122" s="152"/>
      <c r="BM122" s="152"/>
      <c r="BN122" s="152"/>
      <c r="BO122" s="152"/>
      <c r="BP122" s="152"/>
      <c r="BQ122" s="152"/>
      <c r="BR122" s="152"/>
      <c r="BS122" s="152"/>
      <c r="BT122" s="152"/>
      <c r="BU122" s="170"/>
    </row>
    <row r="123" spans="1:73" x14ac:dyDescent="0.2">
      <c r="A123" s="152"/>
      <c r="B123" s="152"/>
      <c r="C123" s="153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2"/>
      <c r="BL123" s="152"/>
      <c r="BM123" s="152"/>
      <c r="BN123" s="152"/>
      <c r="BO123" s="152"/>
      <c r="BP123" s="152"/>
      <c r="BQ123" s="152"/>
      <c r="BR123" s="152"/>
      <c r="BS123" s="152"/>
      <c r="BT123" s="152"/>
      <c r="BU123" s="170"/>
    </row>
    <row r="124" spans="1:73" ht="20.25" customHeight="1" x14ac:dyDescent="0.2">
      <c r="A124" s="152"/>
      <c r="B124" s="152"/>
      <c r="C124" s="153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  <c r="BG124" s="152"/>
      <c r="BH124" s="152"/>
      <c r="BI124" s="152"/>
      <c r="BJ124" s="152"/>
      <c r="BK124" s="152"/>
      <c r="BL124" s="152"/>
      <c r="BM124" s="152"/>
      <c r="BN124" s="152"/>
      <c r="BO124" s="152"/>
      <c r="BP124" s="152"/>
      <c r="BQ124" s="152"/>
      <c r="BR124" s="152"/>
      <c r="BS124" s="152"/>
      <c r="BT124" s="152"/>
      <c r="BU124" s="170"/>
    </row>
  </sheetData>
  <mergeCells count="9">
    <mergeCell ref="I85:AL85"/>
    <mergeCell ref="I3:BU3"/>
    <mergeCell ref="H19:AO19"/>
    <mergeCell ref="C57:BU58"/>
    <mergeCell ref="C64:BU64"/>
    <mergeCell ref="D77:BU77"/>
    <mergeCell ref="I79:AL79"/>
    <mergeCell ref="D50:BU50"/>
    <mergeCell ref="A54:BU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01-07-2025</vt:lpstr>
      <vt:lpstr>02-07-2025</vt:lpstr>
      <vt:lpstr>03-07-2025</vt:lpstr>
      <vt:lpstr>04-07-2025</vt:lpstr>
      <vt:lpstr>05-07-2025</vt:lpstr>
      <vt:lpstr>06-07-2025</vt:lpstr>
      <vt:lpstr>07-07-2025</vt:lpstr>
      <vt:lpstr>08-07-2025</vt:lpstr>
      <vt:lpstr>09-07-2025</vt:lpstr>
      <vt:lpstr>10-07-2025</vt:lpstr>
      <vt:lpstr>11-07-2025</vt:lpstr>
      <vt:lpstr>12-07-2025</vt:lpstr>
      <vt:lpstr>13-07-2025</vt:lpstr>
      <vt:lpstr>14-07-2025</vt:lpstr>
      <vt:lpstr>15-07-2025</vt:lpstr>
      <vt:lpstr>16-07-2025</vt:lpstr>
      <vt:lpstr>17-07-2025</vt:lpstr>
      <vt:lpstr>18-07-2025</vt:lpstr>
      <vt:lpstr>19-07-2025</vt:lpstr>
      <vt:lpstr>20-07-2025</vt:lpstr>
      <vt:lpstr>21-07-2025</vt:lpstr>
      <vt:lpstr>22-07-2025</vt:lpstr>
      <vt:lpstr>23-07-2025</vt:lpstr>
      <vt:lpstr>24-07-2025</vt:lpstr>
      <vt:lpstr>25-07-2025</vt:lpstr>
      <vt:lpstr>26-07-2025</vt:lpstr>
      <vt:lpstr>27-07-2025</vt:lpstr>
      <vt:lpstr>28-07-2025</vt:lpstr>
      <vt:lpstr>29-07-2025</vt:lpstr>
      <vt:lpstr>30-07-2025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2026-02-27T16:47:33Z</dcterms:modified>
</cp:coreProperties>
</file>