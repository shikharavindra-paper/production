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08F3CE6B-FDF2-9449-B129-06C63755EB03}" xr6:coauthVersionLast="47" xr6:coauthVersionMax="47" xr10:uidLastSave="{00000000-0000-0000-0000-000000000000}"/>
  <bookViews>
    <workbookView xWindow="0" yWindow="520" windowWidth="20480" windowHeight="12800" firstSheet="25" activeTab="31" xr2:uid="{00000000-000D-0000-FFFF-FFFF00000000}"/>
  </bookViews>
  <sheets>
    <sheet name="01-12-2025" sheetId="245" r:id="rId1"/>
    <sheet name="02-12-2025" sheetId="246" r:id="rId2"/>
    <sheet name="03-12-2025" sheetId="247" r:id="rId3"/>
    <sheet name="04-12-2025" sheetId="248" r:id="rId4"/>
    <sheet name="05-12-2025" sheetId="249" r:id="rId5"/>
    <sheet name="06-12-2025" sheetId="250" r:id="rId6"/>
    <sheet name="07-12-2025" sheetId="251" r:id="rId7"/>
    <sheet name="08-12-2025" sheetId="252" r:id="rId8"/>
    <sheet name="09-12-2025" sheetId="253" r:id="rId9"/>
    <sheet name="10-12-2025" sheetId="254" r:id="rId10"/>
    <sheet name="11-12-2025" sheetId="255" r:id="rId11"/>
    <sheet name="12-12-2025" sheetId="256" r:id="rId12"/>
    <sheet name="13-12-2025" sheetId="257" r:id="rId13"/>
    <sheet name="14-12-2025" sheetId="258" r:id="rId14"/>
    <sheet name="15-12-2025" sheetId="259" r:id="rId15"/>
    <sheet name="16-12-2025" sheetId="260" r:id="rId16"/>
    <sheet name="17-12-2025" sheetId="261" r:id="rId17"/>
    <sheet name="18-12-2025" sheetId="262" r:id="rId18"/>
    <sheet name="19-12-2025" sheetId="263" r:id="rId19"/>
    <sheet name="20-12-2025" sheetId="264" r:id="rId20"/>
    <sheet name="21-12-2025" sheetId="265" r:id="rId21"/>
    <sheet name="22-12-2025" sheetId="266" r:id="rId22"/>
    <sheet name="23-12-2025" sheetId="267" r:id="rId23"/>
    <sheet name="24-12-2025" sheetId="268" r:id="rId24"/>
    <sheet name="25-12-2025" sheetId="269" r:id="rId25"/>
    <sheet name="26-12-2025" sheetId="270" r:id="rId26"/>
    <sheet name="27-12-2025" sheetId="271" r:id="rId27"/>
    <sheet name="28-12-2025" sheetId="272" r:id="rId28"/>
    <sheet name="29-12-2025" sheetId="273" r:id="rId29"/>
    <sheet name="30-12-2025" sheetId="274" r:id="rId30"/>
    <sheet name="31-12-2025" sheetId="275" r:id="rId31"/>
    <sheet name="Pulp &amp; Chemical consumption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8" i="2" l="1"/>
  <c r="G9" i="275"/>
  <c r="H9" i="275"/>
  <c r="G10" i="275"/>
  <c r="G22" i="275" s="1"/>
  <c r="H10" i="275"/>
  <c r="G11" i="275"/>
  <c r="H11" i="275"/>
  <c r="H22" i="275" s="1"/>
  <c r="G12" i="275"/>
  <c r="H12" i="275"/>
  <c r="G13" i="275"/>
  <c r="H13" i="275"/>
  <c r="F22" i="275"/>
  <c r="J25" i="275"/>
  <c r="J26" i="275"/>
  <c r="J26" i="274" l="1"/>
  <c r="H12" i="274"/>
  <c r="H13" i="274"/>
  <c r="H14" i="274"/>
  <c r="G12" i="274"/>
  <c r="G13" i="274"/>
  <c r="G14" i="274"/>
  <c r="F22" i="274"/>
  <c r="J25" i="274" s="1"/>
  <c r="H11" i="274"/>
  <c r="G11" i="274"/>
  <c r="H10" i="274"/>
  <c r="G10" i="274"/>
  <c r="H9" i="274"/>
  <c r="G9" i="274"/>
  <c r="J26" i="273"/>
  <c r="F22" i="273"/>
  <c r="J25" i="273" s="1"/>
  <c r="H11" i="273"/>
  <c r="G11" i="273"/>
  <c r="H10" i="273"/>
  <c r="G10" i="273"/>
  <c r="H9" i="273"/>
  <c r="G9" i="273"/>
  <c r="H22" i="274" l="1"/>
  <c r="G22" i="274"/>
  <c r="H22" i="273"/>
  <c r="G22" i="273"/>
  <c r="J26" i="272"/>
  <c r="H16" i="272"/>
  <c r="H17" i="272"/>
  <c r="G16" i="272"/>
  <c r="G17" i="272"/>
  <c r="F22" i="272"/>
  <c r="J25" i="272" s="1"/>
  <c r="H15" i="272"/>
  <c r="G15" i="272"/>
  <c r="H14" i="272"/>
  <c r="G14" i="272"/>
  <c r="H13" i="272"/>
  <c r="G13" i="272"/>
  <c r="H12" i="272"/>
  <c r="G12" i="272"/>
  <c r="H11" i="272"/>
  <c r="G11" i="272"/>
  <c r="H10" i="272"/>
  <c r="G10" i="272"/>
  <c r="H9" i="272"/>
  <c r="G9" i="272"/>
  <c r="J26" i="271"/>
  <c r="H12" i="271"/>
  <c r="H13" i="271"/>
  <c r="H14" i="271"/>
  <c r="H15" i="271"/>
  <c r="G12" i="271"/>
  <c r="G13" i="271"/>
  <c r="G14" i="271"/>
  <c r="G15" i="271"/>
  <c r="F22" i="271"/>
  <c r="H11" i="271"/>
  <c r="G11" i="271"/>
  <c r="H10" i="271"/>
  <c r="G10" i="271"/>
  <c r="H9" i="271"/>
  <c r="G9" i="271"/>
  <c r="J26" i="270"/>
  <c r="F22" i="270"/>
  <c r="H11" i="270"/>
  <c r="G11" i="270"/>
  <c r="H10" i="270"/>
  <c r="G10" i="270"/>
  <c r="H9" i="270"/>
  <c r="G9" i="270"/>
  <c r="J26" i="269"/>
  <c r="H10" i="269"/>
  <c r="H11" i="269"/>
  <c r="H12" i="269"/>
  <c r="G10" i="269"/>
  <c r="G11" i="269"/>
  <c r="G12" i="269"/>
  <c r="F22" i="269"/>
  <c r="H9" i="269"/>
  <c r="G9" i="269"/>
  <c r="J26" i="268"/>
  <c r="F22" i="268"/>
  <c r="J25" i="268" s="1"/>
  <c r="H9" i="268"/>
  <c r="G9" i="268"/>
  <c r="J26" i="267"/>
  <c r="H11" i="267"/>
  <c r="G11" i="267"/>
  <c r="F22" i="267"/>
  <c r="J25" i="267" s="1"/>
  <c r="H10" i="267"/>
  <c r="G10" i="267"/>
  <c r="H9" i="267"/>
  <c r="G9" i="267"/>
  <c r="G22" i="267" s="1"/>
  <c r="J26" i="266"/>
  <c r="F22" i="266"/>
  <c r="J25" i="266" s="1"/>
  <c r="H10" i="266"/>
  <c r="G10" i="266"/>
  <c r="H9" i="266"/>
  <c r="G9" i="266"/>
  <c r="J26" i="265"/>
  <c r="H11" i="265"/>
  <c r="G11" i="265"/>
  <c r="F22" i="265"/>
  <c r="J25" i="265" s="1"/>
  <c r="H10" i="265"/>
  <c r="G10" i="265"/>
  <c r="H9" i="265"/>
  <c r="G9" i="265"/>
  <c r="J26" i="264"/>
  <c r="F22" i="264"/>
  <c r="J25" i="264" s="1"/>
  <c r="H10" i="264"/>
  <c r="G10" i="264"/>
  <c r="H9" i="264"/>
  <c r="G9" i="264"/>
  <c r="G22" i="272" l="1"/>
  <c r="H22" i="272"/>
  <c r="H22" i="271"/>
  <c r="G22" i="271"/>
  <c r="J25" i="271"/>
  <c r="H22" i="270"/>
  <c r="J25" i="270"/>
  <c r="G22" i="270"/>
  <c r="H22" i="269"/>
  <c r="G22" i="269"/>
  <c r="J25" i="269"/>
  <c r="G22" i="268"/>
  <c r="H22" i="268"/>
  <c r="H22" i="267"/>
  <c r="H22" i="266"/>
  <c r="G22" i="266"/>
  <c r="H22" i="265"/>
  <c r="G22" i="265"/>
  <c r="G22" i="264"/>
  <c r="H22" i="264"/>
  <c r="J26" i="263"/>
  <c r="F22" i="263"/>
  <c r="H12" i="263"/>
  <c r="G12" i="263"/>
  <c r="H11" i="263"/>
  <c r="G11" i="263"/>
  <c r="H10" i="263"/>
  <c r="G10" i="263"/>
  <c r="H9" i="263"/>
  <c r="G9" i="263"/>
  <c r="H22" i="263" l="1"/>
  <c r="G22" i="263"/>
  <c r="J25" i="263"/>
  <c r="J26" i="262"/>
  <c r="H13" i="262"/>
  <c r="H14" i="262"/>
  <c r="G13" i="262"/>
  <c r="G14" i="262"/>
  <c r="F22" i="262"/>
  <c r="H12" i="262"/>
  <c r="G12" i="262"/>
  <c r="H11" i="262"/>
  <c r="G11" i="262"/>
  <c r="H10" i="262"/>
  <c r="G10" i="262"/>
  <c r="H9" i="262"/>
  <c r="G9" i="262"/>
  <c r="G22" i="262" l="1"/>
  <c r="H22" i="262"/>
  <c r="J25" i="262"/>
  <c r="J26" i="261"/>
  <c r="H12" i="261"/>
  <c r="G12" i="261"/>
  <c r="F22" i="261"/>
  <c r="J25" i="261" s="1"/>
  <c r="H11" i="261"/>
  <c r="G11" i="261"/>
  <c r="H10" i="261"/>
  <c r="G10" i="261"/>
  <c r="H9" i="261"/>
  <c r="G9" i="261"/>
  <c r="G22" i="261" l="1"/>
  <c r="H22" i="261"/>
  <c r="J26" i="260"/>
  <c r="H10" i="260"/>
  <c r="H11" i="260"/>
  <c r="G10" i="260"/>
  <c r="G11" i="260"/>
  <c r="F22" i="260"/>
  <c r="J25" i="260" s="1"/>
  <c r="H9" i="260"/>
  <c r="G9" i="260"/>
  <c r="G22" i="260" l="1"/>
  <c r="H22" i="260"/>
  <c r="J26" i="259"/>
  <c r="F22" i="259"/>
  <c r="J25" i="259" s="1"/>
  <c r="H9" i="259"/>
  <c r="G9" i="259"/>
  <c r="J26" i="258"/>
  <c r="F22" i="258"/>
  <c r="J25" i="258" s="1"/>
  <c r="H13" i="258"/>
  <c r="G13" i="258"/>
  <c r="H12" i="258"/>
  <c r="G12" i="258"/>
  <c r="H11" i="258"/>
  <c r="G11" i="258"/>
  <c r="H10" i="258"/>
  <c r="G10" i="258"/>
  <c r="H9" i="258"/>
  <c r="G9" i="258"/>
  <c r="J26" i="257"/>
  <c r="H14" i="257"/>
  <c r="H15" i="257"/>
  <c r="G14" i="257"/>
  <c r="G15" i="257"/>
  <c r="F22" i="257"/>
  <c r="J25" i="257" s="1"/>
  <c r="H13" i="257"/>
  <c r="G13" i="257"/>
  <c r="H12" i="257"/>
  <c r="G12" i="257"/>
  <c r="H11" i="257"/>
  <c r="G11" i="257"/>
  <c r="H10" i="257"/>
  <c r="G10" i="257"/>
  <c r="H9" i="257"/>
  <c r="G9" i="257"/>
  <c r="J26" i="256"/>
  <c r="H11" i="256"/>
  <c r="H12" i="256"/>
  <c r="H13" i="256"/>
  <c r="G11" i="256"/>
  <c r="G12" i="256"/>
  <c r="G13" i="256"/>
  <c r="F22" i="256"/>
  <c r="J25" i="256" s="1"/>
  <c r="H10" i="256"/>
  <c r="G10" i="256"/>
  <c r="H9" i="256"/>
  <c r="G9" i="256"/>
  <c r="J26" i="255"/>
  <c r="F22" i="255"/>
  <c r="J25" i="255" s="1"/>
  <c r="H10" i="255"/>
  <c r="G10" i="255"/>
  <c r="H9" i="255"/>
  <c r="G9" i="255"/>
  <c r="J26" i="254"/>
  <c r="H11" i="254"/>
  <c r="H12" i="254"/>
  <c r="H13" i="254"/>
  <c r="H14" i="254"/>
  <c r="G11" i="254"/>
  <c r="G12" i="254"/>
  <c r="G13" i="254"/>
  <c r="G14" i="254"/>
  <c r="F22" i="254"/>
  <c r="J25" i="254" s="1"/>
  <c r="H10" i="254"/>
  <c r="G10" i="254"/>
  <c r="H9" i="254"/>
  <c r="G9" i="254"/>
  <c r="J26" i="253"/>
  <c r="F22" i="253"/>
  <c r="H10" i="253"/>
  <c r="G10" i="253"/>
  <c r="H9" i="253"/>
  <c r="G9" i="253"/>
  <c r="J26" i="252"/>
  <c r="F22" i="252"/>
  <c r="J25" i="252" s="1"/>
  <c r="H12" i="252"/>
  <c r="G12" i="252"/>
  <c r="H11" i="252"/>
  <c r="G11" i="252"/>
  <c r="H10" i="252"/>
  <c r="G10" i="252"/>
  <c r="H9" i="252"/>
  <c r="G9" i="252"/>
  <c r="J26" i="251"/>
  <c r="F22" i="251"/>
  <c r="J25" i="251" s="1"/>
  <c r="H13" i="251"/>
  <c r="G13" i="251"/>
  <c r="H12" i="251"/>
  <c r="G12" i="251"/>
  <c r="H11" i="251"/>
  <c r="G11" i="251"/>
  <c r="H10" i="251"/>
  <c r="G10" i="251"/>
  <c r="H9" i="251"/>
  <c r="G9" i="251"/>
  <c r="J26" i="250"/>
  <c r="F22" i="250"/>
  <c r="J25" i="250" s="1"/>
  <c r="H13" i="250"/>
  <c r="G13" i="250"/>
  <c r="H12" i="250"/>
  <c r="G12" i="250"/>
  <c r="H11" i="250"/>
  <c r="G11" i="250"/>
  <c r="H10" i="250"/>
  <c r="G10" i="250"/>
  <c r="G22" i="250" s="1"/>
  <c r="H9" i="250"/>
  <c r="G9" i="250"/>
  <c r="J26" i="249"/>
  <c r="H11" i="249"/>
  <c r="H12" i="249"/>
  <c r="H13" i="249"/>
  <c r="G11" i="249"/>
  <c r="G12" i="249"/>
  <c r="G13" i="249"/>
  <c r="F22" i="249"/>
  <c r="J25" i="249" s="1"/>
  <c r="H10" i="249"/>
  <c r="G10" i="249"/>
  <c r="H9" i="249"/>
  <c r="G9" i="249"/>
  <c r="J26" i="248"/>
  <c r="H10" i="248"/>
  <c r="G10" i="248"/>
  <c r="F22" i="248"/>
  <c r="J25" i="248" s="1"/>
  <c r="H9" i="248"/>
  <c r="G9" i="248"/>
  <c r="J26" i="247"/>
  <c r="F22" i="247"/>
  <c r="J25" i="247" s="1"/>
  <c r="H9" i="247"/>
  <c r="G9" i="247"/>
  <c r="G22" i="259" l="1"/>
  <c r="H22" i="259"/>
  <c r="G22" i="258"/>
  <c r="H22" i="258"/>
  <c r="H22" i="257"/>
  <c r="G22" i="257"/>
  <c r="G22" i="256"/>
  <c r="H22" i="256"/>
  <c r="G22" i="255"/>
  <c r="H22" i="255"/>
  <c r="G22" i="254"/>
  <c r="H22" i="254"/>
  <c r="H22" i="253"/>
  <c r="J25" i="253"/>
  <c r="G22" i="253"/>
  <c r="G22" i="252"/>
  <c r="H22" i="252"/>
  <c r="G22" i="251"/>
  <c r="H22" i="251"/>
  <c r="H22" i="250"/>
  <c r="G22" i="249"/>
  <c r="H22" i="249"/>
  <c r="G22" i="248"/>
  <c r="H22" i="248"/>
  <c r="G22" i="247"/>
  <c r="H22" i="247"/>
  <c r="J26" i="246"/>
  <c r="F22" i="246"/>
  <c r="J25" i="246" s="1"/>
  <c r="H9" i="246"/>
  <c r="G9" i="246"/>
  <c r="F22" i="245"/>
  <c r="J25" i="245" s="1"/>
  <c r="H9" i="245"/>
  <c r="G9" i="245"/>
  <c r="G22" i="246" l="1"/>
  <c r="H22" i="246"/>
  <c r="H22" i="245"/>
  <c r="G22" i="245"/>
  <c r="AL50" i="2"/>
  <c r="AJ109" i="2" l="1"/>
  <c r="AJ101" i="2"/>
  <c r="AJ107" i="2" s="1"/>
  <c r="AJ108" i="2" s="1"/>
  <c r="AJ95" i="2"/>
  <c r="AJ93" i="2"/>
  <c r="AJ86" i="2"/>
  <c r="AJ77" i="2"/>
  <c r="AJ76" i="2"/>
  <c r="AJ72" i="2"/>
  <c r="AJ69" i="2"/>
  <c r="AJ75" i="2" s="1"/>
  <c r="AJ68" i="2"/>
  <c r="AJ74" i="2" s="1"/>
  <c r="AJ67" i="2"/>
  <c r="AJ73" i="2" s="1"/>
  <c r="AJ64" i="2"/>
  <c r="AJ104" i="2" s="1"/>
  <c r="AJ110" i="2" s="1"/>
  <c r="AJ111" i="2" s="1"/>
  <c r="AJ18" i="2"/>
  <c r="AJ65" i="2" s="1"/>
  <c r="AL12" i="2"/>
  <c r="AL13" i="2"/>
  <c r="AL14" i="2"/>
  <c r="AL15" i="2"/>
  <c r="AL16" i="2"/>
  <c r="AL17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J94" i="2" l="1"/>
  <c r="AJ102" i="2" s="1"/>
  <c r="AJ112" i="2" s="1"/>
  <c r="AJ113" i="2" s="1"/>
  <c r="AL55" i="2" l="1"/>
  <c r="AI18" i="2" l="1"/>
  <c r="AH18" i="2"/>
  <c r="AG18" i="2"/>
  <c r="AF18" i="2"/>
  <c r="AE18" i="2"/>
  <c r="AD18" i="2"/>
  <c r="AC18" i="2"/>
  <c r="AB18" i="2"/>
  <c r="AA18" i="2" l="1"/>
  <c r="Z18" i="2"/>
  <c r="Y18" i="2"/>
  <c r="X18" i="2"/>
  <c r="W18" i="2"/>
  <c r="V18" i="2"/>
  <c r="U18" i="2"/>
  <c r="T18" i="2"/>
  <c r="S18" i="2" l="1"/>
  <c r="R18" i="2" l="1"/>
  <c r="Q18" i="2"/>
  <c r="P18" i="2"/>
  <c r="O18" i="2"/>
  <c r="N18" i="2"/>
  <c r="M18" i="2"/>
  <c r="L18" i="2"/>
  <c r="K18" i="2"/>
  <c r="J18" i="2"/>
  <c r="I18" i="2"/>
  <c r="H18" i="2"/>
  <c r="G18" i="2"/>
  <c r="AL53" i="2" l="1"/>
  <c r="AI109" i="2"/>
  <c r="AI101" i="2"/>
  <c r="AI107" i="2" s="1"/>
  <c r="AI108" i="2" s="1"/>
  <c r="AI95" i="2"/>
  <c r="AI93" i="2"/>
  <c r="AI86" i="2"/>
  <c r="AI77" i="2"/>
  <c r="AI76" i="2"/>
  <c r="AI72" i="2"/>
  <c r="AI69" i="2"/>
  <c r="AI75" i="2" s="1"/>
  <c r="AI68" i="2"/>
  <c r="AI74" i="2" s="1"/>
  <c r="AI67" i="2"/>
  <c r="AI73" i="2" s="1"/>
  <c r="AI64" i="2"/>
  <c r="AI104" i="2" s="1"/>
  <c r="AI110" i="2" s="1"/>
  <c r="AI65" i="2"/>
  <c r="AH109" i="2"/>
  <c r="AH101" i="2"/>
  <c r="AH107" i="2" s="1"/>
  <c r="AH108" i="2" s="1"/>
  <c r="AH95" i="2"/>
  <c r="AH93" i="2"/>
  <c r="AH86" i="2"/>
  <c r="AH94" i="2" s="1"/>
  <c r="AH102" i="2" s="1"/>
  <c r="AH77" i="2"/>
  <c r="AH76" i="2"/>
  <c r="AH72" i="2"/>
  <c r="AH69" i="2"/>
  <c r="AH75" i="2" s="1"/>
  <c r="AH68" i="2"/>
  <c r="AH74" i="2" s="1"/>
  <c r="AH67" i="2"/>
  <c r="AH73" i="2" s="1"/>
  <c r="AH64" i="2"/>
  <c r="AH104" i="2" s="1"/>
  <c r="AH110" i="2" s="1"/>
  <c r="AH65" i="2"/>
  <c r="AG109" i="2"/>
  <c r="AG101" i="2"/>
  <c r="AG107" i="2" s="1"/>
  <c r="AG108" i="2" s="1"/>
  <c r="AG95" i="2"/>
  <c r="AG93" i="2"/>
  <c r="AG86" i="2"/>
  <c r="AG77" i="2"/>
  <c r="AG76" i="2"/>
  <c r="AG72" i="2"/>
  <c r="AG69" i="2"/>
  <c r="AG75" i="2" s="1"/>
  <c r="AG68" i="2"/>
  <c r="AG74" i="2" s="1"/>
  <c r="AG67" i="2"/>
  <c r="AG73" i="2" s="1"/>
  <c r="AG64" i="2"/>
  <c r="AG104" i="2" s="1"/>
  <c r="AG110" i="2" s="1"/>
  <c r="AG65" i="2"/>
  <c r="AF109" i="2"/>
  <c r="AF101" i="2"/>
  <c r="AF107" i="2" s="1"/>
  <c r="AF108" i="2" s="1"/>
  <c r="AF95" i="2"/>
  <c r="AF93" i="2"/>
  <c r="AF86" i="2"/>
  <c r="AF77" i="2"/>
  <c r="AF76" i="2"/>
  <c r="AF72" i="2"/>
  <c r="AF69" i="2"/>
  <c r="AF75" i="2" s="1"/>
  <c r="AF68" i="2"/>
  <c r="AF74" i="2" s="1"/>
  <c r="AF67" i="2"/>
  <c r="AF73" i="2" s="1"/>
  <c r="AF64" i="2"/>
  <c r="AF104" i="2" s="1"/>
  <c r="AF110" i="2" s="1"/>
  <c r="AF65" i="2"/>
  <c r="AE109" i="2"/>
  <c r="AE101" i="2"/>
  <c r="AE107" i="2" s="1"/>
  <c r="AE108" i="2" s="1"/>
  <c r="AE95" i="2"/>
  <c r="AE93" i="2"/>
  <c r="AE86" i="2"/>
  <c r="AE77" i="2"/>
  <c r="AE76" i="2"/>
  <c r="AE72" i="2"/>
  <c r="AE69" i="2"/>
  <c r="AE75" i="2" s="1"/>
  <c r="AE68" i="2"/>
  <c r="AE74" i="2" s="1"/>
  <c r="AE67" i="2"/>
  <c r="AE73" i="2" s="1"/>
  <c r="AE64" i="2"/>
  <c r="AE104" i="2" s="1"/>
  <c r="AE110" i="2" s="1"/>
  <c r="AE65" i="2"/>
  <c r="AD109" i="2"/>
  <c r="AD101" i="2"/>
  <c r="AD107" i="2" s="1"/>
  <c r="AD108" i="2" s="1"/>
  <c r="AD95" i="2"/>
  <c r="AD93" i="2"/>
  <c r="AD86" i="2"/>
  <c r="AD77" i="2"/>
  <c r="AD76" i="2"/>
  <c r="AD72" i="2"/>
  <c r="AD69" i="2"/>
  <c r="AD75" i="2" s="1"/>
  <c r="AD68" i="2"/>
  <c r="AD74" i="2" s="1"/>
  <c r="AD67" i="2"/>
  <c r="AD73" i="2" s="1"/>
  <c r="AD64" i="2"/>
  <c r="AD104" i="2" s="1"/>
  <c r="AD110" i="2" s="1"/>
  <c r="AD65" i="2"/>
  <c r="AC109" i="2"/>
  <c r="AC101" i="2"/>
  <c r="AC107" i="2" s="1"/>
  <c r="AC108" i="2" s="1"/>
  <c r="AC95" i="2"/>
  <c r="AC93" i="2"/>
  <c r="AC86" i="2"/>
  <c r="AC77" i="2"/>
  <c r="AC76" i="2"/>
  <c r="AC72" i="2"/>
  <c r="AC69" i="2"/>
  <c r="AC75" i="2" s="1"/>
  <c r="AC68" i="2"/>
  <c r="AC74" i="2" s="1"/>
  <c r="AC67" i="2"/>
  <c r="AC73" i="2" s="1"/>
  <c r="AC64" i="2"/>
  <c r="AC104" i="2" s="1"/>
  <c r="AC110" i="2" s="1"/>
  <c r="AC65" i="2"/>
  <c r="AB109" i="2"/>
  <c r="AB101" i="2"/>
  <c r="AB107" i="2" s="1"/>
  <c r="AB108" i="2" s="1"/>
  <c r="AB95" i="2"/>
  <c r="AB93" i="2"/>
  <c r="AB86" i="2"/>
  <c r="AB77" i="2"/>
  <c r="AB76" i="2"/>
  <c r="AB72" i="2"/>
  <c r="AB69" i="2"/>
  <c r="AB75" i="2" s="1"/>
  <c r="AB68" i="2"/>
  <c r="AB74" i="2" s="1"/>
  <c r="AB67" i="2"/>
  <c r="AB73" i="2" s="1"/>
  <c r="AB64" i="2"/>
  <c r="AB104" i="2" s="1"/>
  <c r="AB110" i="2" s="1"/>
  <c r="AB65" i="2"/>
  <c r="AA109" i="2"/>
  <c r="AA101" i="2"/>
  <c r="AA107" i="2" s="1"/>
  <c r="AA108" i="2" s="1"/>
  <c r="AA95" i="2"/>
  <c r="AA93" i="2"/>
  <c r="AA86" i="2"/>
  <c r="AA77" i="2"/>
  <c r="AA76" i="2"/>
  <c r="AA72" i="2"/>
  <c r="AA69" i="2"/>
  <c r="AA75" i="2" s="1"/>
  <c r="AA68" i="2"/>
  <c r="AA74" i="2" s="1"/>
  <c r="AA67" i="2"/>
  <c r="AA73" i="2" s="1"/>
  <c r="AA64" i="2"/>
  <c r="AA104" i="2" s="1"/>
  <c r="AA110" i="2" s="1"/>
  <c r="AA65" i="2"/>
  <c r="AI94" i="2" l="1"/>
  <c r="AI102" i="2" s="1"/>
  <c r="AI112" i="2" s="1"/>
  <c r="AI111" i="2"/>
  <c r="AC94" i="2"/>
  <c r="AC102" i="2" s="1"/>
  <c r="AC112" i="2" s="1"/>
  <c r="AH111" i="2"/>
  <c r="AF94" i="2"/>
  <c r="AF102" i="2" s="1"/>
  <c r="AF112" i="2" s="1"/>
  <c r="AG94" i="2"/>
  <c r="AG102" i="2" s="1"/>
  <c r="AG112" i="2" s="1"/>
  <c r="AG111" i="2"/>
  <c r="AH112" i="2"/>
  <c r="AE111" i="2"/>
  <c r="AD94" i="2"/>
  <c r="AD102" i="2" s="1"/>
  <c r="AD112" i="2" s="1"/>
  <c r="AF111" i="2"/>
  <c r="AE94" i="2"/>
  <c r="AE102" i="2" s="1"/>
  <c r="AE112" i="2" s="1"/>
  <c r="AD111" i="2"/>
  <c r="AB111" i="2"/>
  <c r="AC111" i="2"/>
  <c r="AB94" i="2"/>
  <c r="AB102" i="2" s="1"/>
  <c r="AB112" i="2" s="1"/>
  <c r="AA94" i="2"/>
  <c r="AA102" i="2" s="1"/>
  <c r="AA112" i="2" s="1"/>
  <c r="AA111" i="2"/>
  <c r="AG113" i="2" l="1"/>
  <c r="AA113" i="2"/>
  <c r="AI113" i="2"/>
  <c r="AH113" i="2"/>
  <c r="AE113" i="2"/>
  <c r="AC113" i="2"/>
  <c r="AF113" i="2"/>
  <c r="AD113" i="2"/>
  <c r="AB113" i="2"/>
  <c r="Z109" i="2"/>
  <c r="Z101" i="2"/>
  <c r="Z107" i="2" s="1"/>
  <c r="Z108" i="2" s="1"/>
  <c r="Z95" i="2"/>
  <c r="Z93" i="2"/>
  <c r="Z86" i="2"/>
  <c r="Z77" i="2"/>
  <c r="Z76" i="2"/>
  <c r="Z72" i="2"/>
  <c r="Z69" i="2"/>
  <c r="Z75" i="2" s="1"/>
  <c r="Z68" i="2"/>
  <c r="Z74" i="2" s="1"/>
  <c r="Z67" i="2"/>
  <c r="Z73" i="2" s="1"/>
  <c r="Z64" i="2"/>
  <c r="Z104" i="2" s="1"/>
  <c r="Z110" i="2" s="1"/>
  <c r="Z65" i="2"/>
  <c r="Z111" i="2" l="1"/>
  <c r="Z94" i="2"/>
  <c r="Z102" i="2" s="1"/>
  <c r="Z112" i="2" s="1"/>
  <c r="Y65" i="2"/>
  <c r="X65" i="2"/>
  <c r="W65" i="2"/>
  <c r="V65" i="2"/>
  <c r="U65" i="2"/>
  <c r="T65" i="2"/>
  <c r="S65" i="2"/>
  <c r="R65" i="2"/>
  <c r="Q65" i="2"/>
  <c r="P65" i="2"/>
  <c r="O65" i="2"/>
  <c r="Y109" i="2"/>
  <c r="Y101" i="2"/>
  <c r="Y107" i="2" s="1"/>
  <c r="Y108" i="2" s="1"/>
  <c r="Y95" i="2"/>
  <c r="Y93" i="2"/>
  <c r="Y86" i="2"/>
  <c r="Y77" i="2"/>
  <c r="Y76" i="2"/>
  <c r="Y72" i="2"/>
  <c r="Y69" i="2"/>
  <c r="Y75" i="2" s="1"/>
  <c r="Y68" i="2"/>
  <c r="Y74" i="2" s="1"/>
  <c r="Y67" i="2"/>
  <c r="Y73" i="2" s="1"/>
  <c r="Y64" i="2"/>
  <c r="Y104" i="2" s="1"/>
  <c r="Y110" i="2" s="1"/>
  <c r="X109" i="2"/>
  <c r="X101" i="2"/>
  <c r="X107" i="2" s="1"/>
  <c r="X108" i="2" s="1"/>
  <c r="X95" i="2"/>
  <c r="X93" i="2"/>
  <c r="X86" i="2"/>
  <c r="X77" i="2"/>
  <c r="X76" i="2"/>
  <c r="X72" i="2"/>
  <c r="X69" i="2"/>
  <c r="X75" i="2" s="1"/>
  <c r="X68" i="2"/>
  <c r="X74" i="2" s="1"/>
  <c r="X67" i="2"/>
  <c r="X73" i="2" s="1"/>
  <c r="X64" i="2"/>
  <c r="X104" i="2" s="1"/>
  <c r="X110" i="2" s="1"/>
  <c r="W109" i="2"/>
  <c r="W101" i="2"/>
  <c r="W107" i="2" s="1"/>
  <c r="W108" i="2" s="1"/>
  <c r="W95" i="2"/>
  <c r="W93" i="2"/>
  <c r="W86" i="2"/>
  <c r="W94" i="2" s="1"/>
  <c r="W102" i="2" s="1"/>
  <c r="W77" i="2"/>
  <c r="W76" i="2"/>
  <c r="W72" i="2"/>
  <c r="W69" i="2"/>
  <c r="W75" i="2" s="1"/>
  <c r="W68" i="2"/>
  <c r="W74" i="2" s="1"/>
  <c r="W67" i="2"/>
  <c r="W73" i="2" s="1"/>
  <c r="W64" i="2"/>
  <c r="W104" i="2" s="1"/>
  <c r="W110" i="2" s="1"/>
  <c r="V109" i="2"/>
  <c r="V101" i="2"/>
  <c r="V107" i="2" s="1"/>
  <c r="V108" i="2" s="1"/>
  <c r="V95" i="2"/>
  <c r="V93" i="2"/>
  <c r="V86" i="2"/>
  <c r="V94" i="2" s="1"/>
  <c r="V102" i="2" s="1"/>
  <c r="V77" i="2"/>
  <c r="V76" i="2"/>
  <c r="V72" i="2"/>
  <c r="V69" i="2"/>
  <c r="V75" i="2" s="1"/>
  <c r="V68" i="2"/>
  <c r="V74" i="2" s="1"/>
  <c r="V67" i="2"/>
  <c r="V73" i="2" s="1"/>
  <c r="V64" i="2"/>
  <c r="V104" i="2" s="1"/>
  <c r="V110" i="2" s="1"/>
  <c r="U109" i="2"/>
  <c r="U101" i="2"/>
  <c r="U107" i="2" s="1"/>
  <c r="U108" i="2" s="1"/>
  <c r="U95" i="2"/>
  <c r="U93" i="2"/>
  <c r="U86" i="2"/>
  <c r="U77" i="2"/>
  <c r="U76" i="2"/>
  <c r="U72" i="2"/>
  <c r="U69" i="2"/>
  <c r="U75" i="2" s="1"/>
  <c r="U68" i="2"/>
  <c r="U74" i="2" s="1"/>
  <c r="U67" i="2"/>
  <c r="U73" i="2" s="1"/>
  <c r="U64" i="2"/>
  <c r="U104" i="2" s="1"/>
  <c r="U110" i="2" s="1"/>
  <c r="T109" i="2"/>
  <c r="T101" i="2"/>
  <c r="T107" i="2" s="1"/>
  <c r="T108" i="2" s="1"/>
  <c r="T95" i="2"/>
  <c r="T93" i="2"/>
  <c r="T86" i="2"/>
  <c r="T77" i="2"/>
  <c r="T76" i="2"/>
  <c r="T72" i="2"/>
  <c r="T69" i="2"/>
  <c r="T75" i="2" s="1"/>
  <c r="T68" i="2"/>
  <c r="T74" i="2" s="1"/>
  <c r="T67" i="2"/>
  <c r="T73" i="2" s="1"/>
  <c r="T64" i="2"/>
  <c r="T104" i="2" s="1"/>
  <c r="T110" i="2" s="1"/>
  <c r="S109" i="2"/>
  <c r="S101" i="2"/>
  <c r="S107" i="2" s="1"/>
  <c r="S108" i="2" s="1"/>
  <c r="S95" i="2"/>
  <c r="S93" i="2"/>
  <c r="S86" i="2"/>
  <c r="S77" i="2"/>
  <c r="S76" i="2"/>
  <c r="S72" i="2"/>
  <c r="S69" i="2"/>
  <c r="S75" i="2" s="1"/>
  <c r="S68" i="2"/>
  <c r="S74" i="2" s="1"/>
  <c r="S67" i="2"/>
  <c r="S73" i="2" s="1"/>
  <c r="S64" i="2"/>
  <c r="S104" i="2" s="1"/>
  <c r="S110" i="2" s="1"/>
  <c r="R109" i="2"/>
  <c r="R101" i="2"/>
  <c r="R107" i="2" s="1"/>
  <c r="R108" i="2" s="1"/>
  <c r="R95" i="2"/>
  <c r="R93" i="2"/>
  <c r="R86" i="2"/>
  <c r="R77" i="2"/>
  <c r="R76" i="2"/>
  <c r="R72" i="2"/>
  <c r="R69" i="2"/>
  <c r="R75" i="2" s="1"/>
  <c r="R68" i="2"/>
  <c r="R74" i="2" s="1"/>
  <c r="R67" i="2"/>
  <c r="R73" i="2" s="1"/>
  <c r="R64" i="2"/>
  <c r="R104" i="2" s="1"/>
  <c r="R110" i="2" s="1"/>
  <c r="Q109" i="2"/>
  <c r="Q101" i="2"/>
  <c r="Q107" i="2" s="1"/>
  <c r="Q108" i="2" s="1"/>
  <c r="Q95" i="2"/>
  <c r="Q93" i="2"/>
  <c r="Q86" i="2"/>
  <c r="Q77" i="2"/>
  <c r="Q76" i="2"/>
  <c r="Q72" i="2"/>
  <c r="Q69" i="2"/>
  <c r="Q75" i="2" s="1"/>
  <c r="Q68" i="2"/>
  <c r="Q74" i="2" s="1"/>
  <c r="Q67" i="2"/>
  <c r="Q73" i="2" s="1"/>
  <c r="Q64" i="2"/>
  <c r="Q104" i="2" s="1"/>
  <c r="Q110" i="2" s="1"/>
  <c r="P109" i="2"/>
  <c r="P101" i="2"/>
  <c r="P107" i="2" s="1"/>
  <c r="P108" i="2" s="1"/>
  <c r="P95" i="2"/>
  <c r="P93" i="2"/>
  <c r="P86" i="2"/>
  <c r="P77" i="2"/>
  <c r="P76" i="2"/>
  <c r="P72" i="2"/>
  <c r="P69" i="2"/>
  <c r="P75" i="2" s="1"/>
  <c r="P68" i="2"/>
  <c r="P74" i="2" s="1"/>
  <c r="P67" i="2"/>
  <c r="P73" i="2" s="1"/>
  <c r="P64" i="2"/>
  <c r="P104" i="2" s="1"/>
  <c r="P110" i="2" s="1"/>
  <c r="O109" i="2"/>
  <c r="O101" i="2"/>
  <c r="O107" i="2" s="1"/>
  <c r="O108" i="2" s="1"/>
  <c r="O95" i="2"/>
  <c r="O93" i="2"/>
  <c r="O86" i="2"/>
  <c r="O77" i="2"/>
  <c r="O76" i="2"/>
  <c r="O72" i="2"/>
  <c r="O69" i="2"/>
  <c r="O75" i="2" s="1"/>
  <c r="O68" i="2"/>
  <c r="O74" i="2" s="1"/>
  <c r="O67" i="2"/>
  <c r="O73" i="2" s="1"/>
  <c r="O64" i="2"/>
  <c r="O104" i="2" s="1"/>
  <c r="O110" i="2" s="1"/>
  <c r="U94" i="2" l="1"/>
  <c r="U102" i="2" s="1"/>
  <c r="U112" i="2" s="1"/>
  <c r="S111" i="2"/>
  <c r="Z113" i="2"/>
  <c r="X94" i="2"/>
  <c r="X102" i="2" s="1"/>
  <c r="X112" i="2" s="1"/>
  <c r="X111" i="2"/>
  <c r="Q94" i="2"/>
  <c r="Q102" i="2" s="1"/>
  <c r="Q112" i="2" s="1"/>
  <c r="S94" i="2"/>
  <c r="S102" i="2" s="1"/>
  <c r="S112" i="2" s="1"/>
  <c r="V111" i="2"/>
  <c r="Y111" i="2"/>
  <c r="Y94" i="2"/>
  <c r="Y102" i="2" s="1"/>
  <c r="Y112" i="2" s="1"/>
  <c r="Y113" i="2" s="1"/>
  <c r="O111" i="2"/>
  <c r="W111" i="2"/>
  <c r="W112" i="2"/>
  <c r="T94" i="2"/>
  <c r="T102" i="2" s="1"/>
  <c r="T112" i="2" s="1"/>
  <c r="U111" i="2"/>
  <c r="V112" i="2"/>
  <c r="T111" i="2"/>
  <c r="R94" i="2"/>
  <c r="R102" i="2" s="1"/>
  <c r="R112" i="2" s="1"/>
  <c r="Q111" i="2"/>
  <c r="R111" i="2"/>
  <c r="P111" i="2"/>
  <c r="P94" i="2"/>
  <c r="P102" i="2" s="1"/>
  <c r="P112" i="2" s="1"/>
  <c r="P113" i="2" s="1"/>
  <c r="O94" i="2"/>
  <c r="O102" i="2" s="1"/>
  <c r="O112" i="2" s="1"/>
  <c r="O113" i="2" s="1"/>
  <c r="N109" i="2"/>
  <c r="N101" i="2"/>
  <c r="N107" i="2" s="1"/>
  <c r="N108" i="2" s="1"/>
  <c r="N95" i="2"/>
  <c r="N93" i="2"/>
  <c r="N86" i="2"/>
  <c r="N77" i="2"/>
  <c r="N76" i="2"/>
  <c r="N72" i="2"/>
  <c r="N69" i="2"/>
  <c r="N75" i="2" s="1"/>
  <c r="N68" i="2"/>
  <c r="N74" i="2" s="1"/>
  <c r="N67" i="2"/>
  <c r="N73" i="2" s="1"/>
  <c r="N64" i="2"/>
  <c r="N104" i="2" s="1"/>
  <c r="N110" i="2" s="1"/>
  <c r="N65" i="2"/>
  <c r="M109" i="2"/>
  <c r="M101" i="2"/>
  <c r="M107" i="2" s="1"/>
  <c r="M108" i="2" s="1"/>
  <c r="M95" i="2"/>
  <c r="M93" i="2"/>
  <c r="M86" i="2"/>
  <c r="M77" i="2"/>
  <c r="M76" i="2"/>
  <c r="M72" i="2"/>
  <c r="M69" i="2"/>
  <c r="M75" i="2" s="1"/>
  <c r="M68" i="2"/>
  <c r="M74" i="2" s="1"/>
  <c r="M67" i="2"/>
  <c r="M73" i="2" s="1"/>
  <c r="M64" i="2"/>
  <c r="M104" i="2" s="1"/>
  <c r="M110" i="2" s="1"/>
  <c r="M65" i="2"/>
  <c r="L109" i="2"/>
  <c r="L101" i="2"/>
  <c r="L107" i="2" s="1"/>
  <c r="L108" i="2" s="1"/>
  <c r="L95" i="2"/>
  <c r="L93" i="2"/>
  <c r="L86" i="2"/>
  <c r="L77" i="2"/>
  <c r="L76" i="2"/>
  <c r="L72" i="2"/>
  <c r="L69" i="2"/>
  <c r="L75" i="2" s="1"/>
  <c r="L68" i="2"/>
  <c r="L74" i="2" s="1"/>
  <c r="L67" i="2"/>
  <c r="L73" i="2" s="1"/>
  <c r="L64" i="2"/>
  <c r="L104" i="2" s="1"/>
  <c r="L110" i="2" s="1"/>
  <c r="L65" i="2"/>
  <c r="AL54" i="2"/>
  <c r="AL52" i="2"/>
  <c r="V113" i="2" l="1"/>
  <c r="S113" i="2"/>
  <c r="X113" i="2"/>
  <c r="R113" i="2"/>
  <c r="W113" i="2"/>
  <c r="T113" i="2"/>
  <c r="U113" i="2"/>
  <c r="Q113" i="2"/>
  <c r="M111" i="2"/>
  <c r="N111" i="2"/>
  <c r="L111" i="2"/>
  <c r="N94" i="2"/>
  <c r="N102" i="2" s="1"/>
  <c r="N112" i="2" s="1"/>
  <c r="M94" i="2"/>
  <c r="M102" i="2" s="1"/>
  <c r="M112" i="2" s="1"/>
  <c r="L94" i="2"/>
  <c r="L102" i="2" s="1"/>
  <c r="L112" i="2" s="1"/>
  <c r="N113" i="2" l="1"/>
  <c r="M113" i="2"/>
  <c r="L113" i="2"/>
  <c r="H113" i="2" l="1"/>
  <c r="AK109" i="2"/>
  <c r="K109" i="2"/>
  <c r="J109" i="2"/>
  <c r="I109" i="2"/>
  <c r="G109" i="2"/>
  <c r="F109" i="2"/>
  <c r="E109" i="2"/>
  <c r="G107" i="2"/>
  <c r="G108" i="2" s="1"/>
  <c r="F107" i="2"/>
  <c r="F108" i="2" s="1"/>
  <c r="E107" i="2"/>
  <c r="E108" i="2" s="1"/>
  <c r="AL105" i="2"/>
  <c r="G104" i="2"/>
  <c r="G110" i="2" s="1"/>
  <c r="F104" i="2"/>
  <c r="F110" i="2" s="1"/>
  <c r="E104" i="2"/>
  <c r="E110" i="2" s="1"/>
  <c r="AL103" i="2"/>
  <c r="AK101" i="2"/>
  <c r="AK107" i="2" s="1"/>
  <c r="AK108" i="2" s="1"/>
  <c r="K101" i="2"/>
  <c r="K107" i="2" s="1"/>
  <c r="K108" i="2" s="1"/>
  <c r="J101" i="2"/>
  <c r="J107" i="2" s="1"/>
  <c r="J108" i="2" s="1"/>
  <c r="I101" i="2"/>
  <c r="I107" i="2" s="1"/>
  <c r="I108" i="2" s="1"/>
  <c r="AL100" i="2"/>
  <c r="AL99" i="2"/>
  <c r="AL95" i="2" s="1"/>
  <c r="AK95" i="2"/>
  <c r="K95" i="2"/>
  <c r="J95" i="2"/>
  <c r="I95" i="2"/>
  <c r="H95" i="2"/>
  <c r="F95" i="2"/>
  <c r="E95" i="2"/>
  <c r="AK93" i="2"/>
  <c r="K93" i="2"/>
  <c r="J93" i="2"/>
  <c r="I93" i="2"/>
  <c r="H93" i="2"/>
  <c r="G93" i="2"/>
  <c r="F93" i="2"/>
  <c r="E93" i="2"/>
  <c r="AL92" i="2"/>
  <c r="AL91" i="2"/>
  <c r="AL90" i="2"/>
  <c r="AL89" i="2"/>
  <c r="AL88" i="2"/>
  <c r="AK86" i="2"/>
  <c r="K86" i="2"/>
  <c r="J86" i="2"/>
  <c r="I86" i="2"/>
  <c r="H86" i="2"/>
  <c r="G86" i="2"/>
  <c r="F86" i="2"/>
  <c r="E86" i="2"/>
  <c r="AL85" i="2"/>
  <c r="AL84" i="2"/>
  <c r="AL83" i="2"/>
  <c r="AL82" i="2"/>
  <c r="AL78" i="2"/>
  <c r="AK77" i="2"/>
  <c r="K77" i="2"/>
  <c r="J77" i="2"/>
  <c r="I77" i="2"/>
  <c r="H77" i="2"/>
  <c r="G77" i="2"/>
  <c r="AK76" i="2"/>
  <c r="K76" i="2"/>
  <c r="J76" i="2"/>
  <c r="I76" i="2"/>
  <c r="H76" i="2"/>
  <c r="G76" i="2"/>
  <c r="F76" i="2"/>
  <c r="E76" i="2"/>
  <c r="H75" i="2"/>
  <c r="H74" i="2"/>
  <c r="H73" i="2"/>
  <c r="AK72" i="2"/>
  <c r="K72" i="2"/>
  <c r="J72" i="2"/>
  <c r="I72" i="2"/>
  <c r="H72" i="2"/>
  <c r="G72" i="2"/>
  <c r="AL70" i="2"/>
  <c r="AL76" i="2" s="1"/>
  <c r="AK69" i="2"/>
  <c r="AK75" i="2" s="1"/>
  <c r="K69" i="2"/>
  <c r="K75" i="2" s="1"/>
  <c r="J69" i="2"/>
  <c r="J75" i="2" s="1"/>
  <c r="I69" i="2"/>
  <c r="I75" i="2" s="1"/>
  <c r="G69" i="2"/>
  <c r="G75" i="2" s="1"/>
  <c r="AK68" i="2"/>
  <c r="AK74" i="2" s="1"/>
  <c r="K68" i="2"/>
  <c r="K74" i="2" s="1"/>
  <c r="J68" i="2"/>
  <c r="J74" i="2" s="1"/>
  <c r="I68" i="2"/>
  <c r="I74" i="2" s="1"/>
  <c r="G68" i="2"/>
  <c r="G74" i="2" s="1"/>
  <c r="AK67" i="2"/>
  <c r="AK73" i="2" s="1"/>
  <c r="K67" i="2"/>
  <c r="K73" i="2" s="1"/>
  <c r="J67" i="2"/>
  <c r="J73" i="2" s="1"/>
  <c r="I67" i="2"/>
  <c r="I73" i="2" s="1"/>
  <c r="G67" i="2"/>
  <c r="G73" i="2" s="1"/>
  <c r="AK64" i="2"/>
  <c r="AK104" i="2" s="1"/>
  <c r="AK110" i="2" s="1"/>
  <c r="K64" i="2"/>
  <c r="K104" i="2" s="1"/>
  <c r="K110" i="2" s="1"/>
  <c r="J64" i="2"/>
  <c r="J104" i="2" s="1"/>
  <c r="J110" i="2" s="1"/>
  <c r="I64" i="2"/>
  <c r="AL64" i="2" s="1"/>
  <c r="AL63" i="2"/>
  <c r="AL62" i="2"/>
  <c r="AL61" i="2"/>
  <c r="AL58" i="2"/>
  <c r="AL77" i="2" s="1"/>
  <c r="F58" i="2"/>
  <c r="F67" i="2" s="1"/>
  <c r="F73" i="2" s="1"/>
  <c r="E58" i="2"/>
  <c r="E72" i="2" s="1"/>
  <c r="AL57" i="2"/>
  <c r="K65" i="2"/>
  <c r="J65" i="2"/>
  <c r="I65" i="2"/>
  <c r="F18" i="2"/>
  <c r="E18" i="2"/>
  <c r="AL11" i="2"/>
  <c r="AL10" i="2"/>
  <c r="AL9" i="2"/>
  <c r="AL8" i="2"/>
  <c r="AL7" i="2"/>
  <c r="AL6" i="2"/>
  <c r="AL5" i="2"/>
  <c r="AL4" i="2"/>
  <c r="AK65" i="2" l="1"/>
  <c r="AL65" i="2" s="1"/>
  <c r="AL18" i="2"/>
  <c r="E111" i="2"/>
  <c r="F111" i="2"/>
  <c r="G111" i="2"/>
  <c r="F94" i="2"/>
  <c r="E94" i="2"/>
  <c r="H94" i="2"/>
  <c r="AL93" i="2"/>
  <c r="K94" i="2"/>
  <c r="K102" i="2" s="1"/>
  <c r="K112" i="2" s="1"/>
  <c r="AK94" i="2"/>
  <c r="AK102" i="2" s="1"/>
  <c r="AK112" i="2" s="1"/>
  <c r="AL109" i="2"/>
  <c r="G94" i="2"/>
  <c r="F112" i="2"/>
  <c r="AL101" i="2"/>
  <c r="AL107" i="2" s="1"/>
  <c r="AL108" i="2" s="1"/>
  <c r="F68" i="2"/>
  <c r="F74" i="2" s="1"/>
  <c r="F77" i="2"/>
  <c r="AL86" i="2"/>
  <c r="J111" i="2"/>
  <c r="AK111" i="2"/>
  <c r="J94" i="2"/>
  <c r="J102" i="2" s="1"/>
  <c r="J112" i="2" s="1"/>
  <c r="K111" i="2"/>
  <c r="I94" i="2"/>
  <c r="I102" i="2" s="1"/>
  <c r="E112" i="2"/>
  <c r="AL67" i="2"/>
  <c r="AL73" i="2" s="1"/>
  <c r="AL68" i="2"/>
  <c r="AL74" i="2" s="1"/>
  <c r="AL69" i="2"/>
  <c r="AL75" i="2" s="1"/>
  <c r="G112" i="2"/>
  <c r="E69" i="2"/>
  <c r="E75" i="2" s="1"/>
  <c r="F72" i="2"/>
  <c r="F69" i="2"/>
  <c r="F75" i="2" s="1"/>
  <c r="I104" i="2"/>
  <c r="I110" i="2" s="1"/>
  <c r="I111" i="2" s="1"/>
  <c r="E68" i="2"/>
  <c r="E74" i="2" s="1"/>
  <c r="E67" i="2"/>
  <c r="E73" i="2" s="1"/>
  <c r="E77" i="2"/>
  <c r="E113" i="2" l="1"/>
  <c r="F113" i="2"/>
  <c r="J113" i="2"/>
  <c r="G113" i="2"/>
  <c r="AL94" i="2"/>
  <c r="AK113" i="2"/>
  <c r="AL102" i="2"/>
  <c r="K113" i="2"/>
  <c r="I112" i="2"/>
  <c r="I113" i="2" s="1"/>
  <c r="AL104" i="2"/>
  <c r="AL110" i="2" s="1"/>
  <c r="AL111" i="2" s="1"/>
  <c r="AL112" i="2" l="1"/>
  <c r="AL113" i="2" s="1"/>
</calcChain>
</file>

<file path=xl/sharedStrings.xml><?xml version="1.0" encoding="utf-8"?>
<sst xmlns="http://schemas.openxmlformats.org/spreadsheetml/2006/main" count="3672" uniqueCount="287">
  <si>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</si>
  <si>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</si>
  <si>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</si>
  <si>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</si>
  <si>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</si>
  <si>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</si>
  <si>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</si>
  <si>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</si>
  <si>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</si>
  <si>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</si>
  <si>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</si>
  <si>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</si>
  <si>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</si>
  <si>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</si>
  <si>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</si>
  <si>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</si>
  <si>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</si>
  <si>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</si>
  <si>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</si>
  <si>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</si>
  <si>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</si>
  <si>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</si>
  <si>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</si>
  <si>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</si>
  <si>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</si>
  <si>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</si>
  <si>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</si>
  <si>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</si>
  <si>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</si>
  <si>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</si>
  <si>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</si>
  <si>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</si>
  <si>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</si>
  <si>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</si>
  <si>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</si>
  <si>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</si>
  <si>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</si>
  <si>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</si>
  <si>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</si>
  <si>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</si>
  <si>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</si>
  <si>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</si>
  <si>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</si>
  <si>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</si>
  <si>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</si>
  <si>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</si>
  <si>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</si>
  <si>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</si>
  <si>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</si>
  <si>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</si>
  <si>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</si>
  <si>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</si>
  <si>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</si>
  <si>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</si>
  <si>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</si>
  <si>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</si>
  <si>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</si>
  <si>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</si>
  <si>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</si>
  <si>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</si>
  <si>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</si>
  <si>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</si>
  <si>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</si>
  <si>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</si>
  <si>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</si>
  <si>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</si>
  <si>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</si>
  <si>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</si>
  <si>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</si>
  <si>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</si>
  <si>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</si>
  <si>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</si>
  <si>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</si>
  <si>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</si>
  <si>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</si>
  <si>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</si>
  <si>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</si>
  <si>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</si>
  <si>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</si>
  <si>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</si>
  <si>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</si>
  <si>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</si>
  <si>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</si>
  <si>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</si>
  <si>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</si>
  <si>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</si>
  <si>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</si>
  <si>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</si>
  <si>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</si>
  <si>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</si>
  <si>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</si>
  <si>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</si>
  <si>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</si>
  <si>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</si>
  <si>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</si>
  <si>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</si>
  <si>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</si>
  <si>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</si>
  <si>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</si>
  <si>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</si>
  <si>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</si>
  <si>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</si>
  <si>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</si>
  <si>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</si>
  <si>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</si>
  <si>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</si>
  <si>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</si>
  <si>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</si>
  <si>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</si>
  <si>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</si>
  <si>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</si>
  <si>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</si>
  <si>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</si>
  <si>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</si>
  <si>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</si>
  <si>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</si>
  <si>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</si>
  <si>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</si>
  <si>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</si>
  <si>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</si>
  <si>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</si>
  <si>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</si>
  <si>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</si>
  <si>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</si>
  <si>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</si>
  <si>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</si>
  <si>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</si>
  <si>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</si>
  <si>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</si>
  <si>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</si>
  <si>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</si>
  <si>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</si>
  <si>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</si>
  <si>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</si>
  <si>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</si>
  <si>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</si>
  <si>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</si>
  <si>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</si>
  <si>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</si>
  <si>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</si>
  <si>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</si>
  <si>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</si>
  <si>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</si>
  <si>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</si>
  <si>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</si>
  <si>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</si>
  <si>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</si>
  <si>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</si>
  <si>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</si>
  <si>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</si>
  <si>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</si>
  <si>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</si>
  <si>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</si>
  <si>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</si>
  <si>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</si>
  <si>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</si>
  <si>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</si>
  <si>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</si>
  <si>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</si>
  <si>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</si>
  <si>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</si>
  <si>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</si>
  <si>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</si>
  <si>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</si>
  <si>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</si>
  <si>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</si>
  <si>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</si>
  <si>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</si>
  <si>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</si>
  <si>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</si>
  <si>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</si>
  <si>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</si>
  <si>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</si>
  <si>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</si>
  <si>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</si>
  <si>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</si>
  <si>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</si>
  <si>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</si>
  <si>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</si>
  <si>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</si>
  <si>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</si>
  <si>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</si>
  <si>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</si>
  <si>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</si>
  <si>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</si>
  <si>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</si>
  <si>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</si>
  <si>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</si>
  <si>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</si>
  <si>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</si>
  <si>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</si>
  <si>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</si>
  <si>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</si>
  <si>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</si>
  <si>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</si>
  <si>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</si>
  <si>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</si>
  <si>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</si>
  <si>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</si>
  <si>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</si>
  <si>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</si>
  <si>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</si>
  <si>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</si>
  <si>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</si>
  <si>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</si>
  <si>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</si>
  <si>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</si>
  <si>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</si>
  <si>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</si>
  <si>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</si>
  <si>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</si>
  <si>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</si>
  <si>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</si>
  <si>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</si>
  <si>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</si>
  <si>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</si>
  <si>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</si>
  <si>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</si>
  <si>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</si>
  <si>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</si>
  <si>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</si>
  <si>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</si>
  <si>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</si>
  <si>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</si>
  <si>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</si>
  <si>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</si>
  <si>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</si>
  <si>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</si>
  <si>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</si>
  <si>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</si>
  <si>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</si>
  <si>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Imported Hardwood April XP (AD)</t>
  </si>
  <si>
    <t>BCHEM Rzym E - TR</t>
  </si>
  <si>
    <t>Creptrol 9258 AP (Yankee coating)</t>
  </si>
  <si>
    <t>Anmosuper PAE (WSR)</t>
  </si>
  <si>
    <t>Packing lables</t>
  </si>
  <si>
    <t>Yankee doctor blade change and machine rolls cleaning</t>
  </si>
  <si>
    <t>TT</t>
  </si>
  <si>
    <t>Steam</t>
  </si>
  <si>
    <t>Hercobond 1309 AP (DSR)</t>
  </si>
  <si>
    <t>Machine shut for want of steam</t>
  </si>
  <si>
    <t>DAILY REPORT  Month (December-2025)</t>
  </si>
  <si>
    <t>Steam pressure dropped</t>
  </si>
  <si>
    <t>Sheet break</t>
  </si>
  <si>
    <t>Others</t>
  </si>
  <si>
    <t>Sheet break due to Turbo dryer issue</t>
  </si>
  <si>
    <t>NT</t>
  </si>
  <si>
    <t>FT</t>
  </si>
  <si>
    <t>ULTRA LUX FT</t>
  </si>
  <si>
    <t>TOWEL</t>
  </si>
  <si>
    <t>Instt</t>
  </si>
  <si>
    <t>Machine stopped for turbodryer checking</t>
  </si>
  <si>
    <t>Maintainance</t>
  </si>
  <si>
    <t>System wash up</t>
  </si>
  <si>
    <t>Felt and wire cleaned</t>
  </si>
  <si>
    <t>Power</t>
  </si>
  <si>
    <t>Machine tripped twice due to power fluctuation</t>
  </si>
  <si>
    <t>CMAX</t>
  </si>
  <si>
    <t>KT</t>
  </si>
  <si>
    <t>Power failure</t>
  </si>
  <si>
    <t>Stock off as felt carried the sheet</t>
  </si>
  <si>
    <t>Machine stopped for chcking and cleaning the felt for hole</t>
  </si>
  <si>
    <t>Felt and wire cleaning</t>
  </si>
  <si>
    <t>Clothing change</t>
  </si>
  <si>
    <t>Machine stopped for all showers valves tripped and Tail cutter not working porperly</t>
  </si>
  <si>
    <t>Stock side power failure</t>
  </si>
  <si>
    <t>Grade changed</t>
  </si>
  <si>
    <t>Tail cutter nozzel jammed</t>
  </si>
  <si>
    <t>ULTRALUX FT</t>
  </si>
  <si>
    <t>Machine stopped due to tail cutter stuck at back side</t>
  </si>
  <si>
    <t>Other</t>
  </si>
  <si>
    <t>Sheet break due to paper feeding issue</t>
  </si>
  <si>
    <t>Stock system tripped</t>
  </si>
  <si>
    <t>want of steam</t>
  </si>
  <si>
    <t>Machine shut due to want of steam</t>
  </si>
  <si>
    <t>Yankee doctor blade change and Machine roll cleaning</t>
  </si>
  <si>
    <t>Instruments</t>
  </si>
  <si>
    <t>Machine stopped due to pope reel gate alarm</t>
  </si>
  <si>
    <t>ULTRALUX TT</t>
  </si>
  <si>
    <t>UTILITY</t>
  </si>
  <si>
    <t>Natural Gas consumption (Tissue Machine)</t>
  </si>
  <si>
    <t>SCM</t>
  </si>
  <si>
    <t>Natural Gas consumption (Boiler)</t>
  </si>
  <si>
    <t>Fresh Water consumption</t>
  </si>
  <si>
    <t>RO water consumption</t>
  </si>
  <si>
    <t>Power (MACHINE)</t>
  </si>
  <si>
    <t>Power (BOILER+ETP)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</si>
</sst>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u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6" xfId="1" applyFont="1" applyBorder="1" applyAlignment="1">
      <alignment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21" xfId="1" applyFont="1" applyBorder="1"/>
    <xf numFmtId="0" fontId="4" fillId="2" borderId="26" xfId="0" applyFont="1" applyFill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4" fillId="0" borderId="0" xfId="0" applyFont="1"/>
    <xf numFmtId="0" fontId="4" fillId="3" borderId="20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6" fillId="6" borderId="21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1" xfId="0" applyFont="1" applyFill="1" applyBorder="1"/>
    <xf numFmtId="0" fontId="4" fillId="4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4" fillId="2" borderId="20" xfId="0" applyFont="1" applyFill="1" applyBorder="1" applyAlignment="1">
      <alignment horizontal="center"/>
    </xf>
    <xf numFmtId="0" fontId="10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2" fontId="6" fillId="2" borderId="21" xfId="0" applyNumberFormat="1" applyFont="1" applyFill="1" applyBorder="1" applyAlignment="1">
      <alignment horizontal="center" vertical="center"/>
    </xf>
    <xf numFmtId="167" fontId="9" fillId="0" borderId="0" xfId="0" applyNumberFormat="1" applyFont="1" applyAlignment="1">
      <alignment horizontal="center"/>
    </xf>
    <xf numFmtId="167" fontId="4" fillId="0" borderId="0" xfId="0" applyNumberFormat="1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7" fontId="6" fillId="2" borderId="2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2" borderId="21" xfId="0" applyNumberFormat="1" applyFont="1" applyFill="1" applyBorder="1" applyAlignment="1">
      <alignment horizontal="center"/>
    </xf>
    <xf numFmtId="164" fontId="6" fillId="2" borderId="21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5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4" fillId="2" borderId="2" xfId="0" applyFont="1" applyFill="1" applyBorder="1"/>
    <xf numFmtId="0" fontId="8" fillId="2" borderId="3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right"/>
    </xf>
    <xf numFmtId="164" fontId="4" fillId="2" borderId="8" xfId="0" applyNumberFormat="1" applyFont="1" applyFill="1" applyBorder="1" applyAlignment="1">
      <alignment horizontal="center"/>
    </xf>
    <xf numFmtId="0" fontId="4" fillId="2" borderId="20" xfId="0" applyFont="1" applyFill="1" applyBorder="1"/>
    <xf numFmtId="164" fontId="6" fillId="2" borderId="1" xfId="0" applyNumberFormat="1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0" fontId="4" fillId="2" borderId="33" xfId="0" applyFont="1" applyFill="1" applyBorder="1"/>
    <xf numFmtId="0" fontId="6" fillId="2" borderId="34" xfId="0" applyFont="1" applyFill="1" applyBorder="1"/>
    <xf numFmtId="0" fontId="6" fillId="2" borderId="34" xfId="0" applyFont="1" applyFill="1" applyBorder="1" applyAlignment="1">
      <alignment horizontal="left"/>
    </xf>
    <xf numFmtId="0" fontId="6" fillId="2" borderId="34" xfId="0" applyFont="1" applyFill="1" applyBorder="1" applyAlignment="1">
      <alignment horizontal="center"/>
    </xf>
    <xf numFmtId="2" fontId="4" fillId="2" borderId="34" xfId="0" applyNumberFormat="1" applyFont="1" applyFill="1" applyBorder="1" applyAlignment="1">
      <alignment horizontal="center"/>
    </xf>
    <xf numFmtId="2" fontId="6" fillId="2" borderId="35" xfId="0" applyNumberFormat="1" applyFont="1" applyFill="1" applyBorder="1" applyAlignment="1">
      <alignment horizontal="center" vertical="center"/>
    </xf>
    <xf numFmtId="0" fontId="4" fillId="2" borderId="36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37" xfId="0" applyFont="1" applyFill="1" applyBorder="1" applyAlignment="1">
      <alignment vertical="center"/>
    </xf>
    <xf numFmtId="0" fontId="4" fillId="2" borderId="26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left"/>
    </xf>
    <xf numFmtId="0" fontId="4" fillId="2" borderId="38" xfId="0" applyFont="1" applyFill="1" applyBorder="1"/>
    <xf numFmtId="0" fontId="6" fillId="2" borderId="38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" fontId="4" fillId="2" borderId="21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/>
    </xf>
    <xf numFmtId="164" fontId="6" fillId="2" borderId="34" xfId="0" applyNumberFormat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1" fillId="0" borderId="1" xfId="2" applyNumberFormat="1" applyFont="1" applyBorder="1" applyAlignment="1">
      <alignment horizontal="center" vertical="center" wrapText="1"/>
    </xf>
    <xf numFmtId="164" fontId="3" fillId="0" borderId="14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/>
    </xf>
    <xf numFmtId="0" fontId="4" fillId="2" borderId="40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0" fontId="4" fillId="3" borderId="33" xfId="0" applyFont="1" applyFill="1" applyBorder="1" applyAlignment="1">
      <alignment horizontal="center"/>
    </xf>
    <xf numFmtId="0" fontId="6" fillId="7" borderId="34" xfId="0" applyFont="1" applyFill="1" applyBorder="1"/>
    <xf numFmtId="0" fontId="6" fillId="7" borderId="34" xfId="0" applyFont="1" applyFill="1" applyBorder="1" applyAlignment="1">
      <alignment horizontal="left"/>
    </xf>
    <xf numFmtId="0" fontId="6" fillId="7" borderId="34" xfId="0" applyFont="1" applyFill="1" applyBorder="1" applyAlignment="1">
      <alignment horizontal="center"/>
    </xf>
    <xf numFmtId="2" fontId="6" fillId="7" borderId="34" xfId="0" applyNumberFormat="1" applyFont="1" applyFill="1" applyBorder="1" applyAlignment="1">
      <alignment horizontal="center"/>
    </xf>
    <xf numFmtId="167" fontId="6" fillId="7" borderId="34" xfId="0" applyNumberFormat="1" applyFont="1" applyFill="1" applyBorder="1" applyAlignment="1">
      <alignment horizontal="center"/>
    </xf>
    <xf numFmtId="167" fontId="6" fillId="6" borderId="35" xfId="0" applyNumberFormat="1" applyFont="1" applyFill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 wrapText="1"/>
    </xf>
    <xf numFmtId="164" fontId="1" fillId="0" borderId="7" xfId="2" applyNumberFormat="1" applyFont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 wrapText="1"/>
    </xf>
    <xf numFmtId="164" fontId="1" fillId="0" borderId="9" xfId="2" applyNumberFormat="1" applyFont="1" applyBorder="1" applyAlignment="1">
      <alignment horizontal="center" vertical="center" wrapText="1"/>
    </xf>
    <xf numFmtId="0" fontId="1" fillId="2" borderId="15" xfId="2" applyFont="1" applyFill="1" applyBorder="1" applyAlignment="1">
      <alignment horizontal="center" vertical="center"/>
    </xf>
    <xf numFmtId="164" fontId="1" fillId="0" borderId="13" xfId="2" applyNumberFormat="1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164" fontId="1" fillId="0" borderId="17" xfId="2" applyNumberFormat="1" applyFont="1" applyBorder="1" applyAlignment="1">
      <alignment horizontal="center" vertical="center" wrapText="1"/>
    </xf>
    <xf numFmtId="167" fontId="4" fillId="0" borderId="0" xfId="0" applyNumberFormat="1" applyFont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4" fillId="0" borderId="30" xfId="0" applyNumberFormat="1" applyFont="1" applyBorder="1" applyAlignment="1">
      <alignment horizontal="center"/>
    </xf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 wrapText="1"/>
    </xf>
    <xf numFmtId="165" fontId="1" fillId="2" borderId="15" xfId="2" applyNumberFormat="1" applyFont="1" applyFill="1" applyBorder="1" applyAlignment="1">
      <alignment horizontal="center" vertical="center"/>
    </xf>
    <xf numFmtId="0" fontId="1" fillId="2" borderId="16" xfId="2" applyFont="1" applyFill="1" applyBorder="1" applyAlignment="1">
      <alignment vertical="center"/>
    </xf>
    <xf numFmtId="0" fontId="1" fillId="0" borderId="12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164" fontId="1" fillId="0" borderId="18" xfId="2" applyNumberFormat="1" applyFont="1" applyBorder="1" applyAlignment="1">
      <alignment horizontal="center" vertical="center" wrapText="1"/>
    </xf>
    <xf numFmtId="164" fontId="1" fillId="0" borderId="19" xfId="2" applyNumberFormat="1" applyFont="1" applyBorder="1" applyAlignment="1">
      <alignment horizontal="center" vertical="center" wrapText="1"/>
    </xf>
    <xf numFmtId="20" fontId="1" fillId="0" borderId="10" xfId="0" applyNumberFormat="1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1" fillId="0" borderId="20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22" xfId="0" applyFont="1" applyBorder="1"/>
    <xf numFmtId="0" fontId="1" fillId="0" borderId="8" xfId="0" applyFont="1" applyBorder="1"/>
    <xf numFmtId="2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5" fontId="1" fillId="0" borderId="2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2" fontId="1" fillId="0" borderId="23" xfId="0" applyNumberFormat="1" applyFont="1" applyBorder="1" applyAlignment="1">
      <alignment horizontal="center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1" fillId="0" borderId="0" xfId="0" applyFont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1" fillId="0" borderId="23" xfId="0" applyFont="1" applyBorder="1" applyAlignment="1">
      <alignment horizontal="right"/>
    </xf>
    <xf numFmtId="167" fontId="6" fillId="6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922E-9083-4C09-B44D-C692DC6B7A90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45992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237</v>
      </c>
      <c r="C9" s="102">
        <v>17</v>
      </c>
      <c r="D9" s="5">
        <v>2.85</v>
      </c>
      <c r="E9" s="104">
        <v>793</v>
      </c>
      <c r="F9" s="103">
        <v>3</v>
      </c>
      <c r="G9" s="6">
        <f t="shared" ref="G9" si="0">E9*F9</f>
        <v>2379</v>
      </c>
      <c r="H9" s="7">
        <f>F9*C9</f>
        <v>51</v>
      </c>
      <c r="I9" s="119" t="s">
        <v>20</v>
      </c>
      <c r="J9" s="128">
        <v>6.9444444444444441E-3</v>
      </c>
      <c r="K9" s="142" t="s">
        <v>236</v>
      </c>
    </row>
    <row r="10" spans="1:11" x14ac:dyDescent="0.2">
      <c r="A10" s="130"/>
      <c r="B10" s="127"/>
      <c r="C10" s="102"/>
      <c r="D10" s="5"/>
      <c r="E10" s="104"/>
      <c r="F10" s="103"/>
      <c r="G10" s="6"/>
      <c r="H10" s="7"/>
      <c r="I10" s="135" t="s">
        <v>238</v>
      </c>
      <c r="J10" s="134">
        <v>0.9375</v>
      </c>
      <c r="K10" s="129" t="s">
        <v>240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/>
      <c r="J11" s="128"/>
      <c r="K11" s="129"/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3</v>
      </c>
      <c r="G22" s="167">
        <f>SUM(G9:G21)/F22</f>
        <v>793</v>
      </c>
      <c r="H22" s="168">
        <f>SUM(H9:H21)/F22</f>
        <v>17</v>
      </c>
      <c r="I22" s="148" t="s">
        <v>22</v>
      </c>
      <c r="J22" s="149">
        <v>0.94444444444444442</v>
      </c>
      <c r="K22" s="146"/>
    </row>
    <row r="23" spans="1:11" x14ac:dyDescent="0.2">
      <c r="E23" s="150"/>
      <c r="F23" s="151"/>
      <c r="I23" s="169" t="s">
        <v>23</v>
      </c>
      <c r="J23" s="170">
        <v>22.67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3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v>3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22.67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F7E730C2-A5F9-469E-8940-04BD59B3CCC4}">
      <formula1>$I$41:$I$50</formula1>
    </dataValidation>
    <dataValidation type="list" allowBlank="1" showInputMessage="1" showErrorMessage="1" sqref="B20:B21" xr:uid="{736E2346-394F-4557-80DD-E98758BC8F1E}">
      <formula1>$K$29:$K$40</formula1>
    </dataValidation>
    <dataValidation type="list" allowBlank="1" showInputMessage="1" showErrorMessage="1" sqref="B16:B19" xr:uid="{08A57270-B69B-42E4-9CE6-FA8657BEBC57}">
      <formula1>$K$29:$K$85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2095-4909-4CD3-9F4C-CD5746B76D32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45993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237</v>
      </c>
      <c r="C9" s="102">
        <v>17</v>
      </c>
      <c r="D9" s="5">
        <v>2.85</v>
      </c>
      <c r="E9" s="104">
        <v>1008</v>
      </c>
      <c r="F9" s="103">
        <v>60</v>
      </c>
      <c r="G9" s="6">
        <f t="shared" ref="G9" si="0">E9*F9</f>
        <v>60480</v>
      </c>
      <c r="H9" s="7">
        <f>F9*C9</f>
        <v>1020</v>
      </c>
      <c r="I9" s="119" t="s">
        <v>20</v>
      </c>
      <c r="J9" s="128">
        <v>2.0833333333333332E-2</v>
      </c>
      <c r="K9" s="142" t="s">
        <v>236</v>
      </c>
    </row>
    <row r="10" spans="1:11" x14ac:dyDescent="0.2">
      <c r="A10" s="130"/>
      <c r="B10" s="127"/>
      <c r="C10" s="102"/>
      <c r="D10" s="5"/>
      <c r="E10" s="104"/>
      <c r="F10" s="103"/>
      <c r="G10" s="6"/>
      <c r="H10" s="7"/>
      <c r="I10" s="135" t="s">
        <v>238</v>
      </c>
      <c r="J10" s="134">
        <v>2.0833333333333332E-2</v>
      </c>
      <c r="K10" s="129" t="s">
        <v>242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 t="s">
        <v>243</v>
      </c>
      <c r="J11" s="128">
        <v>1.3888888888888888E-2</v>
      </c>
      <c r="K11" s="129" t="s">
        <v>243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60</v>
      </c>
      <c r="G22" s="167">
        <f>SUM(G9:G21)/F22</f>
        <v>1008</v>
      </c>
      <c r="H22" s="168">
        <f>SUM(H9:H21)/F22</f>
        <v>17</v>
      </c>
      <c r="I22" s="148" t="s">
        <v>22</v>
      </c>
      <c r="J22" s="149">
        <v>5.5555555555555552E-2</v>
      </c>
      <c r="K22" s="146"/>
    </row>
    <row r="23" spans="1:11" x14ac:dyDescent="0.2">
      <c r="E23" s="150"/>
      <c r="F23" s="151"/>
      <c r="I23" s="169" t="s">
        <v>23</v>
      </c>
      <c r="J23" s="170">
        <v>1.33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60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</f>
        <v>63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24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B4F9817D-5F2B-4A9B-A8B3-E992456A8587}">
      <formula1>$K$29:$K$85</formula1>
    </dataValidation>
    <dataValidation type="list" allowBlank="1" showInputMessage="1" showErrorMessage="1" sqref="B20:B21" xr:uid="{54A2ED88-676D-4691-BE91-1BB64F154EF7}">
      <formula1>$K$29:$K$40</formula1>
    </dataValidation>
    <dataValidation type="list" allowBlank="1" showInputMessage="1" showErrorMessage="1" sqref="I50 K15:K21" xr:uid="{06DA7A8A-3E84-4709-B1A6-DB4DB53B6E2B}">
      <formula1>$I$41:$I$50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78A6-B06E-4D90-8800-DBB009043000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45994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237</v>
      </c>
      <c r="C9" s="102">
        <v>17</v>
      </c>
      <c r="D9" s="5">
        <v>2.85</v>
      </c>
      <c r="E9" s="104">
        <v>1260</v>
      </c>
      <c r="F9" s="103">
        <v>81</v>
      </c>
      <c r="G9" s="6">
        <f t="shared" ref="G9" si="0">E9*F9</f>
        <v>102060</v>
      </c>
      <c r="H9" s="7">
        <f>F9*C9</f>
        <v>1377</v>
      </c>
      <c r="I9" s="119" t="s">
        <v>20</v>
      </c>
      <c r="J9" s="128">
        <v>2.7777777777777776E-2</v>
      </c>
      <c r="K9" s="142" t="s">
        <v>236</v>
      </c>
    </row>
    <row r="10" spans="1:11" x14ac:dyDescent="0.2">
      <c r="A10" s="130"/>
      <c r="B10" s="127"/>
      <c r="C10" s="102"/>
      <c r="D10" s="5"/>
      <c r="E10" s="104"/>
      <c r="F10" s="103"/>
      <c r="G10" s="6"/>
      <c r="H10" s="7"/>
      <c r="I10" s="135" t="s">
        <v>244</v>
      </c>
      <c r="J10" s="134">
        <v>1.0416666666666666E-2</v>
      </c>
      <c r="K10" s="129" t="s">
        <v>245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/>
      <c r="J11" s="128"/>
      <c r="K11" s="129"/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81</v>
      </c>
      <c r="G22" s="167">
        <f>SUM(G9:G21)/F22</f>
        <v>1260</v>
      </c>
      <c r="H22" s="168">
        <f>SUM(H9:H21)/F22</f>
        <v>17</v>
      </c>
      <c r="I22" s="148" t="s">
        <v>22</v>
      </c>
      <c r="J22" s="149">
        <v>3.8194444444444448E-2</v>
      </c>
      <c r="K22" s="146"/>
    </row>
    <row r="23" spans="1:11" x14ac:dyDescent="0.2">
      <c r="E23" s="150"/>
      <c r="F23" s="151"/>
      <c r="I23" s="169" t="s">
        <v>23</v>
      </c>
      <c r="J23" s="170">
        <v>0.92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81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</f>
        <v>144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24.92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9C7C6B27-B3A3-404A-97C5-1F6BB59AFF28}">
      <formula1>$I$41:$I$50</formula1>
    </dataValidation>
    <dataValidation type="list" allowBlank="1" showInputMessage="1" showErrorMessage="1" sqref="B20:B21" xr:uid="{AAB57865-93F0-47D8-887F-DABAD89DE529}">
      <formula1>$K$29:$K$40</formula1>
    </dataValidation>
    <dataValidation type="list" allowBlank="1" showInputMessage="1" showErrorMessage="1" sqref="B16:B19" xr:uid="{7E6D0DFA-0BE2-45E3-B700-F7C95DEBED6C}">
      <formula1>$K$29:$K$85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D4C0-6D5F-4238-B3CF-0B402810BCE6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45995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237</v>
      </c>
      <c r="C9" s="102">
        <v>17</v>
      </c>
      <c r="D9" s="5">
        <v>2.85</v>
      </c>
      <c r="E9" s="104">
        <v>1428</v>
      </c>
      <c r="F9" s="103">
        <v>78.5</v>
      </c>
      <c r="G9" s="6">
        <f t="shared" ref="G9:G10" si="0">E9*F9</f>
        <v>112098</v>
      </c>
      <c r="H9" s="7">
        <f>F9*C9</f>
        <v>1334.5</v>
      </c>
      <c r="I9" s="119" t="s">
        <v>20</v>
      </c>
      <c r="J9" s="128">
        <v>2.4305555555555556E-2</v>
      </c>
      <c r="K9" s="142" t="s">
        <v>236</v>
      </c>
    </row>
    <row r="10" spans="1:11" ht="17" x14ac:dyDescent="0.2">
      <c r="A10" s="130">
        <v>2</v>
      </c>
      <c r="B10" s="127" t="s">
        <v>237</v>
      </c>
      <c r="C10" s="102">
        <v>16</v>
      </c>
      <c r="D10" s="5">
        <v>2.85</v>
      </c>
      <c r="E10" s="104">
        <v>1475</v>
      </c>
      <c r="F10" s="103">
        <v>9.5</v>
      </c>
      <c r="G10" s="6">
        <f t="shared" si="0"/>
        <v>14012.5</v>
      </c>
      <c r="H10" s="7">
        <f>F10*C10</f>
        <v>152</v>
      </c>
      <c r="I10" s="135" t="s">
        <v>44</v>
      </c>
      <c r="J10" s="134">
        <v>6.9444444444444441E-3</v>
      </c>
      <c r="K10" s="129" t="s">
        <v>44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/>
      <c r="J11" s="128"/>
      <c r="K11" s="129"/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88</v>
      </c>
      <c r="G22" s="167">
        <f>SUM(G9:G21)/F22</f>
        <v>1433.0738636363637</v>
      </c>
      <c r="H22" s="168">
        <f>SUM(H9:H21)/F22</f>
        <v>16.892045454545453</v>
      </c>
      <c r="I22" s="148" t="s">
        <v>22</v>
      </c>
      <c r="J22" s="149">
        <v>3.125E-2</v>
      </c>
      <c r="K22" s="146"/>
    </row>
    <row r="23" spans="1:11" x14ac:dyDescent="0.2">
      <c r="E23" s="150"/>
      <c r="F23" s="151"/>
      <c r="I23" s="169" t="s">
        <v>23</v>
      </c>
      <c r="J23" s="170">
        <v>0.75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88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</f>
        <v>232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25.67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5E90FA2A-31FF-48B4-B0C7-299C64500438}">
      <formula1>$K$29:$K$85</formula1>
    </dataValidation>
    <dataValidation type="list" allowBlank="1" showInputMessage="1" showErrorMessage="1" sqref="B20:B21" xr:uid="{A2FBA12B-0154-4CF4-8DCD-483D9A247277}">
      <formula1>$K$29:$K$40</formula1>
    </dataValidation>
    <dataValidation type="list" allowBlank="1" showInputMessage="1" showErrorMessage="1" sqref="I50 K15:K21" xr:uid="{06BE6035-C0E1-4BFE-9051-0FCA1E9CA4AB}">
      <formula1>$I$41:$I$50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0AFE-52BA-4357-A36E-58FB5B762E3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45996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237</v>
      </c>
      <c r="C9" s="102">
        <v>14</v>
      </c>
      <c r="D9" s="5">
        <v>2.85</v>
      </c>
      <c r="E9" s="104">
        <v>1512</v>
      </c>
      <c r="F9" s="103">
        <v>9.1</v>
      </c>
      <c r="G9" s="6">
        <f t="shared" ref="G9:G13" si="0">E9*F9</f>
        <v>13759.199999999999</v>
      </c>
      <c r="H9" s="7">
        <f>F9*C9</f>
        <v>127.39999999999999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237</v>
      </c>
      <c r="C10" s="102">
        <v>15</v>
      </c>
      <c r="D10" s="5">
        <v>2.85</v>
      </c>
      <c r="E10" s="104">
        <v>1512</v>
      </c>
      <c r="F10" s="103">
        <v>37.1</v>
      </c>
      <c r="G10" s="6">
        <f t="shared" si="0"/>
        <v>56095.200000000004</v>
      </c>
      <c r="H10" s="7">
        <f>F10*C10</f>
        <v>556.5</v>
      </c>
      <c r="I10" s="135" t="s">
        <v>44</v>
      </c>
      <c r="J10" s="134">
        <v>2.0833333333333332E-2</v>
      </c>
      <c r="K10" s="129" t="s">
        <v>44</v>
      </c>
    </row>
    <row r="11" spans="1:11" ht="17" x14ac:dyDescent="0.2">
      <c r="A11" s="126">
        <v>3</v>
      </c>
      <c r="B11" s="127" t="s">
        <v>237</v>
      </c>
      <c r="C11" s="102">
        <v>16</v>
      </c>
      <c r="D11" s="5">
        <v>2.85</v>
      </c>
      <c r="E11" s="104">
        <v>1470</v>
      </c>
      <c r="F11" s="115">
        <v>3.2</v>
      </c>
      <c r="G11" s="6">
        <f t="shared" si="0"/>
        <v>4704</v>
      </c>
      <c r="H11" s="7">
        <f t="shared" ref="H11:H13" si="1">F11*C11</f>
        <v>51.2</v>
      </c>
      <c r="I11" s="119" t="s">
        <v>243</v>
      </c>
      <c r="J11" s="128">
        <v>1.0416666666666666E-2</v>
      </c>
      <c r="K11" s="129" t="s">
        <v>243</v>
      </c>
    </row>
    <row r="12" spans="1:11" ht="19.25" customHeight="1" x14ac:dyDescent="0.2">
      <c r="A12" s="130">
        <v>4</v>
      </c>
      <c r="B12" s="127" t="s">
        <v>246</v>
      </c>
      <c r="C12" s="116">
        <v>15</v>
      </c>
      <c r="D12" s="5">
        <v>2.85</v>
      </c>
      <c r="E12" s="117">
        <v>1516</v>
      </c>
      <c r="F12" s="118">
        <v>25.6</v>
      </c>
      <c r="G12" s="6">
        <f t="shared" si="0"/>
        <v>38809.599999999999</v>
      </c>
      <c r="H12" s="7">
        <f t="shared" si="1"/>
        <v>384</v>
      </c>
      <c r="I12" s="135"/>
      <c r="J12" s="134"/>
      <c r="K12" s="129"/>
    </row>
    <row r="13" spans="1:11" ht="17" x14ac:dyDescent="0.2">
      <c r="A13" s="131">
        <v>5</v>
      </c>
      <c r="B13" s="127" t="s">
        <v>247</v>
      </c>
      <c r="C13" s="116">
        <v>12.5</v>
      </c>
      <c r="D13" s="5">
        <v>2.85</v>
      </c>
      <c r="E13" s="117">
        <v>1444</v>
      </c>
      <c r="F13" s="118">
        <v>5</v>
      </c>
      <c r="G13" s="6">
        <f t="shared" si="0"/>
        <v>7220</v>
      </c>
      <c r="H13" s="7">
        <f t="shared" si="1"/>
        <v>62.5</v>
      </c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80</v>
      </c>
      <c r="G22" s="167">
        <f>SUM(G9:G21)/F22</f>
        <v>1507.35</v>
      </c>
      <c r="H22" s="168">
        <f>SUM(H9:H21)/F22</f>
        <v>14.77</v>
      </c>
      <c r="I22" s="148" t="s">
        <v>22</v>
      </c>
      <c r="J22" s="149">
        <v>5.2083333333333336E-2</v>
      </c>
      <c r="K22" s="146"/>
    </row>
    <row r="23" spans="1:11" x14ac:dyDescent="0.2">
      <c r="E23" s="150"/>
      <c r="F23" s="151"/>
      <c r="I23" s="169" t="s">
        <v>23</v>
      </c>
      <c r="J23" s="170">
        <v>1.25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80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</f>
        <v>312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26.92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5AC96034-8E29-4495-93D7-98D12FB3F2E8}">
      <formula1>$I$41:$I$50</formula1>
    </dataValidation>
    <dataValidation type="list" allowBlank="1" showInputMessage="1" showErrorMessage="1" sqref="B20:B21" xr:uid="{CA3B0191-6FB6-4FEC-95E2-E4FB831A2048}">
      <formula1>$K$29:$K$40</formula1>
    </dataValidation>
    <dataValidation type="list" allowBlank="1" showInputMessage="1" showErrorMessage="1" sqref="B16:B19" xr:uid="{DB0AF7E1-EE02-428D-8B0A-9D36166044FF}">
      <formula1>$K$29:$K$85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7115-EC18-43AA-B9DF-F1AEA4355C44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45997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247</v>
      </c>
      <c r="C9" s="102">
        <v>11</v>
      </c>
      <c r="D9" s="5">
        <v>2.85</v>
      </c>
      <c r="E9" s="104">
        <v>1435</v>
      </c>
      <c r="F9" s="103">
        <v>8.6999999999999993</v>
      </c>
      <c r="G9" s="6">
        <f t="shared" ref="G9:G13" si="0">E9*F9</f>
        <v>12484.499999999998</v>
      </c>
      <c r="H9" s="7">
        <f>F9*C9</f>
        <v>95.699999999999989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247</v>
      </c>
      <c r="C10" s="102">
        <v>12.5</v>
      </c>
      <c r="D10" s="5">
        <v>2.85</v>
      </c>
      <c r="E10" s="104">
        <v>1460</v>
      </c>
      <c r="F10" s="103">
        <v>10.5</v>
      </c>
      <c r="G10" s="6">
        <f t="shared" si="0"/>
        <v>15330</v>
      </c>
      <c r="H10" s="7">
        <f>F10*C10</f>
        <v>131.25</v>
      </c>
      <c r="I10" s="135" t="s">
        <v>44</v>
      </c>
      <c r="J10" s="134">
        <v>2.0833333333333332E-2</v>
      </c>
      <c r="K10" s="129" t="s">
        <v>44</v>
      </c>
    </row>
    <row r="11" spans="1:11" ht="17" x14ac:dyDescent="0.2">
      <c r="A11" s="126">
        <v>3</v>
      </c>
      <c r="B11" s="127" t="s">
        <v>248</v>
      </c>
      <c r="C11" s="102">
        <v>11</v>
      </c>
      <c r="D11" s="5">
        <v>2.85</v>
      </c>
      <c r="E11" s="104">
        <v>1426</v>
      </c>
      <c r="F11" s="115">
        <v>23.2</v>
      </c>
      <c r="G11" s="6">
        <f t="shared" si="0"/>
        <v>33083.199999999997</v>
      </c>
      <c r="H11" s="7">
        <f t="shared" ref="H11:H13" si="1">F11*C11</f>
        <v>255.2</v>
      </c>
      <c r="I11" s="119" t="s">
        <v>243</v>
      </c>
      <c r="J11" s="128">
        <v>1.3888888888888888E-2</v>
      </c>
      <c r="K11" s="129" t="s">
        <v>243</v>
      </c>
    </row>
    <row r="12" spans="1:11" ht="19.25" customHeight="1" x14ac:dyDescent="0.2">
      <c r="A12" s="130">
        <v>4</v>
      </c>
      <c r="B12" s="127" t="s">
        <v>248</v>
      </c>
      <c r="C12" s="116">
        <v>13</v>
      </c>
      <c r="D12" s="5">
        <v>2.85</v>
      </c>
      <c r="E12" s="117">
        <v>1460</v>
      </c>
      <c r="F12" s="118">
        <v>7.7</v>
      </c>
      <c r="G12" s="6">
        <f t="shared" si="0"/>
        <v>11242</v>
      </c>
      <c r="H12" s="7">
        <f t="shared" si="1"/>
        <v>100.10000000000001</v>
      </c>
      <c r="I12" s="135"/>
      <c r="J12" s="134"/>
      <c r="K12" s="129"/>
    </row>
    <row r="13" spans="1:11" ht="17" x14ac:dyDescent="0.2">
      <c r="A13" s="131">
        <v>5</v>
      </c>
      <c r="B13" s="127" t="s">
        <v>247</v>
      </c>
      <c r="C13" s="116">
        <v>14</v>
      </c>
      <c r="D13" s="5">
        <v>2.85</v>
      </c>
      <c r="E13" s="117">
        <v>1360</v>
      </c>
      <c r="F13" s="118">
        <v>13.9</v>
      </c>
      <c r="G13" s="6">
        <f t="shared" si="0"/>
        <v>18904</v>
      </c>
      <c r="H13" s="7">
        <f t="shared" si="1"/>
        <v>194.6</v>
      </c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64</v>
      </c>
      <c r="G22" s="167">
        <f>SUM(G9:G21)/F22</f>
        <v>1422.5578125</v>
      </c>
      <c r="H22" s="168">
        <f>SUM(H9:H21)/F22</f>
        <v>12.13828125</v>
      </c>
      <c r="I22" s="148" t="s">
        <v>22</v>
      </c>
      <c r="J22" s="149">
        <v>5.5555555555555552E-2</v>
      </c>
      <c r="K22" s="146"/>
    </row>
    <row r="23" spans="1:11" x14ac:dyDescent="0.2">
      <c r="E23" s="150"/>
      <c r="F23" s="151"/>
      <c r="I23" s="169" t="s">
        <v>23</v>
      </c>
      <c r="J23" s="170">
        <v>1.33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64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</f>
        <v>376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28.25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7D7B6DEF-F25A-4EF8-AA83-CEB7ABAEF344}">
      <formula1>$K$29:$K$85</formula1>
    </dataValidation>
    <dataValidation type="list" allowBlank="1" showInputMessage="1" showErrorMessage="1" sqref="B20:B21" xr:uid="{B6BAE79A-BC2C-4ABC-A8CE-382A8BED8AAF}">
      <formula1>$K$29:$K$40</formula1>
    </dataValidation>
    <dataValidation type="list" allowBlank="1" showInputMessage="1" showErrorMessage="1" sqref="I50 K15:K21" xr:uid="{F301E44E-1906-43C7-ACF0-C34A90437600}">
      <formula1>$I$41:$I$50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5D72-A0A5-4A8E-A389-8155C98383E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45998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247</v>
      </c>
      <c r="C9" s="102">
        <v>12.5</v>
      </c>
      <c r="D9" s="5">
        <v>2.85</v>
      </c>
      <c r="E9" s="104">
        <v>1460</v>
      </c>
      <c r="F9" s="103">
        <v>22</v>
      </c>
      <c r="G9" s="6">
        <f t="shared" ref="G9:G13" si="0">E9*F9</f>
        <v>32120</v>
      </c>
      <c r="H9" s="7">
        <f>F9*C9</f>
        <v>275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15</v>
      </c>
      <c r="D10" s="5">
        <v>2.85</v>
      </c>
      <c r="E10" s="104">
        <v>1461</v>
      </c>
      <c r="F10" s="103">
        <v>13.5</v>
      </c>
      <c r="G10" s="6">
        <f t="shared" si="0"/>
        <v>19723.5</v>
      </c>
      <c r="H10" s="7">
        <f>F10*C10</f>
        <v>202.5</v>
      </c>
      <c r="I10" s="135" t="s">
        <v>44</v>
      </c>
      <c r="J10" s="134">
        <v>3.4722222222222224E-2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17</v>
      </c>
      <c r="D11" s="5">
        <v>2.85</v>
      </c>
      <c r="E11" s="104">
        <v>1419</v>
      </c>
      <c r="F11" s="115">
        <v>25.6</v>
      </c>
      <c r="G11" s="6">
        <f t="shared" si="0"/>
        <v>36326.400000000001</v>
      </c>
      <c r="H11" s="7">
        <f t="shared" ref="H11:H13" si="1">F11*C11</f>
        <v>435.20000000000005</v>
      </c>
      <c r="I11" s="119"/>
      <c r="J11" s="128"/>
      <c r="K11" s="129"/>
    </row>
    <row r="12" spans="1:11" ht="19.25" customHeight="1" x14ac:dyDescent="0.2">
      <c r="A12" s="130">
        <v>4</v>
      </c>
      <c r="B12" s="127" t="s">
        <v>246</v>
      </c>
      <c r="C12" s="116">
        <v>18</v>
      </c>
      <c r="D12" s="5">
        <v>2.85</v>
      </c>
      <c r="E12" s="117">
        <v>1378</v>
      </c>
      <c r="F12" s="118">
        <v>4</v>
      </c>
      <c r="G12" s="6">
        <f t="shared" si="0"/>
        <v>5512</v>
      </c>
      <c r="H12" s="7">
        <f t="shared" si="1"/>
        <v>72</v>
      </c>
      <c r="I12" s="135"/>
      <c r="J12" s="134"/>
      <c r="K12" s="129"/>
    </row>
    <row r="13" spans="1:11" ht="17" x14ac:dyDescent="0.2">
      <c r="A13" s="131">
        <v>5</v>
      </c>
      <c r="B13" s="127" t="s">
        <v>246</v>
      </c>
      <c r="C13" s="116">
        <v>20</v>
      </c>
      <c r="D13" s="5">
        <v>2.85</v>
      </c>
      <c r="E13" s="117">
        <v>1278</v>
      </c>
      <c r="F13" s="118">
        <v>19.899999999999999</v>
      </c>
      <c r="G13" s="6">
        <f t="shared" si="0"/>
        <v>25432.199999999997</v>
      </c>
      <c r="H13" s="7">
        <f t="shared" si="1"/>
        <v>398</v>
      </c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85</v>
      </c>
      <c r="G22" s="167">
        <f>SUM(G9:G21)/F22</f>
        <v>1401.3423529411764</v>
      </c>
      <c r="H22" s="168">
        <f>SUM(H9:H21)/F22</f>
        <v>16.267058823529414</v>
      </c>
      <c r="I22" s="148" t="s">
        <v>22</v>
      </c>
      <c r="J22" s="149">
        <v>5.5555555555555552E-2</v>
      </c>
      <c r="K22" s="146"/>
    </row>
    <row r="23" spans="1:11" x14ac:dyDescent="0.2">
      <c r="E23" s="150"/>
      <c r="F23" s="151"/>
      <c r="I23" s="169" t="s">
        <v>23</v>
      </c>
      <c r="J23" s="170">
        <v>1.33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85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</f>
        <v>461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29.58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F53DDDFD-FD71-46B4-AF2E-1897EF89F6CA}">
      <formula1>$I$41:$I$50</formula1>
    </dataValidation>
    <dataValidation type="list" allowBlank="1" showInputMessage="1" showErrorMessage="1" sqref="B20:B21" xr:uid="{D8D3BD0B-E504-43E8-BCDE-BF8D836FFDBE}">
      <formula1>$K$29:$K$40</formula1>
    </dataValidation>
    <dataValidation type="list" allowBlank="1" showInputMessage="1" showErrorMessage="1" sqref="B16:B19" xr:uid="{B0316A5E-639E-4071-83DA-471A02093685}">
      <formula1>$K$29:$K$85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358A-1E88-4711-B35A-9F39F13470C6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45999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14</v>
      </c>
      <c r="D9" s="5">
        <v>2.85</v>
      </c>
      <c r="E9" s="104">
        <v>1520</v>
      </c>
      <c r="F9" s="103">
        <v>20.2</v>
      </c>
      <c r="G9" s="6">
        <f t="shared" ref="G9:G12" si="0">E9*F9</f>
        <v>30704</v>
      </c>
      <c r="H9" s="7">
        <f>F9*C9</f>
        <v>282.8</v>
      </c>
      <c r="I9" s="119" t="s">
        <v>20</v>
      </c>
      <c r="J9" s="128">
        <v>2.4305555555555556E-2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15</v>
      </c>
      <c r="D10" s="5">
        <v>2.85</v>
      </c>
      <c r="E10" s="104">
        <v>1520</v>
      </c>
      <c r="F10" s="103">
        <v>47</v>
      </c>
      <c r="G10" s="6">
        <f t="shared" si="0"/>
        <v>71440</v>
      </c>
      <c r="H10" s="7">
        <f>F10*C10</f>
        <v>705</v>
      </c>
      <c r="I10" s="135" t="s">
        <v>44</v>
      </c>
      <c r="J10" s="134">
        <v>2.0833333333333332E-2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16</v>
      </c>
      <c r="D11" s="5">
        <v>2.85</v>
      </c>
      <c r="E11" s="104">
        <v>1520</v>
      </c>
      <c r="F11" s="115">
        <v>6.5</v>
      </c>
      <c r="G11" s="6">
        <f t="shared" si="0"/>
        <v>9880</v>
      </c>
      <c r="H11" s="7">
        <f t="shared" ref="H11:H12" si="1">F11*C11</f>
        <v>104</v>
      </c>
      <c r="I11" s="119" t="s">
        <v>250</v>
      </c>
      <c r="J11" s="128">
        <v>2.0833333333333332E-2</v>
      </c>
      <c r="K11" s="129" t="s">
        <v>251</v>
      </c>
    </row>
    <row r="12" spans="1:11" ht="19.25" customHeight="1" x14ac:dyDescent="0.2">
      <c r="A12" s="130">
        <v>4</v>
      </c>
      <c r="B12" s="127" t="s">
        <v>249</v>
      </c>
      <c r="C12" s="116">
        <v>17</v>
      </c>
      <c r="D12" s="5">
        <v>2.85</v>
      </c>
      <c r="E12" s="117">
        <v>1377</v>
      </c>
      <c r="F12" s="118">
        <v>7.3</v>
      </c>
      <c r="G12" s="6">
        <f t="shared" si="0"/>
        <v>10052.1</v>
      </c>
      <c r="H12" s="7">
        <f t="shared" si="1"/>
        <v>124.1</v>
      </c>
      <c r="I12" s="135" t="s">
        <v>252</v>
      </c>
      <c r="J12" s="134">
        <v>2.0833333333333332E-2</v>
      </c>
      <c r="K12" s="129" t="s">
        <v>251</v>
      </c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 t="s">
        <v>253</v>
      </c>
      <c r="J13" s="128">
        <v>2.0833333333333332E-2</v>
      </c>
      <c r="K13" s="129" t="s">
        <v>254</v>
      </c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81</v>
      </c>
      <c r="G22" s="167">
        <f>SUM(G9:G21)/F22</f>
        <v>1507.1123456790124</v>
      </c>
      <c r="H22" s="168">
        <f>SUM(H9:H21)/F22</f>
        <v>15.011111111111109</v>
      </c>
      <c r="I22" s="148" t="s">
        <v>22</v>
      </c>
      <c r="J22" s="149">
        <v>0.1076388888888889</v>
      </c>
      <c r="K22" s="146"/>
    </row>
    <row r="23" spans="1:11" x14ac:dyDescent="0.2">
      <c r="E23" s="150"/>
      <c r="F23" s="151"/>
      <c r="I23" s="169" t="s">
        <v>23</v>
      </c>
      <c r="J23" s="170">
        <v>2.58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81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</f>
        <v>542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32.17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E828DD2C-58DA-4BDE-B660-B04293375F1E}">
      <formula1>$K$29:$K$85</formula1>
    </dataValidation>
    <dataValidation type="list" allowBlank="1" showInputMessage="1" showErrorMessage="1" sqref="B20:B21" xr:uid="{1CFD99D7-6000-412D-AEC8-D2033873305E}">
      <formula1>$K$29:$K$40</formula1>
    </dataValidation>
    <dataValidation type="list" allowBlank="1" showInputMessage="1" showErrorMessage="1" sqref="I50 K15:K21" xr:uid="{854C9DA8-3E7D-4F81-9428-51BC787CEEC8}">
      <formula1>$I$41:$I$50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AA93-0B92-4A6D-B521-61DA4451F43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46000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249</v>
      </c>
      <c r="C9" s="102">
        <v>17</v>
      </c>
      <c r="D9" s="5">
        <v>2.85</v>
      </c>
      <c r="E9" s="104">
        <v>1408</v>
      </c>
      <c r="F9" s="103">
        <v>51.3</v>
      </c>
      <c r="G9" s="6">
        <f t="shared" ref="G9:G10" si="0">E9*F9</f>
        <v>72230.399999999994</v>
      </c>
      <c r="H9" s="7">
        <f>F9*C9</f>
        <v>872.09999999999991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249</v>
      </c>
      <c r="C10" s="102">
        <v>19</v>
      </c>
      <c r="D10" s="5">
        <v>2.85</v>
      </c>
      <c r="E10" s="104">
        <v>1385</v>
      </c>
      <c r="F10" s="103">
        <v>35.700000000000003</v>
      </c>
      <c r="G10" s="6">
        <f t="shared" si="0"/>
        <v>49444.500000000007</v>
      </c>
      <c r="H10" s="7">
        <f>F10*C10</f>
        <v>678.30000000000007</v>
      </c>
      <c r="I10" s="135" t="s">
        <v>44</v>
      </c>
      <c r="J10" s="134">
        <v>1.3888888888888888E-2</v>
      </c>
      <c r="K10" s="129" t="s">
        <v>44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 t="s">
        <v>255</v>
      </c>
      <c r="J11" s="128">
        <v>8.3333333333333329E-2</v>
      </c>
      <c r="K11" s="129" t="s">
        <v>256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87</v>
      </c>
      <c r="G22" s="167">
        <f>SUM(G9:G21)/F22</f>
        <v>1398.5620689655173</v>
      </c>
      <c r="H22" s="168">
        <f>SUM(H9:H21)/F22</f>
        <v>17.820689655172416</v>
      </c>
      <c r="I22" s="148" t="s">
        <v>22</v>
      </c>
      <c r="J22" s="149">
        <v>0.11805555555555555</v>
      </c>
      <c r="K22" s="146"/>
    </row>
    <row r="23" spans="1:11" x14ac:dyDescent="0.2">
      <c r="E23" s="150"/>
      <c r="F23" s="151"/>
      <c r="I23" s="169" t="s">
        <v>23</v>
      </c>
      <c r="J23" s="170">
        <v>2.83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87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</f>
        <v>629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35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085DE9D4-626A-4A98-8837-EC799A60FEE9}">
      <formula1>$I$41:$I$50</formula1>
    </dataValidation>
    <dataValidation type="list" allowBlank="1" showInputMessage="1" showErrorMessage="1" sqref="B20:B21" xr:uid="{9C7B60B3-8072-446C-A3A9-8C7F27012455}">
      <formula1>$K$29:$K$40</formula1>
    </dataValidation>
    <dataValidation type="list" allowBlank="1" showInputMessage="1" showErrorMessage="1" sqref="B16:B19" xr:uid="{F4D011B4-84DC-480B-B804-DE617705D2E1}">
      <formula1>$K$29:$K$85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3961-68EC-4EF8-8FF4-F15646FF903B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46001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249</v>
      </c>
      <c r="C9" s="102">
        <v>17</v>
      </c>
      <c r="D9" s="5">
        <v>2.85</v>
      </c>
      <c r="E9" s="104">
        <v>1449</v>
      </c>
      <c r="F9" s="103">
        <v>7.2</v>
      </c>
      <c r="G9" s="6">
        <f t="shared" ref="G9:G14" si="0">E9*F9</f>
        <v>10432.800000000001</v>
      </c>
      <c r="H9" s="7">
        <f>F9*C9</f>
        <v>122.4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249</v>
      </c>
      <c r="C10" s="102">
        <v>19</v>
      </c>
      <c r="D10" s="5">
        <v>2.85</v>
      </c>
      <c r="E10" s="104">
        <v>1365</v>
      </c>
      <c r="F10" s="103">
        <v>1.5</v>
      </c>
      <c r="G10" s="6">
        <f t="shared" si="0"/>
        <v>2047.5</v>
      </c>
      <c r="H10" s="7">
        <f>F10*C10</f>
        <v>28.5</v>
      </c>
      <c r="I10" s="135" t="s">
        <v>44</v>
      </c>
      <c r="J10" s="134">
        <v>2.4305555555555556E-2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17</v>
      </c>
      <c r="D11" s="5">
        <v>2.85</v>
      </c>
      <c r="E11" s="104">
        <v>1521</v>
      </c>
      <c r="F11" s="115">
        <v>7.5</v>
      </c>
      <c r="G11" s="6">
        <f t="shared" si="0"/>
        <v>11407.5</v>
      </c>
      <c r="H11" s="7">
        <f t="shared" ref="H11:H14" si="1">F11*C11</f>
        <v>127.5</v>
      </c>
      <c r="I11" s="119"/>
      <c r="J11" s="128"/>
      <c r="K11" s="129"/>
    </row>
    <row r="12" spans="1:11" ht="19.25" customHeight="1" x14ac:dyDescent="0.2">
      <c r="A12" s="130">
        <v>4</v>
      </c>
      <c r="B12" s="127" t="s">
        <v>246</v>
      </c>
      <c r="C12" s="116">
        <v>20</v>
      </c>
      <c r="D12" s="5">
        <v>2.85</v>
      </c>
      <c r="E12" s="117">
        <v>1267</v>
      </c>
      <c r="F12" s="118">
        <v>18.100000000000001</v>
      </c>
      <c r="G12" s="6">
        <f t="shared" si="0"/>
        <v>22932.7</v>
      </c>
      <c r="H12" s="7">
        <f t="shared" si="1"/>
        <v>362</v>
      </c>
      <c r="I12" s="135"/>
      <c r="J12" s="134"/>
      <c r="K12" s="129"/>
    </row>
    <row r="13" spans="1:11" ht="17" x14ac:dyDescent="0.2">
      <c r="A13" s="131">
        <v>5</v>
      </c>
      <c r="B13" s="127" t="s">
        <v>257</v>
      </c>
      <c r="C13" s="116">
        <v>17</v>
      </c>
      <c r="D13" s="5">
        <v>2.85</v>
      </c>
      <c r="E13" s="117">
        <v>1516</v>
      </c>
      <c r="F13" s="118">
        <v>45.4</v>
      </c>
      <c r="G13" s="6">
        <f t="shared" si="0"/>
        <v>68826.399999999994</v>
      </c>
      <c r="H13" s="7">
        <f t="shared" si="1"/>
        <v>771.8</v>
      </c>
      <c r="I13" s="119"/>
      <c r="J13" s="128"/>
      <c r="K13" s="129"/>
    </row>
    <row r="14" spans="1:11" ht="17" x14ac:dyDescent="0.2">
      <c r="A14" s="126">
        <v>6</v>
      </c>
      <c r="B14" s="127" t="s">
        <v>258</v>
      </c>
      <c r="C14" s="120">
        <v>22</v>
      </c>
      <c r="D14" s="5">
        <v>2.85</v>
      </c>
      <c r="E14" s="121">
        <v>1168</v>
      </c>
      <c r="F14" s="122">
        <v>14.3</v>
      </c>
      <c r="G14" s="6">
        <f t="shared" si="0"/>
        <v>16702.400000000001</v>
      </c>
      <c r="H14" s="7">
        <f t="shared" si="1"/>
        <v>314.60000000000002</v>
      </c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93.999999999999986</v>
      </c>
      <c r="G22" s="167">
        <f>SUM(G9:G21)/F22</f>
        <v>1407.9712765957447</v>
      </c>
      <c r="H22" s="168">
        <f>SUM(H9:H21)/F22</f>
        <v>18.370212765957447</v>
      </c>
      <c r="I22" s="148" t="s">
        <v>22</v>
      </c>
      <c r="J22" s="149">
        <v>4.5138888888888888E-2</v>
      </c>
      <c r="K22" s="146"/>
    </row>
    <row r="23" spans="1:11" x14ac:dyDescent="0.2">
      <c r="E23" s="150"/>
      <c r="F23" s="151"/>
      <c r="I23" s="169" t="s">
        <v>23</v>
      </c>
      <c r="J23" s="170">
        <v>1.08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93.999999999999986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</f>
        <v>723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36.08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20B47068-7503-4428-8035-201D8CC9A704}">
      <formula1>$K$29:$K$85</formula1>
    </dataValidation>
    <dataValidation type="list" allowBlank="1" showInputMessage="1" showErrorMessage="1" sqref="B20:B21" xr:uid="{0B5D99A8-D67A-4E27-BD1D-28DE63CE8F6B}">
      <formula1>$K$29:$K$40</formula1>
    </dataValidation>
    <dataValidation type="list" allowBlank="1" showInputMessage="1" showErrorMessage="1" sqref="I50 K15:K21" xr:uid="{D8D928D1-6CCD-4130-99A6-8C3785E2804B}">
      <formula1>$I$41:$I$50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593D-3850-41F1-B445-AECAB8AEC975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46002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258</v>
      </c>
      <c r="C9" s="102">
        <v>22</v>
      </c>
      <c r="D9" s="5">
        <v>2.85</v>
      </c>
      <c r="E9" s="104">
        <v>1087</v>
      </c>
      <c r="F9" s="103">
        <v>35</v>
      </c>
      <c r="G9" s="6">
        <f t="shared" ref="G9:G10" si="0">E9*F9</f>
        <v>38045</v>
      </c>
      <c r="H9" s="7">
        <f>F9*C9</f>
        <v>770</v>
      </c>
      <c r="I9" s="119" t="s">
        <v>20</v>
      </c>
      <c r="J9" s="128">
        <v>6.9444444444444441E-3</v>
      </c>
      <c r="K9" s="142" t="s">
        <v>236</v>
      </c>
    </row>
    <row r="10" spans="1:11" ht="17" x14ac:dyDescent="0.2">
      <c r="A10" s="130">
        <v>2</v>
      </c>
      <c r="B10" s="127" t="s">
        <v>258</v>
      </c>
      <c r="C10" s="102">
        <v>28</v>
      </c>
      <c r="D10" s="5">
        <v>2.85</v>
      </c>
      <c r="E10" s="104">
        <v>859</v>
      </c>
      <c r="F10" s="103">
        <v>5</v>
      </c>
      <c r="G10" s="6">
        <f t="shared" si="0"/>
        <v>4295</v>
      </c>
      <c r="H10" s="7">
        <f>F10*C10</f>
        <v>140</v>
      </c>
      <c r="I10" s="135" t="s">
        <v>44</v>
      </c>
      <c r="J10" s="134">
        <v>1.3888888888888888E-2</v>
      </c>
      <c r="K10" s="129" t="s">
        <v>44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 t="s">
        <v>255</v>
      </c>
      <c r="J11" s="128">
        <v>0.5625</v>
      </c>
      <c r="K11" s="129" t="s">
        <v>259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40</v>
      </c>
      <c r="G22" s="167">
        <f>SUM(G9:G21)/F22</f>
        <v>1058.5</v>
      </c>
      <c r="H22" s="168">
        <f>SUM(H9:H21)/F22</f>
        <v>22.75</v>
      </c>
      <c r="I22" s="148" t="s">
        <v>22</v>
      </c>
      <c r="J22" s="149">
        <v>0.58333333333333337</v>
      </c>
      <c r="K22" s="146"/>
    </row>
    <row r="23" spans="1:11" x14ac:dyDescent="0.2">
      <c r="E23" s="150"/>
      <c r="F23" s="151"/>
      <c r="I23" s="169" t="s">
        <v>23</v>
      </c>
      <c r="J23" s="170">
        <v>14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40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</f>
        <v>763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50.08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4E460942-3205-4533-80A5-EC50070462DC}">
      <formula1>$I$41:$I$50</formula1>
    </dataValidation>
    <dataValidation type="list" allowBlank="1" showInputMessage="1" showErrorMessage="1" sqref="B20:B21" xr:uid="{3C621CA0-5693-441C-BC67-5AD73ED27E28}">
      <formula1>$K$29:$K$40</formula1>
    </dataValidation>
    <dataValidation type="list" allowBlank="1" showInputMessage="1" showErrorMessage="1" sqref="B16:B19" xr:uid="{F4920DD8-B199-4A96-A281-962A1AD830DE}">
      <formula1>$K$29:$K$85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2BF0-170D-4CD6-A8BD-BC23AF270A4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46003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258</v>
      </c>
      <c r="C9" s="102">
        <v>30</v>
      </c>
      <c r="D9" s="5">
        <v>2.85</v>
      </c>
      <c r="E9" s="104">
        <v>828</v>
      </c>
      <c r="F9" s="103">
        <v>13.4</v>
      </c>
      <c r="G9" s="6">
        <f t="shared" ref="G9:G13" si="0">E9*F9</f>
        <v>11095.2</v>
      </c>
      <c r="H9" s="7">
        <f>F9*C9</f>
        <v>402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258</v>
      </c>
      <c r="C10" s="102">
        <v>32</v>
      </c>
      <c r="D10" s="5">
        <v>2.85</v>
      </c>
      <c r="E10" s="104">
        <v>798</v>
      </c>
      <c r="F10" s="103">
        <v>21.9</v>
      </c>
      <c r="G10" s="6">
        <f t="shared" si="0"/>
        <v>17476.199999999997</v>
      </c>
      <c r="H10" s="7">
        <f>F10*C10</f>
        <v>700.8</v>
      </c>
      <c r="I10" s="135" t="s">
        <v>44</v>
      </c>
      <c r="J10" s="134">
        <v>4.1666666666666664E-2</v>
      </c>
      <c r="K10" s="129" t="s">
        <v>44</v>
      </c>
    </row>
    <row r="11" spans="1:11" ht="17" x14ac:dyDescent="0.2">
      <c r="A11" s="126">
        <v>3</v>
      </c>
      <c r="B11" s="127" t="s">
        <v>258</v>
      </c>
      <c r="C11" s="102">
        <v>34</v>
      </c>
      <c r="D11" s="5">
        <v>2.85</v>
      </c>
      <c r="E11" s="104">
        <v>772</v>
      </c>
      <c r="F11" s="115">
        <v>33.9</v>
      </c>
      <c r="G11" s="6">
        <f t="shared" si="0"/>
        <v>26170.799999999999</v>
      </c>
      <c r="H11" s="7">
        <f t="shared" ref="H11:H13" si="1">F11*C11</f>
        <v>1152.5999999999999</v>
      </c>
      <c r="I11" s="119" t="s">
        <v>244</v>
      </c>
      <c r="J11" s="128">
        <v>1.0416666666666666E-2</v>
      </c>
      <c r="K11" s="129" t="s">
        <v>260</v>
      </c>
    </row>
    <row r="12" spans="1:11" ht="19.25" customHeight="1" x14ac:dyDescent="0.2">
      <c r="A12" s="130">
        <v>4</v>
      </c>
      <c r="B12" s="127" t="s">
        <v>258</v>
      </c>
      <c r="C12" s="116">
        <v>38</v>
      </c>
      <c r="D12" s="5">
        <v>2.85</v>
      </c>
      <c r="E12" s="117">
        <v>692</v>
      </c>
      <c r="F12" s="118">
        <v>5.6</v>
      </c>
      <c r="G12" s="6">
        <f t="shared" si="0"/>
        <v>3875.2</v>
      </c>
      <c r="H12" s="7">
        <f t="shared" si="1"/>
        <v>212.79999999999998</v>
      </c>
      <c r="I12" s="135"/>
      <c r="J12" s="134"/>
      <c r="K12" s="129"/>
    </row>
    <row r="13" spans="1:11" ht="17" x14ac:dyDescent="0.2">
      <c r="A13" s="131">
        <v>5</v>
      </c>
      <c r="B13" s="127" t="s">
        <v>258</v>
      </c>
      <c r="C13" s="116">
        <v>40</v>
      </c>
      <c r="D13" s="5">
        <v>2.85</v>
      </c>
      <c r="E13" s="117">
        <v>656</v>
      </c>
      <c r="F13" s="118">
        <v>20.2</v>
      </c>
      <c r="G13" s="6">
        <f t="shared" si="0"/>
        <v>13251.199999999999</v>
      </c>
      <c r="H13" s="7">
        <f t="shared" si="1"/>
        <v>808</v>
      </c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94.999999999999986</v>
      </c>
      <c r="G22" s="167">
        <f>SUM(G9:G21)/F22</f>
        <v>756.51157894736843</v>
      </c>
      <c r="H22" s="168">
        <f>SUM(H9:H21)/F22</f>
        <v>34.486315789473686</v>
      </c>
      <c r="I22" s="148" t="s">
        <v>22</v>
      </c>
      <c r="J22" s="149">
        <v>7.2916666666666671E-2</v>
      </c>
      <c r="K22" s="146"/>
    </row>
    <row r="23" spans="1:11" x14ac:dyDescent="0.2">
      <c r="E23" s="150"/>
      <c r="F23" s="151"/>
      <c r="I23" s="169" t="s">
        <v>23</v>
      </c>
      <c r="J23" s="170">
        <v>1.75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94.999999999999986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</f>
        <v>858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51.83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836C95FE-4BF0-47F7-9911-1609CF7E0E61}">
      <formula1>$K$29:$K$85</formula1>
    </dataValidation>
    <dataValidation type="list" allowBlank="1" showInputMessage="1" showErrorMessage="1" sqref="B20:B21" xr:uid="{94BF5EBF-8D2C-4738-A252-9CA4F325603B}">
      <formula1>$K$29:$K$40</formula1>
    </dataValidation>
    <dataValidation type="list" allowBlank="1" showInputMessage="1" showErrorMessage="1" sqref="I50 K15:K21" xr:uid="{B1B73FE9-FAB8-48A2-8AC8-920E21D69D2A}">
      <formula1>$I$41:$I$50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CDB9-DAEC-4FF6-AC41-1E1EA3891E69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46004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14</v>
      </c>
      <c r="D9" s="5">
        <v>2.85</v>
      </c>
      <c r="E9" s="104">
        <v>1344</v>
      </c>
      <c r="F9" s="103">
        <v>6.2</v>
      </c>
      <c r="G9" s="6">
        <f t="shared" ref="G9:G15" si="0">E9*F9</f>
        <v>8332.8000000000011</v>
      </c>
      <c r="H9" s="7">
        <f>F9*C9</f>
        <v>86.8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15</v>
      </c>
      <c r="D10" s="5">
        <v>2.85</v>
      </c>
      <c r="E10" s="104">
        <v>1512</v>
      </c>
      <c r="F10" s="103">
        <v>26.3</v>
      </c>
      <c r="G10" s="6">
        <f t="shared" si="0"/>
        <v>39765.599999999999</v>
      </c>
      <c r="H10" s="7">
        <f>F10*C10</f>
        <v>394.5</v>
      </c>
      <c r="I10" s="135" t="s">
        <v>44</v>
      </c>
      <c r="J10" s="134">
        <v>4.1666666666666664E-2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18</v>
      </c>
      <c r="D11" s="5">
        <v>2.85</v>
      </c>
      <c r="E11" s="104">
        <v>1431</v>
      </c>
      <c r="F11" s="115">
        <v>22.5</v>
      </c>
      <c r="G11" s="6">
        <f t="shared" si="0"/>
        <v>32197.5</v>
      </c>
      <c r="H11" s="7">
        <f t="shared" ref="H11:H13" si="1">F11*C11</f>
        <v>405</v>
      </c>
      <c r="I11" s="119" t="s">
        <v>244</v>
      </c>
      <c r="J11" s="128">
        <v>8.3333333333333329E-2</v>
      </c>
      <c r="K11" s="129" t="s">
        <v>261</v>
      </c>
    </row>
    <row r="12" spans="1:11" ht="19.25" customHeight="1" x14ac:dyDescent="0.2">
      <c r="A12" s="130">
        <v>4</v>
      </c>
      <c r="B12" s="127" t="s">
        <v>258</v>
      </c>
      <c r="C12" s="116">
        <v>20</v>
      </c>
      <c r="D12" s="5">
        <v>2.85</v>
      </c>
      <c r="E12" s="117">
        <v>1293</v>
      </c>
      <c r="F12" s="118">
        <v>4</v>
      </c>
      <c r="G12" s="6">
        <f t="shared" si="0"/>
        <v>5172</v>
      </c>
      <c r="H12" s="7">
        <f t="shared" si="1"/>
        <v>80</v>
      </c>
      <c r="I12" s="135"/>
      <c r="J12" s="134"/>
      <c r="K12" s="129"/>
    </row>
    <row r="13" spans="1:11" ht="17" x14ac:dyDescent="0.2">
      <c r="A13" s="131">
        <v>5</v>
      </c>
      <c r="B13" s="127" t="s">
        <v>258</v>
      </c>
      <c r="C13" s="116">
        <v>22</v>
      </c>
      <c r="D13" s="5">
        <v>2.85</v>
      </c>
      <c r="E13" s="117">
        <v>1183</v>
      </c>
      <c r="F13" s="118">
        <v>10.6</v>
      </c>
      <c r="G13" s="6">
        <f t="shared" si="0"/>
        <v>12539.8</v>
      </c>
      <c r="H13" s="7">
        <f t="shared" si="1"/>
        <v>233.2</v>
      </c>
      <c r="I13" s="119"/>
      <c r="J13" s="128"/>
      <c r="K13" s="129"/>
    </row>
    <row r="14" spans="1:11" ht="17" x14ac:dyDescent="0.2">
      <c r="A14" s="126">
        <v>6</v>
      </c>
      <c r="B14" s="127" t="s">
        <v>258</v>
      </c>
      <c r="C14" s="120">
        <v>32</v>
      </c>
      <c r="D14" s="5">
        <v>2.85</v>
      </c>
      <c r="E14" s="121">
        <v>822</v>
      </c>
      <c r="F14" s="122">
        <v>7</v>
      </c>
      <c r="G14" s="6">
        <f t="shared" si="0"/>
        <v>5754</v>
      </c>
      <c r="H14" s="7">
        <f>F14*C14</f>
        <v>224</v>
      </c>
      <c r="I14" s="135"/>
      <c r="J14" s="128"/>
      <c r="K14" s="129"/>
    </row>
    <row r="15" spans="1:11" ht="17" x14ac:dyDescent="0.2">
      <c r="A15" s="130">
        <v>8</v>
      </c>
      <c r="B15" s="127" t="s">
        <v>247</v>
      </c>
      <c r="C15" s="132">
        <v>12.5</v>
      </c>
      <c r="D15" s="5">
        <v>2.85</v>
      </c>
      <c r="E15" s="121">
        <v>1494</v>
      </c>
      <c r="F15" s="133">
        <v>4.4000000000000004</v>
      </c>
      <c r="G15" s="6">
        <f t="shared" si="0"/>
        <v>6573.6</v>
      </c>
      <c r="H15" s="7">
        <f>F15*C15</f>
        <v>55.000000000000007</v>
      </c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81</v>
      </c>
      <c r="G22" s="167">
        <f>SUM(G9:G21)/F22</f>
        <v>1362.1641975308642</v>
      </c>
      <c r="H22" s="168">
        <f>SUM(H9:H21)/F22</f>
        <v>18.253086419753085</v>
      </c>
      <c r="I22" s="148" t="s">
        <v>22</v>
      </c>
      <c r="J22" s="149">
        <v>0.14583333333333334</v>
      </c>
      <c r="K22" s="146"/>
    </row>
    <row r="23" spans="1:11" x14ac:dyDescent="0.2">
      <c r="E23" s="150"/>
      <c r="F23" s="151"/>
      <c r="I23" s="169" t="s">
        <v>23</v>
      </c>
      <c r="J23" s="170">
        <v>3.5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81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</f>
        <v>939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55.33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6F17B903-89BA-4BC3-A850-88C5CCE0AFA9}">
      <formula1>$I$41:$I$50</formula1>
    </dataValidation>
    <dataValidation type="list" allowBlank="1" showInputMessage="1" showErrorMessage="1" sqref="B20:B21" xr:uid="{7F43B299-CED3-49BF-8ABB-342379DBB8E5}">
      <formula1>$K$29:$K$40</formula1>
    </dataValidation>
    <dataValidation type="list" allowBlank="1" showInputMessage="1" showErrorMessage="1" sqref="B16:B19" xr:uid="{2574FD57-1DB5-4504-8EB2-738F07EAB6DF}">
      <formula1>$K$29:$K$85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3B31-186E-4864-96BF-A5543A8CCC42}">
  <dimension ref="A1:K85"/>
  <sheetViews>
    <sheetView topLeftCell="A8" workbookViewId="0">
      <selection activeCell="A8"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46005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15</v>
      </c>
      <c r="D9" s="5">
        <v>2.85</v>
      </c>
      <c r="E9" s="104">
        <v>1344</v>
      </c>
      <c r="F9" s="103">
        <v>0.5</v>
      </c>
      <c r="G9" s="6">
        <f t="shared" ref="G9:G13" si="0">E9*F9</f>
        <v>672</v>
      </c>
      <c r="H9" s="7">
        <f>F9*C9</f>
        <v>7.5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247</v>
      </c>
      <c r="C10" s="102">
        <v>12.5</v>
      </c>
      <c r="D10" s="5">
        <v>2.85</v>
      </c>
      <c r="E10" s="104">
        <v>1494</v>
      </c>
      <c r="F10" s="103">
        <v>13.5</v>
      </c>
      <c r="G10" s="6">
        <f t="shared" si="0"/>
        <v>20169</v>
      </c>
      <c r="H10" s="7">
        <f>F10*C10</f>
        <v>168.75</v>
      </c>
      <c r="I10" s="135" t="s">
        <v>44</v>
      </c>
      <c r="J10" s="134">
        <v>6.9444444444444441E-3</v>
      </c>
      <c r="K10" s="129" t="s">
        <v>44</v>
      </c>
    </row>
    <row r="11" spans="1:11" ht="17" x14ac:dyDescent="0.2">
      <c r="A11" s="126">
        <v>3</v>
      </c>
      <c r="B11" s="127" t="s">
        <v>237</v>
      </c>
      <c r="C11" s="102">
        <v>15</v>
      </c>
      <c r="D11" s="5">
        <v>2.85</v>
      </c>
      <c r="E11" s="104">
        <v>855</v>
      </c>
      <c r="F11" s="115">
        <v>6</v>
      </c>
      <c r="G11" s="6">
        <f t="shared" si="0"/>
        <v>5130</v>
      </c>
      <c r="H11" s="7">
        <f t="shared" ref="H11:H13" si="1">F11*C11</f>
        <v>90</v>
      </c>
      <c r="I11" s="119" t="s">
        <v>253</v>
      </c>
      <c r="J11" s="128">
        <v>6.25E-2</v>
      </c>
      <c r="K11" s="129" t="s">
        <v>262</v>
      </c>
    </row>
    <row r="12" spans="1:11" ht="19.25" customHeight="1" x14ac:dyDescent="0.2">
      <c r="A12" s="130">
        <v>4</v>
      </c>
      <c r="B12" s="127" t="s">
        <v>237</v>
      </c>
      <c r="C12" s="116">
        <v>16</v>
      </c>
      <c r="D12" s="5">
        <v>2.85</v>
      </c>
      <c r="E12" s="117">
        <v>855</v>
      </c>
      <c r="F12" s="118">
        <v>6</v>
      </c>
      <c r="G12" s="6">
        <f t="shared" si="0"/>
        <v>5130</v>
      </c>
      <c r="H12" s="7">
        <f t="shared" si="1"/>
        <v>96</v>
      </c>
      <c r="I12" s="135" t="s">
        <v>263</v>
      </c>
      <c r="J12" s="134">
        <v>0.1875</v>
      </c>
      <c r="K12" s="129" t="s">
        <v>56</v>
      </c>
    </row>
    <row r="13" spans="1:11" ht="17" x14ac:dyDescent="0.2">
      <c r="A13" s="131">
        <v>5</v>
      </c>
      <c r="B13" s="127" t="s">
        <v>237</v>
      </c>
      <c r="C13" s="116">
        <v>17</v>
      </c>
      <c r="D13" s="5">
        <v>2.85</v>
      </c>
      <c r="E13" s="117">
        <v>855</v>
      </c>
      <c r="F13" s="118">
        <v>15</v>
      </c>
      <c r="G13" s="6">
        <f t="shared" si="0"/>
        <v>12825</v>
      </c>
      <c r="H13" s="7">
        <f t="shared" si="1"/>
        <v>255</v>
      </c>
      <c r="I13" s="119" t="s">
        <v>255</v>
      </c>
      <c r="J13" s="128">
        <v>4.1666666666666664E-2</v>
      </c>
      <c r="K13" s="129" t="s">
        <v>259</v>
      </c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41</v>
      </c>
      <c r="G22" s="167">
        <f>SUM(G9:G21)/F22</f>
        <v>1071.3658536585365</v>
      </c>
      <c r="H22" s="168">
        <f>SUM(H9:H21)/F22</f>
        <v>15.054878048780488</v>
      </c>
      <c r="I22" s="148" t="s">
        <v>22</v>
      </c>
      <c r="J22" s="149">
        <v>0.31944444444444442</v>
      </c>
      <c r="K22" s="146"/>
    </row>
    <row r="23" spans="1:11" x14ac:dyDescent="0.2">
      <c r="E23" s="150"/>
      <c r="F23" s="151"/>
      <c r="I23" s="169" t="s">
        <v>23</v>
      </c>
      <c r="J23" s="170">
        <v>7.67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41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</f>
        <v>980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63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7C9715FF-BF5A-4C54-9A27-A3C2F906C25E}">
      <formula1>$K$29:$K$85</formula1>
    </dataValidation>
    <dataValidation type="list" allowBlank="1" showInputMessage="1" showErrorMessage="1" sqref="B20:B21" xr:uid="{2ADE7C60-C855-4E6F-8EA1-57DF71FA2B8F}">
      <formula1>$K$29:$K$40</formula1>
    </dataValidation>
    <dataValidation type="list" allowBlank="1" showInputMessage="1" showErrorMessage="1" sqref="I50 K15:K21" xr:uid="{71889384-AFE8-4930-A065-923DC7EFE633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0769-EA3D-4C31-BF65-6594F3053D5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46006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237</v>
      </c>
      <c r="C9" s="102">
        <v>15</v>
      </c>
      <c r="D9" s="5">
        <v>2.85</v>
      </c>
      <c r="E9" s="104">
        <v>1284</v>
      </c>
      <c r="F9" s="103">
        <v>62</v>
      </c>
      <c r="G9" s="6">
        <f t="shared" ref="G9" si="0">E9*F9</f>
        <v>79608</v>
      </c>
      <c r="H9" s="7">
        <f>F9*C9</f>
        <v>930</v>
      </c>
      <c r="I9" s="119" t="s">
        <v>20</v>
      </c>
      <c r="J9" s="128">
        <v>3.4722222222222224E-2</v>
      </c>
      <c r="K9" s="142" t="s">
        <v>236</v>
      </c>
    </row>
    <row r="10" spans="1:11" x14ac:dyDescent="0.2">
      <c r="A10" s="130"/>
      <c r="B10" s="127"/>
      <c r="C10" s="102"/>
      <c r="D10" s="5"/>
      <c r="E10" s="104"/>
      <c r="F10" s="103"/>
      <c r="G10" s="6"/>
      <c r="H10" s="7"/>
      <c r="I10" s="135" t="s">
        <v>250</v>
      </c>
      <c r="J10" s="134">
        <v>5.5555555555555552E-2</v>
      </c>
      <c r="K10" s="129" t="s">
        <v>264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 t="s">
        <v>255</v>
      </c>
      <c r="J11" s="128">
        <v>2.0833333333333332E-2</v>
      </c>
      <c r="K11" s="129" t="s">
        <v>265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62</v>
      </c>
      <c r="G22" s="167">
        <f>SUM(G9:G21)/F22</f>
        <v>1284</v>
      </c>
      <c r="H22" s="168">
        <f>SUM(H9:H21)/F22</f>
        <v>15</v>
      </c>
      <c r="I22" s="148" t="s">
        <v>22</v>
      </c>
      <c r="J22" s="149">
        <v>0.1111111111111111</v>
      </c>
      <c r="K22" s="146"/>
    </row>
    <row r="23" spans="1:11" x14ac:dyDescent="0.2">
      <c r="E23" s="150"/>
      <c r="F23" s="151"/>
      <c r="I23" s="169" t="s">
        <v>23</v>
      </c>
      <c r="J23" s="170">
        <v>2.67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62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</f>
        <v>1042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65.67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9963D011-8E0D-4E7C-8AB3-E022C1BAD480}">
      <formula1>$I$41:$I$50</formula1>
    </dataValidation>
    <dataValidation type="list" allowBlank="1" showInputMessage="1" showErrorMessage="1" sqref="B20:B21" xr:uid="{9F1FC067-A2C0-4767-B762-E856DBC7120B}">
      <formula1>$K$29:$K$40</formula1>
    </dataValidation>
    <dataValidation type="list" allowBlank="1" showInputMessage="1" showErrorMessage="1" sqref="B16:B19" xr:uid="{AF1A2651-4181-4F39-A788-F045E938E032}">
      <formula1>$K$29:$K$85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B23-922E-46B5-954C-F199C6ACF9E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46007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237</v>
      </c>
      <c r="C9" s="102">
        <v>15</v>
      </c>
      <c r="D9" s="5">
        <v>2.85</v>
      </c>
      <c r="E9" s="104">
        <v>1327</v>
      </c>
      <c r="F9" s="103">
        <v>9</v>
      </c>
      <c r="G9" s="6">
        <f t="shared" ref="G9:G11" si="0">E9*F9</f>
        <v>11943</v>
      </c>
      <c r="H9" s="7">
        <f>F9*C9</f>
        <v>135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237</v>
      </c>
      <c r="C10" s="102">
        <v>17</v>
      </c>
      <c r="D10" s="5">
        <v>2.85</v>
      </c>
      <c r="E10" s="104">
        <v>1360</v>
      </c>
      <c r="F10" s="103">
        <v>21.5</v>
      </c>
      <c r="G10" s="6">
        <f t="shared" si="0"/>
        <v>29240</v>
      </c>
      <c r="H10" s="7">
        <f t="shared" ref="H10:H11" si="1">F10*C10</f>
        <v>365.5</v>
      </c>
      <c r="I10" s="135" t="s">
        <v>44</v>
      </c>
      <c r="J10" s="134">
        <v>2.4305555555555556E-2</v>
      </c>
      <c r="K10" s="129" t="s">
        <v>266</v>
      </c>
    </row>
    <row r="11" spans="1:11" ht="17" x14ac:dyDescent="0.2">
      <c r="A11" s="126">
        <v>3</v>
      </c>
      <c r="B11" s="127" t="s">
        <v>247</v>
      </c>
      <c r="C11" s="102">
        <v>12.5</v>
      </c>
      <c r="D11" s="5">
        <v>2.85</v>
      </c>
      <c r="E11" s="104">
        <v>1427</v>
      </c>
      <c r="F11" s="115">
        <v>41.5</v>
      </c>
      <c r="G11" s="6">
        <f t="shared" si="0"/>
        <v>59220.5</v>
      </c>
      <c r="H11" s="7">
        <f t="shared" si="1"/>
        <v>518.75</v>
      </c>
      <c r="I11" s="119" t="s">
        <v>252</v>
      </c>
      <c r="J11" s="128">
        <v>1.3888888888888888E-2</v>
      </c>
      <c r="K11" s="129" t="s">
        <v>267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 t="s">
        <v>243</v>
      </c>
      <c r="J12" s="134">
        <v>1.3888888888888888E-2</v>
      </c>
      <c r="K12" s="129" t="s">
        <v>243</v>
      </c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72</v>
      </c>
      <c r="G22" s="167">
        <f>SUM(G9:G21)/F22</f>
        <v>1394.4930555555557</v>
      </c>
      <c r="H22" s="168">
        <f>SUM(H9:H21)/F22</f>
        <v>14.15625</v>
      </c>
      <c r="I22" s="148" t="s">
        <v>22</v>
      </c>
      <c r="J22" s="149">
        <v>7.2916666666666671E-2</v>
      </c>
      <c r="K22" s="146"/>
    </row>
    <row r="23" spans="1:11" x14ac:dyDescent="0.2">
      <c r="E23" s="150"/>
      <c r="F23" s="151"/>
      <c r="I23" s="169" t="s">
        <v>23</v>
      </c>
      <c r="J23" s="170">
        <v>1.75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72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</f>
        <v>1114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67.42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8E7F8BC3-2FC7-4D3B-BD40-A1DBA90C5025}">
      <formula1>$K$29:$K$85</formula1>
    </dataValidation>
    <dataValidation type="list" allowBlank="1" showInputMessage="1" showErrorMessage="1" sqref="B20:B21" xr:uid="{D4F8CC91-0DB4-4B51-B030-3582E0B141BB}">
      <formula1>$K$29:$K$40</formula1>
    </dataValidation>
    <dataValidation type="list" allowBlank="1" showInputMessage="1" showErrorMessage="1" sqref="I50 K15:K21" xr:uid="{DCFD557D-FCAE-43D8-9412-798F03DD75C9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4F9F-8E13-4EBE-A0E0-F8350B12FBDE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46008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247</v>
      </c>
      <c r="C9" s="102">
        <v>12.5</v>
      </c>
      <c r="D9" s="5">
        <v>2.85</v>
      </c>
      <c r="E9" s="104">
        <v>1443</v>
      </c>
      <c r="F9" s="103">
        <v>10.8</v>
      </c>
      <c r="G9" s="6">
        <f t="shared" ref="G9:G12" si="0">E9*F9</f>
        <v>15584.400000000001</v>
      </c>
      <c r="H9" s="7">
        <f>F9*C9</f>
        <v>135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247</v>
      </c>
      <c r="C10" s="102">
        <v>14</v>
      </c>
      <c r="D10" s="5">
        <v>2.85</v>
      </c>
      <c r="E10" s="104">
        <v>1444</v>
      </c>
      <c r="F10" s="103">
        <v>13.4</v>
      </c>
      <c r="G10" s="6">
        <f t="shared" si="0"/>
        <v>19349.600000000002</v>
      </c>
      <c r="H10" s="7">
        <f t="shared" ref="H10:H11" si="1">F10*C10</f>
        <v>187.6</v>
      </c>
      <c r="I10" s="135" t="s">
        <v>44</v>
      </c>
      <c r="J10" s="134">
        <v>6.9444444444444441E-3</v>
      </c>
      <c r="K10" s="129" t="s">
        <v>266</v>
      </c>
    </row>
    <row r="11" spans="1:11" ht="17" x14ac:dyDescent="0.2">
      <c r="A11" s="126">
        <v>3</v>
      </c>
      <c r="B11" s="127" t="s">
        <v>268</v>
      </c>
      <c r="C11" s="102">
        <v>12.5</v>
      </c>
      <c r="D11" s="5">
        <v>2.85</v>
      </c>
      <c r="E11" s="104">
        <v>1476</v>
      </c>
      <c r="F11" s="115">
        <v>12.4</v>
      </c>
      <c r="G11" s="6">
        <f t="shared" si="0"/>
        <v>18302.400000000001</v>
      </c>
      <c r="H11" s="7">
        <f t="shared" si="1"/>
        <v>155</v>
      </c>
      <c r="I11" s="119" t="s">
        <v>243</v>
      </c>
      <c r="J11" s="128">
        <v>6.9444444444444441E-3</v>
      </c>
      <c r="K11" s="129" t="s">
        <v>243</v>
      </c>
    </row>
    <row r="12" spans="1:11" ht="19.25" customHeight="1" x14ac:dyDescent="0.2">
      <c r="A12" s="130">
        <v>4</v>
      </c>
      <c r="B12" s="127" t="s">
        <v>268</v>
      </c>
      <c r="C12" s="116">
        <v>13</v>
      </c>
      <c r="D12" s="5">
        <v>2.85</v>
      </c>
      <c r="E12" s="117">
        <v>1480</v>
      </c>
      <c r="F12" s="118">
        <v>36.4</v>
      </c>
      <c r="G12" s="6">
        <f t="shared" si="0"/>
        <v>53872</v>
      </c>
      <c r="H12" s="7">
        <f>F12*C12</f>
        <v>473.2</v>
      </c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73</v>
      </c>
      <c r="G22" s="167">
        <f>SUM(G9:G21)/F22</f>
        <v>1467.2383561643835</v>
      </c>
      <c r="H22" s="168">
        <f>SUM(H9:H21)/F22</f>
        <v>13.024657534246575</v>
      </c>
      <c r="I22" s="148" t="s">
        <v>22</v>
      </c>
      <c r="J22" s="149">
        <v>3.4722222222222224E-2</v>
      </c>
      <c r="K22" s="146"/>
    </row>
    <row r="23" spans="1:11" x14ac:dyDescent="0.2">
      <c r="E23" s="150"/>
      <c r="F23" s="151"/>
      <c r="I23" s="169" t="s">
        <v>23</v>
      </c>
      <c r="J23" s="170">
        <v>0.83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73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</f>
        <v>1187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68.25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83D19E11-BF5F-4E2C-92CD-7BB490A35E25}">
      <formula1>$I$41:$I$50</formula1>
    </dataValidation>
    <dataValidation type="list" allowBlank="1" showInputMessage="1" showErrorMessage="1" sqref="B20:B21" xr:uid="{5D74AB3E-0DB8-4466-AC38-7D26871D2D08}">
      <formula1>$K$29:$K$40</formula1>
    </dataValidation>
    <dataValidation type="list" allowBlank="1" showInputMessage="1" showErrorMessage="1" sqref="B16:B19" xr:uid="{271A493C-2924-4544-A079-D6F6253B91D5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3B0F-2D29-49A0-B510-B03AFA2EB5A2}">
  <dimension ref="A1:K85"/>
  <sheetViews>
    <sheetView topLeftCell="A5" workbookViewId="0">
      <selection activeCell="A5"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46009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247</v>
      </c>
      <c r="C9" s="102">
        <v>12.5</v>
      </c>
      <c r="D9" s="5">
        <v>2.85</v>
      </c>
      <c r="E9" s="104">
        <v>1480</v>
      </c>
      <c r="F9" s="103">
        <v>11.7</v>
      </c>
      <c r="G9" s="6">
        <f t="shared" ref="G9:G14" si="0">E9*F9</f>
        <v>17316</v>
      </c>
      <c r="H9" s="7">
        <f>F9*C9</f>
        <v>146.25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247</v>
      </c>
      <c r="C10" s="102">
        <v>13.5</v>
      </c>
      <c r="D10" s="5">
        <v>2.85</v>
      </c>
      <c r="E10" s="104">
        <v>1480</v>
      </c>
      <c r="F10" s="103">
        <v>5.2</v>
      </c>
      <c r="G10" s="6">
        <f t="shared" si="0"/>
        <v>7696</v>
      </c>
      <c r="H10" s="7">
        <f t="shared" ref="H10:H11" si="1">F10*C10</f>
        <v>70.2</v>
      </c>
      <c r="I10" s="135" t="s">
        <v>44</v>
      </c>
      <c r="J10" s="134">
        <v>2.4305555555555556E-2</v>
      </c>
      <c r="K10" s="129" t="s">
        <v>266</v>
      </c>
    </row>
    <row r="11" spans="1:11" ht="17" x14ac:dyDescent="0.2">
      <c r="A11" s="126">
        <v>3</v>
      </c>
      <c r="B11" s="127" t="s">
        <v>268</v>
      </c>
      <c r="C11" s="102">
        <v>13</v>
      </c>
      <c r="D11" s="5">
        <v>2.85</v>
      </c>
      <c r="E11" s="104">
        <v>1480</v>
      </c>
      <c r="F11" s="115">
        <v>14.5</v>
      </c>
      <c r="G11" s="6">
        <f t="shared" si="0"/>
        <v>21460</v>
      </c>
      <c r="H11" s="7">
        <f t="shared" si="1"/>
        <v>188.5</v>
      </c>
      <c r="I11" s="119" t="s">
        <v>253</v>
      </c>
      <c r="J11" s="128">
        <v>2.0833333333333332E-2</v>
      </c>
      <c r="K11" s="129" t="s">
        <v>262</v>
      </c>
    </row>
    <row r="12" spans="1:11" ht="19.25" customHeight="1" x14ac:dyDescent="0.2">
      <c r="A12" s="130">
        <v>4</v>
      </c>
      <c r="B12" s="127" t="s">
        <v>246</v>
      </c>
      <c r="C12" s="116">
        <v>14</v>
      </c>
      <c r="D12" s="5">
        <v>2.85</v>
      </c>
      <c r="E12" s="117">
        <v>1470</v>
      </c>
      <c r="F12" s="118">
        <v>11</v>
      </c>
      <c r="G12" s="6">
        <f t="shared" si="0"/>
        <v>16170</v>
      </c>
      <c r="H12" s="7">
        <f>F12*C12</f>
        <v>154</v>
      </c>
      <c r="I12" s="135" t="s">
        <v>252</v>
      </c>
      <c r="J12" s="134">
        <v>3.4722222222222224E-2</v>
      </c>
      <c r="K12" s="129" t="s">
        <v>269</v>
      </c>
    </row>
    <row r="13" spans="1:11" ht="17" x14ac:dyDescent="0.2">
      <c r="A13" s="131">
        <v>5</v>
      </c>
      <c r="B13" s="127" t="s">
        <v>246</v>
      </c>
      <c r="C13" s="116">
        <v>15</v>
      </c>
      <c r="D13" s="5">
        <v>2.85</v>
      </c>
      <c r="E13" s="117">
        <v>1521</v>
      </c>
      <c r="F13" s="118">
        <v>7.6</v>
      </c>
      <c r="G13" s="6">
        <f t="shared" si="0"/>
        <v>11559.6</v>
      </c>
      <c r="H13" s="7">
        <f>F13*C13</f>
        <v>114</v>
      </c>
      <c r="I13" s="119" t="s">
        <v>243</v>
      </c>
      <c r="J13" s="128">
        <v>1.0416666666666666E-2</v>
      </c>
      <c r="K13" s="129" t="s">
        <v>243</v>
      </c>
    </row>
    <row r="14" spans="1:11" ht="17" x14ac:dyDescent="0.2">
      <c r="A14" s="126">
        <v>6</v>
      </c>
      <c r="B14" s="127" t="s">
        <v>246</v>
      </c>
      <c r="C14" s="120">
        <v>16</v>
      </c>
      <c r="D14" s="5">
        <v>2.85</v>
      </c>
      <c r="E14" s="121">
        <v>1487</v>
      </c>
      <c r="F14" s="122">
        <v>24</v>
      </c>
      <c r="G14" s="6">
        <f t="shared" si="0"/>
        <v>35688</v>
      </c>
      <c r="H14" s="7">
        <f t="shared" ref="H14" si="2">F14*C14</f>
        <v>384</v>
      </c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74</v>
      </c>
      <c r="G22" s="167">
        <f>SUM(G9:G21)/F22</f>
        <v>1484.9945945945947</v>
      </c>
      <c r="H22" s="168">
        <f>SUM(H9:H21)/F22</f>
        <v>14.283108108108109</v>
      </c>
      <c r="I22" s="148" t="s">
        <v>22</v>
      </c>
      <c r="J22" s="149">
        <v>0.1111111111111111</v>
      </c>
      <c r="K22" s="146"/>
    </row>
    <row r="23" spans="1:11" x14ac:dyDescent="0.2">
      <c r="E23" s="150"/>
      <c r="F23" s="151"/>
      <c r="I23" s="169" t="s">
        <v>23</v>
      </c>
      <c r="J23" s="170">
        <v>2.67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74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</f>
        <v>1261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70.92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AF5DAD8F-0E4F-4D13-AA3B-2C324D063E9F}">
      <formula1>$K$29:$K$85</formula1>
    </dataValidation>
    <dataValidation type="list" allowBlank="1" showInputMessage="1" showErrorMessage="1" sqref="B20:B21" xr:uid="{7E1C882B-8376-4717-8FF3-067F40D785B6}">
      <formula1>$K$29:$K$40</formula1>
    </dataValidation>
    <dataValidation type="list" allowBlank="1" showInputMessage="1" showErrorMessage="1" sqref="I50 K15:K21" xr:uid="{6F97A98F-4DF6-4E69-9FFD-968C40A86298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18E3-21BC-4A66-B5EA-15FAD5EDF0E6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46010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14</v>
      </c>
      <c r="D9" s="5">
        <v>2.85</v>
      </c>
      <c r="E9" s="104">
        <v>1494</v>
      </c>
      <c r="F9" s="103">
        <v>2.8</v>
      </c>
      <c r="G9" s="6">
        <f t="shared" ref="G9:G12" si="0">E9*F9</f>
        <v>4183.2</v>
      </c>
      <c r="H9" s="7">
        <f>F9*C9</f>
        <v>39.199999999999996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15</v>
      </c>
      <c r="D10" s="5">
        <v>2.85</v>
      </c>
      <c r="E10" s="104">
        <v>1494</v>
      </c>
      <c r="F10" s="103">
        <v>26.3</v>
      </c>
      <c r="G10" s="6">
        <f t="shared" si="0"/>
        <v>39292.200000000004</v>
      </c>
      <c r="H10" s="7">
        <f t="shared" ref="H10:H11" si="1">F10*C10</f>
        <v>394.5</v>
      </c>
      <c r="I10" s="135" t="s">
        <v>44</v>
      </c>
      <c r="J10" s="134">
        <v>2.0833333333333332E-2</v>
      </c>
      <c r="K10" s="129" t="s">
        <v>266</v>
      </c>
    </row>
    <row r="11" spans="1:11" ht="17" x14ac:dyDescent="0.2">
      <c r="A11" s="126">
        <v>3</v>
      </c>
      <c r="B11" s="127" t="s">
        <v>246</v>
      </c>
      <c r="C11" s="102">
        <v>16</v>
      </c>
      <c r="D11" s="5">
        <v>2.85</v>
      </c>
      <c r="E11" s="104">
        <v>1473</v>
      </c>
      <c r="F11" s="115">
        <v>29.9</v>
      </c>
      <c r="G11" s="6">
        <f t="shared" si="0"/>
        <v>44042.7</v>
      </c>
      <c r="H11" s="7">
        <f t="shared" si="1"/>
        <v>478.4</v>
      </c>
      <c r="I11" s="119" t="s">
        <v>270</v>
      </c>
      <c r="J11" s="128">
        <v>2.7777777777777776E-2</v>
      </c>
      <c r="K11" s="129" t="s">
        <v>271</v>
      </c>
    </row>
    <row r="12" spans="1:11" ht="19.25" customHeight="1" x14ac:dyDescent="0.2">
      <c r="A12" s="130">
        <v>4</v>
      </c>
      <c r="B12" s="127" t="s">
        <v>246</v>
      </c>
      <c r="C12" s="116">
        <v>17</v>
      </c>
      <c r="D12" s="5">
        <v>2.85</v>
      </c>
      <c r="E12" s="117">
        <v>1477</v>
      </c>
      <c r="F12" s="118">
        <v>24</v>
      </c>
      <c r="G12" s="6">
        <f t="shared" si="0"/>
        <v>35448</v>
      </c>
      <c r="H12" s="7">
        <f>F12*C12</f>
        <v>408</v>
      </c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83</v>
      </c>
      <c r="G22" s="167">
        <f>SUM(G9:G21)/F22</f>
        <v>1481.5192771084337</v>
      </c>
      <c r="H22" s="168">
        <f>SUM(H9:H21)/F22</f>
        <v>15.904819277108432</v>
      </c>
      <c r="I22" s="148" t="s">
        <v>22</v>
      </c>
      <c r="J22" s="149">
        <v>6.9444444444444448E-2</v>
      </c>
      <c r="K22" s="146"/>
    </row>
    <row r="23" spans="1:11" x14ac:dyDescent="0.2">
      <c r="E23" s="150"/>
      <c r="F23" s="151"/>
      <c r="I23" s="169" t="s">
        <v>23</v>
      </c>
      <c r="J23" s="170">
        <v>1.67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83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</f>
        <v>1344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72.58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6C2655DB-AFF4-4399-9D81-FE9E3E8747B4}">
      <formula1>$I$41:$I$50</formula1>
    </dataValidation>
    <dataValidation type="list" allowBlank="1" showInputMessage="1" showErrorMessage="1" sqref="B20:B21" xr:uid="{6BA59124-4CDC-4828-ACB9-6FDEBCADBC4A}">
      <formula1>$K$29:$K$40</formula1>
    </dataValidation>
    <dataValidation type="list" allowBlank="1" showInputMessage="1" showErrorMessage="1" sqref="B16:B19" xr:uid="{BDC35464-D5EB-428C-97A7-424E261EC811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A342-C75D-400A-9BC5-DB87C1C1FFE9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46011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15</v>
      </c>
      <c r="D9" s="5">
        <v>2.85</v>
      </c>
      <c r="E9" s="104">
        <v>1477</v>
      </c>
      <c r="F9" s="103">
        <v>73.599999999999994</v>
      </c>
      <c r="G9" s="6">
        <f t="shared" ref="G9:G10" si="0">E9*F9</f>
        <v>108707.2</v>
      </c>
      <c r="H9" s="7">
        <f>F9*C9</f>
        <v>1104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17</v>
      </c>
      <c r="D10" s="5">
        <v>2.85</v>
      </c>
      <c r="E10" s="104">
        <v>1478</v>
      </c>
      <c r="F10" s="103">
        <v>11.4</v>
      </c>
      <c r="G10" s="6">
        <f t="shared" si="0"/>
        <v>16849.2</v>
      </c>
      <c r="H10" s="7">
        <f t="shared" ref="H10" si="1">F10*C10</f>
        <v>193.8</v>
      </c>
      <c r="I10" s="135" t="s">
        <v>44</v>
      </c>
      <c r="J10" s="134">
        <v>6.9444444444444441E-3</v>
      </c>
      <c r="K10" s="129" t="s">
        <v>266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 t="s">
        <v>255</v>
      </c>
      <c r="J11" s="128">
        <v>2.0833333333333332E-2</v>
      </c>
      <c r="K11" s="129" t="s">
        <v>272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85</v>
      </c>
      <c r="G22" s="167">
        <f>SUM(G9:G21)/F22</f>
        <v>1477.1341176470587</v>
      </c>
      <c r="H22" s="168">
        <f>SUM(H9:H21)/F22</f>
        <v>15.268235294117646</v>
      </c>
      <c r="I22" s="148" t="s">
        <v>22</v>
      </c>
      <c r="J22" s="149">
        <v>4.8611111111111112E-2</v>
      </c>
      <c r="K22" s="146"/>
    </row>
    <row r="23" spans="1:11" x14ac:dyDescent="0.2">
      <c r="E23" s="150"/>
      <c r="F23" s="151"/>
      <c r="I23" s="169" t="s">
        <v>23</v>
      </c>
      <c r="J23" s="170">
        <v>1.17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85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</f>
        <v>1429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73.75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FBD25088-9C05-4530-A2F1-DBFFB96FDE1E}">
      <formula1>$K$29:$K$85</formula1>
    </dataValidation>
    <dataValidation type="list" allowBlank="1" showInputMessage="1" showErrorMessage="1" sqref="B20:B21" xr:uid="{1AD6148C-C700-49D2-A839-940E31733E06}">
      <formula1>$K$29:$K$40</formula1>
    </dataValidation>
    <dataValidation type="list" allowBlank="1" showInputMessage="1" showErrorMessage="1" sqref="I50 K15:K21" xr:uid="{ED0476D8-50F4-4F50-B131-03BADA6017CF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79A4-9D2C-41F8-B778-A683094EB8F6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46012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15</v>
      </c>
      <c r="D9" s="5">
        <v>2.85</v>
      </c>
      <c r="E9" s="104">
        <v>1503</v>
      </c>
      <c r="F9" s="103">
        <v>19.5</v>
      </c>
      <c r="G9" s="6">
        <f t="shared" ref="G9:G11" si="0">E9*F9</f>
        <v>29308.5</v>
      </c>
      <c r="H9" s="7">
        <f>F9*C9</f>
        <v>292.5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16</v>
      </c>
      <c r="D10" s="5">
        <v>2.85</v>
      </c>
      <c r="E10" s="104">
        <v>1503</v>
      </c>
      <c r="F10" s="103">
        <v>7</v>
      </c>
      <c r="G10" s="6">
        <f t="shared" si="0"/>
        <v>10521</v>
      </c>
      <c r="H10" s="7">
        <f t="shared" ref="H10" si="1">F10*C10</f>
        <v>112</v>
      </c>
      <c r="I10" s="135" t="s">
        <v>44</v>
      </c>
      <c r="J10" s="134">
        <v>1.3888888888888888E-2</v>
      </c>
      <c r="K10" s="129" t="s">
        <v>266</v>
      </c>
    </row>
    <row r="11" spans="1:11" ht="17" x14ac:dyDescent="0.2">
      <c r="A11" s="126">
        <v>3</v>
      </c>
      <c r="B11" s="127" t="s">
        <v>247</v>
      </c>
      <c r="C11" s="102">
        <v>12.5</v>
      </c>
      <c r="D11" s="5">
        <v>2.85</v>
      </c>
      <c r="E11" s="104">
        <v>1476</v>
      </c>
      <c r="F11" s="115">
        <v>48.5</v>
      </c>
      <c r="G11" s="6">
        <f t="shared" si="0"/>
        <v>71586</v>
      </c>
      <c r="H11" s="7">
        <f>F11*C11</f>
        <v>606.25</v>
      </c>
      <c r="I11" s="119" t="s">
        <v>243</v>
      </c>
      <c r="J11" s="128">
        <v>6.9444444444444441E-3</v>
      </c>
      <c r="K11" s="129" t="s">
        <v>243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75</v>
      </c>
      <c r="G22" s="167">
        <f>SUM(G9:G21)/F22</f>
        <v>1485.54</v>
      </c>
      <c r="H22" s="168">
        <f>SUM(H9:H21)/F22</f>
        <v>13.476666666666667</v>
      </c>
      <c r="I22" s="148" t="s">
        <v>22</v>
      </c>
      <c r="J22" s="149">
        <v>4.1666666666666664E-2</v>
      </c>
      <c r="K22" s="146"/>
    </row>
    <row r="23" spans="1:11" x14ac:dyDescent="0.2">
      <c r="E23" s="150"/>
      <c r="F23" s="151"/>
      <c r="I23" s="169" t="s">
        <v>23</v>
      </c>
      <c r="J23" s="170">
        <v>1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75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</f>
        <v>1504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74.75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8F3E1390-9D58-40D8-A141-133EC7BD4C00}">
      <formula1>$I$41:$I$50</formula1>
    </dataValidation>
    <dataValidation type="list" allowBlank="1" showInputMessage="1" showErrorMessage="1" sqref="B20:B21" xr:uid="{B00DD3A8-C40C-46BD-BAA8-49CA3E4BB5F3}">
      <formula1>$K$29:$K$40</formula1>
    </dataValidation>
    <dataValidation type="list" allowBlank="1" showInputMessage="1" showErrorMessage="1" sqref="B16:B19" xr:uid="{C12E02B4-7C69-4CD7-A808-791F6575DE92}">
      <formula1>$K$29:$K$85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C125-7AC7-4F18-A121-334C4431FA90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46013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247</v>
      </c>
      <c r="C9" s="102">
        <v>12.5</v>
      </c>
      <c r="D9" s="5">
        <v>2.85</v>
      </c>
      <c r="E9" s="104">
        <v>1476</v>
      </c>
      <c r="F9" s="103">
        <v>71.8</v>
      </c>
      <c r="G9" s="6">
        <f t="shared" ref="G9:G10" si="0">E9*F9</f>
        <v>105976.8</v>
      </c>
      <c r="H9" s="7">
        <f>F9*C9</f>
        <v>897.5</v>
      </c>
      <c r="I9" s="119" t="s">
        <v>20</v>
      </c>
      <c r="J9" s="128">
        <v>2.4305555555555556E-2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16</v>
      </c>
      <c r="D10" s="5">
        <v>2.85</v>
      </c>
      <c r="E10" s="104">
        <v>1470</v>
      </c>
      <c r="F10" s="103">
        <v>1.2</v>
      </c>
      <c r="G10" s="6">
        <f t="shared" si="0"/>
        <v>1764</v>
      </c>
      <c r="H10" s="7">
        <f t="shared" ref="H10" si="1">F10*C10</f>
        <v>19.2</v>
      </c>
      <c r="I10" s="135" t="s">
        <v>44</v>
      </c>
      <c r="J10" s="134">
        <v>6.9444444444444441E-3</v>
      </c>
      <c r="K10" s="129" t="s">
        <v>266</v>
      </c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 t="s">
        <v>243</v>
      </c>
      <c r="J11" s="128">
        <v>1.3888888888888888E-2</v>
      </c>
      <c r="K11" s="129" t="s">
        <v>243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73</v>
      </c>
      <c r="G22" s="167">
        <f>SUM(G9:G21)/F22</f>
        <v>1475.9013698630138</v>
      </c>
      <c r="H22" s="168">
        <f>SUM(H9:H21)/F22</f>
        <v>12.557534246575344</v>
      </c>
      <c r="I22" s="148" t="s">
        <v>22</v>
      </c>
      <c r="J22" s="149">
        <v>4.5138888888888888E-2</v>
      </c>
      <c r="K22" s="146"/>
    </row>
    <row r="23" spans="1:11" x14ac:dyDescent="0.2">
      <c r="E23" s="150"/>
      <c r="F23" s="151"/>
      <c r="I23" s="169" t="s">
        <v>23</v>
      </c>
      <c r="J23" s="170">
        <v>1.08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73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</f>
        <v>1577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75.83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D3E634E6-CB39-4F42-A487-995246B79F35}">
      <formula1>$K$29:$K$85</formula1>
    </dataValidation>
    <dataValidation type="list" allowBlank="1" showInputMessage="1" showErrorMessage="1" sqref="B20:B21" xr:uid="{94B69842-D734-4726-B3AA-46972BC13165}">
      <formula1>$K$29:$K$40</formula1>
    </dataValidation>
    <dataValidation type="list" allowBlank="1" showInputMessage="1" showErrorMessage="1" sqref="I50 K15:K21" xr:uid="{11BA4978-891D-4C3E-A12F-EAE6F23CCF78}">
      <formula1>$I$41:$I$50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F966-D83C-4210-BD0C-9B707BDE015D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46014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15</v>
      </c>
      <c r="D9" s="5">
        <v>2.85</v>
      </c>
      <c r="E9" s="104">
        <v>1503</v>
      </c>
      <c r="F9" s="103">
        <v>7</v>
      </c>
      <c r="G9" s="6">
        <f t="shared" ref="G9:G11" si="0">E9*F9</f>
        <v>10521</v>
      </c>
      <c r="H9" s="7">
        <f>F9*C9</f>
        <v>105</v>
      </c>
      <c r="I9" s="119" t="s">
        <v>20</v>
      </c>
      <c r="J9" s="128">
        <v>2.0833333333333332E-2</v>
      </c>
      <c r="K9" s="142" t="s">
        <v>236</v>
      </c>
    </row>
    <row r="10" spans="1:11" ht="17" x14ac:dyDescent="0.2">
      <c r="A10" s="130">
        <v>2</v>
      </c>
      <c r="B10" s="127" t="s">
        <v>246</v>
      </c>
      <c r="C10" s="102">
        <v>16</v>
      </c>
      <c r="D10" s="5">
        <v>2.85</v>
      </c>
      <c r="E10" s="104">
        <v>1503</v>
      </c>
      <c r="F10" s="103">
        <v>45.3</v>
      </c>
      <c r="G10" s="6">
        <f t="shared" si="0"/>
        <v>68085.899999999994</v>
      </c>
      <c r="H10" s="7">
        <f t="shared" ref="H10" si="1">F10*C10</f>
        <v>724.8</v>
      </c>
      <c r="I10" s="135" t="s">
        <v>44</v>
      </c>
      <c r="J10" s="134">
        <v>1.7361111111111112E-2</v>
      </c>
      <c r="K10" s="129" t="s">
        <v>266</v>
      </c>
    </row>
    <row r="11" spans="1:11" ht="17" x14ac:dyDescent="0.2">
      <c r="A11" s="126">
        <v>3</v>
      </c>
      <c r="B11" s="127" t="s">
        <v>246</v>
      </c>
      <c r="C11" s="102">
        <v>17</v>
      </c>
      <c r="D11" s="5">
        <v>2.85</v>
      </c>
      <c r="E11" s="104">
        <v>1503</v>
      </c>
      <c r="F11" s="115">
        <v>20.7</v>
      </c>
      <c r="G11" s="6">
        <f t="shared" si="0"/>
        <v>31112.1</v>
      </c>
      <c r="H11" s="7">
        <f>F11*C11</f>
        <v>351.9</v>
      </c>
      <c r="I11" s="119" t="s">
        <v>255</v>
      </c>
      <c r="J11" s="128">
        <v>4.8611111111111112E-2</v>
      </c>
      <c r="K11" s="129" t="s">
        <v>259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 t="s">
        <v>238</v>
      </c>
      <c r="J12" s="134">
        <v>0.16666666666666666</v>
      </c>
      <c r="K12" s="129" t="s">
        <v>273</v>
      </c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73</v>
      </c>
      <c r="G22" s="167">
        <f>SUM(G9:G21)/F22</f>
        <v>1503</v>
      </c>
      <c r="H22" s="168">
        <f>SUM(H9:H21)/F22</f>
        <v>16.18767123287671</v>
      </c>
      <c r="I22" s="148" t="s">
        <v>22</v>
      </c>
      <c r="J22" s="149">
        <v>0.25347222222222221</v>
      </c>
      <c r="K22" s="146"/>
    </row>
    <row r="23" spans="1:11" x14ac:dyDescent="0.2">
      <c r="E23" s="150"/>
      <c r="F23" s="151"/>
      <c r="I23" s="169" t="s">
        <v>23</v>
      </c>
      <c r="J23" s="170">
        <v>6.08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73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</f>
        <v>1650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81.92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A250D93E-6106-4678-B315-892D512CF3CC}">
      <formula1>$I$41:$I$50</formula1>
    </dataValidation>
    <dataValidation type="list" allowBlank="1" showInputMessage="1" showErrorMessage="1" sqref="B20:B21" xr:uid="{3934A726-43FD-4460-8C18-A26FE87B7871}">
      <formula1>$K$29:$K$40</formula1>
    </dataValidation>
    <dataValidation type="list" allowBlank="1" showInputMessage="1" showErrorMessage="1" sqref="B16:B19" xr:uid="{23DB7A96-C7A5-4D96-A3CD-DF99AB5E8F9E}">
      <formula1>$K$29:$K$85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1E2C-B8C8-4E85-A8AE-08829C8A1494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46015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17</v>
      </c>
      <c r="D9" s="5">
        <v>2.85</v>
      </c>
      <c r="E9" s="104">
        <v>1252</v>
      </c>
      <c r="F9" s="103">
        <v>3</v>
      </c>
      <c r="G9" s="6">
        <f t="shared" ref="G9" si="0">E9*F9</f>
        <v>3756</v>
      </c>
      <c r="H9" s="7">
        <f>F9*C9</f>
        <v>51</v>
      </c>
      <c r="I9" s="119" t="s">
        <v>238</v>
      </c>
      <c r="J9" s="128">
        <v>0.95833333333333337</v>
      </c>
      <c r="K9" s="142" t="s">
        <v>274</v>
      </c>
    </row>
    <row r="10" spans="1:11" x14ac:dyDescent="0.2">
      <c r="A10" s="130"/>
      <c r="B10" s="127"/>
      <c r="C10" s="102"/>
      <c r="D10" s="5"/>
      <c r="E10" s="104"/>
      <c r="F10" s="103"/>
      <c r="G10" s="6"/>
      <c r="H10" s="7"/>
      <c r="I10" s="135"/>
      <c r="J10" s="134"/>
      <c r="K10" s="129"/>
    </row>
    <row r="11" spans="1:11" x14ac:dyDescent="0.2">
      <c r="A11" s="126"/>
      <c r="B11" s="127"/>
      <c r="C11" s="102"/>
      <c r="D11" s="5"/>
      <c r="E11" s="104"/>
      <c r="F11" s="115"/>
      <c r="G11" s="6"/>
      <c r="H11" s="7"/>
      <c r="I11" s="119"/>
      <c r="J11" s="128"/>
      <c r="K11" s="129"/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3</v>
      </c>
      <c r="G22" s="167">
        <f>SUM(G9:G21)/F22</f>
        <v>1252</v>
      </c>
      <c r="H22" s="168">
        <f>SUM(H9:H21)/F22</f>
        <v>17</v>
      </c>
      <c r="I22" s="148" t="s">
        <v>22</v>
      </c>
      <c r="J22" s="149">
        <v>0.95833333333333337</v>
      </c>
      <c r="K22" s="146"/>
    </row>
    <row r="23" spans="1:11" x14ac:dyDescent="0.2">
      <c r="E23" s="150"/>
      <c r="F23" s="151"/>
      <c r="I23" s="169" t="s">
        <v>23</v>
      </c>
      <c r="J23" s="170">
        <v>23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3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</f>
        <v>1653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104.92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554A6A74-D935-4DFC-B001-3285BF47CCCE}">
      <formula1>$K$29:$K$85</formula1>
    </dataValidation>
    <dataValidation type="list" allowBlank="1" showInputMessage="1" showErrorMessage="1" sqref="B20:B21" xr:uid="{6084E0AB-29DE-4704-9020-728AF70BF44A}">
      <formula1>$K$29:$K$40</formula1>
    </dataValidation>
    <dataValidation type="list" allowBlank="1" showInputMessage="1" showErrorMessage="1" sqref="I50 K15:K21" xr:uid="{A3C81AD8-6F7A-4659-A859-019C05A07564}">
      <formula1>$I$41:$I$50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0F9A-A978-43DB-84D9-E83A026A5231}">
  <dimension ref="A1:K85"/>
  <sheetViews>
    <sheetView topLeftCell="A4" workbookViewId="0">
      <selection activeCell="A4"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46016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14</v>
      </c>
      <c r="D9" s="5">
        <v>2.85</v>
      </c>
      <c r="E9" s="104">
        <v>1444</v>
      </c>
      <c r="F9" s="103">
        <v>21.5</v>
      </c>
      <c r="G9" s="6">
        <f t="shared" ref="G9:G12" si="0">E9*F9</f>
        <v>31046</v>
      </c>
      <c r="H9" s="7">
        <f>F9*C9</f>
        <v>301</v>
      </c>
      <c r="I9" s="119" t="s">
        <v>20</v>
      </c>
      <c r="J9" s="128">
        <v>2.0833333333333332E-2</v>
      </c>
      <c r="K9" s="142" t="s">
        <v>275</v>
      </c>
    </row>
    <row r="10" spans="1:11" ht="17" x14ac:dyDescent="0.2">
      <c r="A10" s="130">
        <v>2</v>
      </c>
      <c r="B10" s="127" t="s">
        <v>246</v>
      </c>
      <c r="C10" s="102">
        <v>15</v>
      </c>
      <c r="D10" s="5">
        <v>2.85</v>
      </c>
      <c r="E10" s="104">
        <v>1503</v>
      </c>
      <c r="F10" s="103">
        <v>10.6</v>
      </c>
      <c r="G10" s="6">
        <f t="shared" si="0"/>
        <v>15931.8</v>
      </c>
      <c r="H10" s="7">
        <f t="shared" ref="H10:H12" si="1">F10*C10</f>
        <v>159</v>
      </c>
      <c r="I10" s="135" t="s">
        <v>44</v>
      </c>
      <c r="J10" s="134">
        <v>2.0833333333333332E-2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17</v>
      </c>
      <c r="D11" s="5">
        <v>2.85</v>
      </c>
      <c r="E11" s="104">
        <v>1436</v>
      </c>
      <c r="F11" s="115">
        <v>23.9</v>
      </c>
      <c r="G11" s="6">
        <f t="shared" si="0"/>
        <v>34320.400000000001</v>
      </c>
      <c r="H11" s="7">
        <f t="shared" si="1"/>
        <v>406.29999999999995</v>
      </c>
      <c r="I11" s="119"/>
      <c r="J11" s="128"/>
      <c r="K11" s="129"/>
    </row>
    <row r="12" spans="1:11" ht="19.25" customHeight="1" x14ac:dyDescent="0.2">
      <c r="A12" s="130">
        <v>4</v>
      </c>
      <c r="B12" s="127" t="s">
        <v>249</v>
      </c>
      <c r="C12" s="116">
        <v>17</v>
      </c>
      <c r="D12" s="5">
        <v>2.85</v>
      </c>
      <c r="E12" s="117">
        <v>1400</v>
      </c>
      <c r="F12" s="118">
        <v>32</v>
      </c>
      <c r="G12" s="6">
        <f t="shared" si="0"/>
        <v>44800</v>
      </c>
      <c r="H12" s="7">
        <f t="shared" si="1"/>
        <v>544</v>
      </c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88</v>
      </c>
      <c r="G22" s="167">
        <f>SUM(G9:G21)/F22</f>
        <v>1432.9340909090911</v>
      </c>
      <c r="H22" s="168">
        <f>SUM(H9:H21)/F22</f>
        <v>16.026136363636365</v>
      </c>
      <c r="I22" s="148" t="s">
        <v>22</v>
      </c>
      <c r="J22" s="149">
        <v>4.1666666666666664E-2</v>
      </c>
      <c r="K22" s="146"/>
    </row>
    <row r="23" spans="1:11" x14ac:dyDescent="0.2">
      <c r="E23" s="150"/>
      <c r="F23" s="151"/>
      <c r="I23" s="169" t="s">
        <v>23</v>
      </c>
      <c r="J23" s="170">
        <v>1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88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3+60+81+88+80+64+85+81+87+94+40+95+81+41+62+72+73+74+83+85+75+73+73+3+88</f>
        <v>1741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105.92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CE897BBD-795E-4028-9779-78C673F56F2D}">
      <formula1>$I$41:$I$50</formula1>
    </dataValidation>
    <dataValidation type="list" allowBlank="1" showInputMessage="1" showErrorMessage="1" sqref="B20:B21" xr:uid="{892D144C-CE0B-4A77-B6FB-EE1A1D8B93B9}">
      <formula1>$K$29:$K$40</formula1>
    </dataValidation>
    <dataValidation type="list" allowBlank="1" showInputMessage="1" showErrorMessage="1" sqref="B16:B19" xr:uid="{1D5F6148-8194-4AC4-A414-F135699441FC}">
      <formula1>$K$29:$K$85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E40D-C786-4723-85A9-F35FF01B70AD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46017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15</v>
      </c>
      <c r="D9" s="5">
        <v>2.85</v>
      </c>
      <c r="E9" s="104">
        <v>1512</v>
      </c>
      <c r="F9" s="103">
        <v>9.5</v>
      </c>
      <c r="G9" s="6">
        <f t="shared" ref="G9:G11" si="0">E9*F9</f>
        <v>14364</v>
      </c>
      <c r="H9" s="7">
        <f>F9*C9</f>
        <v>142.5</v>
      </c>
      <c r="I9" s="119" t="s">
        <v>20</v>
      </c>
      <c r="J9" s="128">
        <v>2.0833333333333332E-2</v>
      </c>
      <c r="K9" s="142" t="s">
        <v>275</v>
      </c>
    </row>
    <row r="10" spans="1:11" ht="17" x14ac:dyDescent="0.2">
      <c r="A10" s="130">
        <v>2</v>
      </c>
      <c r="B10" s="127" t="s">
        <v>249</v>
      </c>
      <c r="C10" s="102">
        <v>17</v>
      </c>
      <c r="D10" s="5">
        <v>2.85</v>
      </c>
      <c r="E10" s="104">
        <v>1400</v>
      </c>
      <c r="F10" s="103">
        <v>34.299999999999997</v>
      </c>
      <c r="G10" s="6">
        <f t="shared" si="0"/>
        <v>48019.999999999993</v>
      </c>
      <c r="H10" s="7">
        <f t="shared" ref="H10:H11" si="1">F10*C10</f>
        <v>583.09999999999991</v>
      </c>
      <c r="I10" s="135" t="s">
        <v>44</v>
      </c>
      <c r="J10" s="134">
        <v>6.9444444444444441E-3</v>
      </c>
      <c r="K10" s="129" t="s">
        <v>44</v>
      </c>
    </row>
    <row r="11" spans="1:11" ht="17" x14ac:dyDescent="0.2">
      <c r="A11" s="126">
        <v>3</v>
      </c>
      <c r="B11" s="127" t="s">
        <v>249</v>
      </c>
      <c r="C11" s="102">
        <v>18</v>
      </c>
      <c r="D11" s="5">
        <v>2.85</v>
      </c>
      <c r="E11" s="104">
        <v>1380</v>
      </c>
      <c r="F11" s="115">
        <v>50.2</v>
      </c>
      <c r="G11" s="6">
        <f t="shared" si="0"/>
        <v>69276</v>
      </c>
      <c r="H11" s="7">
        <f t="shared" si="1"/>
        <v>903.6</v>
      </c>
      <c r="I11" s="119"/>
      <c r="J11" s="128"/>
      <c r="K11" s="129"/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94</v>
      </c>
      <c r="G22" s="167">
        <f>SUM(G9:G21)/F22</f>
        <v>1400.6382978723404</v>
      </c>
      <c r="H22" s="168">
        <f>SUM(H9:H21)/F22</f>
        <v>17.331914893617018</v>
      </c>
      <c r="I22" s="148" t="s">
        <v>22</v>
      </c>
      <c r="J22" s="149">
        <v>2.7777777777777776E-2</v>
      </c>
      <c r="K22" s="146"/>
    </row>
    <row r="23" spans="1:11" x14ac:dyDescent="0.2">
      <c r="E23" s="150"/>
      <c r="F23" s="151"/>
      <c r="I23" s="169" t="s">
        <v>23</v>
      </c>
      <c r="J23" s="170">
        <v>0.67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94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3+60+81+88+80+64+85+81+87+94+40+95+81+41+62+72+73+74+83+85+75+73+73+3+88+94</f>
        <v>1835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106.58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9BB44C46-2A3C-465E-AE01-50CABC2CC870}">
      <formula1>$K$29:$K$85</formula1>
    </dataValidation>
    <dataValidation type="list" allowBlank="1" showInputMessage="1" showErrorMessage="1" sqref="B20:B21" xr:uid="{95DE77EB-CD82-4B83-8BEF-20C78761FDAD}">
      <formula1>$K$29:$K$40</formula1>
    </dataValidation>
    <dataValidation type="list" allowBlank="1" showInputMessage="1" showErrorMessage="1" sqref="I50 K15:K21" xr:uid="{33ABEF2D-5C77-4A7E-B560-E01AB6E795E9}">
      <formula1>$I$41:$I$50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915F-4730-4CED-8FFD-9191EDA69ACE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46018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15</v>
      </c>
      <c r="D9" s="5">
        <v>2.85</v>
      </c>
      <c r="E9" s="104">
        <v>1516</v>
      </c>
      <c r="F9" s="103">
        <v>31.5</v>
      </c>
      <c r="G9" s="6">
        <f t="shared" ref="G9:G15" si="0">E9*F9</f>
        <v>47754</v>
      </c>
      <c r="H9" s="7">
        <f>F9*C9</f>
        <v>472.5</v>
      </c>
      <c r="I9" s="119" t="s">
        <v>20</v>
      </c>
      <c r="J9" s="128">
        <v>2.0833333333333332E-2</v>
      </c>
      <c r="K9" s="142" t="s">
        <v>275</v>
      </c>
    </row>
    <row r="10" spans="1:11" ht="17" x14ac:dyDescent="0.2">
      <c r="A10" s="130">
        <v>2</v>
      </c>
      <c r="B10" s="127" t="s">
        <v>246</v>
      </c>
      <c r="C10" s="102">
        <v>17</v>
      </c>
      <c r="D10" s="5">
        <v>2.85</v>
      </c>
      <c r="E10" s="104">
        <v>1461</v>
      </c>
      <c r="F10" s="103">
        <v>5.5</v>
      </c>
      <c r="G10" s="6">
        <f t="shared" si="0"/>
        <v>8035.5</v>
      </c>
      <c r="H10" s="7">
        <f t="shared" ref="H10:H15" si="1">F10*C10</f>
        <v>93.5</v>
      </c>
      <c r="I10" s="135" t="s">
        <v>44</v>
      </c>
      <c r="J10" s="134">
        <v>4.5138888888888888E-2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18</v>
      </c>
      <c r="D11" s="5">
        <v>2.85</v>
      </c>
      <c r="E11" s="104">
        <v>1470</v>
      </c>
      <c r="F11" s="115">
        <v>12.5</v>
      </c>
      <c r="G11" s="6">
        <f t="shared" si="0"/>
        <v>18375</v>
      </c>
      <c r="H11" s="7">
        <f t="shared" si="1"/>
        <v>225</v>
      </c>
      <c r="I11" s="119" t="s">
        <v>255</v>
      </c>
      <c r="J11" s="128">
        <v>4.8611111111111112E-2</v>
      </c>
      <c r="K11" s="129" t="s">
        <v>259</v>
      </c>
    </row>
    <row r="12" spans="1:11" ht="19.25" customHeight="1" x14ac:dyDescent="0.2">
      <c r="A12" s="130">
        <v>4</v>
      </c>
      <c r="B12" s="127" t="s">
        <v>258</v>
      </c>
      <c r="C12" s="116">
        <v>20</v>
      </c>
      <c r="D12" s="5">
        <v>2.85</v>
      </c>
      <c r="E12" s="117">
        <v>1325</v>
      </c>
      <c r="F12" s="118">
        <v>5.5</v>
      </c>
      <c r="G12" s="6">
        <f t="shared" si="0"/>
        <v>7287.5</v>
      </c>
      <c r="H12" s="7">
        <f t="shared" si="1"/>
        <v>110</v>
      </c>
      <c r="I12" s="135"/>
      <c r="J12" s="134"/>
      <c r="K12" s="129"/>
    </row>
    <row r="13" spans="1:11" ht="17" x14ac:dyDescent="0.2">
      <c r="A13" s="131">
        <v>5</v>
      </c>
      <c r="B13" s="127" t="s">
        <v>258</v>
      </c>
      <c r="C13" s="116">
        <v>28</v>
      </c>
      <c r="D13" s="5">
        <v>2.85</v>
      </c>
      <c r="E13" s="117">
        <v>952</v>
      </c>
      <c r="F13" s="118">
        <v>13</v>
      </c>
      <c r="G13" s="6">
        <f t="shared" si="0"/>
        <v>12376</v>
      </c>
      <c r="H13" s="7">
        <f t="shared" si="1"/>
        <v>364</v>
      </c>
      <c r="I13" s="119"/>
      <c r="J13" s="128"/>
      <c r="K13" s="129"/>
    </row>
    <row r="14" spans="1:11" ht="17" x14ac:dyDescent="0.2">
      <c r="A14" s="126">
        <v>6</v>
      </c>
      <c r="B14" s="127" t="s">
        <v>258</v>
      </c>
      <c r="C14" s="120">
        <v>30</v>
      </c>
      <c r="D14" s="5">
        <v>2.85</v>
      </c>
      <c r="E14" s="121">
        <v>882</v>
      </c>
      <c r="F14" s="122">
        <v>9.5</v>
      </c>
      <c r="G14" s="6">
        <f t="shared" si="0"/>
        <v>8379</v>
      </c>
      <c r="H14" s="7">
        <f t="shared" si="1"/>
        <v>285</v>
      </c>
      <c r="I14" s="135"/>
      <c r="J14" s="128"/>
      <c r="K14" s="129"/>
    </row>
    <row r="15" spans="1:11" ht="17" x14ac:dyDescent="0.2">
      <c r="A15" s="130">
        <v>7</v>
      </c>
      <c r="B15" s="127" t="s">
        <v>258</v>
      </c>
      <c r="C15" s="132">
        <v>32</v>
      </c>
      <c r="D15" s="5">
        <v>2.85</v>
      </c>
      <c r="E15" s="121">
        <v>818</v>
      </c>
      <c r="F15" s="133">
        <v>12.5</v>
      </c>
      <c r="G15" s="6">
        <f t="shared" si="0"/>
        <v>10225</v>
      </c>
      <c r="H15" s="7">
        <f t="shared" si="1"/>
        <v>400</v>
      </c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90</v>
      </c>
      <c r="G22" s="167">
        <f>SUM(G9:G21)/F22</f>
        <v>1249.2444444444445</v>
      </c>
      <c r="H22" s="168">
        <f>SUM(H9:H21)/F22</f>
        <v>21.666666666666668</v>
      </c>
      <c r="I22" s="148" t="s">
        <v>22</v>
      </c>
      <c r="J22" s="149">
        <v>0.11458333333333333</v>
      </c>
      <c r="K22" s="146"/>
    </row>
    <row r="23" spans="1:11" x14ac:dyDescent="0.2">
      <c r="E23" s="150"/>
      <c r="F23" s="151"/>
      <c r="I23" s="169" t="s">
        <v>23</v>
      </c>
      <c r="J23" s="170">
        <v>2.75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90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3+60+81+88+80+64+85+81+87+94+40+95+81+41+62+72+73+74+83+85+75+73+73+3+88+94+90</f>
        <v>1925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109.33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7F325E3B-DEC3-47C2-8654-D1D83F14FB52}">
      <formula1>$I$41:$I$50</formula1>
    </dataValidation>
    <dataValidation type="list" allowBlank="1" showInputMessage="1" showErrorMessage="1" sqref="B20:B21" xr:uid="{68B64C05-ECE7-429B-934E-5892E224E1BF}">
      <formula1>$K$29:$K$40</formula1>
    </dataValidation>
    <dataValidation type="list" allowBlank="1" showInputMessage="1" showErrorMessage="1" sqref="B16:B19" xr:uid="{8F51F9F8-B924-4ACE-B7E4-92C58F50FE2E}">
      <formula1>$K$29:$K$85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74EC-7AF8-480C-972E-DA8EBEC50C80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46019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14</v>
      </c>
      <c r="D9" s="5">
        <v>2.85</v>
      </c>
      <c r="E9" s="104">
        <v>1344</v>
      </c>
      <c r="F9" s="103">
        <v>10</v>
      </c>
      <c r="G9" s="6">
        <f t="shared" ref="G9:G17" si="0">E9*F9</f>
        <v>13440</v>
      </c>
      <c r="H9" s="7">
        <f>F9*C9</f>
        <v>140</v>
      </c>
      <c r="I9" s="119" t="s">
        <v>20</v>
      </c>
      <c r="J9" s="128">
        <v>2.0833333333333332E-2</v>
      </c>
      <c r="K9" s="142" t="s">
        <v>275</v>
      </c>
    </row>
    <row r="10" spans="1:11" ht="17" x14ac:dyDescent="0.2">
      <c r="A10" s="130">
        <v>2</v>
      </c>
      <c r="B10" s="127" t="s">
        <v>246</v>
      </c>
      <c r="C10" s="102">
        <v>15</v>
      </c>
      <c r="D10" s="5">
        <v>2.85</v>
      </c>
      <c r="E10" s="104">
        <v>1344</v>
      </c>
      <c r="F10" s="103">
        <v>8.5</v>
      </c>
      <c r="G10" s="6">
        <f t="shared" si="0"/>
        <v>11424</v>
      </c>
      <c r="H10" s="7">
        <f t="shared" ref="H10:H17" si="1">F10*C10</f>
        <v>127.5</v>
      </c>
      <c r="I10" s="135" t="s">
        <v>44</v>
      </c>
      <c r="J10" s="134">
        <v>5.5555555555555552E-2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16</v>
      </c>
      <c r="D11" s="5">
        <v>2.85</v>
      </c>
      <c r="E11" s="104">
        <v>1267</v>
      </c>
      <c r="F11" s="115">
        <v>2.5</v>
      </c>
      <c r="G11" s="6">
        <f t="shared" si="0"/>
        <v>3167.5</v>
      </c>
      <c r="H11" s="7">
        <f t="shared" si="1"/>
        <v>40</v>
      </c>
      <c r="I11" s="119" t="s">
        <v>253</v>
      </c>
      <c r="J11" s="128">
        <v>8.3333333333333329E-2</v>
      </c>
      <c r="K11" s="129" t="s">
        <v>262</v>
      </c>
    </row>
    <row r="12" spans="1:11" ht="19.25" customHeight="1" x14ac:dyDescent="0.2">
      <c r="A12" s="130">
        <v>4</v>
      </c>
      <c r="B12" s="127" t="s">
        <v>246</v>
      </c>
      <c r="C12" s="116">
        <v>17</v>
      </c>
      <c r="D12" s="5">
        <v>2.85</v>
      </c>
      <c r="E12" s="117">
        <v>1267</v>
      </c>
      <c r="F12" s="118">
        <v>5</v>
      </c>
      <c r="G12" s="6">
        <f t="shared" si="0"/>
        <v>6335</v>
      </c>
      <c r="H12" s="7">
        <f t="shared" si="1"/>
        <v>85</v>
      </c>
      <c r="I12" s="135"/>
      <c r="J12" s="134"/>
      <c r="K12" s="129"/>
    </row>
    <row r="13" spans="1:11" ht="17" x14ac:dyDescent="0.2">
      <c r="A13" s="131">
        <v>5</v>
      </c>
      <c r="B13" s="127" t="s">
        <v>249</v>
      </c>
      <c r="C13" s="116">
        <v>18</v>
      </c>
      <c r="D13" s="5">
        <v>2.85</v>
      </c>
      <c r="E13" s="117">
        <v>1377</v>
      </c>
      <c r="F13" s="118">
        <v>24</v>
      </c>
      <c r="G13" s="6">
        <f t="shared" si="0"/>
        <v>33048</v>
      </c>
      <c r="H13" s="7">
        <f t="shared" si="1"/>
        <v>432</v>
      </c>
      <c r="I13" s="119"/>
      <c r="J13" s="128"/>
      <c r="K13" s="129"/>
    </row>
    <row r="14" spans="1:11" ht="17" x14ac:dyDescent="0.2">
      <c r="A14" s="126">
        <v>6</v>
      </c>
      <c r="B14" s="127" t="s">
        <v>258</v>
      </c>
      <c r="C14" s="120">
        <v>28</v>
      </c>
      <c r="D14" s="5">
        <v>2.85</v>
      </c>
      <c r="E14" s="121">
        <v>889</v>
      </c>
      <c r="F14" s="122">
        <v>2.5</v>
      </c>
      <c r="G14" s="6">
        <f t="shared" si="0"/>
        <v>2222.5</v>
      </c>
      <c r="H14" s="7">
        <f t="shared" si="1"/>
        <v>70</v>
      </c>
      <c r="I14" s="135"/>
      <c r="J14" s="128"/>
      <c r="K14" s="129"/>
    </row>
    <row r="15" spans="1:11" ht="17" x14ac:dyDescent="0.2">
      <c r="A15" s="130">
        <v>7</v>
      </c>
      <c r="B15" s="127" t="s">
        <v>258</v>
      </c>
      <c r="C15" s="132">
        <v>34</v>
      </c>
      <c r="D15" s="5">
        <v>2.85</v>
      </c>
      <c r="E15" s="121">
        <v>712</v>
      </c>
      <c r="F15" s="133">
        <v>4.3</v>
      </c>
      <c r="G15" s="6">
        <f t="shared" si="0"/>
        <v>3061.6</v>
      </c>
      <c r="H15" s="7">
        <f t="shared" si="1"/>
        <v>146.19999999999999</v>
      </c>
      <c r="I15" s="10"/>
      <c r="J15" s="9"/>
      <c r="K15" s="8"/>
    </row>
    <row r="16" spans="1:11" x14ac:dyDescent="0.2">
      <c r="A16" s="137">
        <v>8</v>
      </c>
      <c r="B16" s="138" t="s">
        <v>258</v>
      </c>
      <c r="C16" s="102">
        <v>38</v>
      </c>
      <c r="D16" s="5">
        <v>2.85</v>
      </c>
      <c r="E16" s="117">
        <v>632</v>
      </c>
      <c r="F16" s="102">
        <v>8</v>
      </c>
      <c r="G16" s="6">
        <f t="shared" si="0"/>
        <v>5056</v>
      </c>
      <c r="H16" s="7">
        <f>F16*C16</f>
        <v>304</v>
      </c>
      <c r="I16" s="10"/>
      <c r="J16" s="9"/>
      <c r="K16" s="11"/>
    </row>
    <row r="17" spans="1:11" x14ac:dyDescent="0.2">
      <c r="A17" s="137">
        <v>9</v>
      </c>
      <c r="B17" s="138" t="s">
        <v>258</v>
      </c>
      <c r="C17" s="102">
        <v>40</v>
      </c>
      <c r="D17" s="5">
        <v>2.85</v>
      </c>
      <c r="E17" s="121">
        <v>600</v>
      </c>
      <c r="F17" s="102">
        <v>15.2</v>
      </c>
      <c r="G17" s="6">
        <f t="shared" si="0"/>
        <v>9120</v>
      </c>
      <c r="H17" s="7">
        <f t="shared" si="1"/>
        <v>608</v>
      </c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80</v>
      </c>
      <c r="G22" s="167">
        <f>SUM(G9:G21)/F22</f>
        <v>1085.9325000000001</v>
      </c>
      <c r="H22" s="168">
        <f>SUM(H9:H21)/F22</f>
        <v>24.408750000000001</v>
      </c>
      <c r="I22" s="148" t="s">
        <v>22</v>
      </c>
      <c r="J22" s="149">
        <v>0.15972222222222221</v>
      </c>
      <c r="K22" s="146"/>
    </row>
    <row r="23" spans="1:11" x14ac:dyDescent="0.2">
      <c r="E23" s="150"/>
      <c r="F23" s="151"/>
      <c r="I23" s="169" t="s">
        <v>23</v>
      </c>
      <c r="J23" s="170">
        <v>3.83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80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3+60+81+88+80+64+85+81+87+94+40+95+81+41+62+72+73+74+83+85+75+73+73+3+88+94+90+80</f>
        <v>2005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113.17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C055E3A2-DCFB-45A2-B857-3CF7972F58B7}">
      <formula1>$K$29:$K$85</formula1>
    </dataValidation>
    <dataValidation type="list" allowBlank="1" showInputMessage="1" showErrorMessage="1" sqref="B20:B21" xr:uid="{F54315E4-5526-4AF0-992F-739593A676BE}">
      <formula1>$K$29:$K$40</formula1>
    </dataValidation>
    <dataValidation type="list" allowBlank="1" showInputMessage="1" showErrorMessage="1" sqref="I50 K15:K21" xr:uid="{D1895BFA-5465-41FC-8E03-6BBC91B3B27E}">
      <formula1>$I$41:$I$50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54A2-AFD2-4AB9-8C08-F9B1ED0A327B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46020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14</v>
      </c>
      <c r="D9" s="5">
        <v>2.85</v>
      </c>
      <c r="E9" s="104">
        <v>1428</v>
      </c>
      <c r="F9" s="103">
        <v>4</v>
      </c>
      <c r="G9" s="6">
        <f t="shared" ref="G9:G11" si="0">E9*F9</f>
        <v>5712</v>
      </c>
      <c r="H9" s="7">
        <f>F9*C9</f>
        <v>56</v>
      </c>
      <c r="I9" s="119" t="s">
        <v>20</v>
      </c>
      <c r="J9" s="128">
        <v>1.3888888888888888E-2</v>
      </c>
      <c r="K9" s="142" t="s">
        <v>275</v>
      </c>
    </row>
    <row r="10" spans="1:11" ht="17" x14ac:dyDescent="0.2">
      <c r="A10" s="130">
        <v>2</v>
      </c>
      <c r="B10" s="127" t="s">
        <v>246</v>
      </c>
      <c r="C10" s="102">
        <v>15</v>
      </c>
      <c r="D10" s="5">
        <v>2.85</v>
      </c>
      <c r="E10" s="104">
        <v>1494</v>
      </c>
      <c r="F10" s="103">
        <v>63.5</v>
      </c>
      <c r="G10" s="6">
        <f t="shared" si="0"/>
        <v>94869</v>
      </c>
      <c r="H10" s="7">
        <f t="shared" ref="H10:H11" si="1">F10*C10</f>
        <v>952.5</v>
      </c>
      <c r="I10" s="135" t="s">
        <v>44</v>
      </c>
      <c r="J10" s="134">
        <v>1.3888888888888888E-2</v>
      </c>
      <c r="K10" s="129" t="s">
        <v>44</v>
      </c>
    </row>
    <row r="11" spans="1:11" ht="17" x14ac:dyDescent="0.2">
      <c r="A11" s="126">
        <v>3</v>
      </c>
      <c r="B11" s="127" t="s">
        <v>246</v>
      </c>
      <c r="C11" s="102">
        <v>16</v>
      </c>
      <c r="D11" s="5">
        <v>2.85</v>
      </c>
      <c r="E11" s="104">
        <v>1494</v>
      </c>
      <c r="F11" s="115">
        <v>6.5</v>
      </c>
      <c r="G11" s="6">
        <f t="shared" si="0"/>
        <v>9711</v>
      </c>
      <c r="H11" s="7">
        <f t="shared" si="1"/>
        <v>104</v>
      </c>
      <c r="I11" s="119" t="s">
        <v>276</v>
      </c>
      <c r="J11" s="128">
        <v>0.15972222222222221</v>
      </c>
      <c r="K11" s="129" t="s">
        <v>277</v>
      </c>
    </row>
    <row r="12" spans="1:11" ht="19.25" customHeight="1" x14ac:dyDescent="0.2">
      <c r="A12" s="130"/>
      <c r="B12" s="127"/>
      <c r="C12" s="116"/>
      <c r="D12" s="5"/>
      <c r="E12" s="117"/>
      <c r="F12" s="118"/>
      <c r="G12" s="6"/>
      <c r="H12" s="7"/>
      <c r="I12" s="135"/>
      <c r="J12" s="134"/>
      <c r="K12" s="129"/>
    </row>
    <row r="13" spans="1:11" x14ac:dyDescent="0.2">
      <c r="A13" s="131"/>
      <c r="B13" s="127"/>
      <c r="C13" s="116"/>
      <c r="D13" s="5"/>
      <c r="E13" s="117"/>
      <c r="F13" s="118"/>
      <c r="G13" s="6"/>
      <c r="H13" s="7"/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74</v>
      </c>
      <c r="G22" s="167">
        <f>SUM(G9:G21)/F22</f>
        <v>1490.4324324324325</v>
      </c>
      <c r="H22" s="168">
        <f>SUM(H9:H21)/F22</f>
        <v>15.033783783783784</v>
      </c>
      <c r="I22" s="148" t="s">
        <v>22</v>
      </c>
      <c r="J22" s="149">
        <v>0.1875</v>
      </c>
      <c r="K22" s="146"/>
    </row>
    <row r="23" spans="1:11" x14ac:dyDescent="0.2">
      <c r="E23" s="150"/>
      <c r="F23" s="151"/>
      <c r="I23" s="169" t="s">
        <v>23</v>
      </c>
      <c r="J23" s="170">
        <v>4.5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74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3+60+81+88+80+64+85+81+87+94+40+95+81+41+62+72+73+74+83+85+75+73+73+3+88+94+90+80+74</f>
        <v>2079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117.67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I50 K15:K21" xr:uid="{E3D000A7-94F2-4D07-909C-66F1F9473A45}">
      <formula1>$I$41:$I$50</formula1>
    </dataValidation>
    <dataValidation type="list" allowBlank="1" showInputMessage="1" showErrorMessage="1" sqref="B20:B21" xr:uid="{43F0D73A-4E6C-41E0-8D19-D0AB622D92AA}">
      <formula1>$K$29:$K$40</formula1>
    </dataValidation>
    <dataValidation type="list" allowBlank="1" showInputMessage="1" showErrorMessage="1" sqref="B16:B19" xr:uid="{915D0768-B272-4048-A657-148B73A105BC}">
      <formula1>$K$29:$K$85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16B7-1747-459E-AA92-EA2B8F488CC5}">
  <dimension ref="A1:K85"/>
  <sheetViews>
    <sheetView workbookViewId="0">
      <selection activeCell="K19" sqref="K19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46021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247</v>
      </c>
      <c r="C9" s="102">
        <v>12.5</v>
      </c>
      <c r="D9" s="5">
        <v>2.85</v>
      </c>
      <c r="E9" s="104">
        <v>1449</v>
      </c>
      <c r="F9" s="103">
        <v>15.3</v>
      </c>
      <c r="G9" s="6">
        <f t="shared" ref="G9:G14" si="0">E9*F9</f>
        <v>22169.7</v>
      </c>
      <c r="H9" s="7">
        <f>F9*C9</f>
        <v>191.25</v>
      </c>
      <c r="I9" s="119" t="s">
        <v>20</v>
      </c>
      <c r="J9" s="128">
        <v>2.0833333333333332E-2</v>
      </c>
      <c r="K9" s="142" t="s">
        <v>275</v>
      </c>
    </row>
    <row r="10" spans="1:11" ht="17" x14ac:dyDescent="0.2">
      <c r="A10" s="130">
        <v>2</v>
      </c>
      <c r="B10" s="127" t="s">
        <v>268</v>
      </c>
      <c r="C10" s="102">
        <v>13</v>
      </c>
      <c r="D10" s="5">
        <v>2.85</v>
      </c>
      <c r="E10" s="104">
        <v>1449</v>
      </c>
      <c r="F10" s="103">
        <v>28.3</v>
      </c>
      <c r="G10" s="6">
        <f t="shared" si="0"/>
        <v>41006.700000000004</v>
      </c>
      <c r="H10" s="7">
        <f t="shared" ref="H10:H14" si="1">F10*C10</f>
        <v>367.90000000000003</v>
      </c>
      <c r="I10" s="135" t="s">
        <v>44</v>
      </c>
      <c r="J10" s="134">
        <v>1.7361111111111112E-2</v>
      </c>
      <c r="K10" s="129" t="s">
        <v>44</v>
      </c>
    </row>
    <row r="11" spans="1:11" ht="17" x14ac:dyDescent="0.2">
      <c r="A11" s="126">
        <v>3</v>
      </c>
      <c r="B11" s="127" t="s">
        <v>237</v>
      </c>
      <c r="C11" s="102">
        <v>15</v>
      </c>
      <c r="D11" s="5">
        <v>2.85</v>
      </c>
      <c r="E11" s="104">
        <v>1494</v>
      </c>
      <c r="F11" s="115">
        <v>3</v>
      </c>
      <c r="G11" s="6">
        <f t="shared" si="0"/>
        <v>4482</v>
      </c>
      <c r="H11" s="7">
        <f t="shared" si="1"/>
        <v>45</v>
      </c>
      <c r="I11" s="119"/>
      <c r="J11" s="128"/>
      <c r="K11" s="129"/>
    </row>
    <row r="12" spans="1:11" ht="19.25" customHeight="1" x14ac:dyDescent="0.2">
      <c r="A12" s="130">
        <v>4</v>
      </c>
      <c r="B12" s="127" t="s">
        <v>237</v>
      </c>
      <c r="C12" s="116">
        <v>16</v>
      </c>
      <c r="D12" s="5">
        <v>2.85</v>
      </c>
      <c r="E12" s="117">
        <v>1503</v>
      </c>
      <c r="F12" s="118">
        <v>23</v>
      </c>
      <c r="G12" s="6">
        <f t="shared" si="0"/>
        <v>34569</v>
      </c>
      <c r="H12" s="7">
        <f>F12*C12</f>
        <v>368</v>
      </c>
      <c r="I12" s="135"/>
      <c r="J12" s="134"/>
      <c r="K12" s="129"/>
    </row>
    <row r="13" spans="1:11" ht="17" x14ac:dyDescent="0.2">
      <c r="A13" s="131">
        <v>5</v>
      </c>
      <c r="B13" s="127" t="s">
        <v>278</v>
      </c>
      <c r="C13" s="116">
        <v>15</v>
      </c>
      <c r="D13" s="5">
        <v>2.85</v>
      </c>
      <c r="E13" s="117">
        <v>1503</v>
      </c>
      <c r="F13" s="118">
        <v>4</v>
      </c>
      <c r="G13" s="6">
        <f t="shared" si="0"/>
        <v>6012</v>
      </c>
      <c r="H13" s="7">
        <f t="shared" si="1"/>
        <v>60</v>
      </c>
      <c r="I13" s="119"/>
      <c r="J13" s="128"/>
      <c r="K13" s="129"/>
    </row>
    <row r="14" spans="1:11" ht="17" x14ac:dyDescent="0.2">
      <c r="A14" s="126">
        <v>6</v>
      </c>
      <c r="B14" s="127" t="s">
        <v>246</v>
      </c>
      <c r="C14" s="120">
        <v>17</v>
      </c>
      <c r="D14" s="5">
        <v>2.85</v>
      </c>
      <c r="E14" s="121">
        <v>1503</v>
      </c>
      <c r="F14" s="122">
        <v>7.4</v>
      </c>
      <c r="G14" s="6">
        <f t="shared" si="0"/>
        <v>11122.2</v>
      </c>
      <c r="H14" s="7">
        <f t="shared" si="1"/>
        <v>125.80000000000001</v>
      </c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81</v>
      </c>
      <c r="G22" s="167">
        <f>SUM(G9:G21)/F22</f>
        <v>1473.6000000000001</v>
      </c>
      <c r="H22" s="168">
        <f>SUM(H9:H21)/F22</f>
        <v>14.29567901234568</v>
      </c>
      <c r="I22" s="148" t="s">
        <v>22</v>
      </c>
      <c r="J22" s="149">
        <v>3.8194444444444448E-2</v>
      </c>
      <c r="K22" s="146"/>
    </row>
    <row r="23" spans="1:11" x14ac:dyDescent="0.2">
      <c r="E23" s="150"/>
      <c r="F23" s="151"/>
      <c r="I23" s="169" t="s">
        <v>23</v>
      </c>
      <c r="J23" s="170">
        <v>0.92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81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3+60+81+88+80+64+85+81+87+94+40+95+81+41+62+72+73+74+83+85+75+73+73+3+88+94+90+80+74+81</f>
        <v>2160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118.58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B2E9AD7F-D613-4C23-BF1E-8248ECA1B95F}">
      <formula1>$K$29:$K$85</formula1>
    </dataValidation>
    <dataValidation type="list" allowBlank="1" showInputMessage="1" showErrorMessage="1" sqref="B20:B21" xr:uid="{9216E790-E0AD-42A7-A58E-AF55505E52A4}">
      <formula1>$K$29:$K$40</formula1>
    </dataValidation>
    <dataValidation type="list" allowBlank="1" showInputMessage="1" showErrorMessage="1" sqref="I50 K15:K21" xr:uid="{BDF35E98-D049-4858-AD94-6BE47401AD31}">
      <formula1>$I$41:$I$50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202C-6590-904E-BBA6-3A60EB6B0ACE}">
  <dimension ref="A1:K85"/>
  <sheetViews>
    <sheetView topLeftCell="A5" workbookViewId="0">
      <selection activeCell="J17" sqref="J17"/>
    </sheetView>
  </sheetViews>
  <sheetFormatPr baseColWidth="10" defaultColWidth="9.1640625" defaultRowHeight="16" x14ac:dyDescent="0.2"/>
  <cols>
    <col min="1" max="1" width="5.1640625" style="143" customWidth="1"/>
    <col min="2" max="2" width="22.5" style="143" customWidth="1"/>
    <col min="3" max="3" width="6.1640625" style="143" customWidth="1"/>
    <col min="4" max="4" width="12.5" style="143" bestFit="1" customWidth="1"/>
    <col min="5" max="5" width="9.83203125" style="143" customWidth="1"/>
    <col min="6" max="6" width="9.33203125" style="143" bestFit="1" customWidth="1"/>
    <col min="7" max="7" width="8.6640625" style="143" customWidth="1"/>
    <col min="8" max="8" width="9.5" style="143" bestFit="1" customWidth="1"/>
    <col min="9" max="9" width="17.83203125" style="143" bestFit="1" customWidth="1"/>
    <col min="10" max="10" width="10.83203125" style="143" bestFit="1" customWidth="1"/>
    <col min="11" max="11" width="75" style="143" bestFit="1" customWidth="1"/>
    <col min="12" max="16384" width="9.1640625" style="143"/>
  </cols>
  <sheetData>
    <row r="1" spans="1:11" x14ac:dyDescent="0.2">
      <c r="A1" s="143" t="s">
        <v>0</v>
      </c>
      <c r="I1" s="158"/>
    </row>
    <row r="2" spans="1:11" x14ac:dyDescent="0.2">
      <c r="J2" s="159"/>
    </row>
    <row r="3" spans="1:11" x14ac:dyDescent="0.2">
      <c r="A3" s="158" t="s">
        <v>1</v>
      </c>
    </row>
    <row r="4" spans="1:11" x14ac:dyDescent="0.2">
      <c r="A4" s="158"/>
      <c r="I4" s="159" t="s">
        <v>2</v>
      </c>
      <c r="J4" s="160">
        <v>46022</v>
      </c>
    </row>
    <row r="5" spans="1:11" x14ac:dyDescent="0.2">
      <c r="J5" s="143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61" t="s">
        <v>10</v>
      </c>
      <c r="H6" s="161" t="s">
        <v>11</v>
      </c>
      <c r="I6" s="161" t="s">
        <v>12</v>
      </c>
      <c r="J6" s="162"/>
      <c r="K6" s="2" t="s">
        <v>13</v>
      </c>
    </row>
    <row r="7" spans="1:11" ht="34" x14ac:dyDescent="0.2">
      <c r="A7" s="161"/>
      <c r="B7" s="163"/>
      <c r="C7" s="2"/>
      <c r="D7" s="2" t="s">
        <v>14</v>
      </c>
      <c r="E7" s="2" t="s">
        <v>15</v>
      </c>
      <c r="F7" s="164" t="s">
        <v>16</v>
      </c>
      <c r="G7" s="164" t="s">
        <v>15</v>
      </c>
      <c r="H7" s="164" t="s">
        <v>17</v>
      </c>
      <c r="I7" s="2" t="s">
        <v>18</v>
      </c>
      <c r="J7" s="164" t="s">
        <v>19</v>
      </c>
      <c r="K7" s="164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6">
        <v>1</v>
      </c>
      <c r="B9" s="127" t="s">
        <v>246</v>
      </c>
      <c r="C9" s="102">
        <v>15</v>
      </c>
      <c r="D9" s="5">
        <v>2.85</v>
      </c>
      <c r="E9" s="104">
        <v>1512</v>
      </c>
      <c r="F9" s="103">
        <v>67</v>
      </c>
      <c r="G9" s="6">
        <f>E9*F9</f>
        <v>101304</v>
      </c>
      <c r="H9" s="7">
        <f>F9*C9</f>
        <v>1005</v>
      </c>
      <c r="I9" s="119" t="s">
        <v>20</v>
      </c>
      <c r="J9" s="128">
        <v>2.0833333333333332E-2</v>
      </c>
      <c r="K9" s="142" t="s">
        <v>275</v>
      </c>
    </row>
    <row r="10" spans="1:11" ht="17" x14ac:dyDescent="0.2">
      <c r="A10" s="130">
        <v>2</v>
      </c>
      <c r="B10" s="127" t="s">
        <v>237</v>
      </c>
      <c r="C10" s="102">
        <v>15</v>
      </c>
      <c r="D10" s="5">
        <v>2.85</v>
      </c>
      <c r="E10" s="104">
        <v>1494</v>
      </c>
      <c r="F10" s="103">
        <v>2.4</v>
      </c>
      <c r="G10" s="6">
        <f>E10*F10</f>
        <v>3585.6</v>
      </c>
      <c r="H10" s="7">
        <f>F10*C10</f>
        <v>36</v>
      </c>
      <c r="I10" s="135" t="s">
        <v>44</v>
      </c>
      <c r="J10" s="134">
        <v>2.0833333333333332E-2</v>
      </c>
      <c r="K10" s="129" t="s">
        <v>44</v>
      </c>
    </row>
    <row r="11" spans="1:11" ht="17" x14ac:dyDescent="0.2">
      <c r="A11" s="126">
        <v>3</v>
      </c>
      <c r="B11" s="127" t="s">
        <v>237</v>
      </c>
      <c r="C11" s="102">
        <v>17</v>
      </c>
      <c r="D11" s="5">
        <v>2.85</v>
      </c>
      <c r="E11" s="104">
        <v>1494</v>
      </c>
      <c r="F11" s="115">
        <v>10.8</v>
      </c>
      <c r="G11" s="6">
        <f>E11*F11</f>
        <v>16135.2</v>
      </c>
      <c r="H11" s="7">
        <f>F11*C11</f>
        <v>183.60000000000002</v>
      </c>
      <c r="I11" s="119"/>
      <c r="J11" s="128"/>
      <c r="K11" s="129"/>
    </row>
    <row r="12" spans="1:11" ht="19.25" customHeight="1" x14ac:dyDescent="0.2">
      <c r="A12" s="130">
        <v>4</v>
      </c>
      <c r="B12" s="127" t="s">
        <v>237</v>
      </c>
      <c r="C12" s="116">
        <v>18</v>
      </c>
      <c r="D12" s="5">
        <v>2.85</v>
      </c>
      <c r="E12" s="117">
        <v>1494</v>
      </c>
      <c r="F12" s="118">
        <v>5.4</v>
      </c>
      <c r="G12" s="6">
        <f>E12*F12</f>
        <v>8067.6</v>
      </c>
      <c r="H12" s="7">
        <f>F12*C12</f>
        <v>97.2</v>
      </c>
      <c r="I12" s="135"/>
      <c r="J12" s="134"/>
      <c r="K12" s="129"/>
    </row>
    <row r="13" spans="1:11" ht="17" x14ac:dyDescent="0.2">
      <c r="A13" s="131">
        <v>5</v>
      </c>
      <c r="B13" s="127" t="s">
        <v>278</v>
      </c>
      <c r="C13" s="116">
        <v>15</v>
      </c>
      <c r="D13" s="5">
        <v>2.85</v>
      </c>
      <c r="E13" s="117">
        <v>1494</v>
      </c>
      <c r="F13" s="118">
        <v>4.4000000000000004</v>
      </c>
      <c r="G13" s="6">
        <f>E13*F13</f>
        <v>6573.6</v>
      </c>
      <c r="H13" s="7">
        <f>F13*C13</f>
        <v>66</v>
      </c>
      <c r="I13" s="119"/>
      <c r="J13" s="128"/>
      <c r="K13" s="129"/>
    </row>
    <row r="14" spans="1:11" x14ac:dyDescent="0.2">
      <c r="A14" s="126"/>
      <c r="B14" s="127"/>
      <c r="C14" s="120"/>
      <c r="D14" s="5"/>
      <c r="E14" s="121"/>
      <c r="F14" s="122"/>
      <c r="G14" s="6"/>
      <c r="H14" s="7"/>
      <c r="I14" s="135"/>
      <c r="J14" s="128"/>
      <c r="K14" s="129"/>
    </row>
    <row r="15" spans="1:11" x14ac:dyDescent="0.2">
      <c r="A15" s="130"/>
      <c r="B15" s="127"/>
      <c r="C15" s="132"/>
      <c r="D15" s="5"/>
      <c r="E15" s="121"/>
      <c r="F15" s="133"/>
      <c r="G15" s="6"/>
      <c r="H15" s="7"/>
      <c r="I15" s="10"/>
      <c r="J15" s="9"/>
      <c r="K15" s="8"/>
    </row>
    <row r="16" spans="1:11" x14ac:dyDescent="0.2">
      <c r="A16" s="137"/>
      <c r="B16" s="138"/>
      <c r="C16" s="102"/>
      <c r="D16" s="5"/>
      <c r="E16" s="117"/>
      <c r="F16" s="102"/>
      <c r="G16" s="6"/>
      <c r="H16" s="7"/>
      <c r="I16" s="10"/>
      <c r="J16" s="9"/>
      <c r="K16" s="11"/>
    </row>
    <row r="17" spans="1:11" x14ac:dyDescent="0.2">
      <c r="A17" s="137"/>
      <c r="B17" s="138"/>
      <c r="C17" s="102"/>
      <c r="D17" s="5"/>
      <c r="E17" s="121"/>
      <c r="F17" s="102"/>
      <c r="G17" s="6"/>
      <c r="H17" s="7"/>
      <c r="I17" s="10"/>
      <c r="J17" s="9"/>
      <c r="K17" s="11"/>
    </row>
    <row r="18" spans="1:11" x14ac:dyDescent="0.2">
      <c r="A18" s="137"/>
      <c r="B18" s="138"/>
      <c r="C18" s="102"/>
      <c r="D18" s="5"/>
      <c r="E18" s="121"/>
      <c r="F18" s="102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40"/>
      <c r="E19" s="2"/>
      <c r="F19" s="3"/>
      <c r="G19" s="141"/>
      <c r="H19" s="3"/>
      <c r="I19" s="1"/>
      <c r="J19" s="4"/>
      <c r="K19" s="1"/>
    </row>
    <row r="20" spans="1:11" x14ac:dyDescent="0.2">
      <c r="A20" s="2"/>
      <c r="B20" s="1"/>
      <c r="C20" s="3"/>
      <c r="D20" s="140"/>
      <c r="E20" s="2"/>
      <c r="F20" s="3"/>
      <c r="G20" s="141"/>
      <c r="H20" s="3"/>
      <c r="I20" s="1"/>
      <c r="J20" s="4"/>
      <c r="K20" s="1"/>
    </row>
    <row r="21" spans="1:11" x14ac:dyDescent="0.2">
      <c r="A21" s="2"/>
      <c r="B21" s="1"/>
      <c r="C21" s="144"/>
      <c r="D21" s="2"/>
      <c r="E21" s="4"/>
      <c r="F21" s="144"/>
      <c r="G21" s="141"/>
      <c r="H21" s="3"/>
      <c r="I21" s="1"/>
      <c r="J21" s="4"/>
      <c r="K21" s="1"/>
    </row>
    <row r="22" spans="1:11" x14ac:dyDescent="0.2">
      <c r="A22" s="145"/>
      <c r="B22" s="146"/>
      <c r="C22" s="147"/>
      <c r="D22" s="147"/>
      <c r="E22" s="165" t="s">
        <v>21</v>
      </c>
      <c r="F22" s="166">
        <f>SUM(F9:F21)</f>
        <v>90.000000000000014</v>
      </c>
      <c r="G22" s="167">
        <f>SUM(G9:G21)/F22</f>
        <v>1507.3999999999999</v>
      </c>
      <c r="H22" s="168">
        <f>SUM(H9:H21)/F22</f>
        <v>15.419999999999996</v>
      </c>
      <c r="I22" s="148" t="s">
        <v>22</v>
      </c>
      <c r="J22" s="149">
        <v>4.1666666666666664E-2</v>
      </c>
      <c r="K22" s="146"/>
    </row>
    <row r="23" spans="1:11" x14ac:dyDescent="0.2">
      <c r="E23" s="150"/>
      <c r="F23" s="151"/>
      <c r="I23" s="169" t="s">
        <v>23</v>
      </c>
      <c r="J23" s="170">
        <v>1</v>
      </c>
    </row>
    <row r="24" spans="1:11" x14ac:dyDescent="0.2">
      <c r="I24" s="151"/>
      <c r="J24" s="152"/>
    </row>
    <row r="25" spans="1:11" x14ac:dyDescent="0.2">
      <c r="A25" s="1" t="s">
        <v>24</v>
      </c>
      <c r="B25" s="1"/>
      <c r="C25" s="1"/>
      <c r="D25" s="144"/>
      <c r="H25" s="159" t="s">
        <v>25</v>
      </c>
      <c r="I25" s="159"/>
      <c r="J25" s="150">
        <f>F22</f>
        <v>90.000000000000014</v>
      </c>
      <c r="K25" s="143" t="s">
        <v>16</v>
      </c>
    </row>
    <row r="26" spans="1:11" x14ac:dyDescent="0.2">
      <c r="A26" s="1" t="s">
        <v>26</v>
      </c>
      <c r="B26" s="1"/>
      <c r="C26" s="1"/>
      <c r="D26" s="144"/>
      <c r="H26" s="159" t="s">
        <v>27</v>
      </c>
      <c r="I26" s="159"/>
      <c r="J26" s="150">
        <f>3+60+81+88+80+64+85+81+87+94+40+95+81+41+62+72+73+74+83+85+75+73+73+3+88+94+90+80+74+81+90</f>
        <v>2250</v>
      </c>
      <c r="K26" s="143" t="s">
        <v>16</v>
      </c>
    </row>
    <row r="27" spans="1:11" ht="17" thickBot="1" x14ac:dyDescent="0.25">
      <c r="A27" s="153"/>
      <c r="B27" s="153"/>
      <c r="C27" s="153"/>
      <c r="D27" s="153"/>
      <c r="E27" s="154"/>
      <c r="F27" s="154"/>
      <c r="G27" s="153"/>
      <c r="H27" s="171" t="s">
        <v>28</v>
      </c>
      <c r="I27" s="171"/>
      <c r="J27" s="155">
        <v>119.58</v>
      </c>
      <c r="K27" s="153" t="s">
        <v>29</v>
      </c>
    </row>
    <row r="28" spans="1:11" x14ac:dyDescent="0.2">
      <c r="J28" s="143" t="s">
        <v>3</v>
      </c>
    </row>
    <row r="29" spans="1:11" hidden="1" x14ac:dyDescent="0.2">
      <c r="K29" s="143" t="s">
        <v>30</v>
      </c>
    </row>
    <row r="30" spans="1:11" hidden="1" x14ac:dyDescent="0.2">
      <c r="K30" s="143" t="s">
        <v>31</v>
      </c>
    </row>
    <row r="31" spans="1:11" hidden="1" x14ac:dyDescent="0.2">
      <c r="K31" s="143" t="s">
        <v>32</v>
      </c>
    </row>
    <row r="32" spans="1:11" hidden="1" x14ac:dyDescent="0.2">
      <c r="K32" s="143" t="s">
        <v>33</v>
      </c>
    </row>
    <row r="33" spans="9:11" hidden="1" x14ac:dyDescent="0.2">
      <c r="K33" s="143" t="s">
        <v>34</v>
      </c>
    </row>
    <row r="34" spans="9:11" hidden="1" x14ac:dyDescent="0.2">
      <c r="K34" s="143" t="s">
        <v>35</v>
      </c>
    </row>
    <row r="35" spans="9:11" hidden="1" x14ac:dyDescent="0.2">
      <c r="K35" s="143" t="s">
        <v>36</v>
      </c>
    </row>
    <row r="36" spans="9:11" hidden="1" x14ac:dyDescent="0.2">
      <c r="K36" s="143" t="s">
        <v>37</v>
      </c>
    </row>
    <row r="37" spans="9:11" hidden="1" x14ac:dyDescent="0.2">
      <c r="K37" s="143" t="s">
        <v>38</v>
      </c>
    </row>
    <row r="38" spans="9:11" hidden="1" x14ac:dyDescent="0.2">
      <c r="K38" s="143" t="s">
        <v>39</v>
      </c>
    </row>
    <row r="39" spans="9:11" hidden="1" x14ac:dyDescent="0.2">
      <c r="K39" s="143" t="s">
        <v>40</v>
      </c>
    </row>
    <row r="40" spans="9:11" hidden="1" x14ac:dyDescent="0.2">
      <c r="K40" s="143" t="s">
        <v>41</v>
      </c>
    </row>
    <row r="41" spans="9:11" ht="34" hidden="1" x14ac:dyDescent="0.2">
      <c r="I41" s="156" t="s">
        <v>42</v>
      </c>
      <c r="K41" s="143" t="s">
        <v>43</v>
      </c>
    </row>
    <row r="42" spans="9:11" ht="17" hidden="1" x14ac:dyDescent="0.2">
      <c r="I42" s="156" t="s">
        <v>44</v>
      </c>
      <c r="K42" s="143" t="s">
        <v>45</v>
      </c>
    </row>
    <row r="43" spans="9:11" hidden="1" x14ac:dyDescent="0.2">
      <c r="I43" s="157" t="s">
        <v>46</v>
      </c>
      <c r="K43" s="143" t="s">
        <v>47</v>
      </c>
    </row>
    <row r="44" spans="9:11" hidden="1" x14ac:dyDescent="0.2">
      <c r="I44" s="143" t="s">
        <v>48</v>
      </c>
      <c r="K44" s="143" t="s">
        <v>49</v>
      </c>
    </row>
    <row r="45" spans="9:11" hidden="1" x14ac:dyDescent="0.2">
      <c r="I45" s="143" t="s">
        <v>50</v>
      </c>
      <c r="K45" s="143" t="s">
        <v>51</v>
      </c>
    </row>
    <row r="46" spans="9:11" hidden="1" x14ac:dyDescent="0.2">
      <c r="I46" s="143" t="s">
        <v>52</v>
      </c>
      <c r="K46" s="143" t="s">
        <v>53</v>
      </c>
    </row>
    <row r="47" spans="9:11" hidden="1" x14ac:dyDescent="0.2">
      <c r="I47" s="143" t="s">
        <v>54</v>
      </c>
      <c r="K47" s="143" t="s">
        <v>55</v>
      </c>
    </row>
    <row r="48" spans="9:11" hidden="1" x14ac:dyDescent="0.2">
      <c r="I48" s="143" t="s">
        <v>56</v>
      </c>
      <c r="K48" s="143" t="s">
        <v>57</v>
      </c>
    </row>
    <row r="49" spans="9:11" hidden="1" x14ac:dyDescent="0.2">
      <c r="I49" s="143" t="s">
        <v>58</v>
      </c>
      <c r="K49" s="143" t="s">
        <v>59</v>
      </c>
    </row>
    <row r="50" spans="9:11" hidden="1" x14ac:dyDescent="0.2">
      <c r="I50" s="143" t="s">
        <v>60</v>
      </c>
      <c r="K50" s="143" t="s">
        <v>61</v>
      </c>
    </row>
    <row r="51" spans="9:11" hidden="1" x14ac:dyDescent="0.2">
      <c r="K51" s="143" t="s">
        <v>62</v>
      </c>
    </row>
    <row r="52" spans="9:11" hidden="1" x14ac:dyDescent="0.2">
      <c r="K52" s="143" t="s">
        <v>63</v>
      </c>
    </row>
    <row r="53" spans="9:11" hidden="1" x14ac:dyDescent="0.2">
      <c r="K53" s="143" t="s">
        <v>64</v>
      </c>
    </row>
    <row r="54" spans="9:11" hidden="1" x14ac:dyDescent="0.2">
      <c r="K54" s="143" t="s">
        <v>65</v>
      </c>
    </row>
    <row r="55" spans="9:11" hidden="1" x14ac:dyDescent="0.2">
      <c r="K55" s="143" t="s">
        <v>66</v>
      </c>
    </row>
    <row r="56" spans="9:11" hidden="1" x14ac:dyDescent="0.2">
      <c r="K56" s="143" t="s">
        <v>67</v>
      </c>
    </row>
    <row r="57" spans="9:11" hidden="1" x14ac:dyDescent="0.2">
      <c r="K57" s="143" t="s">
        <v>68</v>
      </c>
    </row>
    <row r="58" spans="9:11" hidden="1" x14ac:dyDescent="0.2">
      <c r="K58" s="143" t="s">
        <v>69</v>
      </c>
    </row>
    <row r="59" spans="9:11" hidden="1" x14ac:dyDescent="0.2">
      <c r="K59" s="143" t="s">
        <v>70</v>
      </c>
    </row>
    <row r="60" spans="9:11" hidden="1" x14ac:dyDescent="0.2">
      <c r="K60" s="143" t="s">
        <v>71</v>
      </c>
    </row>
    <row r="61" spans="9:11" hidden="1" x14ac:dyDescent="0.2">
      <c r="K61" s="143" t="s">
        <v>72</v>
      </c>
    </row>
    <row r="62" spans="9:11" hidden="1" x14ac:dyDescent="0.2">
      <c r="K62" s="143" t="s">
        <v>73</v>
      </c>
    </row>
    <row r="63" spans="9:11" hidden="1" x14ac:dyDescent="0.2">
      <c r="K63" s="143" t="s">
        <v>67</v>
      </c>
    </row>
    <row r="64" spans="9:11" hidden="1" x14ac:dyDescent="0.2">
      <c r="K64" s="143" t="s">
        <v>74</v>
      </c>
    </row>
    <row r="65" spans="11:11" hidden="1" x14ac:dyDescent="0.2">
      <c r="K65" s="143" t="s">
        <v>75</v>
      </c>
    </row>
    <row r="66" spans="11:11" hidden="1" x14ac:dyDescent="0.2">
      <c r="K66" s="143" t="s">
        <v>76</v>
      </c>
    </row>
    <row r="67" spans="11:11" hidden="1" x14ac:dyDescent="0.2">
      <c r="K67" s="143" t="s">
        <v>77</v>
      </c>
    </row>
    <row r="68" spans="11:11" hidden="1" x14ac:dyDescent="0.2">
      <c r="K68" s="143" t="s">
        <v>78</v>
      </c>
    </row>
    <row r="69" spans="11:11" hidden="1" x14ac:dyDescent="0.2">
      <c r="K69" s="143" t="s">
        <v>79</v>
      </c>
    </row>
    <row r="70" spans="11:11" hidden="1" x14ac:dyDescent="0.2">
      <c r="K70" s="143" t="s">
        <v>80</v>
      </c>
    </row>
    <row r="71" spans="11:11" hidden="1" x14ac:dyDescent="0.2">
      <c r="K71" s="143" t="s">
        <v>81</v>
      </c>
    </row>
    <row r="72" spans="11:11" hidden="1" x14ac:dyDescent="0.2">
      <c r="K72" s="143" t="s">
        <v>82</v>
      </c>
    </row>
    <row r="73" spans="11:11" hidden="1" x14ac:dyDescent="0.2">
      <c r="K73" s="143" t="s">
        <v>83</v>
      </c>
    </row>
    <row r="74" spans="11:11" hidden="1" x14ac:dyDescent="0.2">
      <c r="K74" s="143" t="s">
        <v>84</v>
      </c>
    </row>
    <row r="75" spans="11:11" hidden="1" x14ac:dyDescent="0.2">
      <c r="K75" s="143" t="s">
        <v>85</v>
      </c>
    </row>
    <row r="76" spans="11:11" hidden="1" x14ac:dyDescent="0.2">
      <c r="K76" s="143" t="s">
        <v>86</v>
      </c>
    </row>
    <row r="77" spans="11:11" hidden="1" x14ac:dyDescent="0.2">
      <c r="K77" s="143" t="s">
        <v>87</v>
      </c>
    </row>
    <row r="78" spans="11:11" hidden="1" x14ac:dyDescent="0.2">
      <c r="K78" s="143" t="s">
        <v>88</v>
      </c>
    </row>
    <row r="79" spans="11:11" hidden="1" x14ac:dyDescent="0.2">
      <c r="K79" s="143" t="s">
        <v>89</v>
      </c>
    </row>
    <row r="80" spans="11:11" hidden="1" x14ac:dyDescent="0.2">
      <c r="K80" s="143" t="s">
        <v>90</v>
      </c>
    </row>
    <row r="81" spans="11:11" hidden="1" x14ac:dyDescent="0.2">
      <c r="K81" s="143" t="s">
        <v>91</v>
      </c>
    </row>
    <row r="82" spans="11:11" hidden="1" x14ac:dyDescent="0.2">
      <c r="K82" s="143" t="s">
        <v>92</v>
      </c>
    </row>
    <row r="83" spans="11:11" hidden="1" x14ac:dyDescent="0.2">
      <c r="K83" s="143" t="s">
        <v>93</v>
      </c>
    </row>
    <row r="84" spans="11:11" hidden="1" x14ac:dyDescent="0.2">
      <c r="K84" s="143" t="s">
        <v>94</v>
      </c>
    </row>
    <row r="85" spans="11:11" hidden="1" x14ac:dyDescent="0.2">
      <c r="K85" s="143" t="s">
        <v>47</v>
      </c>
    </row>
  </sheetData>
  <dataValidations count="3">
    <dataValidation type="list" allowBlank="1" showInputMessage="1" showErrorMessage="1" sqref="B16:B19" xr:uid="{BCBB52DB-23E3-4E51-850A-B708F9632488}">
      <formula1>$K$29:$K$85</formula1>
    </dataValidation>
    <dataValidation type="list" allowBlank="1" showInputMessage="1" showErrorMessage="1" sqref="B20:B21" xr:uid="{C32A0FFB-7A5A-4532-8E79-0898B758DD2E}">
      <formula1>$K$29:$K$40</formula1>
    </dataValidation>
    <dataValidation type="list" allowBlank="1" showInputMessage="1" showErrorMessage="1" sqref="I50 K15:K21" xr:uid="{2FD75B0F-14A6-43DC-B828-BE3A445202D7}">
      <formula1>$I$41:$I$50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O126"/>
  <sheetViews>
    <sheetView tabSelected="1" topLeftCell="X52" zoomScale="88" zoomScaleNormal="88" workbookViewId="0">
      <selection activeCell="D116" sqref="D116:AK122"/>
    </sheetView>
  </sheetViews>
  <sheetFormatPr baseColWidth="10" defaultColWidth="9.1640625" defaultRowHeight="20" x14ac:dyDescent="0.2"/>
  <cols>
    <col min="1" max="1" width="5.5" style="99" bestFit="1" customWidth="1"/>
    <col min="2" max="2" width="65.5" style="16" bestFit="1" customWidth="1"/>
    <col min="3" max="3" width="14.83203125" style="100" hidden="1" customWidth="1"/>
    <col min="4" max="4" width="12.1640625" style="16" customWidth="1"/>
    <col min="5" max="5" width="12.6640625" style="16" hidden="1" customWidth="1"/>
    <col min="6" max="6" width="17.33203125" style="16" hidden="1" customWidth="1"/>
    <col min="7" max="7" width="16.1640625" style="16" bestFit="1" customWidth="1"/>
    <col min="8" max="8" width="14.1640625" style="16" bestFit="1" customWidth="1"/>
    <col min="9" max="9" width="14.5" style="16" bestFit="1" customWidth="1"/>
    <col min="10" max="11" width="13.1640625" style="16" bestFit="1" customWidth="1"/>
    <col min="12" max="17" width="12.5" style="16" bestFit="1" customWidth="1"/>
    <col min="18" max="18" width="14.6640625" style="16" bestFit="1" customWidth="1"/>
    <col min="19" max="19" width="12.5" style="16" bestFit="1" customWidth="1"/>
    <col min="20" max="20" width="14.5" style="16" bestFit="1" customWidth="1"/>
    <col min="21" max="21" width="13.5" style="16" bestFit="1" customWidth="1"/>
    <col min="22" max="22" width="14" style="16" bestFit="1" customWidth="1"/>
    <col min="23" max="23" width="12.83203125" style="16" bestFit="1" customWidth="1"/>
    <col min="24" max="35" width="12.5" style="16" bestFit="1" customWidth="1"/>
    <col min="36" max="36" width="13.83203125" style="16" bestFit="1" customWidth="1"/>
    <col min="37" max="37" width="10.1640625" style="16" customWidth="1"/>
    <col min="38" max="38" width="34.33203125" style="101" customWidth="1"/>
    <col min="39" max="39" width="14.83203125" style="16" customWidth="1"/>
    <col min="40" max="40" width="13.5" style="16" customWidth="1"/>
    <col min="41" max="41" width="17" style="16" customWidth="1"/>
    <col min="42" max="42" width="10" style="16" customWidth="1"/>
    <col min="43" max="16384" width="9.1640625" style="16"/>
  </cols>
  <sheetData>
    <row r="1" spans="1:40" ht="23" x14ac:dyDescent="0.25">
      <c r="A1" s="12" t="s">
        <v>3</v>
      </c>
      <c r="B1" s="13" t="s">
        <v>241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5"/>
    </row>
    <row r="2" spans="1:40" ht="44.25" customHeight="1" x14ac:dyDescent="0.2">
      <c r="A2" s="17"/>
      <c r="B2" s="18" t="s">
        <v>95</v>
      </c>
      <c r="C2" s="18" t="s">
        <v>96</v>
      </c>
      <c r="D2" s="19" t="s">
        <v>97</v>
      </c>
      <c r="E2" s="19">
        <v>1</v>
      </c>
      <c r="F2" s="19">
        <v>2</v>
      </c>
      <c r="G2" s="19">
        <v>1</v>
      </c>
      <c r="H2" s="19">
        <v>2</v>
      </c>
      <c r="I2" s="19">
        <v>3</v>
      </c>
      <c r="J2" s="19">
        <v>4</v>
      </c>
      <c r="K2" s="19">
        <v>5</v>
      </c>
      <c r="L2" s="19">
        <v>6</v>
      </c>
      <c r="M2" s="19">
        <v>7</v>
      </c>
      <c r="N2" s="19">
        <v>8</v>
      </c>
      <c r="O2" s="19">
        <v>9</v>
      </c>
      <c r="P2" s="19">
        <v>10</v>
      </c>
      <c r="Q2" s="19">
        <v>11</v>
      </c>
      <c r="R2" s="19">
        <v>12</v>
      </c>
      <c r="S2" s="19">
        <v>13</v>
      </c>
      <c r="T2" s="19">
        <v>14</v>
      </c>
      <c r="U2" s="19">
        <v>15</v>
      </c>
      <c r="V2" s="19">
        <v>16</v>
      </c>
      <c r="W2" s="19">
        <v>17</v>
      </c>
      <c r="X2" s="19">
        <v>18</v>
      </c>
      <c r="Y2" s="19">
        <v>19</v>
      </c>
      <c r="Z2" s="19">
        <v>20</v>
      </c>
      <c r="AA2" s="19">
        <v>21</v>
      </c>
      <c r="AB2" s="19">
        <v>22</v>
      </c>
      <c r="AC2" s="19">
        <v>23</v>
      </c>
      <c r="AD2" s="19">
        <v>24</v>
      </c>
      <c r="AE2" s="19">
        <v>25</v>
      </c>
      <c r="AF2" s="19">
        <v>26</v>
      </c>
      <c r="AG2" s="19">
        <v>27</v>
      </c>
      <c r="AH2" s="19">
        <v>28</v>
      </c>
      <c r="AI2" s="19">
        <v>29</v>
      </c>
      <c r="AJ2" s="19">
        <v>30</v>
      </c>
      <c r="AK2" s="19">
        <v>31</v>
      </c>
      <c r="AL2" s="20" t="s">
        <v>98</v>
      </c>
    </row>
    <row r="3" spans="1:40" s="27" customFormat="1" x14ac:dyDescent="0.2">
      <c r="A3" s="21" t="s">
        <v>99</v>
      </c>
      <c r="B3" s="22" t="s">
        <v>100</v>
      </c>
      <c r="C3" s="23"/>
      <c r="D3" s="24" t="s">
        <v>101</v>
      </c>
      <c r="E3" s="25"/>
      <c r="F3" s="26"/>
      <c r="G3" s="26"/>
      <c r="H3" s="26"/>
      <c r="I3" s="176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8"/>
    </row>
    <row r="4" spans="1:40" x14ac:dyDescent="0.2">
      <c r="A4" s="28">
        <v>1</v>
      </c>
      <c r="B4" s="29" t="s">
        <v>102</v>
      </c>
      <c r="C4" s="30"/>
      <c r="D4" s="31" t="s">
        <v>16</v>
      </c>
      <c r="E4" s="25">
        <v>0</v>
      </c>
      <c r="F4" s="25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12.5</v>
      </c>
      <c r="P4" s="32">
        <v>17.5</v>
      </c>
      <c r="Q4" s="32">
        <v>7.5</v>
      </c>
      <c r="R4" s="32">
        <v>17.5</v>
      </c>
      <c r="S4" s="32">
        <v>8.75</v>
      </c>
      <c r="T4" s="32">
        <v>2.5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0</v>
      </c>
      <c r="AG4" s="32">
        <v>0</v>
      </c>
      <c r="AH4" s="32">
        <v>0</v>
      </c>
      <c r="AI4" s="32">
        <v>0</v>
      </c>
      <c r="AJ4" s="32">
        <v>0</v>
      </c>
      <c r="AK4" s="32">
        <v>0</v>
      </c>
      <c r="AL4" s="33">
        <f>SUM(G4:AK4)</f>
        <v>66.25</v>
      </c>
      <c r="AM4" s="34"/>
    </row>
    <row r="5" spans="1:40" x14ac:dyDescent="0.2">
      <c r="A5" s="28">
        <v>2</v>
      </c>
      <c r="B5" s="29" t="s">
        <v>103</v>
      </c>
      <c r="C5" s="30"/>
      <c r="D5" s="31" t="s">
        <v>16</v>
      </c>
      <c r="E5" s="25"/>
      <c r="F5" s="25"/>
      <c r="G5" s="32">
        <v>0</v>
      </c>
      <c r="H5" s="32">
        <v>0</v>
      </c>
      <c r="I5" s="32">
        <v>0</v>
      </c>
      <c r="J5" s="32">
        <v>0</v>
      </c>
      <c r="K5" s="32">
        <v>3</v>
      </c>
      <c r="L5" s="32">
        <v>22</v>
      </c>
      <c r="M5" s="32">
        <v>6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24</v>
      </c>
      <c r="U5" s="32">
        <v>48</v>
      </c>
      <c r="V5" s="32">
        <v>52</v>
      </c>
      <c r="W5" s="32">
        <v>54</v>
      </c>
      <c r="X5" s="32">
        <v>20</v>
      </c>
      <c r="Y5" s="32">
        <v>0</v>
      </c>
      <c r="Z5" s="32">
        <v>0</v>
      </c>
      <c r="AA5" s="32">
        <v>38</v>
      </c>
      <c r="AB5" s="32">
        <v>38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2">
        <v>61.25</v>
      </c>
      <c r="AK5" s="32">
        <v>10</v>
      </c>
      <c r="AL5" s="33">
        <f>SUM(G5:AK5)</f>
        <v>376.25</v>
      </c>
      <c r="AM5" s="34"/>
      <c r="AN5" s="55"/>
    </row>
    <row r="6" spans="1:40" x14ac:dyDescent="0.2">
      <c r="A6" s="28">
        <v>3</v>
      </c>
      <c r="B6" s="29" t="s">
        <v>104</v>
      </c>
      <c r="C6" s="30"/>
      <c r="D6" s="31" t="s">
        <v>16</v>
      </c>
      <c r="E6" s="25">
        <v>0</v>
      </c>
      <c r="F6" s="25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2">
        <v>0</v>
      </c>
      <c r="AL6" s="33">
        <f>SUM(G6:AK6)</f>
        <v>0</v>
      </c>
      <c r="AM6" s="34"/>
      <c r="AN6" s="55"/>
    </row>
    <row r="7" spans="1:40" x14ac:dyDescent="0.2">
      <c r="A7" s="28">
        <v>4</v>
      </c>
      <c r="B7" s="29" t="s">
        <v>105</v>
      </c>
      <c r="C7" s="30"/>
      <c r="D7" s="31" t="s">
        <v>16</v>
      </c>
      <c r="E7" s="25">
        <v>0</v>
      </c>
      <c r="F7" s="25">
        <v>0</v>
      </c>
      <c r="G7" s="32">
        <v>3.988</v>
      </c>
      <c r="H7" s="32">
        <v>45.911999999999999</v>
      </c>
      <c r="I7" s="32">
        <v>59.88</v>
      </c>
      <c r="J7" s="32">
        <v>63.872</v>
      </c>
      <c r="K7" s="32">
        <v>56.886000000000003</v>
      </c>
      <c r="L7" s="32">
        <v>21.956</v>
      </c>
      <c r="M7" s="32">
        <v>53.892000000000003</v>
      </c>
      <c r="N7" s="32">
        <v>53.892000000000003</v>
      </c>
      <c r="O7" s="32">
        <v>39.92</v>
      </c>
      <c r="P7" s="32">
        <v>35.927999999999997</v>
      </c>
      <c r="Q7" s="32">
        <v>15.968</v>
      </c>
      <c r="R7" s="32">
        <v>42.914000000000001</v>
      </c>
      <c r="S7" s="32">
        <v>25.948</v>
      </c>
      <c r="T7" s="32">
        <v>5.9880000000000004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7.9850000000000003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2">
        <v>2.9940000000000002</v>
      </c>
      <c r="AK7" s="32">
        <v>0</v>
      </c>
      <c r="AL7" s="33">
        <f>SUM(G7:AK7)</f>
        <v>537.92300000000012</v>
      </c>
      <c r="AM7" s="34"/>
    </row>
    <row r="8" spans="1:40" x14ac:dyDescent="0.2">
      <c r="A8" s="28">
        <v>5</v>
      </c>
      <c r="B8" s="29" t="s">
        <v>106</v>
      </c>
      <c r="C8" s="30"/>
      <c r="D8" s="31" t="s">
        <v>16</v>
      </c>
      <c r="E8" s="25"/>
      <c r="F8" s="25"/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3">
        <f>SUM(G8:AK8)</f>
        <v>0</v>
      </c>
      <c r="AM8" s="34"/>
    </row>
    <row r="9" spans="1:40" x14ac:dyDescent="0.2">
      <c r="A9" s="28">
        <v>6</v>
      </c>
      <c r="B9" s="29" t="s">
        <v>107</v>
      </c>
      <c r="C9" s="30"/>
      <c r="D9" s="31" t="s">
        <v>16</v>
      </c>
      <c r="E9" s="25"/>
      <c r="F9" s="25"/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>
        <v>0</v>
      </c>
      <c r="AK9" s="32">
        <v>0</v>
      </c>
      <c r="AL9" s="33">
        <f>SUM(G9:AK9)</f>
        <v>0</v>
      </c>
      <c r="AM9" s="34"/>
    </row>
    <row r="10" spans="1:40" x14ac:dyDescent="0.2">
      <c r="A10" s="28">
        <v>7</v>
      </c>
      <c r="B10" s="29" t="s">
        <v>108</v>
      </c>
      <c r="C10" s="30"/>
      <c r="D10" s="31" t="s">
        <v>16</v>
      </c>
      <c r="E10" s="25"/>
      <c r="F10" s="25"/>
      <c r="G10" s="32">
        <v>0.98799999999999999</v>
      </c>
      <c r="H10" s="32">
        <v>4.4459999999999997</v>
      </c>
      <c r="I10" s="32">
        <v>4.7640000000000002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3">
        <f>SUM(G10:AK10)</f>
        <v>10.198</v>
      </c>
      <c r="AM10" s="34"/>
    </row>
    <row r="11" spans="1:40" x14ac:dyDescent="0.2">
      <c r="A11" s="28">
        <v>8</v>
      </c>
      <c r="B11" s="29" t="s">
        <v>109</v>
      </c>
      <c r="C11" s="30"/>
      <c r="D11" s="31" t="s">
        <v>16</v>
      </c>
      <c r="E11" s="25"/>
      <c r="F11" s="25"/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3">
        <f>SUM(G11:AK11)</f>
        <v>0</v>
      </c>
      <c r="AM11" s="34"/>
    </row>
    <row r="12" spans="1:40" x14ac:dyDescent="0.2">
      <c r="A12" s="28">
        <v>9</v>
      </c>
      <c r="B12" s="29" t="s">
        <v>110</v>
      </c>
      <c r="C12" s="30"/>
      <c r="D12" s="31" t="s">
        <v>16</v>
      </c>
      <c r="E12" s="25"/>
      <c r="F12" s="25"/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6.375</v>
      </c>
      <c r="T12" s="32">
        <v>3.8250000000000002</v>
      </c>
      <c r="U12" s="32">
        <v>10.199999999999999</v>
      </c>
      <c r="V12" s="32">
        <v>14.025</v>
      </c>
      <c r="W12" s="32">
        <v>14.025</v>
      </c>
      <c r="X12" s="32">
        <v>15.3</v>
      </c>
      <c r="Y12" s="32">
        <v>15.3</v>
      </c>
      <c r="Z12" s="32">
        <v>12.75</v>
      </c>
      <c r="AA12" s="32">
        <v>12.75</v>
      </c>
      <c r="AB12" s="32">
        <v>12.75</v>
      </c>
      <c r="AC12" s="32">
        <v>12.75</v>
      </c>
      <c r="AD12" s="32">
        <v>0.47599999999999998</v>
      </c>
      <c r="AE12" s="32">
        <v>14.28</v>
      </c>
      <c r="AF12" s="32">
        <v>16.574999999999999</v>
      </c>
      <c r="AG12" s="32">
        <v>14.025</v>
      </c>
      <c r="AH12" s="32">
        <v>14.025</v>
      </c>
      <c r="AI12" s="32">
        <v>12.75</v>
      </c>
      <c r="AJ12" s="32">
        <v>11.475</v>
      </c>
      <c r="AK12" s="32">
        <v>15.3</v>
      </c>
      <c r="AL12" s="33">
        <f>SUM(G12:AK12)</f>
        <v>228.95600000000002</v>
      </c>
      <c r="AM12" s="34"/>
    </row>
    <row r="13" spans="1:40" x14ac:dyDescent="0.2">
      <c r="A13" s="28">
        <v>10</v>
      </c>
      <c r="B13" s="29" t="s">
        <v>111</v>
      </c>
      <c r="C13" s="30"/>
      <c r="D13" s="31" t="s">
        <v>16</v>
      </c>
      <c r="E13" s="25"/>
      <c r="F13" s="25"/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3">
        <f>SUM(G13:AK13)</f>
        <v>0</v>
      </c>
      <c r="AM13" s="123"/>
    </row>
    <row r="14" spans="1:40" x14ac:dyDescent="0.2">
      <c r="A14" s="28">
        <v>11</v>
      </c>
      <c r="B14" s="29" t="s">
        <v>112</v>
      </c>
      <c r="C14" s="30"/>
      <c r="D14" s="31" t="s">
        <v>16</v>
      </c>
      <c r="E14" s="25"/>
      <c r="F14" s="25"/>
      <c r="G14" s="32">
        <v>0.98799999999999999</v>
      </c>
      <c r="H14" s="32">
        <v>4.4459999999999997</v>
      </c>
      <c r="I14" s="32">
        <v>6.4219999999999997</v>
      </c>
      <c r="J14" s="32">
        <v>6.4219999999999997</v>
      </c>
      <c r="K14" s="32">
        <v>5.9279999999999999</v>
      </c>
      <c r="L14" s="32">
        <v>5.9279999999999999</v>
      </c>
      <c r="M14" s="32">
        <v>6.4219999999999997</v>
      </c>
      <c r="N14" s="32">
        <v>5.9279999999999999</v>
      </c>
      <c r="O14" s="32">
        <v>33.591999999999999</v>
      </c>
      <c r="P14" s="32">
        <v>42.484000000000002</v>
      </c>
      <c r="Q14" s="32">
        <v>18.771999999999998</v>
      </c>
      <c r="R14" s="32">
        <v>31.616</v>
      </c>
      <c r="S14" s="32">
        <v>41.496000000000002</v>
      </c>
      <c r="T14" s="32">
        <v>2.4700000000000002</v>
      </c>
      <c r="U14" s="32">
        <v>3.952</v>
      </c>
      <c r="V14" s="32">
        <v>5.4340000000000002</v>
      </c>
      <c r="W14" s="32">
        <v>5.4340000000000002</v>
      </c>
      <c r="X14" s="32">
        <v>37.619999999999997</v>
      </c>
      <c r="Y14" s="32">
        <v>67.319999999999993</v>
      </c>
      <c r="Z14" s="32">
        <v>76.23</v>
      </c>
      <c r="AA14" s="32">
        <v>20.79</v>
      </c>
      <c r="AB14" s="32">
        <v>10.89</v>
      </c>
      <c r="AC14" s="32">
        <v>58.41</v>
      </c>
      <c r="AD14" s="32">
        <v>1.98</v>
      </c>
      <c r="AE14" s="32">
        <v>72.765000000000001</v>
      </c>
      <c r="AF14" s="32">
        <v>75.734999999999999</v>
      </c>
      <c r="AG14" s="32">
        <v>74.745000000000005</v>
      </c>
      <c r="AH14" s="32">
        <v>66.825000000000003</v>
      </c>
      <c r="AI14" s="32">
        <v>60.39</v>
      </c>
      <c r="AJ14" s="32">
        <v>7.4249999999999998</v>
      </c>
      <c r="AK14" s="32">
        <v>65.34</v>
      </c>
      <c r="AL14" s="33">
        <f>SUM(G14:AK14)</f>
        <v>924.19900000000007</v>
      </c>
      <c r="AM14" s="34"/>
    </row>
    <row r="15" spans="1:40" x14ac:dyDescent="0.2">
      <c r="A15" s="28">
        <v>12</v>
      </c>
      <c r="B15" s="29" t="s">
        <v>113</v>
      </c>
      <c r="C15" s="30"/>
      <c r="D15" s="31" t="s">
        <v>16</v>
      </c>
      <c r="E15" s="25"/>
      <c r="F15" s="25"/>
      <c r="G15" s="32">
        <v>0</v>
      </c>
      <c r="H15" s="32">
        <v>6.6420000000000003</v>
      </c>
      <c r="I15" s="32">
        <v>11.246</v>
      </c>
      <c r="J15" s="32">
        <v>15.99</v>
      </c>
      <c r="K15" s="32">
        <v>14.76</v>
      </c>
      <c r="L15" s="32">
        <v>15.76</v>
      </c>
      <c r="M15" s="32">
        <v>15.99</v>
      </c>
      <c r="N15" s="32">
        <v>14.76</v>
      </c>
      <c r="O15" s="32">
        <v>2.46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3">
        <f>SUM(G15:AK15)</f>
        <v>97.60799999999999</v>
      </c>
      <c r="AM15" s="34"/>
    </row>
    <row r="16" spans="1:40" x14ac:dyDescent="0.2">
      <c r="A16" s="28">
        <v>13</v>
      </c>
      <c r="B16" s="29" t="s">
        <v>230</v>
      </c>
      <c r="C16" s="30"/>
      <c r="D16" s="31" t="s">
        <v>16</v>
      </c>
      <c r="E16" s="25"/>
      <c r="F16" s="25"/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3">
        <f>SUM(G16:AK16)</f>
        <v>0</v>
      </c>
      <c r="AM16" s="34"/>
    </row>
    <row r="17" spans="1:39" x14ac:dyDescent="0.2">
      <c r="A17" s="28">
        <v>14</v>
      </c>
      <c r="B17" s="29" t="s">
        <v>231</v>
      </c>
      <c r="C17" s="30"/>
      <c r="D17" s="31" t="s">
        <v>16</v>
      </c>
      <c r="E17" s="25"/>
      <c r="F17" s="25"/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3">
        <f>SUM(G17:AK17)</f>
        <v>0</v>
      </c>
      <c r="AM17" s="34"/>
    </row>
    <row r="18" spans="1:39" x14ac:dyDescent="0.2">
      <c r="A18" s="28"/>
      <c r="B18" s="35" t="s">
        <v>114</v>
      </c>
      <c r="C18" s="36"/>
      <c r="D18" s="37" t="s">
        <v>16</v>
      </c>
      <c r="E18" s="38">
        <f>SUM(E4:E7)</f>
        <v>0</v>
      </c>
      <c r="F18" s="38">
        <f>SUM(F4:F7)</f>
        <v>0</v>
      </c>
      <c r="G18" s="38">
        <f t="shared" ref="G18:L18" si="0">SUM(G4:G17)</f>
        <v>5.9640000000000004</v>
      </c>
      <c r="H18" s="38">
        <f t="shared" si="0"/>
        <v>61.445999999999998</v>
      </c>
      <c r="I18" s="38">
        <f t="shared" si="0"/>
        <v>82.311999999999998</v>
      </c>
      <c r="J18" s="38">
        <f t="shared" si="0"/>
        <v>86.283999999999992</v>
      </c>
      <c r="K18" s="38">
        <f t="shared" si="0"/>
        <v>80.574000000000012</v>
      </c>
      <c r="L18" s="38">
        <f t="shared" si="0"/>
        <v>65.644000000000005</v>
      </c>
      <c r="M18" s="38">
        <f t="shared" ref="M18:R18" si="1">SUM(M4:M17)</f>
        <v>82.304000000000002</v>
      </c>
      <c r="N18" s="38">
        <f t="shared" si="1"/>
        <v>74.58</v>
      </c>
      <c r="O18" s="38">
        <f t="shared" si="1"/>
        <v>88.471999999999994</v>
      </c>
      <c r="P18" s="38">
        <f t="shared" si="1"/>
        <v>95.912000000000006</v>
      </c>
      <c r="Q18" s="38">
        <f t="shared" si="1"/>
        <v>42.239999999999995</v>
      </c>
      <c r="R18" s="38">
        <f t="shared" si="1"/>
        <v>92.03</v>
      </c>
      <c r="S18" s="38">
        <f t="shared" ref="S18:X18" si="2">SUM(S4:S17)</f>
        <v>82.569000000000003</v>
      </c>
      <c r="T18" s="38">
        <f t="shared" si="2"/>
        <v>38.783000000000001</v>
      </c>
      <c r="U18" s="38">
        <f t="shared" si="2"/>
        <v>62.152000000000001</v>
      </c>
      <c r="V18" s="38">
        <f t="shared" si="2"/>
        <v>71.459000000000003</v>
      </c>
      <c r="W18" s="38">
        <f t="shared" si="2"/>
        <v>73.459000000000003</v>
      </c>
      <c r="X18" s="38">
        <f t="shared" si="2"/>
        <v>72.919999999999987</v>
      </c>
      <c r="Y18" s="38">
        <f t="shared" ref="Y18:AD18" si="3">SUM(Y4:Y17)</f>
        <v>82.61999999999999</v>
      </c>
      <c r="Z18" s="38">
        <f t="shared" si="3"/>
        <v>88.98</v>
      </c>
      <c r="AA18" s="38">
        <f t="shared" si="3"/>
        <v>71.539999999999992</v>
      </c>
      <c r="AB18" s="38">
        <f t="shared" si="3"/>
        <v>69.625</v>
      </c>
      <c r="AC18" s="38">
        <f t="shared" si="3"/>
        <v>71.16</v>
      </c>
      <c r="AD18" s="38">
        <f t="shared" si="3"/>
        <v>2.456</v>
      </c>
      <c r="AE18" s="38">
        <f t="shared" ref="AE18:AK18" si="4">SUM(AE4:AE17)</f>
        <v>87.045000000000002</v>
      </c>
      <c r="AF18" s="38">
        <f t="shared" si="4"/>
        <v>92.31</v>
      </c>
      <c r="AG18" s="38">
        <f t="shared" si="4"/>
        <v>88.77000000000001</v>
      </c>
      <c r="AH18" s="38">
        <f t="shared" si="4"/>
        <v>80.850000000000009</v>
      </c>
      <c r="AI18" s="38">
        <f t="shared" si="4"/>
        <v>73.14</v>
      </c>
      <c r="AJ18" s="38">
        <f t="shared" si="4"/>
        <v>83.143999999999991</v>
      </c>
      <c r="AK18" s="38">
        <f t="shared" si="4"/>
        <v>90.64</v>
      </c>
      <c r="AL18" s="33">
        <f>SUM(G18:AK18)</f>
        <v>2241.3839999999996</v>
      </c>
      <c r="AM18" s="34"/>
    </row>
    <row r="19" spans="1:39" ht="25" x14ac:dyDescent="0.25">
      <c r="A19" s="21" t="s">
        <v>115</v>
      </c>
      <c r="B19" s="39" t="s">
        <v>116</v>
      </c>
      <c r="C19" s="40"/>
      <c r="D19" s="40"/>
      <c r="E19" s="40"/>
      <c r="F19" s="40"/>
      <c r="G19" s="40"/>
      <c r="H19" s="179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33">
        <f>SUM(G19:AK19)</f>
        <v>0</v>
      </c>
      <c r="AM19" s="34"/>
    </row>
    <row r="20" spans="1:39" x14ac:dyDescent="0.2">
      <c r="A20" s="28">
        <v>1</v>
      </c>
      <c r="B20" s="41" t="s">
        <v>117</v>
      </c>
      <c r="C20" s="30"/>
      <c r="D20" s="31" t="s">
        <v>118</v>
      </c>
      <c r="E20" s="25"/>
      <c r="F20" s="25"/>
      <c r="G20" s="25">
        <v>0</v>
      </c>
      <c r="H20" s="25">
        <v>0</v>
      </c>
      <c r="I20" s="25">
        <v>0</v>
      </c>
      <c r="J20" s="42">
        <v>0</v>
      </c>
      <c r="K20" s="42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33">
        <f>SUM(G20:AK20)</f>
        <v>0</v>
      </c>
      <c r="AM20" s="34"/>
    </row>
    <row r="21" spans="1:39" x14ac:dyDescent="0.2">
      <c r="A21" s="28">
        <v>2</v>
      </c>
      <c r="B21" s="41" t="s">
        <v>119</v>
      </c>
      <c r="C21" s="30"/>
      <c r="D21" s="31" t="s">
        <v>118</v>
      </c>
      <c r="E21" s="25"/>
      <c r="F21" s="25"/>
      <c r="G21" s="25">
        <v>5</v>
      </c>
      <c r="H21" s="25">
        <v>11</v>
      </c>
      <c r="I21" s="25">
        <v>19</v>
      </c>
      <c r="J21" s="25">
        <v>20</v>
      </c>
      <c r="K21" s="25">
        <v>16</v>
      </c>
      <c r="L21" s="25">
        <v>16</v>
      </c>
      <c r="M21" s="25">
        <v>18</v>
      </c>
      <c r="N21" s="25">
        <v>17</v>
      </c>
      <c r="O21" s="25">
        <v>17</v>
      </c>
      <c r="P21" s="25">
        <v>16</v>
      </c>
      <c r="Q21" s="25">
        <v>13</v>
      </c>
      <c r="R21" s="25">
        <v>12</v>
      </c>
      <c r="S21" s="25">
        <v>14</v>
      </c>
      <c r="T21" s="25">
        <v>10</v>
      </c>
      <c r="U21" s="43">
        <v>15</v>
      </c>
      <c r="V21" s="25">
        <v>16</v>
      </c>
      <c r="W21" s="25">
        <v>16</v>
      </c>
      <c r="X21" s="25">
        <v>17</v>
      </c>
      <c r="Y21" s="25">
        <v>15</v>
      </c>
      <c r="Z21" s="25">
        <v>17</v>
      </c>
      <c r="AA21" s="25">
        <v>18</v>
      </c>
      <c r="AB21" s="25">
        <v>18</v>
      </c>
      <c r="AC21" s="25">
        <v>14</v>
      </c>
      <c r="AD21" s="25">
        <v>1</v>
      </c>
      <c r="AE21" s="25">
        <v>16</v>
      </c>
      <c r="AF21" s="25">
        <v>18</v>
      </c>
      <c r="AG21" s="25">
        <v>14</v>
      </c>
      <c r="AH21" s="25">
        <v>13</v>
      </c>
      <c r="AI21" s="25">
        <v>20</v>
      </c>
      <c r="AJ21" s="25">
        <v>17</v>
      </c>
      <c r="AK21" s="25">
        <v>18</v>
      </c>
      <c r="AL21" s="33">
        <f>SUM(G21:AK21)</f>
        <v>467</v>
      </c>
      <c r="AM21" s="34"/>
    </row>
    <row r="22" spans="1:39" x14ac:dyDescent="0.2">
      <c r="A22" s="28">
        <v>3</v>
      </c>
      <c r="B22" s="41" t="s">
        <v>120</v>
      </c>
      <c r="C22" s="30"/>
      <c r="D22" s="31" t="s">
        <v>118</v>
      </c>
      <c r="E22" s="25"/>
      <c r="F22" s="25"/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33">
        <f>SUM(G22:AK22)</f>
        <v>0</v>
      </c>
      <c r="AM22" s="34"/>
    </row>
    <row r="23" spans="1:39" x14ac:dyDescent="0.2">
      <c r="A23" s="28">
        <v>4</v>
      </c>
      <c r="B23" s="41" t="s">
        <v>223</v>
      </c>
      <c r="C23" s="30"/>
      <c r="D23" s="31" t="s">
        <v>118</v>
      </c>
      <c r="E23" s="25"/>
      <c r="F23" s="25"/>
      <c r="G23" s="25">
        <v>0</v>
      </c>
      <c r="H23" s="25">
        <v>0</v>
      </c>
      <c r="I23" s="25">
        <v>0</v>
      </c>
      <c r="J23" s="25">
        <v>0</v>
      </c>
      <c r="K23" s="25">
        <v>140</v>
      </c>
      <c r="L23" s="25">
        <v>390</v>
      </c>
      <c r="M23" s="25">
        <v>460</v>
      </c>
      <c r="N23" s="25">
        <v>420</v>
      </c>
      <c r="O23" s="25">
        <v>620</v>
      </c>
      <c r="P23" s="25">
        <v>650</v>
      </c>
      <c r="Q23" s="25">
        <v>420</v>
      </c>
      <c r="R23" s="25">
        <v>950</v>
      </c>
      <c r="S23" s="25">
        <v>460</v>
      </c>
      <c r="T23" s="25">
        <v>80</v>
      </c>
      <c r="U23" s="25">
        <v>0</v>
      </c>
      <c r="V23" s="25">
        <v>280</v>
      </c>
      <c r="W23" s="25">
        <v>450</v>
      </c>
      <c r="X23" s="25">
        <v>510</v>
      </c>
      <c r="Y23" s="25">
        <v>430</v>
      </c>
      <c r="Z23" s="25">
        <v>470</v>
      </c>
      <c r="AA23" s="25">
        <v>410</v>
      </c>
      <c r="AB23" s="25">
        <v>350</v>
      </c>
      <c r="AC23" s="25">
        <v>320</v>
      </c>
      <c r="AD23" s="25">
        <v>10</v>
      </c>
      <c r="AE23" s="25">
        <v>470</v>
      </c>
      <c r="AF23" s="25">
        <v>550</v>
      </c>
      <c r="AG23" s="25">
        <v>50</v>
      </c>
      <c r="AH23" s="25">
        <v>0</v>
      </c>
      <c r="AI23" s="25">
        <v>0</v>
      </c>
      <c r="AJ23" s="25">
        <v>0</v>
      </c>
      <c r="AK23" s="25">
        <v>0</v>
      </c>
      <c r="AL23" s="33">
        <f>SUM(G23:AK23)</f>
        <v>8890</v>
      </c>
      <c r="AM23" s="34"/>
    </row>
    <row r="24" spans="1:39" x14ac:dyDescent="0.2">
      <c r="A24" s="28">
        <v>5</v>
      </c>
      <c r="B24" s="41" t="s">
        <v>121</v>
      </c>
      <c r="C24" s="30"/>
      <c r="D24" s="31" t="s">
        <v>118</v>
      </c>
      <c r="E24" s="25"/>
      <c r="F24" s="25"/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8</v>
      </c>
      <c r="M24" s="25">
        <v>2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1</v>
      </c>
      <c r="T24" s="25">
        <v>1</v>
      </c>
      <c r="U24" s="25">
        <v>0</v>
      </c>
      <c r="V24" s="25">
        <v>2</v>
      </c>
      <c r="W24" s="25">
        <v>4</v>
      </c>
      <c r="X24" s="25">
        <v>1</v>
      </c>
      <c r="Y24" s="25">
        <v>0</v>
      </c>
      <c r="Z24" s="25">
        <v>0</v>
      </c>
      <c r="AA24" s="25">
        <v>2</v>
      </c>
      <c r="AB24" s="25">
        <v>4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7</v>
      </c>
      <c r="AK24" s="25">
        <v>1</v>
      </c>
      <c r="AL24" s="33">
        <f>SUM(G24:AK24)</f>
        <v>33</v>
      </c>
      <c r="AM24" s="34"/>
    </row>
    <row r="25" spans="1:39" x14ac:dyDescent="0.2">
      <c r="A25" s="28">
        <v>6</v>
      </c>
      <c r="B25" s="41" t="s">
        <v>122</v>
      </c>
      <c r="C25" s="30"/>
      <c r="D25" s="31" t="s">
        <v>118</v>
      </c>
      <c r="E25" s="25"/>
      <c r="F25" s="25"/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33">
        <f>SUM(G25:AK25)</f>
        <v>0</v>
      </c>
      <c r="AM25" s="34"/>
    </row>
    <row r="26" spans="1:39" x14ac:dyDescent="0.2">
      <c r="A26" s="28">
        <v>7</v>
      </c>
      <c r="B26" s="41" t="s">
        <v>123</v>
      </c>
      <c r="C26" s="30"/>
      <c r="D26" s="31" t="s">
        <v>118</v>
      </c>
      <c r="E26" s="25"/>
      <c r="F26" s="25"/>
      <c r="G26" s="25">
        <v>5</v>
      </c>
      <c r="H26" s="25">
        <v>72</v>
      </c>
      <c r="I26" s="25">
        <v>88</v>
      </c>
      <c r="J26" s="25">
        <v>90</v>
      </c>
      <c r="K26" s="25">
        <v>85</v>
      </c>
      <c r="L26" s="25">
        <v>76</v>
      </c>
      <c r="M26" s="25">
        <v>90</v>
      </c>
      <c r="N26" s="25">
        <v>85</v>
      </c>
      <c r="O26" s="25">
        <v>107</v>
      </c>
      <c r="P26" s="25">
        <v>95</v>
      </c>
      <c r="Q26" s="25">
        <v>40</v>
      </c>
      <c r="R26" s="25">
        <v>82</v>
      </c>
      <c r="S26" s="25">
        <v>85</v>
      </c>
      <c r="T26" s="25">
        <v>45</v>
      </c>
      <c r="U26" s="25">
        <v>60</v>
      </c>
      <c r="V26" s="25">
        <v>80</v>
      </c>
      <c r="W26" s="25">
        <v>85</v>
      </c>
      <c r="X26" s="25">
        <v>95</v>
      </c>
      <c r="Y26" s="25">
        <v>96</v>
      </c>
      <c r="Z26" s="25">
        <v>130</v>
      </c>
      <c r="AA26" s="25">
        <v>98</v>
      </c>
      <c r="AB26" s="25">
        <v>84</v>
      </c>
      <c r="AC26" s="25">
        <v>87</v>
      </c>
      <c r="AD26" s="25">
        <v>1</v>
      </c>
      <c r="AE26" s="25">
        <v>115</v>
      </c>
      <c r="AF26" s="25">
        <v>125</v>
      </c>
      <c r="AG26" s="25">
        <v>100</v>
      </c>
      <c r="AH26" s="25">
        <v>100</v>
      </c>
      <c r="AI26" s="25">
        <v>90</v>
      </c>
      <c r="AJ26" s="25">
        <v>90</v>
      </c>
      <c r="AK26" s="25">
        <v>100</v>
      </c>
      <c r="AL26" s="33">
        <f>SUM(G26:AK26)</f>
        <v>2581</v>
      </c>
      <c r="AM26" s="34"/>
    </row>
    <row r="27" spans="1:39" x14ac:dyDescent="0.2">
      <c r="A27" s="28">
        <v>8</v>
      </c>
      <c r="B27" s="41" t="s">
        <v>124</v>
      </c>
      <c r="C27" s="30"/>
      <c r="D27" s="31" t="s">
        <v>118</v>
      </c>
      <c r="E27" s="25"/>
      <c r="F27" s="25"/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33">
        <f>SUM(G27:AK27)</f>
        <v>0</v>
      </c>
      <c r="AM27" s="34"/>
    </row>
    <row r="28" spans="1:39" x14ac:dyDescent="0.2">
      <c r="A28" s="28">
        <v>9</v>
      </c>
      <c r="B28" s="41" t="s">
        <v>125</v>
      </c>
      <c r="C28" s="30"/>
      <c r="D28" s="31" t="s">
        <v>118</v>
      </c>
      <c r="E28" s="25"/>
      <c r="F28" s="25"/>
      <c r="G28" s="25">
        <v>1</v>
      </c>
      <c r="H28" s="25">
        <v>40</v>
      </c>
      <c r="I28" s="25">
        <v>60</v>
      </c>
      <c r="J28" s="25">
        <v>66</v>
      </c>
      <c r="K28" s="25">
        <v>70</v>
      </c>
      <c r="L28" s="25">
        <v>78</v>
      </c>
      <c r="M28" s="25">
        <v>62</v>
      </c>
      <c r="N28" s="25">
        <v>70</v>
      </c>
      <c r="O28" s="25">
        <v>55</v>
      </c>
      <c r="P28" s="25">
        <v>40</v>
      </c>
      <c r="Q28" s="25">
        <v>12</v>
      </c>
      <c r="R28" s="25">
        <v>15</v>
      </c>
      <c r="S28" s="25">
        <v>50</v>
      </c>
      <c r="T28" s="25">
        <v>34</v>
      </c>
      <c r="U28" s="25">
        <v>50</v>
      </c>
      <c r="V28" s="25">
        <v>52</v>
      </c>
      <c r="W28" s="25">
        <v>53</v>
      </c>
      <c r="X28" s="25">
        <v>45</v>
      </c>
      <c r="Y28" s="25">
        <v>50</v>
      </c>
      <c r="Z28" s="25">
        <v>60</v>
      </c>
      <c r="AA28" s="25">
        <v>65</v>
      </c>
      <c r="AB28" s="25">
        <v>55</v>
      </c>
      <c r="AC28" s="25">
        <v>40</v>
      </c>
      <c r="AD28" s="25">
        <v>1</v>
      </c>
      <c r="AE28" s="25">
        <v>45</v>
      </c>
      <c r="AF28" s="25">
        <v>44</v>
      </c>
      <c r="AG28" s="25">
        <v>40</v>
      </c>
      <c r="AH28" s="25">
        <v>30</v>
      </c>
      <c r="AI28" s="25">
        <v>48</v>
      </c>
      <c r="AJ28" s="25">
        <v>60</v>
      </c>
      <c r="AK28" s="25">
        <v>50</v>
      </c>
      <c r="AL28" s="33">
        <f>SUM(G28:AK28)</f>
        <v>1441</v>
      </c>
      <c r="AM28" s="34"/>
    </row>
    <row r="29" spans="1:39" x14ac:dyDescent="0.2">
      <c r="A29" s="28">
        <v>10</v>
      </c>
      <c r="B29" s="41" t="s">
        <v>126</v>
      </c>
      <c r="C29" s="44"/>
      <c r="D29" s="31" t="s">
        <v>118</v>
      </c>
      <c r="E29" s="25"/>
      <c r="F29" s="25"/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5</v>
      </c>
      <c r="Q29" s="25">
        <v>0</v>
      </c>
      <c r="R29" s="25">
        <v>5</v>
      </c>
      <c r="S29" s="25">
        <v>5</v>
      </c>
      <c r="T29" s="25">
        <v>2</v>
      </c>
      <c r="U29" s="25">
        <v>0</v>
      </c>
      <c r="V29" s="25">
        <v>0</v>
      </c>
      <c r="W29" s="25">
        <v>0</v>
      </c>
      <c r="X29" s="25">
        <v>8</v>
      </c>
      <c r="Y29" s="25">
        <v>5</v>
      </c>
      <c r="Z29" s="25">
        <v>5</v>
      </c>
      <c r="AA29" s="25">
        <v>5</v>
      </c>
      <c r="AB29" s="25">
        <v>0</v>
      </c>
      <c r="AC29" s="25">
        <v>3</v>
      </c>
      <c r="AD29" s="25">
        <v>0</v>
      </c>
      <c r="AE29" s="25">
        <v>5</v>
      </c>
      <c r="AF29" s="25">
        <v>5</v>
      </c>
      <c r="AG29" s="25">
        <v>5</v>
      </c>
      <c r="AH29" s="25">
        <v>5</v>
      </c>
      <c r="AI29" s="25">
        <v>5</v>
      </c>
      <c r="AJ29" s="25">
        <v>5</v>
      </c>
      <c r="AK29" s="25">
        <v>5</v>
      </c>
      <c r="AL29" s="33">
        <f>SUM(G29:AK29)</f>
        <v>78</v>
      </c>
      <c r="AM29" s="34"/>
    </row>
    <row r="30" spans="1:39" x14ac:dyDescent="0.2">
      <c r="A30" s="28">
        <v>11</v>
      </c>
      <c r="B30" s="41" t="s">
        <v>127</v>
      </c>
      <c r="C30" s="30"/>
      <c r="D30" s="31" t="s">
        <v>118</v>
      </c>
      <c r="E30" s="25"/>
      <c r="F30" s="25"/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3</v>
      </c>
      <c r="M30" s="25">
        <v>3</v>
      </c>
      <c r="N30" s="25">
        <v>3</v>
      </c>
      <c r="O30" s="25">
        <v>3</v>
      </c>
      <c r="P30" s="25">
        <v>3</v>
      </c>
      <c r="Q30" s="25">
        <v>2</v>
      </c>
      <c r="R30" s="25">
        <v>3</v>
      </c>
      <c r="S30" s="25">
        <v>5</v>
      </c>
      <c r="T30" s="25">
        <v>3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2</v>
      </c>
      <c r="AD30" s="25">
        <v>0</v>
      </c>
      <c r="AE30" s="25">
        <v>5</v>
      </c>
      <c r="AF30" s="25">
        <v>5</v>
      </c>
      <c r="AG30" s="25">
        <v>5</v>
      </c>
      <c r="AH30" s="25">
        <v>5</v>
      </c>
      <c r="AI30" s="25">
        <v>5</v>
      </c>
      <c r="AJ30" s="25">
        <v>5</v>
      </c>
      <c r="AK30" s="25">
        <v>5</v>
      </c>
      <c r="AL30" s="33">
        <f>SUM(G30:AK30)</f>
        <v>65</v>
      </c>
      <c r="AM30" s="34"/>
    </row>
    <row r="31" spans="1:39" x14ac:dyDescent="0.2">
      <c r="A31" s="28">
        <v>12</v>
      </c>
      <c r="B31" s="41" t="s">
        <v>128</v>
      </c>
      <c r="C31" s="30"/>
      <c r="D31" s="31" t="s">
        <v>118</v>
      </c>
      <c r="E31" s="25"/>
      <c r="F31" s="25"/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1</v>
      </c>
      <c r="M31" s="25">
        <v>1</v>
      </c>
      <c r="N31" s="25">
        <v>1</v>
      </c>
      <c r="O31" s="25">
        <v>1</v>
      </c>
      <c r="P31" s="25">
        <v>1</v>
      </c>
      <c r="Q31" s="25">
        <v>0</v>
      </c>
      <c r="R31" s="25">
        <v>1</v>
      </c>
      <c r="S31" s="25">
        <v>1</v>
      </c>
      <c r="T31" s="25">
        <v>0</v>
      </c>
      <c r="U31" s="43">
        <v>0</v>
      </c>
      <c r="V31" s="25">
        <v>0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B31" s="25">
        <v>1</v>
      </c>
      <c r="AC31" s="25">
        <v>0</v>
      </c>
      <c r="AD31" s="25">
        <v>0</v>
      </c>
      <c r="AE31" s="25">
        <v>1</v>
      </c>
      <c r="AF31" s="25">
        <v>1</v>
      </c>
      <c r="AG31" s="25">
        <v>1</v>
      </c>
      <c r="AH31" s="25">
        <v>1</v>
      </c>
      <c r="AI31" s="25">
        <v>1</v>
      </c>
      <c r="AJ31" s="25">
        <v>1</v>
      </c>
      <c r="AK31" s="25">
        <v>1</v>
      </c>
      <c r="AL31" s="33">
        <f>SUM(G31:AK31)</f>
        <v>20</v>
      </c>
      <c r="AM31" s="34"/>
    </row>
    <row r="32" spans="1:39" x14ac:dyDescent="0.2">
      <c r="A32" s="28">
        <v>13</v>
      </c>
      <c r="B32" s="41" t="s">
        <v>129</v>
      </c>
      <c r="C32" s="30"/>
      <c r="D32" s="31" t="s">
        <v>118</v>
      </c>
      <c r="E32" s="25"/>
      <c r="F32" s="25"/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1</v>
      </c>
      <c r="M32" s="25">
        <v>1</v>
      </c>
      <c r="N32" s="25">
        <v>1</v>
      </c>
      <c r="O32" s="25">
        <v>1</v>
      </c>
      <c r="P32" s="25">
        <v>1</v>
      </c>
      <c r="Q32" s="25">
        <v>0</v>
      </c>
      <c r="R32" s="25">
        <v>1</v>
      </c>
      <c r="S32" s="25">
        <v>1</v>
      </c>
      <c r="T32" s="25">
        <v>0</v>
      </c>
      <c r="U32" s="25">
        <v>0</v>
      </c>
      <c r="V32" s="25">
        <v>0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B32" s="25">
        <v>1</v>
      </c>
      <c r="AC32" s="25">
        <v>0</v>
      </c>
      <c r="AD32" s="25">
        <v>0</v>
      </c>
      <c r="AE32" s="25">
        <v>1</v>
      </c>
      <c r="AF32" s="25">
        <v>1</v>
      </c>
      <c r="AG32" s="25">
        <v>1</v>
      </c>
      <c r="AH32" s="25">
        <v>1</v>
      </c>
      <c r="AI32" s="25">
        <v>1</v>
      </c>
      <c r="AJ32" s="25">
        <v>1</v>
      </c>
      <c r="AK32" s="25">
        <v>1</v>
      </c>
      <c r="AL32" s="33">
        <f>SUM(G32:AK32)</f>
        <v>20</v>
      </c>
      <c r="AM32" s="34"/>
    </row>
    <row r="33" spans="1:41" x14ac:dyDescent="0.2">
      <c r="A33" s="28">
        <v>14</v>
      </c>
      <c r="B33" s="41" t="s">
        <v>130</v>
      </c>
      <c r="C33" s="30"/>
      <c r="D33" s="31" t="s">
        <v>118</v>
      </c>
      <c r="E33" s="25"/>
      <c r="F33" s="25"/>
      <c r="G33" s="25">
        <v>0</v>
      </c>
      <c r="H33" s="43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33">
        <f>SUM(G33:AK33)</f>
        <v>0</v>
      </c>
      <c r="AM33" s="34"/>
    </row>
    <row r="34" spans="1:41" x14ac:dyDescent="0.2">
      <c r="A34" s="28">
        <v>15</v>
      </c>
      <c r="B34" s="41" t="s">
        <v>131</v>
      </c>
      <c r="C34" s="44"/>
      <c r="D34" s="31" t="s">
        <v>118</v>
      </c>
      <c r="E34" s="25"/>
      <c r="F34" s="25"/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33">
        <f>SUM(G34:AK34)</f>
        <v>0</v>
      </c>
      <c r="AN34" s="27"/>
      <c r="AO34" s="34"/>
    </row>
    <row r="35" spans="1:41" x14ac:dyDescent="0.2">
      <c r="A35" s="28">
        <v>16</v>
      </c>
      <c r="B35" s="41" t="s">
        <v>132</v>
      </c>
      <c r="C35" s="30"/>
      <c r="D35" s="31" t="s">
        <v>118</v>
      </c>
      <c r="E35" s="25"/>
      <c r="F35" s="25"/>
      <c r="G35" s="25">
        <v>0</v>
      </c>
      <c r="H35" s="25">
        <v>2</v>
      </c>
      <c r="I35" s="25">
        <v>1</v>
      </c>
      <c r="J35" s="25">
        <v>1</v>
      </c>
      <c r="K35" s="25">
        <v>1</v>
      </c>
      <c r="L35" s="25">
        <v>1</v>
      </c>
      <c r="M35" s="25">
        <v>1</v>
      </c>
      <c r="N35" s="25">
        <v>1</v>
      </c>
      <c r="O35" s="25">
        <v>1</v>
      </c>
      <c r="P35" s="25">
        <v>1</v>
      </c>
      <c r="Q35" s="25">
        <v>0</v>
      </c>
      <c r="R35" s="25">
        <v>1</v>
      </c>
      <c r="S35" s="25">
        <v>1</v>
      </c>
      <c r="T35" s="25">
        <v>1</v>
      </c>
      <c r="U35" s="25">
        <v>1</v>
      </c>
      <c r="V35" s="25">
        <v>1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B35" s="25">
        <v>1</v>
      </c>
      <c r="AC35" s="25">
        <v>1</v>
      </c>
      <c r="AD35" s="25">
        <v>0</v>
      </c>
      <c r="AE35" s="25">
        <v>1</v>
      </c>
      <c r="AF35" s="25">
        <v>1</v>
      </c>
      <c r="AG35" s="25">
        <v>1</v>
      </c>
      <c r="AH35" s="25">
        <v>1</v>
      </c>
      <c r="AI35" s="25">
        <v>1</v>
      </c>
      <c r="AJ35" s="25">
        <v>1</v>
      </c>
      <c r="AK35" s="25">
        <v>1</v>
      </c>
      <c r="AL35" s="33">
        <f>SUM(G35:AK35)</f>
        <v>29</v>
      </c>
      <c r="AN35" s="27"/>
      <c r="AO35" s="34"/>
    </row>
    <row r="36" spans="1:41" x14ac:dyDescent="0.2">
      <c r="A36" s="28">
        <v>17</v>
      </c>
      <c r="B36" s="41" t="s">
        <v>133</v>
      </c>
      <c r="C36" s="30"/>
      <c r="D36" s="31" t="s">
        <v>118</v>
      </c>
      <c r="E36" s="25"/>
      <c r="F36" s="25"/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33">
        <f>SUM(G36:AK36)</f>
        <v>0</v>
      </c>
      <c r="AN36" s="27"/>
      <c r="AO36" s="34"/>
    </row>
    <row r="37" spans="1:41" x14ac:dyDescent="0.2">
      <c r="A37" s="28">
        <v>18</v>
      </c>
      <c r="B37" s="41" t="s">
        <v>134</v>
      </c>
      <c r="C37" s="30"/>
      <c r="D37" s="31" t="s">
        <v>118</v>
      </c>
      <c r="E37" s="25"/>
      <c r="F37" s="25"/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33">
        <f>SUM(G37:AK37)</f>
        <v>0</v>
      </c>
      <c r="AN37" s="27"/>
      <c r="AO37" s="34"/>
    </row>
    <row r="38" spans="1:41" x14ac:dyDescent="0.2">
      <c r="A38" s="28">
        <v>19</v>
      </c>
      <c r="B38" s="41" t="s">
        <v>135</v>
      </c>
      <c r="C38" s="44"/>
      <c r="D38" s="31" t="s">
        <v>118</v>
      </c>
      <c r="E38" s="25"/>
      <c r="F38" s="25"/>
      <c r="G38" s="25">
        <v>1</v>
      </c>
      <c r="H38" s="25">
        <v>3</v>
      </c>
      <c r="I38" s="25">
        <v>3</v>
      </c>
      <c r="J38" s="25">
        <v>3</v>
      </c>
      <c r="K38" s="25">
        <v>3</v>
      </c>
      <c r="L38" s="25">
        <v>4</v>
      </c>
      <c r="M38" s="25">
        <v>4</v>
      </c>
      <c r="N38" s="25">
        <v>4</v>
      </c>
      <c r="O38" s="25">
        <v>4</v>
      </c>
      <c r="P38" s="25">
        <v>4</v>
      </c>
      <c r="Q38" s="25">
        <v>2</v>
      </c>
      <c r="R38" s="25">
        <v>4</v>
      </c>
      <c r="S38" s="25">
        <v>4</v>
      </c>
      <c r="T38" s="25">
        <v>4</v>
      </c>
      <c r="U38" s="25">
        <v>4</v>
      </c>
      <c r="V38" s="25">
        <v>3</v>
      </c>
      <c r="W38" s="25">
        <v>3</v>
      </c>
      <c r="X38" s="25">
        <v>3</v>
      </c>
      <c r="Y38" s="25">
        <v>3</v>
      </c>
      <c r="Z38" s="25">
        <v>3</v>
      </c>
      <c r="AA38" s="25">
        <v>3</v>
      </c>
      <c r="AB38" s="25">
        <v>3</v>
      </c>
      <c r="AC38" s="25">
        <v>2</v>
      </c>
      <c r="AD38" s="25">
        <v>1</v>
      </c>
      <c r="AE38" s="25">
        <v>2</v>
      </c>
      <c r="AF38" s="25">
        <v>2</v>
      </c>
      <c r="AG38" s="25">
        <v>2</v>
      </c>
      <c r="AH38" s="25">
        <v>2</v>
      </c>
      <c r="AI38" s="25">
        <v>2</v>
      </c>
      <c r="AJ38" s="25">
        <v>2</v>
      </c>
      <c r="AK38" s="25">
        <v>2</v>
      </c>
      <c r="AL38" s="33">
        <f>SUM(G38:AK38)</f>
        <v>89</v>
      </c>
      <c r="AN38" s="27"/>
      <c r="AO38" s="34"/>
    </row>
    <row r="39" spans="1:41" x14ac:dyDescent="0.2">
      <c r="A39" s="28">
        <v>20</v>
      </c>
      <c r="B39" s="41" t="s">
        <v>136</v>
      </c>
      <c r="C39" s="44"/>
      <c r="D39" s="31" t="s">
        <v>118</v>
      </c>
      <c r="E39" s="25"/>
      <c r="F39" s="25"/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33">
        <f>SUM(G39:AK39)</f>
        <v>0</v>
      </c>
      <c r="AN39" s="27"/>
      <c r="AO39" s="34"/>
    </row>
    <row r="40" spans="1:41" x14ac:dyDescent="0.2">
      <c r="A40" s="28">
        <v>21</v>
      </c>
      <c r="B40" s="41" t="s">
        <v>137</v>
      </c>
      <c r="C40" s="30"/>
      <c r="D40" s="31" t="s">
        <v>118</v>
      </c>
      <c r="E40" s="25"/>
      <c r="F40" s="25"/>
      <c r="G40" s="25">
        <v>5</v>
      </c>
      <c r="H40" s="25">
        <v>35</v>
      </c>
      <c r="I40" s="25">
        <v>45</v>
      </c>
      <c r="J40" s="25">
        <v>45</v>
      </c>
      <c r="K40" s="25">
        <v>45</v>
      </c>
      <c r="L40" s="25">
        <v>35</v>
      </c>
      <c r="M40" s="25">
        <v>35</v>
      </c>
      <c r="N40" s="25">
        <v>35</v>
      </c>
      <c r="O40" s="25">
        <v>35</v>
      </c>
      <c r="P40" s="25">
        <v>35</v>
      </c>
      <c r="Q40" s="25">
        <v>15</v>
      </c>
      <c r="R40" s="25">
        <v>35</v>
      </c>
      <c r="S40" s="25">
        <v>35</v>
      </c>
      <c r="T40" s="25">
        <v>35</v>
      </c>
      <c r="U40" s="25">
        <v>35</v>
      </c>
      <c r="V40" s="25">
        <v>25</v>
      </c>
      <c r="W40" s="25">
        <v>25</v>
      </c>
      <c r="X40" s="25">
        <v>25</v>
      </c>
      <c r="Y40" s="25">
        <v>25</v>
      </c>
      <c r="Z40" s="25">
        <v>25</v>
      </c>
      <c r="AA40" s="25">
        <v>25</v>
      </c>
      <c r="AB40" s="25">
        <v>25</v>
      </c>
      <c r="AC40" s="25">
        <v>20</v>
      </c>
      <c r="AD40" s="25">
        <v>1</v>
      </c>
      <c r="AE40" s="25">
        <v>30</v>
      </c>
      <c r="AF40" s="25">
        <v>30</v>
      </c>
      <c r="AG40" s="25">
        <v>30</v>
      </c>
      <c r="AH40" s="25">
        <v>30</v>
      </c>
      <c r="AI40" s="25">
        <v>30</v>
      </c>
      <c r="AJ40" s="25">
        <v>30</v>
      </c>
      <c r="AK40" s="25">
        <v>30</v>
      </c>
      <c r="AL40" s="33">
        <f>SUM(G40:AK40)</f>
        <v>911</v>
      </c>
      <c r="AN40" s="45"/>
      <c r="AO40" s="34"/>
    </row>
    <row r="41" spans="1:41" x14ac:dyDescent="0.2">
      <c r="A41" s="28">
        <v>22</v>
      </c>
      <c r="B41" s="41" t="s">
        <v>138</v>
      </c>
      <c r="C41" s="30"/>
      <c r="D41" s="31" t="s">
        <v>118</v>
      </c>
      <c r="E41" s="25"/>
      <c r="F41" s="25"/>
      <c r="G41" s="25">
        <v>0</v>
      </c>
      <c r="H41" s="25">
        <v>15</v>
      </c>
      <c r="I41" s="25">
        <v>15</v>
      </c>
      <c r="J41" s="25">
        <v>20</v>
      </c>
      <c r="K41" s="25">
        <v>20</v>
      </c>
      <c r="L41" s="25">
        <v>20</v>
      </c>
      <c r="M41" s="25">
        <v>20</v>
      </c>
      <c r="N41" s="25">
        <v>20</v>
      </c>
      <c r="O41" s="25">
        <v>20</v>
      </c>
      <c r="P41" s="25">
        <v>20</v>
      </c>
      <c r="Q41" s="25">
        <v>10</v>
      </c>
      <c r="R41" s="25">
        <v>20</v>
      </c>
      <c r="S41" s="25">
        <v>20</v>
      </c>
      <c r="T41" s="25">
        <v>10</v>
      </c>
      <c r="U41" s="25">
        <v>15</v>
      </c>
      <c r="V41" s="25">
        <v>20</v>
      </c>
      <c r="W41" s="25">
        <v>20</v>
      </c>
      <c r="X41" s="25">
        <v>20</v>
      </c>
      <c r="Y41" s="25">
        <v>20</v>
      </c>
      <c r="Z41" s="25">
        <v>20</v>
      </c>
      <c r="AA41" s="25">
        <v>20</v>
      </c>
      <c r="AB41" s="25">
        <v>20</v>
      </c>
      <c r="AC41" s="25">
        <v>15</v>
      </c>
      <c r="AD41" s="25">
        <v>0</v>
      </c>
      <c r="AE41" s="25">
        <v>20</v>
      </c>
      <c r="AF41" s="25">
        <v>20</v>
      </c>
      <c r="AG41" s="25">
        <v>20</v>
      </c>
      <c r="AH41" s="25">
        <v>20</v>
      </c>
      <c r="AI41" s="25">
        <v>20</v>
      </c>
      <c r="AJ41" s="25">
        <v>20</v>
      </c>
      <c r="AK41" s="25">
        <v>20</v>
      </c>
      <c r="AL41" s="33">
        <f>SUM(G41:AK41)</f>
        <v>540</v>
      </c>
      <c r="AN41" s="45"/>
      <c r="AO41" s="34"/>
    </row>
    <row r="42" spans="1:41" x14ac:dyDescent="0.2">
      <c r="A42" s="28">
        <v>23</v>
      </c>
      <c r="B42" s="41" t="s">
        <v>139</v>
      </c>
      <c r="C42" s="30"/>
      <c r="D42" s="31" t="s">
        <v>118</v>
      </c>
      <c r="E42" s="25"/>
      <c r="F42" s="25"/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33">
        <f>SUM(G42:AK42)</f>
        <v>0</v>
      </c>
      <c r="AN42" s="45"/>
      <c r="AO42" s="34"/>
    </row>
    <row r="43" spans="1:41" x14ac:dyDescent="0.2">
      <c r="A43" s="28">
        <v>24</v>
      </c>
      <c r="B43" s="41" t="s">
        <v>140</v>
      </c>
      <c r="C43" s="30"/>
      <c r="D43" s="31" t="s">
        <v>118</v>
      </c>
      <c r="E43" s="25"/>
      <c r="F43" s="25"/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33">
        <f>SUM(G43:AK43)</f>
        <v>0</v>
      </c>
      <c r="AN43" s="45"/>
      <c r="AO43" s="34"/>
    </row>
    <row r="44" spans="1:41" x14ac:dyDescent="0.2">
      <c r="A44" s="28">
        <v>25</v>
      </c>
      <c r="B44" s="41" t="s">
        <v>141</v>
      </c>
      <c r="C44" s="30"/>
      <c r="D44" s="31" t="s">
        <v>118</v>
      </c>
      <c r="E44" s="25"/>
      <c r="F44" s="25"/>
      <c r="G44" s="25">
        <v>100</v>
      </c>
      <c r="H44" s="25">
        <v>50</v>
      </c>
      <c r="I44" s="25">
        <v>50</v>
      </c>
      <c r="J44" s="25">
        <v>50</v>
      </c>
      <c r="K44" s="25">
        <v>50</v>
      </c>
      <c r="L44" s="25">
        <v>50</v>
      </c>
      <c r="M44" s="25">
        <v>50</v>
      </c>
      <c r="N44" s="25">
        <v>50</v>
      </c>
      <c r="O44" s="25">
        <v>100</v>
      </c>
      <c r="P44" s="25">
        <v>50</v>
      </c>
      <c r="Q44" s="25">
        <v>50</v>
      </c>
      <c r="R44" s="25">
        <v>50</v>
      </c>
      <c r="S44" s="25">
        <v>100</v>
      </c>
      <c r="T44" s="25">
        <v>100</v>
      </c>
      <c r="U44" s="25">
        <v>100</v>
      </c>
      <c r="V44" s="25">
        <v>50</v>
      </c>
      <c r="W44" s="25">
        <v>50</v>
      </c>
      <c r="X44" s="25">
        <v>50</v>
      </c>
      <c r="Y44" s="25">
        <v>50</v>
      </c>
      <c r="Z44" s="25">
        <v>50</v>
      </c>
      <c r="AA44" s="25">
        <v>50</v>
      </c>
      <c r="AB44" s="25">
        <v>50</v>
      </c>
      <c r="AC44" s="25">
        <v>100</v>
      </c>
      <c r="AD44" s="25">
        <v>50</v>
      </c>
      <c r="AE44" s="25">
        <v>50</v>
      </c>
      <c r="AF44" s="25">
        <v>50</v>
      </c>
      <c r="AG44" s="25">
        <v>50</v>
      </c>
      <c r="AH44" s="25">
        <v>100</v>
      </c>
      <c r="AI44" s="25">
        <v>100</v>
      </c>
      <c r="AJ44" s="25">
        <v>100</v>
      </c>
      <c r="AK44" s="25">
        <v>50</v>
      </c>
      <c r="AL44" s="33">
        <f>SUM(G44:AK44)</f>
        <v>2000</v>
      </c>
      <c r="AN44" s="45"/>
      <c r="AO44" s="34"/>
    </row>
    <row r="45" spans="1:41" x14ac:dyDescent="0.2">
      <c r="A45" s="28">
        <v>26</v>
      </c>
      <c r="B45" s="41" t="s">
        <v>142</v>
      </c>
      <c r="C45" s="30"/>
      <c r="D45" s="31" t="s">
        <v>118</v>
      </c>
      <c r="E45" s="25"/>
      <c r="F45" s="25"/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30</v>
      </c>
      <c r="AL45" s="33">
        <f>SUM(G45:AK45)</f>
        <v>30</v>
      </c>
      <c r="AN45" s="45"/>
      <c r="AO45" s="34"/>
    </row>
    <row r="46" spans="1:41" x14ac:dyDescent="0.2">
      <c r="A46" s="28">
        <v>27</v>
      </c>
      <c r="B46" s="41" t="s">
        <v>143</v>
      </c>
      <c r="C46" s="30"/>
      <c r="D46" s="31" t="s">
        <v>118</v>
      </c>
      <c r="E46" s="25"/>
      <c r="F46" s="25"/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30</v>
      </c>
      <c r="AH46" s="25">
        <v>30</v>
      </c>
      <c r="AI46" s="25">
        <v>30</v>
      </c>
      <c r="AJ46" s="25">
        <v>30</v>
      </c>
      <c r="AK46" s="25">
        <v>30</v>
      </c>
      <c r="AL46" s="33">
        <f>SUM(G46:AK46)</f>
        <v>150</v>
      </c>
      <c r="AN46" s="45"/>
      <c r="AO46" s="34"/>
    </row>
    <row r="47" spans="1:41" x14ac:dyDescent="0.2">
      <c r="A47" s="28">
        <v>28</v>
      </c>
      <c r="B47" s="41" t="s">
        <v>232</v>
      </c>
      <c r="C47" s="30"/>
      <c r="D47" s="124" t="s">
        <v>118</v>
      </c>
      <c r="E47" s="125"/>
      <c r="F47" s="125"/>
      <c r="G47" s="25">
        <v>1</v>
      </c>
      <c r="H47" s="25">
        <v>4</v>
      </c>
      <c r="I47" s="25">
        <v>5.6</v>
      </c>
      <c r="J47" s="25">
        <v>5.8</v>
      </c>
      <c r="K47" s="25">
        <v>4.8</v>
      </c>
      <c r="L47" s="25">
        <v>4.5999999999999996</v>
      </c>
      <c r="M47" s="25">
        <v>5.6</v>
      </c>
      <c r="N47" s="25">
        <v>5.0999999999999996</v>
      </c>
      <c r="O47" s="25">
        <v>5.5</v>
      </c>
      <c r="P47" s="25">
        <v>6.4</v>
      </c>
      <c r="Q47" s="25">
        <v>2.8</v>
      </c>
      <c r="R47" s="25">
        <v>6.2</v>
      </c>
      <c r="S47" s="25">
        <v>5.6</v>
      </c>
      <c r="T47" s="136">
        <v>2.5</v>
      </c>
      <c r="U47" s="136">
        <v>4</v>
      </c>
      <c r="V47" s="136">
        <v>4.7</v>
      </c>
      <c r="W47" s="25">
        <v>4.9000000000000004</v>
      </c>
      <c r="X47" s="25">
        <v>5</v>
      </c>
      <c r="Y47" s="136">
        <v>5.5</v>
      </c>
      <c r="Z47" s="136">
        <v>5</v>
      </c>
      <c r="AA47" s="136">
        <v>4.7</v>
      </c>
      <c r="AB47" s="25">
        <v>4.5</v>
      </c>
      <c r="AC47" s="136">
        <v>4.7</v>
      </c>
      <c r="AD47" s="136">
        <v>0.2</v>
      </c>
      <c r="AE47" s="136">
        <v>5.9</v>
      </c>
      <c r="AF47" s="25">
        <v>6.1</v>
      </c>
      <c r="AG47" s="25">
        <v>5.7</v>
      </c>
      <c r="AH47" s="136">
        <v>5.3</v>
      </c>
      <c r="AI47" s="25">
        <v>4.8</v>
      </c>
      <c r="AJ47" s="25">
        <v>5</v>
      </c>
      <c r="AK47" s="25">
        <v>5.9</v>
      </c>
      <c r="AL47" s="33">
        <f>SUM(G47:AK47)</f>
        <v>147.40000000000003</v>
      </c>
      <c r="AN47" s="45"/>
      <c r="AO47" s="34"/>
    </row>
    <row r="48" spans="1:41" x14ac:dyDescent="0.2">
      <c r="A48" s="28">
        <v>29</v>
      </c>
      <c r="B48" s="41" t="s">
        <v>233</v>
      </c>
      <c r="C48" s="30"/>
      <c r="D48" s="124" t="s">
        <v>118</v>
      </c>
      <c r="E48" s="125"/>
      <c r="F48" s="125"/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33">
        <f>SUM(G48:AK48)</f>
        <v>0</v>
      </c>
      <c r="AN48" s="45"/>
      <c r="AO48" s="34"/>
    </row>
    <row r="49" spans="1:41" x14ac:dyDescent="0.2">
      <c r="A49" s="28">
        <v>30</v>
      </c>
      <c r="B49" s="41" t="s">
        <v>234</v>
      </c>
      <c r="C49" s="30"/>
      <c r="D49" s="124" t="s">
        <v>118</v>
      </c>
      <c r="E49" s="125"/>
      <c r="F49" s="125"/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655</v>
      </c>
      <c r="AH49" s="25">
        <v>645</v>
      </c>
      <c r="AI49" s="25">
        <v>360</v>
      </c>
      <c r="AJ49" s="25">
        <v>270</v>
      </c>
      <c r="AK49" s="25">
        <v>330</v>
      </c>
      <c r="AL49" s="33">
        <f>SUM(G49:AK49)</f>
        <v>2260</v>
      </c>
      <c r="AN49" s="45"/>
      <c r="AO49" s="34"/>
    </row>
    <row r="50" spans="1:41" x14ac:dyDescent="0.2">
      <c r="A50" s="28">
        <v>31</v>
      </c>
      <c r="B50" s="41" t="s">
        <v>239</v>
      </c>
      <c r="C50" s="30"/>
      <c r="D50" s="124" t="s">
        <v>118</v>
      </c>
      <c r="E50" s="125"/>
      <c r="F50" s="125"/>
      <c r="G50" s="25">
        <v>0</v>
      </c>
      <c r="H50" s="25">
        <v>0</v>
      </c>
      <c r="I50" s="25">
        <v>0</v>
      </c>
      <c r="J50" s="25">
        <v>30</v>
      </c>
      <c r="K50" s="25">
        <v>50</v>
      </c>
      <c r="L50" s="25">
        <v>0</v>
      </c>
      <c r="M50" s="25">
        <v>120</v>
      </c>
      <c r="N50" s="25">
        <v>160</v>
      </c>
      <c r="O50" s="25">
        <v>220</v>
      </c>
      <c r="P50" s="25">
        <v>200</v>
      </c>
      <c r="Q50" s="25">
        <v>120</v>
      </c>
      <c r="R50" s="25">
        <v>300</v>
      </c>
      <c r="S50" s="25">
        <v>200</v>
      </c>
      <c r="T50" s="25">
        <v>30</v>
      </c>
      <c r="U50" s="25">
        <v>0</v>
      </c>
      <c r="V50" s="25">
        <v>0</v>
      </c>
      <c r="W50" s="25">
        <v>0</v>
      </c>
      <c r="X50" s="25">
        <v>70</v>
      </c>
      <c r="Y50" s="25">
        <v>140</v>
      </c>
      <c r="Z50" s="25">
        <v>150</v>
      </c>
      <c r="AA50" s="25">
        <v>110</v>
      </c>
      <c r="AB50" s="25">
        <v>0</v>
      </c>
      <c r="AC50" s="25">
        <v>100</v>
      </c>
      <c r="AD50" s="25">
        <v>10</v>
      </c>
      <c r="AE50" s="25">
        <v>130</v>
      </c>
      <c r="AF50" s="25">
        <v>150</v>
      </c>
      <c r="AG50" s="25">
        <v>190</v>
      </c>
      <c r="AH50" s="25">
        <v>210</v>
      </c>
      <c r="AI50" s="25">
        <v>120</v>
      </c>
      <c r="AJ50" s="25">
        <v>50</v>
      </c>
      <c r="AK50" s="25">
        <v>150</v>
      </c>
      <c r="AL50" s="172">
        <f>SUM(G50:AK50)</f>
        <v>3010</v>
      </c>
      <c r="AN50" s="45"/>
      <c r="AO50" s="34"/>
    </row>
    <row r="51" spans="1:41" x14ac:dyDescent="0.2">
      <c r="A51" s="28"/>
      <c r="B51" s="105" t="s">
        <v>224</v>
      </c>
      <c r="C51" s="3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N51" s="45"/>
      <c r="AO51" s="34"/>
    </row>
    <row r="52" spans="1:41" x14ac:dyDescent="0.2">
      <c r="A52" s="28">
        <v>28</v>
      </c>
      <c r="B52" s="41" t="s">
        <v>225</v>
      </c>
      <c r="C52" s="30"/>
      <c r="D52" s="31" t="s">
        <v>228</v>
      </c>
      <c r="E52" s="25"/>
      <c r="F52" s="25"/>
      <c r="G52" s="25">
        <v>0</v>
      </c>
      <c r="H52" s="25">
        <v>852.8</v>
      </c>
      <c r="I52" s="25">
        <v>902</v>
      </c>
      <c r="J52" s="25">
        <v>1254.5999999999999</v>
      </c>
      <c r="K52" s="25">
        <v>992.2</v>
      </c>
      <c r="L52" s="25">
        <v>902</v>
      </c>
      <c r="M52" s="25">
        <v>918.5</v>
      </c>
      <c r="N52" s="25">
        <v>1123.4000000000001</v>
      </c>
      <c r="O52" s="25">
        <v>1082.4000000000001</v>
      </c>
      <c r="P52" s="25">
        <v>960</v>
      </c>
      <c r="Q52" s="25">
        <v>926.6</v>
      </c>
      <c r="R52" s="25">
        <v>1156.2</v>
      </c>
      <c r="S52" s="25">
        <v>615</v>
      </c>
      <c r="T52" s="25">
        <v>825</v>
      </c>
      <c r="U52" s="25">
        <v>1020</v>
      </c>
      <c r="V52" s="25">
        <v>1050</v>
      </c>
      <c r="W52" s="25">
        <v>850</v>
      </c>
      <c r="X52" s="25">
        <v>1057.8</v>
      </c>
      <c r="Y52" s="25">
        <v>980</v>
      </c>
      <c r="Z52" s="25">
        <v>1074.2</v>
      </c>
      <c r="AA52" s="25">
        <v>1082.4000000000001</v>
      </c>
      <c r="AB52" s="25">
        <v>1180.8</v>
      </c>
      <c r="AC52" s="25">
        <v>1057.8</v>
      </c>
      <c r="AD52" s="25">
        <v>172.2</v>
      </c>
      <c r="AE52" s="25">
        <v>1016.8</v>
      </c>
      <c r="AF52" s="25">
        <v>1057.8</v>
      </c>
      <c r="AG52" s="25">
        <v>995</v>
      </c>
      <c r="AH52" s="25">
        <v>870</v>
      </c>
      <c r="AI52" s="25">
        <v>844.6</v>
      </c>
      <c r="AJ52" s="25">
        <v>1221.8</v>
      </c>
      <c r="AK52" s="25">
        <v>1476</v>
      </c>
      <c r="AL52" s="33">
        <f>SUM(G52:AK52)</f>
        <v>29517.899999999998</v>
      </c>
      <c r="AN52" s="45"/>
      <c r="AO52" s="34"/>
    </row>
    <row r="53" spans="1:41" x14ac:dyDescent="0.2">
      <c r="A53" s="28">
        <v>29</v>
      </c>
      <c r="B53" s="41" t="s">
        <v>226</v>
      </c>
      <c r="C53" s="30"/>
      <c r="D53" s="31" t="s">
        <v>229</v>
      </c>
      <c r="E53" s="25"/>
      <c r="F53" s="25"/>
      <c r="G53" s="25">
        <v>0</v>
      </c>
      <c r="H53" s="25">
        <v>230</v>
      </c>
      <c r="I53" s="25">
        <v>200</v>
      </c>
      <c r="J53" s="25">
        <v>320</v>
      </c>
      <c r="K53" s="25">
        <v>120</v>
      </c>
      <c r="L53" s="25">
        <v>165</v>
      </c>
      <c r="M53" s="25">
        <v>360</v>
      </c>
      <c r="N53" s="25">
        <v>60</v>
      </c>
      <c r="O53" s="25">
        <v>200</v>
      </c>
      <c r="P53" s="25">
        <v>150</v>
      </c>
      <c r="Q53" s="25">
        <v>50</v>
      </c>
      <c r="R53" s="25">
        <v>0</v>
      </c>
      <c r="S53" s="25">
        <v>0</v>
      </c>
      <c r="T53" s="25">
        <v>0</v>
      </c>
      <c r="U53" s="25">
        <v>80</v>
      </c>
      <c r="V53" s="25">
        <v>100</v>
      </c>
      <c r="W53" s="25">
        <v>200</v>
      </c>
      <c r="X53" s="25">
        <v>100</v>
      </c>
      <c r="Y53" s="25">
        <v>110</v>
      </c>
      <c r="Z53" s="25">
        <v>0</v>
      </c>
      <c r="AA53" s="25">
        <v>0</v>
      </c>
      <c r="AB53" s="25">
        <v>115</v>
      </c>
      <c r="AC53" s="25">
        <v>180</v>
      </c>
      <c r="AD53" s="25">
        <v>0</v>
      </c>
      <c r="AE53" s="25">
        <v>0</v>
      </c>
      <c r="AF53" s="25">
        <v>250</v>
      </c>
      <c r="AG53" s="25">
        <v>0</v>
      </c>
      <c r="AH53" s="25">
        <v>54</v>
      </c>
      <c r="AI53" s="25">
        <v>0</v>
      </c>
      <c r="AJ53" s="25">
        <v>28</v>
      </c>
      <c r="AK53" s="25">
        <v>0</v>
      </c>
      <c r="AL53" s="33">
        <f>SUM(G53:AK53)</f>
        <v>3072</v>
      </c>
      <c r="AN53" s="45"/>
      <c r="AO53" s="34"/>
    </row>
    <row r="54" spans="1:41" x14ac:dyDescent="0.2">
      <c r="A54" s="28">
        <v>30</v>
      </c>
      <c r="B54" s="41" t="s">
        <v>227</v>
      </c>
      <c r="C54" s="30"/>
      <c r="D54" s="31" t="s">
        <v>228</v>
      </c>
      <c r="E54" s="25"/>
      <c r="F54" s="25"/>
      <c r="G54" s="25">
        <v>0</v>
      </c>
      <c r="H54" s="25">
        <v>250</v>
      </c>
      <c r="I54" s="25">
        <v>275</v>
      </c>
      <c r="J54" s="25">
        <v>350</v>
      </c>
      <c r="K54" s="25">
        <v>270</v>
      </c>
      <c r="L54" s="25">
        <v>270</v>
      </c>
      <c r="M54" s="25">
        <v>250</v>
      </c>
      <c r="N54" s="25">
        <v>350</v>
      </c>
      <c r="O54" s="25">
        <v>260</v>
      </c>
      <c r="P54" s="25">
        <v>285</v>
      </c>
      <c r="Q54" s="25">
        <v>235</v>
      </c>
      <c r="R54" s="25">
        <v>390</v>
      </c>
      <c r="S54" s="25">
        <v>279</v>
      </c>
      <c r="T54" s="25">
        <v>186</v>
      </c>
      <c r="U54" s="25">
        <v>220</v>
      </c>
      <c r="V54" s="25">
        <v>280</v>
      </c>
      <c r="W54" s="25">
        <v>225</v>
      </c>
      <c r="X54" s="25">
        <v>225</v>
      </c>
      <c r="Y54" s="25">
        <v>240</v>
      </c>
      <c r="Z54" s="25">
        <v>280</v>
      </c>
      <c r="AA54" s="25">
        <v>341</v>
      </c>
      <c r="AB54" s="25">
        <v>300</v>
      </c>
      <c r="AC54" s="25">
        <v>285</v>
      </c>
      <c r="AD54" s="25">
        <v>62</v>
      </c>
      <c r="AE54" s="25">
        <v>294.5</v>
      </c>
      <c r="AF54" s="25">
        <v>150</v>
      </c>
      <c r="AG54" s="25">
        <v>150</v>
      </c>
      <c r="AH54" s="25">
        <v>150</v>
      </c>
      <c r="AI54" s="25">
        <v>144</v>
      </c>
      <c r="AJ54" s="25">
        <v>150</v>
      </c>
      <c r="AK54" s="25">
        <v>150</v>
      </c>
      <c r="AL54" s="33">
        <f>SUM(G54:AK54)</f>
        <v>7296.5</v>
      </c>
      <c r="AN54" s="45"/>
      <c r="AO54" s="34"/>
    </row>
    <row r="55" spans="1:41" x14ac:dyDescent="0.2">
      <c r="A55" s="139">
        <v>31</v>
      </c>
      <c r="B55" s="41" t="s">
        <v>235</v>
      </c>
      <c r="C55" s="30"/>
      <c r="D55" s="31" t="s">
        <v>229</v>
      </c>
      <c r="E55" s="25"/>
      <c r="F55" s="25"/>
      <c r="G55" s="25">
        <v>0</v>
      </c>
      <c r="H55" s="25">
        <v>191</v>
      </c>
      <c r="I55" s="25">
        <v>339</v>
      </c>
      <c r="J55" s="25">
        <v>303</v>
      </c>
      <c r="K55" s="25">
        <v>330</v>
      </c>
      <c r="L55" s="25">
        <v>340</v>
      </c>
      <c r="M55" s="25">
        <v>365</v>
      </c>
      <c r="N55" s="25">
        <v>647</v>
      </c>
      <c r="O55" s="25">
        <v>305</v>
      </c>
      <c r="P55" s="25">
        <v>390</v>
      </c>
      <c r="Q55" s="25">
        <v>292</v>
      </c>
      <c r="R55" s="25">
        <v>489</v>
      </c>
      <c r="S55" s="25">
        <v>469</v>
      </c>
      <c r="T55" s="25">
        <v>256</v>
      </c>
      <c r="U55" s="25">
        <v>218</v>
      </c>
      <c r="V55" s="25">
        <v>258</v>
      </c>
      <c r="W55" s="25">
        <v>244</v>
      </c>
      <c r="X55" s="25">
        <v>394</v>
      </c>
      <c r="Y55" s="25">
        <v>524</v>
      </c>
      <c r="Z55" s="25">
        <v>664</v>
      </c>
      <c r="AA55" s="25">
        <v>647</v>
      </c>
      <c r="AB55" s="25">
        <v>514</v>
      </c>
      <c r="AC55" s="25">
        <v>464</v>
      </c>
      <c r="AD55" s="25">
        <v>121</v>
      </c>
      <c r="AE55" s="25">
        <v>488</v>
      </c>
      <c r="AF55" s="25">
        <v>170</v>
      </c>
      <c r="AG55" s="25">
        <v>545</v>
      </c>
      <c r="AH55" s="25">
        <v>297</v>
      </c>
      <c r="AI55" s="25">
        <v>497</v>
      </c>
      <c r="AJ55" s="25">
        <v>445</v>
      </c>
      <c r="AK55" s="25">
        <v>492</v>
      </c>
      <c r="AL55" s="33">
        <f>SUM(G55:AK55)</f>
        <v>11698</v>
      </c>
      <c r="AN55" s="45"/>
      <c r="AO55" s="34"/>
    </row>
    <row r="56" spans="1:41" x14ac:dyDescent="0.2">
      <c r="A56" s="191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92"/>
      <c r="AN56" s="45"/>
      <c r="AO56" s="34"/>
    </row>
    <row r="57" spans="1:41" x14ac:dyDescent="0.2">
      <c r="A57" s="28" t="s">
        <v>144</v>
      </c>
      <c r="B57" s="35" t="s">
        <v>145</v>
      </c>
      <c r="C57" s="36"/>
      <c r="D57" s="37" t="s">
        <v>16</v>
      </c>
      <c r="E57" s="46">
        <v>0</v>
      </c>
      <c r="F57" s="46">
        <v>0</v>
      </c>
      <c r="G57" s="46">
        <v>3</v>
      </c>
      <c r="H57" s="46">
        <v>60</v>
      </c>
      <c r="I57" s="46">
        <v>81</v>
      </c>
      <c r="J57" s="46">
        <v>88</v>
      </c>
      <c r="K57" s="46">
        <v>80</v>
      </c>
      <c r="L57" s="46">
        <v>64</v>
      </c>
      <c r="M57" s="46">
        <v>85</v>
      </c>
      <c r="N57" s="46">
        <v>81</v>
      </c>
      <c r="O57" s="46">
        <v>87</v>
      </c>
      <c r="P57" s="46">
        <v>94</v>
      </c>
      <c r="Q57" s="46">
        <v>40</v>
      </c>
      <c r="R57" s="46">
        <v>95</v>
      </c>
      <c r="S57" s="46">
        <v>81</v>
      </c>
      <c r="T57" s="46">
        <v>41</v>
      </c>
      <c r="U57" s="46">
        <v>62</v>
      </c>
      <c r="V57" s="46">
        <v>72</v>
      </c>
      <c r="W57" s="46">
        <v>73</v>
      </c>
      <c r="X57" s="46">
        <v>74</v>
      </c>
      <c r="Y57" s="46">
        <v>83</v>
      </c>
      <c r="Z57" s="46">
        <v>85</v>
      </c>
      <c r="AA57" s="46">
        <v>75</v>
      </c>
      <c r="AB57" s="46">
        <v>73</v>
      </c>
      <c r="AC57" s="46">
        <v>73</v>
      </c>
      <c r="AD57" s="46">
        <v>3</v>
      </c>
      <c r="AE57" s="46">
        <v>88</v>
      </c>
      <c r="AF57" s="46">
        <v>94</v>
      </c>
      <c r="AG57" s="46">
        <v>90</v>
      </c>
      <c r="AH57" s="46">
        <v>80</v>
      </c>
      <c r="AI57" s="46">
        <v>74</v>
      </c>
      <c r="AJ57" s="46">
        <v>81</v>
      </c>
      <c r="AK57" s="46">
        <v>81</v>
      </c>
      <c r="AL57" s="33">
        <f>SUM(G57:AK57)</f>
        <v>2241</v>
      </c>
      <c r="AN57" s="27"/>
      <c r="AO57" s="34"/>
    </row>
    <row r="58" spans="1:41" ht="21" thickBot="1" x14ac:dyDescent="0.25">
      <c r="A58" s="108" t="s">
        <v>146</v>
      </c>
      <c r="B58" s="109" t="s">
        <v>147</v>
      </c>
      <c r="C58" s="110"/>
      <c r="D58" s="111" t="s">
        <v>16</v>
      </c>
      <c r="E58" s="112">
        <f>E57*0.935</f>
        <v>0</v>
      </c>
      <c r="F58" s="112">
        <f t="shared" ref="F58" si="5">F57*0.935</f>
        <v>0</v>
      </c>
      <c r="G58" s="113">
        <v>0</v>
      </c>
      <c r="H58" s="113">
        <v>44.226999999999997</v>
      </c>
      <c r="I58" s="113">
        <v>66.007000000000005</v>
      </c>
      <c r="J58" s="113">
        <v>90.018000000000001</v>
      </c>
      <c r="K58" s="113">
        <v>68.721999999999994</v>
      </c>
      <c r="L58" s="113">
        <v>53.869</v>
      </c>
      <c r="M58" s="113">
        <v>65.965000000000003</v>
      </c>
      <c r="N58" s="113">
        <v>83.403000000000006</v>
      </c>
      <c r="O58" s="113">
        <v>93.858999999999995</v>
      </c>
      <c r="P58" s="113">
        <v>68.403000000000006</v>
      </c>
      <c r="Q58" s="113">
        <v>59.201999999999998</v>
      </c>
      <c r="R58" s="113">
        <v>104.854</v>
      </c>
      <c r="S58" s="113">
        <v>73.141000000000005</v>
      </c>
      <c r="T58" s="113">
        <v>40.393000000000001</v>
      </c>
      <c r="U58" s="113">
        <v>51.256999999999998</v>
      </c>
      <c r="V58" s="113">
        <v>59.795000000000002</v>
      </c>
      <c r="W58" s="113">
        <v>53.948999999999998</v>
      </c>
      <c r="X58" s="113">
        <v>69.466999999999999</v>
      </c>
      <c r="Y58" s="113">
        <v>71.097999999999999</v>
      </c>
      <c r="Z58" s="113">
        <v>75.728999999999999</v>
      </c>
      <c r="AA58" s="113">
        <v>82.632999999999996</v>
      </c>
      <c r="AB58" s="113">
        <v>78.581999999999994</v>
      </c>
      <c r="AC58" s="113">
        <v>79.613</v>
      </c>
      <c r="AD58" s="113">
        <v>13.693</v>
      </c>
      <c r="AE58" s="113">
        <v>73.765000000000001</v>
      </c>
      <c r="AF58" s="113">
        <v>94.119</v>
      </c>
      <c r="AG58" s="113">
        <v>77.876000000000005</v>
      </c>
      <c r="AH58" s="113">
        <v>75.004000000000005</v>
      </c>
      <c r="AI58" s="113">
        <v>64.828000000000003</v>
      </c>
      <c r="AJ58" s="113">
        <v>77.037000000000006</v>
      </c>
      <c r="AK58" s="113">
        <v>77.037000000000006</v>
      </c>
      <c r="AL58" s="114">
        <f>SUM(G58:AK58)</f>
        <v>2087.5450000000001</v>
      </c>
      <c r="AN58" s="27"/>
      <c r="AO58" s="34"/>
    </row>
    <row r="59" spans="1:41" hidden="1" x14ac:dyDescent="0.2">
      <c r="A59" s="106"/>
      <c r="B59" s="107"/>
      <c r="C59" s="181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3"/>
      <c r="AN59" s="27"/>
      <c r="AO59" s="34"/>
    </row>
    <row r="60" spans="1:41" ht="23.25" hidden="1" customHeight="1" x14ac:dyDescent="0.25">
      <c r="A60" s="49" t="s">
        <v>148</v>
      </c>
      <c r="B60" s="50" t="s">
        <v>149</v>
      </c>
      <c r="C60" s="184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6"/>
    </row>
    <row r="61" spans="1:41" hidden="1" x14ac:dyDescent="0.2">
      <c r="A61" s="49">
        <v>1</v>
      </c>
      <c r="B61" s="48" t="s">
        <v>150</v>
      </c>
      <c r="C61" s="51"/>
      <c r="D61" s="52" t="s">
        <v>16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53">
        <f>SUM(E61:AK61)</f>
        <v>0</v>
      </c>
      <c r="AN61" s="27"/>
      <c r="AO61" s="34"/>
    </row>
    <row r="62" spans="1:41" ht="15.75" hidden="1" customHeight="1" x14ac:dyDescent="0.2">
      <c r="A62" s="49">
        <v>2</v>
      </c>
      <c r="B62" s="48" t="s">
        <v>151</v>
      </c>
      <c r="C62" s="51"/>
      <c r="D62" s="52" t="s">
        <v>16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53">
        <f>SUM(E62:AK62)</f>
        <v>0</v>
      </c>
      <c r="AN62" s="54"/>
      <c r="AO62" s="34"/>
    </row>
    <row r="63" spans="1:41" ht="17.25" hidden="1" customHeight="1" x14ac:dyDescent="0.2">
      <c r="A63" s="49">
        <v>3</v>
      </c>
      <c r="B63" s="48" t="s">
        <v>152</v>
      </c>
      <c r="C63" s="51"/>
      <c r="D63" s="52" t="s">
        <v>153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53">
        <f>SUM(E63:AK63)</f>
        <v>0</v>
      </c>
      <c r="AO63" s="55"/>
    </row>
    <row r="64" spans="1:41" ht="19.5" hidden="1" customHeight="1" x14ac:dyDescent="0.2">
      <c r="A64" s="47">
        <v>4</v>
      </c>
      <c r="B64" s="56" t="s">
        <v>154</v>
      </c>
      <c r="C64" s="57"/>
      <c r="D64" s="58" t="s">
        <v>29</v>
      </c>
      <c r="E64" s="59"/>
      <c r="F64" s="59"/>
      <c r="G64" s="59"/>
      <c r="H64" s="59"/>
      <c r="I64" s="59" t="e">
        <f>#REF!</f>
        <v>#REF!</v>
      </c>
      <c r="J64" s="59" t="e">
        <f>#REF!</f>
        <v>#REF!</v>
      </c>
      <c r="K64" s="59" t="e">
        <f>#REF!</f>
        <v>#REF!</v>
      </c>
      <c r="L64" s="59" t="e">
        <f>#REF!</f>
        <v>#REF!</v>
      </c>
      <c r="M64" s="59" t="e">
        <f>#REF!</f>
        <v>#REF!</v>
      </c>
      <c r="N64" s="59" t="e">
        <f>#REF!</f>
        <v>#REF!</v>
      </c>
      <c r="O64" s="59" t="e">
        <f>#REF!</f>
        <v>#REF!</v>
      </c>
      <c r="P64" s="59" t="e">
        <f>#REF!</f>
        <v>#REF!</v>
      </c>
      <c r="Q64" s="59" t="e">
        <f>#REF!</f>
        <v>#REF!</v>
      </c>
      <c r="R64" s="59" t="e">
        <f>#REF!</f>
        <v>#REF!</v>
      </c>
      <c r="S64" s="59" t="e">
        <f>#REF!</f>
        <v>#REF!</v>
      </c>
      <c r="T64" s="59" t="e">
        <f>#REF!</f>
        <v>#REF!</v>
      </c>
      <c r="U64" s="59" t="e">
        <f>#REF!</f>
        <v>#REF!</v>
      </c>
      <c r="V64" s="59" t="e">
        <f>#REF!</f>
        <v>#REF!</v>
      </c>
      <c r="W64" s="59" t="e">
        <f>#REF!</f>
        <v>#REF!</v>
      </c>
      <c r="X64" s="59" t="e">
        <f>#REF!</f>
        <v>#REF!</v>
      </c>
      <c r="Y64" s="59" t="e">
        <f>#REF!</f>
        <v>#REF!</v>
      </c>
      <c r="Z64" s="59" t="e">
        <f>#REF!</f>
        <v>#REF!</v>
      </c>
      <c r="AA64" s="59" t="e">
        <f>#REF!</f>
        <v>#REF!</v>
      </c>
      <c r="AB64" s="59" t="e">
        <f>#REF!</f>
        <v>#REF!</v>
      </c>
      <c r="AC64" s="59" t="e">
        <f>#REF!</f>
        <v>#REF!</v>
      </c>
      <c r="AD64" s="59" t="e">
        <f>#REF!</f>
        <v>#REF!</v>
      </c>
      <c r="AE64" s="59" t="e">
        <f>#REF!</f>
        <v>#REF!</v>
      </c>
      <c r="AF64" s="59" t="e">
        <f>#REF!</f>
        <v>#REF!</v>
      </c>
      <c r="AG64" s="59" t="e">
        <f>#REF!</f>
        <v>#REF!</v>
      </c>
      <c r="AH64" s="59" t="e">
        <f>#REF!</f>
        <v>#REF!</v>
      </c>
      <c r="AI64" s="59" t="e">
        <f>#REF!</f>
        <v>#REF!</v>
      </c>
      <c r="AJ64" s="59" t="e">
        <f>#REF!</f>
        <v>#REF!</v>
      </c>
      <c r="AK64" s="59" t="e">
        <f>#REF!</f>
        <v>#REF!</v>
      </c>
      <c r="AL64" s="53" t="e">
        <f>SUM(I64:AK64)</f>
        <v>#REF!</v>
      </c>
      <c r="AO64" s="55"/>
    </row>
    <row r="65" spans="1:41" ht="23.25" hidden="1" customHeight="1" x14ac:dyDescent="0.2">
      <c r="A65" s="49">
        <v>5</v>
      </c>
      <c r="B65" s="48" t="s">
        <v>155</v>
      </c>
      <c r="C65" s="51"/>
      <c r="D65" s="48" t="s">
        <v>156</v>
      </c>
      <c r="E65" s="60"/>
      <c r="F65" s="60"/>
      <c r="G65" s="60"/>
      <c r="H65" s="60"/>
      <c r="I65" s="60">
        <f t="shared" ref="I65:AK65" si="6">I18/I58</f>
        <v>1.2470192555335038</v>
      </c>
      <c r="J65" s="60">
        <f t="shared" si="6"/>
        <v>0.95851940722966511</v>
      </c>
      <c r="K65" s="60">
        <f t="shared" si="6"/>
        <v>1.1724629667355435</v>
      </c>
      <c r="L65" s="60">
        <f t="shared" ref="L65:AJ65" si="7">L18/L58</f>
        <v>1.218585828584158</v>
      </c>
      <c r="M65" s="60">
        <f t="shared" si="7"/>
        <v>1.2476919578564389</v>
      </c>
      <c r="N65" s="60">
        <f t="shared" si="7"/>
        <v>0.89421243840149622</v>
      </c>
      <c r="O65" s="60">
        <f t="shared" si="7"/>
        <v>0.94260539745788896</v>
      </c>
      <c r="P65" s="60">
        <f t="shared" si="7"/>
        <v>1.4021607239448561</v>
      </c>
      <c r="Q65" s="60">
        <f t="shared" si="7"/>
        <v>0.71348940914158299</v>
      </c>
      <c r="R65" s="60">
        <f t="shared" si="7"/>
        <v>0.87769660671028293</v>
      </c>
      <c r="S65" s="60">
        <f t="shared" si="7"/>
        <v>1.1289017103949905</v>
      </c>
      <c r="T65" s="60">
        <f t="shared" si="7"/>
        <v>0.96014160869457577</v>
      </c>
      <c r="U65" s="60">
        <f t="shared" si="7"/>
        <v>1.2125563337690461</v>
      </c>
      <c r="V65" s="60">
        <f t="shared" si="7"/>
        <v>1.1950664771301949</v>
      </c>
      <c r="W65" s="60">
        <f t="shared" si="7"/>
        <v>1.3616378431481586</v>
      </c>
      <c r="X65" s="60">
        <f t="shared" si="7"/>
        <v>1.0497070551484875</v>
      </c>
      <c r="Y65" s="60">
        <f t="shared" si="7"/>
        <v>1.1620580044445694</v>
      </c>
      <c r="Z65" s="60">
        <f t="shared" si="7"/>
        <v>1.1749792021550529</v>
      </c>
      <c r="AA65" s="60">
        <f t="shared" si="7"/>
        <v>0.86575581184272621</v>
      </c>
      <c r="AB65" s="60">
        <f t="shared" si="7"/>
        <v>0.88601715405563619</v>
      </c>
      <c r="AC65" s="60">
        <f t="shared" si="7"/>
        <v>0.89382387298556765</v>
      </c>
      <c r="AD65" s="60">
        <f t="shared" si="7"/>
        <v>0.17936171766596071</v>
      </c>
      <c r="AE65" s="60">
        <f t="shared" si="7"/>
        <v>1.1800311800989629</v>
      </c>
      <c r="AF65" s="60">
        <f t="shared" si="7"/>
        <v>0.98077965129251266</v>
      </c>
      <c r="AG65" s="60">
        <f t="shared" si="7"/>
        <v>1.1398890543941651</v>
      </c>
      <c r="AH65" s="60">
        <f t="shared" si="7"/>
        <v>1.0779425097328144</v>
      </c>
      <c r="AI65" s="60">
        <f t="shared" si="7"/>
        <v>1.1282162028753007</v>
      </c>
      <c r="AJ65" s="60">
        <f t="shared" si="7"/>
        <v>1.0792735958046131</v>
      </c>
      <c r="AK65" s="60">
        <f t="shared" si="6"/>
        <v>1.1765774887391771</v>
      </c>
      <c r="AL65" s="61">
        <f xml:space="preserve"> AVERAGE(E65:AK65)</f>
        <v>1.0519710505506183</v>
      </c>
    </row>
    <row r="66" spans="1:41" ht="23.25" hidden="1" customHeight="1" x14ac:dyDescent="0.2">
      <c r="A66" s="49"/>
      <c r="B66" s="48"/>
      <c r="C66" s="187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9"/>
    </row>
    <row r="67" spans="1:41" hidden="1" x14ac:dyDescent="0.2">
      <c r="A67" s="49" t="s">
        <v>157</v>
      </c>
      <c r="B67" s="48" t="s">
        <v>158</v>
      </c>
      <c r="C67" s="51"/>
      <c r="D67" s="52" t="s">
        <v>159</v>
      </c>
      <c r="E67" s="59" t="e">
        <f>E61/E58</f>
        <v>#DIV/0!</v>
      </c>
      <c r="F67" s="59" t="e">
        <f>F61/F58</f>
        <v>#DIV/0!</v>
      </c>
      <c r="G67" s="59" t="e">
        <f>G61/G58</f>
        <v>#DIV/0!</v>
      </c>
      <c r="H67" s="59"/>
      <c r="I67" s="59">
        <f t="shared" ref="I67:AK67" si="8">I61/I58</f>
        <v>0</v>
      </c>
      <c r="J67" s="59">
        <f t="shared" si="8"/>
        <v>0</v>
      </c>
      <c r="K67" s="59">
        <f t="shared" si="8"/>
        <v>0</v>
      </c>
      <c r="L67" s="59">
        <f t="shared" ref="L67:AJ67" si="9">L61/L58</f>
        <v>0</v>
      </c>
      <c r="M67" s="59">
        <f t="shared" si="9"/>
        <v>0</v>
      </c>
      <c r="N67" s="59">
        <f t="shared" si="9"/>
        <v>0</v>
      </c>
      <c r="O67" s="59">
        <f t="shared" si="9"/>
        <v>0</v>
      </c>
      <c r="P67" s="59">
        <f t="shared" si="9"/>
        <v>0</v>
      </c>
      <c r="Q67" s="59">
        <f t="shared" si="9"/>
        <v>0</v>
      </c>
      <c r="R67" s="59">
        <f t="shared" si="9"/>
        <v>0</v>
      </c>
      <c r="S67" s="59">
        <f t="shared" si="9"/>
        <v>0</v>
      </c>
      <c r="T67" s="59">
        <f t="shared" si="9"/>
        <v>0</v>
      </c>
      <c r="U67" s="59">
        <f t="shared" si="9"/>
        <v>0</v>
      </c>
      <c r="V67" s="59">
        <f t="shared" si="9"/>
        <v>0</v>
      </c>
      <c r="W67" s="59">
        <f t="shared" si="9"/>
        <v>0</v>
      </c>
      <c r="X67" s="59">
        <f t="shared" si="9"/>
        <v>0</v>
      </c>
      <c r="Y67" s="59">
        <f t="shared" si="9"/>
        <v>0</v>
      </c>
      <c r="Z67" s="59">
        <f t="shared" si="9"/>
        <v>0</v>
      </c>
      <c r="AA67" s="59">
        <f t="shared" si="9"/>
        <v>0</v>
      </c>
      <c r="AB67" s="59">
        <f t="shared" si="9"/>
        <v>0</v>
      </c>
      <c r="AC67" s="59">
        <f t="shared" si="9"/>
        <v>0</v>
      </c>
      <c r="AD67" s="59">
        <f t="shared" si="9"/>
        <v>0</v>
      </c>
      <c r="AE67" s="59">
        <f t="shared" si="9"/>
        <v>0</v>
      </c>
      <c r="AF67" s="59">
        <f t="shared" si="9"/>
        <v>0</v>
      </c>
      <c r="AG67" s="59">
        <f t="shared" si="9"/>
        <v>0</v>
      </c>
      <c r="AH67" s="59">
        <f t="shared" si="9"/>
        <v>0</v>
      </c>
      <c r="AI67" s="59">
        <f t="shared" si="9"/>
        <v>0</v>
      </c>
      <c r="AJ67" s="59">
        <f t="shared" si="9"/>
        <v>0</v>
      </c>
      <c r="AK67" s="59">
        <f t="shared" si="8"/>
        <v>0</v>
      </c>
      <c r="AL67" s="53">
        <f>AL61/AL58</f>
        <v>0</v>
      </c>
      <c r="AO67" s="55"/>
    </row>
    <row r="68" spans="1:41" hidden="1" x14ac:dyDescent="0.2">
      <c r="A68" s="49" t="s">
        <v>160</v>
      </c>
      <c r="B68" s="48" t="s">
        <v>161</v>
      </c>
      <c r="C68" s="51"/>
      <c r="D68" s="52" t="s">
        <v>162</v>
      </c>
      <c r="E68" s="43" t="e">
        <f>E62*1000/E58</f>
        <v>#DIV/0!</v>
      </c>
      <c r="F68" s="43" t="e">
        <f>F62*1000/F58</f>
        <v>#DIV/0!</v>
      </c>
      <c r="G68" s="43" t="e">
        <f>G62*1000/G58</f>
        <v>#DIV/0!</v>
      </c>
      <c r="H68" s="43"/>
      <c r="I68" s="43">
        <f t="shared" ref="I68:AK68" si="10">I62*1000/I58</f>
        <v>0</v>
      </c>
      <c r="J68" s="43">
        <f t="shared" si="10"/>
        <v>0</v>
      </c>
      <c r="K68" s="43">
        <f t="shared" si="10"/>
        <v>0</v>
      </c>
      <c r="L68" s="43">
        <f t="shared" ref="L68:AJ68" si="11">L62*1000/L58</f>
        <v>0</v>
      </c>
      <c r="M68" s="43">
        <f t="shared" si="11"/>
        <v>0</v>
      </c>
      <c r="N68" s="43">
        <f t="shared" si="11"/>
        <v>0</v>
      </c>
      <c r="O68" s="43">
        <f t="shared" si="11"/>
        <v>0</v>
      </c>
      <c r="P68" s="43">
        <f t="shared" si="11"/>
        <v>0</v>
      </c>
      <c r="Q68" s="43">
        <f t="shared" si="11"/>
        <v>0</v>
      </c>
      <c r="R68" s="43">
        <f t="shared" si="11"/>
        <v>0</v>
      </c>
      <c r="S68" s="43">
        <f t="shared" si="11"/>
        <v>0</v>
      </c>
      <c r="T68" s="43">
        <f t="shared" si="11"/>
        <v>0</v>
      </c>
      <c r="U68" s="43">
        <f t="shared" si="11"/>
        <v>0</v>
      </c>
      <c r="V68" s="43">
        <f t="shared" si="11"/>
        <v>0</v>
      </c>
      <c r="W68" s="43">
        <f t="shared" si="11"/>
        <v>0</v>
      </c>
      <c r="X68" s="43">
        <f t="shared" si="11"/>
        <v>0</v>
      </c>
      <c r="Y68" s="43">
        <f t="shared" si="11"/>
        <v>0</v>
      </c>
      <c r="Z68" s="43">
        <f t="shared" si="11"/>
        <v>0</v>
      </c>
      <c r="AA68" s="43">
        <f t="shared" si="11"/>
        <v>0</v>
      </c>
      <c r="AB68" s="43">
        <f t="shared" si="11"/>
        <v>0</v>
      </c>
      <c r="AC68" s="43">
        <f t="shared" si="11"/>
        <v>0</v>
      </c>
      <c r="AD68" s="43">
        <f t="shared" si="11"/>
        <v>0</v>
      </c>
      <c r="AE68" s="43">
        <f t="shared" si="11"/>
        <v>0</v>
      </c>
      <c r="AF68" s="43">
        <f t="shared" si="11"/>
        <v>0</v>
      </c>
      <c r="AG68" s="43">
        <f t="shared" si="11"/>
        <v>0</v>
      </c>
      <c r="AH68" s="43">
        <f t="shared" si="11"/>
        <v>0</v>
      </c>
      <c r="AI68" s="43">
        <f t="shared" si="11"/>
        <v>0</v>
      </c>
      <c r="AJ68" s="43">
        <f t="shared" si="11"/>
        <v>0</v>
      </c>
      <c r="AK68" s="43">
        <f t="shared" si="10"/>
        <v>0</v>
      </c>
      <c r="AL68" s="53">
        <f>AL62*1000/AL58</f>
        <v>0</v>
      </c>
      <c r="AO68" s="55"/>
    </row>
    <row r="69" spans="1:41" hidden="1" x14ac:dyDescent="0.2">
      <c r="A69" s="49" t="s">
        <v>163</v>
      </c>
      <c r="B69" s="48" t="s">
        <v>164</v>
      </c>
      <c r="C69" s="51"/>
      <c r="D69" s="52" t="s">
        <v>165</v>
      </c>
      <c r="E69" s="59" t="e">
        <f>E63/E58</f>
        <v>#DIV/0!</v>
      </c>
      <c r="F69" s="59" t="e">
        <f>F63/F58</f>
        <v>#DIV/0!</v>
      </c>
      <c r="G69" s="59" t="e">
        <f>G63/G58</f>
        <v>#DIV/0!</v>
      </c>
      <c r="H69" s="59"/>
      <c r="I69" s="59">
        <f t="shared" ref="I69:AK69" si="12">I63/I58</f>
        <v>0</v>
      </c>
      <c r="J69" s="59">
        <f t="shared" si="12"/>
        <v>0</v>
      </c>
      <c r="K69" s="59">
        <f t="shared" si="12"/>
        <v>0</v>
      </c>
      <c r="L69" s="59">
        <f t="shared" ref="L69:AJ69" si="13">L63/L58</f>
        <v>0</v>
      </c>
      <c r="M69" s="59">
        <f t="shared" si="13"/>
        <v>0</v>
      </c>
      <c r="N69" s="59">
        <f t="shared" si="13"/>
        <v>0</v>
      </c>
      <c r="O69" s="59">
        <f t="shared" si="13"/>
        <v>0</v>
      </c>
      <c r="P69" s="59">
        <f t="shared" si="13"/>
        <v>0</v>
      </c>
      <c r="Q69" s="59">
        <f t="shared" si="13"/>
        <v>0</v>
      </c>
      <c r="R69" s="59">
        <f t="shared" si="13"/>
        <v>0</v>
      </c>
      <c r="S69" s="59">
        <f t="shared" si="13"/>
        <v>0</v>
      </c>
      <c r="T69" s="59">
        <f t="shared" si="13"/>
        <v>0</v>
      </c>
      <c r="U69" s="59">
        <f t="shared" si="13"/>
        <v>0</v>
      </c>
      <c r="V69" s="59">
        <f t="shared" si="13"/>
        <v>0</v>
      </c>
      <c r="W69" s="59">
        <f t="shared" si="13"/>
        <v>0</v>
      </c>
      <c r="X69" s="59">
        <f t="shared" si="13"/>
        <v>0</v>
      </c>
      <c r="Y69" s="59">
        <f t="shared" si="13"/>
        <v>0</v>
      </c>
      <c r="Z69" s="59">
        <f t="shared" si="13"/>
        <v>0</v>
      </c>
      <c r="AA69" s="59">
        <f t="shared" si="13"/>
        <v>0</v>
      </c>
      <c r="AB69" s="59">
        <f t="shared" si="13"/>
        <v>0</v>
      </c>
      <c r="AC69" s="59">
        <f t="shared" si="13"/>
        <v>0</v>
      </c>
      <c r="AD69" s="59">
        <f t="shared" si="13"/>
        <v>0</v>
      </c>
      <c r="AE69" s="59">
        <f t="shared" si="13"/>
        <v>0</v>
      </c>
      <c r="AF69" s="59">
        <f t="shared" si="13"/>
        <v>0</v>
      </c>
      <c r="AG69" s="59">
        <f t="shared" si="13"/>
        <v>0</v>
      </c>
      <c r="AH69" s="59">
        <f t="shared" si="13"/>
        <v>0</v>
      </c>
      <c r="AI69" s="59">
        <f t="shared" si="13"/>
        <v>0</v>
      </c>
      <c r="AJ69" s="59">
        <f t="shared" si="13"/>
        <v>0</v>
      </c>
      <c r="AK69" s="59">
        <f t="shared" si="12"/>
        <v>0</v>
      </c>
      <c r="AL69" s="53">
        <f>AL63/AL58</f>
        <v>0</v>
      </c>
      <c r="AO69" s="55"/>
    </row>
    <row r="70" spans="1:41" hidden="1" x14ac:dyDescent="0.2">
      <c r="A70" s="49" t="s">
        <v>166</v>
      </c>
      <c r="B70" s="48" t="s">
        <v>167</v>
      </c>
      <c r="C70" s="51"/>
      <c r="D70" s="52" t="s">
        <v>168</v>
      </c>
      <c r="E70" s="62"/>
      <c r="F70" s="62"/>
      <c r="G70" s="62"/>
      <c r="H70" s="62"/>
      <c r="I70" s="62">
        <v>0</v>
      </c>
      <c r="J70" s="62">
        <v>0</v>
      </c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3" t="e">
        <f>+#REF!</f>
        <v>#REF!</v>
      </c>
      <c r="AM70" s="55"/>
    </row>
    <row r="71" spans="1:41" hidden="1" x14ac:dyDescent="0.2">
      <c r="A71" s="49" t="s">
        <v>169</v>
      </c>
      <c r="B71" s="48" t="s">
        <v>170</v>
      </c>
      <c r="C71" s="51"/>
      <c r="D71" s="52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64" t="s">
        <v>171</v>
      </c>
      <c r="AM71" s="55"/>
    </row>
    <row r="72" spans="1:41" hidden="1" x14ac:dyDescent="0.2">
      <c r="A72" s="49" t="s">
        <v>157</v>
      </c>
      <c r="B72" s="48" t="s">
        <v>172</v>
      </c>
      <c r="C72" s="51"/>
      <c r="D72" s="52" t="s">
        <v>173</v>
      </c>
      <c r="E72" s="43" t="e">
        <f>E58*100/#REF!</f>
        <v>#REF!</v>
      </c>
      <c r="F72" s="43" t="e">
        <f>F58*100/#REF!</f>
        <v>#REF!</v>
      </c>
      <c r="G72" s="43" t="e">
        <f>G58*100/#REF!</f>
        <v>#REF!</v>
      </c>
      <c r="H72" s="43" t="e">
        <f>H58*100/#REF!</f>
        <v>#REF!</v>
      </c>
      <c r="I72" s="43" t="e">
        <f>I58*100/#REF!</f>
        <v>#REF!</v>
      </c>
      <c r="J72" s="43" t="e">
        <f>J58*100/#REF!</f>
        <v>#REF!</v>
      </c>
      <c r="K72" s="43" t="e">
        <f>K58*100/#REF!</f>
        <v>#REF!</v>
      </c>
      <c r="L72" s="43" t="e">
        <f>L58*100/#REF!</f>
        <v>#REF!</v>
      </c>
      <c r="M72" s="43" t="e">
        <f>M58*100/#REF!</f>
        <v>#REF!</v>
      </c>
      <c r="N72" s="43" t="e">
        <f>N58*100/#REF!</f>
        <v>#REF!</v>
      </c>
      <c r="O72" s="43" t="e">
        <f>O58*100/#REF!</f>
        <v>#REF!</v>
      </c>
      <c r="P72" s="43" t="e">
        <f>P58*100/#REF!</f>
        <v>#REF!</v>
      </c>
      <c r="Q72" s="43" t="e">
        <f>Q58*100/#REF!</f>
        <v>#REF!</v>
      </c>
      <c r="R72" s="43" t="e">
        <f>R58*100/#REF!</f>
        <v>#REF!</v>
      </c>
      <c r="S72" s="43" t="e">
        <f>S58*100/#REF!</f>
        <v>#REF!</v>
      </c>
      <c r="T72" s="43" t="e">
        <f>T58*100/#REF!</f>
        <v>#REF!</v>
      </c>
      <c r="U72" s="43" t="e">
        <f>U58*100/#REF!</f>
        <v>#REF!</v>
      </c>
      <c r="V72" s="43" t="e">
        <f>V58*100/#REF!</f>
        <v>#REF!</v>
      </c>
      <c r="W72" s="43" t="e">
        <f>W58*100/#REF!</f>
        <v>#REF!</v>
      </c>
      <c r="X72" s="43" t="e">
        <f>X58*100/#REF!</f>
        <v>#REF!</v>
      </c>
      <c r="Y72" s="43" t="e">
        <f>Y58*100/#REF!</f>
        <v>#REF!</v>
      </c>
      <c r="Z72" s="43" t="e">
        <f>Z58*100/#REF!</f>
        <v>#REF!</v>
      </c>
      <c r="AA72" s="43" t="e">
        <f>AA58*100/#REF!</f>
        <v>#REF!</v>
      </c>
      <c r="AB72" s="43" t="e">
        <f>AB58*100/#REF!</f>
        <v>#REF!</v>
      </c>
      <c r="AC72" s="43" t="e">
        <f>AC58*100/#REF!</f>
        <v>#REF!</v>
      </c>
      <c r="AD72" s="43" t="e">
        <f>AD58*100/#REF!</f>
        <v>#REF!</v>
      </c>
      <c r="AE72" s="43" t="e">
        <f>AE58*100/#REF!</f>
        <v>#REF!</v>
      </c>
      <c r="AF72" s="43" t="e">
        <f>AF58*100/#REF!</f>
        <v>#REF!</v>
      </c>
      <c r="AG72" s="43" t="e">
        <f>AG58*100/#REF!</f>
        <v>#REF!</v>
      </c>
      <c r="AH72" s="43" t="e">
        <f>AH58*100/#REF!</f>
        <v>#REF!</v>
      </c>
      <c r="AI72" s="43" t="e">
        <f>AI58*100/#REF!</f>
        <v>#REF!</v>
      </c>
      <c r="AJ72" s="43" t="e">
        <f>AJ58*100/#REF!</f>
        <v>#REF!</v>
      </c>
      <c r="AK72" s="43" t="e">
        <f>AK58*100/#REF!</f>
        <v>#REF!</v>
      </c>
      <c r="AL72" s="64" t="s">
        <v>174</v>
      </c>
      <c r="AM72" s="55"/>
    </row>
    <row r="73" spans="1:41" hidden="1" x14ac:dyDescent="0.2">
      <c r="A73" s="49" t="s">
        <v>160</v>
      </c>
      <c r="B73" s="48" t="s">
        <v>175</v>
      </c>
      <c r="C73" s="51"/>
      <c r="D73" s="52" t="s">
        <v>176</v>
      </c>
      <c r="E73" s="43" t="e">
        <f>#REF!*E67</f>
        <v>#REF!</v>
      </c>
      <c r="F73" s="62" t="e">
        <f>#REF!*F67</f>
        <v>#REF!</v>
      </c>
      <c r="G73" s="62" t="e">
        <f>#REF!*G67</f>
        <v>#REF!</v>
      </c>
      <c r="H73" s="62" t="e">
        <f>#REF!*H67</f>
        <v>#REF!</v>
      </c>
      <c r="I73" s="62" t="e">
        <f>#REF!*I67</f>
        <v>#REF!</v>
      </c>
      <c r="J73" s="62" t="e">
        <f>#REF!*J67</f>
        <v>#REF!</v>
      </c>
      <c r="K73" s="62" t="e">
        <f>#REF!*K67</f>
        <v>#REF!</v>
      </c>
      <c r="L73" s="62" t="e">
        <f>#REF!*L67</f>
        <v>#REF!</v>
      </c>
      <c r="M73" s="62" t="e">
        <f>#REF!*M67</f>
        <v>#REF!</v>
      </c>
      <c r="N73" s="62" t="e">
        <f>#REF!*N67</f>
        <v>#REF!</v>
      </c>
      <c r="O73" s="62" t="e">
        <f>#REF!*O67</f>
        <v>#REF!</v>
      </c>
      <c r="P73" s="62" t="e">
        <f>#REF!*P67</f>
        <v>#REF!</v>
      </c>
      <c r="Q73" s="62" t="e">
        <f>#REF!*Q67</f>
        <v>#REF!</v>
      </c>
      <c r="R73" s="62" t="e">
        <f>#REF!*R67</f>
        <v>#REF!</v>
      </c>
      <c r="S73" s="62" t="e">
        <f>#REF!*S67</f>
        <v>#REF!</v>
      </c>
      <c r="T73" s="62" t="e">
        <f>#REF!*T67</f>
        <v>#REF!</v>
      </c>
      <c r="U73" s="62" t="e">
        <f>#REF!*U67</f>
        <v>#REF!</v>
      </c>
      <c r="V73" s="62" t="e">
        <f>#REF!*V67</f>
        <v>#REF!</v>
      </c>
      <c r="W73" s="62" t="e">
        <f>#REF!*W67</f>
        <v>#REF!</v>
      </c>
      <c r="X73" s="62" t="e">
        <f>#REF!*X67</f>
        <v>#REF!</v>
      </c>
      <c r="Y73" s="62" t="e">
        <f>#REF!*Y67</f>
        <v>#REF!</v>
      </c>
      <c r="Z73" s="62" t="e">
        <f>#REF!*Z67</f>
        <v>#REF!</v>
      </c>
      <c r="AA73" s="62" t="e">
        <f>#REF!*AA67</f>
        <v>#REF!</v>
      </c>
      <c r="AB73" s="62" t="e">
        <f>#REF!*AB67</f>
        <v>#REF!</v>
      </c>
      <c r="AC73" s="62" t="e">
        <f>#REF!*AC67</f>
        <v>#REF!</v>
      </c>
      <c r="AD73" s="62" t="e">
        <f>#REF!*AD67</f>
        <v>#REF!</v>
      </c>
      <c r="AE73" s="62" t="e">
        <f>#REF!*AE67</f>
        <v>#REF!</v>
      </c>
      <c r="AF73" s="62" t="e">
        <f>#REF!*AF67</f>
        <v>#REF!</v>
      </c>
      <c r="AG73" s="62" t="e">
        <f>#REF!*AG67</f>
        <v>#REF!</v>
      </c>
      <c r="AH73" s="62" t="e">
        <f>#REF!*AH67</f>
        <v>#REF!</v>
      </c>
      <c r="AI73" s="62" t="e">
        <f>#REF!*AI67</f>
        <v>#REF!</v>
      </c>
      <c r="AJ73" s="62" t="e">
        <f>#REF!*AJ67</f>
        <v>#REF!</v>
      </c>
      <c r="AK73" s="62" t="e">
        <f>#REF!*AK67</f>
        <v>#REF!</v>
      </c>
      <c r="AL73" s="65" t="e">
        <f>AL67*#REF!</f>
        <v>#REF!</v>
      </c>
      <c r="AM73" s="55"/>
    </row>
    <row r="74" spans="1:41" hidden="1" x14ac:dyDescent="0.2">
      <c r="A74" s="49" t="s">
        <v>163</v>
      </c>
      <c r="B74" s="48" t="s">
        <v>177</v>
      </c>
      <c r="C74" s="51"/>
      <c r="D74" s="52" t="s">
        <v>176</v>
      </c>
      <c r="E74" s="43" t="e">
        <f>#REF!*E68</f>
        <v>#REF!</v>
      </c>
      <c r="F74" s="62" t="e">
        <f>#REF!*F68</f>
        <v>#REF!</v>
      </c>
      <c r="G74" s="62" t="e">
        <f>#REF!*G68</f>
        <v>#REF!</v>
      </c>
      <c r="H74" s="62" t="e">
        <f>#REF!*H68</f>
        <v>#REF!</v>
      </c>
      <c r="I74" s="62" t="e">
        <f>#REF!*I68</f>
        <v>#REF!</v>
      </c>
      <c r="J74" s="62" t="e">
        <f>#REF!*J68</f>
        <v>#REF!</v>
      </c>
      <c r="K74" s="62" t="e">
        <f>#REF!*K68</f>
        <v>#REF!</v>
      </c>
      <c r="L74" s="62" t="e">
        <f>#REF!*L68</f>
        <v>#REF!</v>
      </c>
      <c r="M74" s="62" t="e">
        <f>#REF!*M68</f>
        <v>#REF!</v>
      </c>
      <c r="N74" s="62" t="e">
        <f>#REF!*N68</f>
        <v>#REF!</v>
      </c>
      <c r="O74" s="62" t="e">
        <f>#REF!*O68</f>
        <v>#REF!</v>
      </c>
      <c r="P74" s="62" t="e">
        <f>#REF!*P68</f>
        <v>#REF!</v>
      </c>
      <c r="Q74" s="62" t="e">
        <f>#REF!*Q68</f>
        <v>#REF!</v>
      </c>
      <c r="R74" s="62" t="e">
        <f>#REF!*R68</f>
        <v>#REF!</v>
      </c>
      <c r="S74" s="62" t="e">
        <f>#REF!*S68</f>
        <v>#REF!</v>
      </c>
      <c r="T74" s="62" t="e">
        <f>#REF!*T68</f>
        <v>#REF!</v>
      </c>
      <c r="U74" s="62" t="e">
        <f>#REF!*U68</f>
        <v>#REF!</v>
      </c>
      <c r="V74" s="62" t="e">
        <f>#REF!*V68</f>
        <v>#REF!</v>
      </c>
      <c r="W74" s="62" t="e">
        <f>#REF!*W68</f>
        <v>#REF!</v>
      </c>
      <c r="X74" s="62" t="e">
        <f>#REF!*X68</f>
        <v>#REF!</v>
      </c>
      <c r="Y74" s="62" t="e">
        <f>#REF!*Y68</f>
        <v>#REF!</v>
      </c>
      <c r="Z74" s="62" t="e">
        <f>#REF!*Z68</f>
        <v>#REF!</v>
      </c>
      <c r="AA74" s="62" t="e">
        <f>#REF!*AA68</f>
        <v>#REF!</v>
      </c>
      <c r="AB74" s="62" t="e">
        <f>#REF!*AB68</f>
        <v>#REF!</v>
      </c>
      <c r="AC74" s="62" t="e">
        <f>#REF!*AC68</f>
        <v>#REF!</v>
      </c>
      <c r="AD74" s="62" t="e">
        <f>#REF!*AD68</f>
        <v>#REF!</v>
      </c>
      <c r="AE74" s="62" t="e">
        <f>#REF!*AE68</f>
        <v>#REF!</v>
      </c>
      <c r="AF74" s="62" t="e">
        <f>#REF!*AF68</f>
        <v>#REF!</v>
      </c>
      <c r="AG74" s="62" t="e">
        <f>#REF!*AG68</f>
        <v>#REF!</v>
      </c>
      <c r="AH74" s="62" t="e">
        <f>#REF!*AH68</f>
        <v>#REF!</v>
      </c>
      <c r="AI74" s="62" t="e">
        <f>#REF!*AI68</f>
        <v>#REF!</v>
      </c>
      <c r="AJ74" s="62" t="e">
        <f>#REF!*AJ68</f>
        <v>#REF!</v>
      </c>
      <c r="AK74" s="62" t="e">
        <f>#REF!*AK68</f>
        <v>#REF!</v>
      </c>
      <c r="AL74" s="65" t="e">
        <f>AL68*#REF!</f>
        <v>#REF!</v>
      </c>
      <c r="AM74" s="55"/>
    </row>
    <row r="75" spans="1:41" hidden="1" x14ac:dyDescent="0.2">
      <c r="A75" s="49" t="s">
        <v>166</v>
      </c>
      <c r="B75" s="48" t="s">
        <v>178</v>
      </c>
      <c r="C75" s="51"/>
      <c r="D75" s="52" t="s">
        <v>176</v>
      </c>
      <c r="E75" s="43" t="e">
        <f>#REF!*E69</f>
        <v>#REF!</v>
      </c>
      <c r="F75" s="62" t="e">
        <f>#REF!*F69</f>
        <v>#REF!</v>
      </c>
      <c r="G75" s="62" t="e">
        <f>#REF!*G69</f>
        <v>#REF!</v>
      </c>
      <c r="H75" s="62" t="e">
        <f>#REF!*H69</f>
        <v>#REF!</v>
      </c>
      <c r="I75" s="62" t="e">
        <f>#REF!*I69</f>
        <v>#REF!</v>
      </c>
      <c r="J75" s="62" t="e">
        <f>#REF!*J69</f>
        <v>#REF!</v>
      </c>
      <c r="K75" s="62" t="e">
        <f>#REF!*K69</f>
        <v>#REF!</v>
      </c>
      <c r="L75" s="62" t="e">
        <f>#REF!*L69</f>
        <v>#REF!</v>
      </c>
      <c r="M75" s="62" t="e">
        <f>#REF!*M69</f>
        <v>#REF!</v>
      </c>
      <c r="N75" s="62" t="e">
        <f>#REF!*N69</f>
        <v>#REF!</v>
      </c>
      <c r="O75" s="62" t="e">
        <f>#REF!*O69</f>
        <v>#REF!</v>
      </c>
      <c r="P75" s="62" t="e">
        <f>#REF!*P69</f>
        <v>#REF!</v>
      </c>
      <c r="Q75" s="62" t="e">
        <f>#REF!*Q69</f>
        <v>#REF!</v>
      </c>
      <c r="R75" s="62" t="e">
        <f>#REF!*R69</f>
        <v>#REF!</v>
      </c>
      <c r="S75" s="62" t="e">
        <f>#REF!*S69</f>
        <v>#REF!</v>
      </c>
      <c r="T75" s="62" t="e">
        <f>#REF!*T69</f>
        <v>#REF!</v>
      </c>
      <c r="U75" s="62" t="e">
        <f>#REF!*U69</f>
        <v>#REF!</v>
      </c>
      <c r="V75" s="62" t="e">
        <f>#REF!*V69</f>
        <v>#REF!</v>
      </c>
      <c r="W75" s="62" t="e">
        <f>#REF!*W69</f>
        <v>#REF!</v>
      </c>
      <c r="X75" s="62" t="e">
        <f>#REF!*X69</f>
        <v>#REF!</v>
      </c>
      <c r="Y75" s="62" t="e">
        <f>#REF!*Y69</f>
        <v>#REF!</v>
      </c>
      <c r="Z75" s="62" t="e">
        <f>#REF!*Z69</f>
        <v>#REF!</v>
      </c>
      <c r="AA75" s="62" t="e">
        <f>#REF!*AA69</f>
        <v>#REF!</v>
      </c>
      <c r="AB75" s="62" t="e">
        <f>#REF!*AB69</f>
        <v>#REF!</v>
      </c>
      <c r="AC75" s="62" t="e">
        <f>#REF!*AC69</f>
        <v>#REF!</v>
      </c>
      <c r="AD75" s="62" t="e">
        <f>#REF!*AD69</f>
        <v>#REF!</v>
      </c>
      <c r="AE75" s="62" t="e">
        <f>#REF!*AE69</f>
        <v>#REF!</v>
      </c>
      <c r="AF75" s="62" t="e">
        <f>#REF!*AF69</f>
        <v>#REF!</v>
      </c>
      <c r="AG75" s="62" t="e">
        <f>#REF!*AG69</f>
        <v>#REF!</v>
      </c>
      <c r="AH75" s="62" t="e">
        <f>#REF!*AH69</f>
        <v>#REF!</v>
      </c>
      <c r="AI75" s="62" t="e">
        <f>#REF!*AI69</f>
        <v>#REF!</v>
      </c>
      <c r="AJ75" s="62" t="e">
        <f>#REF!*AJ69</f>
        <v>#REF!</v>
      </c>
      <c r="AK75" s="62" t="e">
        <f>#REF!*AK69</f>
        <v>#REF!</v>
      </c>
      <c r="AL75" s="65" t="e">
        <f>AL69*#REF!</f>
        <v>#REF!</v>
      </c>
      <c r="AM75" s="55"/>
    </row>
    <row r="76" spans="1:41" hidden="1" x14ac:dyDescent="0.2">
      <c r="A76" s="49" t="s">
        <v>179</v>
      </c>
      <c r="B76" s="48" t="s">
        <v>180</v>
      </c>
      <c r="C76" s="51"/>
      <c r="D76" s="52" t="s">
        <v>176</v>
      </c>
      <c r="E76" s="43" t="e">
        <f>#REF!*E70</f>
        <v>#REF!</v>
      </c>
      <c r="F76" s="62" t="e">
        <f>#REF!*F70</f>
        <v>#REF!</v>
      </c>
      <c r="G76" s="62" t="e">
        <f>#REF!*G70</f>
        <v>#REF!</v>
      </c>
      <c r="H76" s="62" t="e">
        <f>#REF!*H70</f>
        <v>#REF!</v>
      </c>
      <c r="I76" s="62" t="e">
        <f>#REF!*I70</f>
        <v>#REF!</v>
      </c>
      <c r="J76" s="62" t="e">
        <f>#REF!*J70</f>
        <v>#REF!</v>
      </c>
      <c r="K76" s="62" t="e">
        <f>#REF!*K70</f>
        <v>#REF!</v>
      </c>
      <c r="L76" s="62" t="e">
        <f>#REF!*L70</f>
        <v>#REF!</v>
      </c>
      <c r="M76" s="62" t="e">
        <f>#REF!*M70</f>
        <v>#REF!</v>
      </c>
      <c r="N76" s="62" t="e">
        <f>#REF!*N70</f>
        <v>#REF!</v>
      </c>
      <c r="O76" s="62" t="e">
        <f>#REF!*O70</f>
        <v>#REF!</v>
      </c>
      <c r="P76" s="62" t="e">
        <f>#REF!*P70</f>
        <v>#REF!</v>
      </c>
      <c r="Q76" s="62" t="e">
        <f>#REF!*Q70</f>
        <v>#REF!</v>
      </c>
      <c r="R76" s="62" t="e">
        <f>#REF!*R70</f>
        <v>#REF!</v>
      </c>
      <c r="S76" s="62" t="e">
        <f>#REF!*S70</f>
        <v>#REF!</v>
      </c>
      <c r="T76" s="62" t="e">
        <f>#REF!*T70</f>
        <v>#REF!</v>
      </c>
      <c r="U76" s="62" t="e">
        <f>#REF!*U70</f>
        <v>#REF!</v>
      </c>
      <c r="V76" s="62" t="e">
        <f>#REF!*V70</f>
        <v>#REF!</v>
      </c>
      <c r="W76" s="62" t="e">
        <f>#REF!*W70</f>
        <v>#REF!</v>
      </c>
      <c r="X76" s="62" t="e">
        <f>#REF!*X70</f>
        <v>#REF!</v>
      </c>
      <c r="Y76" s="62" t="e">
        <f>#REF!*Y70</f>
        <v>#REF!</v>
      </c>
      <c r="Z76" s="62" t="e">
        <f>#REF!*Z70</f>
        <v>#REF!</v>
      </c>
      <c r="AA76" s="62" t="e">
        <f>#REF!*AA70</f>
        <v>#REF!</v>
      </c>
      <c r="AB76" s="62" t="e">
        <f>#REF!*AB70</f>
        <v>#REF!</v>
      </c>
      <c r="AC76" s="62" t="e">
        <f>#REF!*AC70</f>
        <v>#REF!</v>
      </c>
      <c r="AD76" s="62" t="e">
        <f>#REF!*AD70</f>
        <v>#REF!</v>
      </c>
      <c r="AE76" s="62" t="e">
        <f>#REF!*AE70</f>
        <v>#REF!</v>
      </c>
      <c r="AF76" s="62" t="e">
        <f>#REF!*AF70</f>
        <v>#REF!</v>
      </c>
      <c r="AG76" s="62" t="e">
        <f>#REF!*AG70</f>
        <v>#REF!</v>
      </c>
      <c r="AH76" s="62" t="e">
        <f>#REF!*AH70</f>
        <v>#REF!</v>
      </c>
      <c r="AI76" s="62" t="e">
        <f>#REF!*AI70</f>
        <v>#REF!</v>
      </c>
      <c r="AJ76" s="62" t="e">
        <f>#REF!*AJ70</f>
        <v>#REF!</v>
      </c>
      <c r="AK76" s="62" t="e">
        <f>#REF!*AK70</f>
        <v>#REF!</v>
      </c>
      <c r="AL76" s="65" t="e">
        <f>AL70*#REF!</f>
        <v>#REF!</v>
      </c>
      <c r="AM76" s="55"/>
    </row>
    <row r="77" spans="1:41" hidden="1" x14ac:dyDescent="0.2">
      <c r="A77" s="49" t="s">
        <v>181</v>
      </c>
      <c r="B77" s="48" t="s">
        <v>182</v>
      </c>
      <c r="C77" s="51"/>
      <c r="D77" s="52" t="s">
        <v>176</v>
      </c>
      <c r="E77" s="43" t="e">
        <f>#REF!/E58</f>
        <v>#REF!</v>
      </c>
      <c r="F77" s="62" t="e">
        <f>#REF!/F58</f>
        <v>#REF!</v>
      </c>
      <c r="G77" s="62" t="e">
        <f>#REF!/G58</f>
        <v>#REF!</v>
      </c>
      <c r="H77" s="62" t="e">
        <f>#REF!/H58</f>
        <v>#REF!</v>
      </c>
      <c r="I77" s="62" t="e">
        <f>#REF!/I58</f>
        <v>#REF!</v>
      </c>
      <c r="J77" s="62" t="e">
        <f>#REF!/J58</f>
        <v>#REF!</v>
      </c>
      <c r="K77" s="62" t="e">
        <f>#REF!/K58</f>
        <v>#REF!</v>
      </c>
      <c r="L77" s="62" t="e">
        <f>#REF!/L58</f>
        <v>#REF!</v>
      </c>
      <c r="M77" s="62" t="e">
        <f>#REF!/M58</f>
        <v>#REF!</v>
      </c>
      <c r="N77" s="62" t="e">
        <f>#REF!/N58</f>
        <v>#REF!</v>
      </c>
      <c r="O77" s="62" t="e">
        <f>#REF!/O58</f>
        <v>#REF!</v>
      </c>
      <c r="P77" s="62" t="e">
        <f>#REF!/P58</f>
        <v>#REF!</v>
      </c>
      <c r="Q77" s="62" t="e">
        <f>#REF!/Q58</f>
        <v>#REF!</v>
      </c>
      <c r="R77" s="62" t="e">
        <f>#REF!/R58</f>
        <v>#REF!</v>
      </c>
      <c r="S77" s="62" t="e">
        <f>#REF!/S58</f>
        <v>#REF!</v>
      </c>
      <c r="T77" s="62" t="e">
        <f>#REF!/T58</f>
        <v>#REF!</v>
      </c>
      <c r="U77" s="62" t="e">
        <f>#REF!/U58</f>
        <v>#REF!</v>
      </c>
      <c r="V77" s="62" t="e">
        <f>#REF!/V58</f>
        <v>#REF!</v>
      </c>
      <c r="W77" s="62" t="e">
        <f>#REF!/W58</f>
        <v>#REF!</v>
      </c>
      <c r="X77" s="62" t="e">
        <f>#REF!/X58</f>
        <v>#REF!</v>
      </c>
      <c r="Y77" s="62" t="e">
        <f>#REF!/Y58</f>
        <v>#REF!</v>
      </c>
      <c r="Z77" s="62" t="e">
        <f>#REF!/Z58</f>
        <v>#REF!</v>
      </c>
      <c r="AA77" s="62" t="e">
        <f>#REF!/AA58</f>
        <v>#REF!</v>
      </c>
      <c r="AB77" s="62" t="e">
        <f>#REF!/AB58</f>
        <v>#REF!</v>
      </c>
      <c r="AC77" s="62" t="e">
        <f>#REF!/AC58</f>
        <v>#REF!</v>
      </c>
      <c r="AD77" s="62" t="e">
        <f>#REF!/AD58</f>
        <v>#REF!</v>
      </c>
      <c r="AE77" s="62" t="e">
        <f>#REF!/AE58</f>
        <v>#REF!</v>
      </c>
      <c r="AF77" s="62" t="e">
        <f>#REF!/AF58</f>
        <v>#REF!</v>
      </c>
      <c r="AG77" s="62" t="e">
        <f>#REF!/AG58</f>
        <v>#REF!</v>
      </c>
      <c r="AH77" s="62" t="e">
        <f>#REF!/AH58</f>
        <v>#REF!</v>
      </c>
      <c r="AI77" s="62" t="e">
        <f>#REF!/AI58</f>
        <v>#REF!</v>
      </c>
      <c r="AJ77" s="62" t="e">
        <f>#REF!/AJ58</f>
        <v>#REF!</v>
      </c>
      <c r="AK77" s="62" t="e">
        <f>#REF!/AK58</f>
        <v>#REF!</v>
      </c>
      <c r="AL77" s="65" t="e">
        <f>#REF!/AL58</f>
        <v>#REF!</v>
      </c>
      <c r="AM77" s="55"/>
    </row>
    <row r="78" spans="1:41" hidden="1" x14ac:dyDescent="0.2">
      <c r="A78" s="49" t="s">
        <v>183</v>
      </c>
      <c r="B78" s="48" t="s">
        <v>184</v>
      </c>
      <c r="C78" s="51"/>
      <c r="D78" s="52" t="s">
        <v>176</v>
      </c>
      <c r="E78" s="62">
        <v>291</v>
      </c>
      <c r="F78" s="62">
        <v>291</v>
      </c>
      <c r="G78" s="62">
        <v>291</v>
      </c>
      <c r="H78" s="62">
        <v>291</v>
      </c>
      <c r="I78" s="62">
        <v>291</v>
      </c>
      <c r="J78" s="62">
        <v>291</v>
      </c>
      <c r="K78" s="62">
        <v>291</v>
      </c>
      <c r="L78" s="62">
        <v>291</v>
      </c>
      <c r="M78" s="62">
        <v>291</v>
      </c>
      <c r="N78" s="62">
        <v>291</v>
      </c>
      <c r="O78" s="62">
        <v>291</v>
      </c>
      <c r="P78" s="62">
        <v>291</v>
      </c>
      <c r="Q78" s="62">
        <v>291</v>
      </c>
      <c r="R78" s="62">
        <v>291</v>
      </c>
      <c r="S78" s="62">
        <v>291</v>
      </c>
      <c r="T78" s="62">
        <v>291</v>
      </c>
      <c r="U78" s="62">
        <v>291</v>
      </c>
      <c r="V78" s="62">
        <v>291</v>
      </c>
      <c r="W78" s="62">
        <v>291</v>
      </c>
      <c r="X78" s="62">
        <v>291</v>
      </c>
      <c r="Y78" s="62">
        <v>291</v>
      </c>
      <c r="Z78" s="62">
        <v>291</v>
      </c>
      <c r="AA78" s="62">
        <v>291</v>
      </c>
      <c r="AB78" s="62">
        <v>291</v>
      </c>
      <c r="AC78" s="62">
        <v>291</v>
      </c>
      <c r="AD78" s="62">
        <v>291</v>
      </c>
      <c r="AE78" s="62">
        <v>291</v>
      </c>
      <c r="AF78" s="62">
        <v>291</v>
      </c>
      <c r="AG78" s="62">
        <v>291</v>
      </c>
      <c r="AH78" s="62">
        <v>291</v>
      </c>
      <c r="AI78" s="62">
        <v>291</v>
      </c>
      <c r="AJ78" s="62">
        <v>291</v>
      </c>
      <c r="AK78" s="62">
        <v>291</v>
      </c>
      <c r="AL78" s="65">
        <f>AVERAGE(E78:AK78)</f>
        <v>291</v>
      </c>
      <c r="AM78" s="55"/>
    </row>
    <row r="79" spans="1:41" ht="20.25" hidden="1" customHeight="1" x14ac:dyDescent="0.2">
      <c r="A79" s="49"/>
      <c r="B79" s="48"/>
      <c r="C79" s="51"/>
      <c r="D79" s="187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9"/>
      <c r="AM79" s="55"/>
    </row>
    <row r="80" spans="1:41" hidden="1" x14ac:dyDescent="0.2">
      <c r="A80" s="49" t="s">
        <v>179</v>
      </c>
      <c r="B80" s="48" t="s">
        <v>185</v>
      </c>
      <c r="C80" s="51"/>
      <c r="D80" s="52"/>
      <c r="E80" s="66"/>
      <c r="F80" s="67"/>
      <c r="G80" s="67"/>
      <c r="H80" s="67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53" t="s">
        <v>186</v>
      </c>
      <c r="AM80" s="55"/>
    </row>
    <row r="81" spans="1:39" hidden="1" x14ac:dyDescent="0.2">
      <c r="A81" s="49"/>
      <c r="B81" s="69" t="s">
        <v>187</v>
      </c>
      <c r="C81" s="70"/>
      <c r="D81" s="52"/>
      <c r="E81" s="66"/>
      <c r="F81" s="67"/>
      <c r="G81" s="67"/>
      <c r="H81" s="71"/>
      <c r="I81" s="173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5"/>
      <c r="AL81" s="72" t="s">
        <v>187</v>
      </c>
      <c r="AM81" s="55"/>
    </row>
    <row r="82" spans="1:39" hidden="1" x14ac:dyDescent="0.2">
      <c r="A82" s="73" t="s">
        <v>157</v>
      </c>
      <c r="B82" s="48" t="s">
        <v>188</v>
      </c>
      <c r="C82" s="51"/>
      <c r="D82" s="52" t="s">
        <v>16</v>
      </c>
      <c r="E82" s="43"/>
      <c r="F82" s="43"/>
      <c r="G82" s="43"/>
      <c r="H82" s="43"/>
      <c r="I82" s="74">
        <v>1.6</v>
      </c>
      <c r="J82" s="74">
        <v>3.5</v>
      </c>
      <c r="K82" s="74">
        <v>12</v>
      </c>
      <c r="L82" s="74">
        <v>26.5</v>
      </c>
      <c r="M82" s="74">
        <v>26.5</v>
      </c>
      <c r="N82" s="74">
        <v>26.5</v>
      </c>
      <c r="O82" s="74">
        <v>26.5</v>
      </c>
      <c r="P82" s="74">
        <v>26.5</v>
      </c>
      <c r="Q82" s="74">
        <v>26.5</v>
      </c>
      <c r="R82" s="74">
        <v>26.5</v>
      </c>
      <c r="S82" s="74">
        <v>26.5</v>
      </c>
      <c r="T82" s="74">
        <v>26.5</v>
      </c>
      <c r="U82" s="74">
        <v>26.5</v>
      </c>
      <c r="V82" s="74">
        <v>26.5</v>
      </c>
      <c r="W82" s="74">
        <v>26.5</v>
      </c>
      <c r="X82" s="74">
        <v>26.5</v>
      </c>
      <c r="Y82" s="74">
        <v>26.5</v>
      </c>
      <c r="Z82" s="74">
        <v>26.5</v>
      </c>
      <c r="AA82" s="74">
        <v>26.5</v>
      </c>
      <c r="AB82" s="74">
        <v>26.5</v>
      </c>
      <c r="AC82" s="74">
        <v>26.5</v>
      </c>
      <c r="AD82" s="74">
        <v>26.5</v>
      </c>
      <c r="AE82" s="74">
        <v>26.5</v>
      </c>
      <c r="AF82" s="74">
        <v>26.5</v>
      </c>
      <c r="AG82" s="74">
        <v>26.5</v>
      </c>
      <c r="AH82" s="74">
        <v>26.5</v>
      </c>
      <c r="AI82" s="74">
        <v>26.5</v>
      </c>
      <c r="AJ82" s="74">
        <v>26.5</v>
      </c>
      <c r="AK82" s="74">
        <v>12</v>
      </c>
      <c r="AL82" s="53">
        <f>SUM(I82:AK82)</f>
        <v>691.6</v>
      </c>
      <c r="AM82" s="55"/>
    </row>
    <row r="83" spans="1:39" hidden="1" x14ac:dyDescent="0.2">
      <c r="A83" s="73" t="s">
        <v>160</v>
      </c>
      <c r="B83" s="48" t="s">
        <v>189</v>
      </c>
      <c r="C83" s="51"/>
      <c r="D83" s="52" t="s">
        <v>16</v>
      </c>
      <c r="E83" s="43"/>
      <c r="F83" s="43"/>
      <c r="G83" s="43"/>
      <c r="H83" s="43"/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0</v>
      </c>
      <c r="W83" s="43">
        <v>0</v>
      </c>
      <c r="X83" s="43">
        <v>0</v>
      </c>
      <c r="Y83" s="43">
        <v>0</v>
      </c>
      <c r="Z83" s="43">
        <v>0</v>
      </c>
      <c r="AA83" s="43">
        <v>0</v>
      </c>
      <c r="AB83" s="43">
        <v>0</v>
      </c>
      <c r="AC83" s="43">
        <v>0</v>
      </c>
      <c r="AD83" s="43">
        <v>0</v>
      </c>
      <c r="AE83" s="43">
        <v>0</v>
      </c>
      <c r="AF83" s="43">
        <v>0</v>
      </c>
      <c r="AG83" s="43">
        <v>0</v>
      </c>
      <c r="AH83" s="43">
        <v>0</v>
      </c>
      <c r="AI83" s="43">
        <v>0</v>
      </c>
      <c r="AJ83" s="43">
        <v>0</v>
      </c>
      <c r="AK83" s="43">
        <v>0</v>
      </c>
      <c r="AL83" s="53">
        <f>SUM(I83:AK83)</f>
        <v>0</v>
      </c>
      <c r="AM83" s="55"/>
    </row>
    <row r="84" spans="1:39" hidden="1" x14ac:dyDescent="0.2">
      <c r="A84" s="73" t="s">
        <v>163</v>
      </c>
      <c r="B84" s="48" t="s">
        <v>190</v>
      </c>
      <c r="C84" s="51"/>
      <c r="D84" s="52" t="s">
        <v>16</v>
      </c>
      <c r="E84" s="43"/>
      <c r="F84" s="43"/>
      <c r="G84" s="43"/>
      <c r="H84" s="43"/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53">
        <f>SUM(I84:AK84)</f>
        <v>0</v>
      </c>
      <c r="AM84" s="55"/>
    </row>
    <row r="85" spans="1:39" hidden="1" x14ac:dyDescent="0.2">
      <c r="A85" s="73" t="s">
        <v>166</v>
      </c>
      <c r="B85" s="48" t="s">
        <v>191</v>
      </c>
      <c r="C85" s="51"/>
      <c r="D85" s="52" t="s">
        <v>16</v>
      </c>
      <c r="E85" s="43"/>
      <c r="F85" s="43"/>
      <c r="G85" s="43"/>
      <c r="H85" s="43"/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53">
        <f>SUM(I85:AK85)</f>
        <v>0</v>
      </c>
      <c r="AM85" s="55"/>
    </row>
    <row r="86" spans="1:39" hidden="1" x14ac:dyDescent="0.2">
      <c r="A86" s="75"/>
      <c r="B86" s="48" t="s">
        <v>192</v>
      </c>
      <c r="C86" s="51"/>
      <c r="D86" s="52" t="s">
        <v>16</v>
      </c>
      <c r="E86" s="76">
        <f t="shared" ref="E86:AL86" si="14">SUM(E82:E85)</f>
        <v>0</v>
      </c>
      <c r="F86" s="76">
        <f t="shared" si="14"/>
        <v>0</v>
      </c>
      <c r="G86" s="76">
        <f t="shared" si="14"/>
        <v>0</v>
      </c>
      <c r="H86" s="76">
        <f t="shared" si="14"/>
        <v>0</v>
      </c>
      <c r="I86" s="76">
        <f t="shared" si="14"/>
        <v>1.6</v>
      </c>
      <c r="J86" s="76">
        <f t="shared" si="14"/>
        <v>3.5</v>
      </c>
      <c r="K86" s="76">
        <f t="shared" si="14"/>
        <v>12</v>
      </c>
      <c r="L86" s="76">
        <f t="shared" ref="L86:AJ86" si="15">SUM(L82:L85)</f>
        <v>26.5</v>
      </c>
      <c r="M86" s="76">
        <f t="shared" si="15"/>
        <v>26.5</v>
      </c>
      <c r="N86" s="76">
        <f t="shared" si="15"/>
        <v>26.5</v>
      </c>
      <c r="O86" s="76">
        <f t="shared" si="15"/>
        <v>26.5</v>
      </c>
      <c r="P86" s="76">
        <f t="shared" si="15"/>
        <v>26.5</v>
      </c>
      <c r="Q86" s="76">
        <f t="shared" si="15"/>
        <v>26.5</v>
      </c>
      <c r="R86" s="76">
        <f t="shared" si="15"/>
        <v>26.5</v>
      </c>
      <c r="S86" s="76">
        <f t="shared" si="15"/>
        <v>26.5</v>
      </c>
      <c r="T86" s="76">
        <f t="shared" si="15"/>
        <v>26.5</v>
      </c>
      <c r="U86" s="76">
        <f t="shared" si="15"/>
        <v>26.5</v>
      </c>
      <c r="V86" s="76">
        <f t="shared" si="15"/>
        <v>26.5</v>
      </c>
      <c r="W86" s="76">
        <f t="shared" si="15"/>
        <v>26.5</v>
      </c>
      <c r="X86" s="76">
        <f t="shared" si="15"/>
        <v>26.5</v>
      </c>
      <c r="Y86" s="76">
        <f t="shared" si="15"/>
        <v>26.5</v>
      </c>
      <c r="Z86" s="76">
        <f t="shared" si="15"/>
        <v>26.5</v>
      </c>
      <c r="AA86" s="76">
        <f t="shared" si="15"/>
        <v>26.5</v>
      </c>
      <c r="AB86" s="76">
        <f t="shared" si="15"/>
        <v>26.5</v>
      </c>
      <c r="AC86" s="76">
        <f t="shared" si="15"/>
        <v>26.5</v>
      </c>
      <c r="AD86" s="76">
        <f t="shared" si="15"/>
        <v>26.5</v>
      </c>
      <c r="AE86" s="76">
        <f t="shared" si="15"/>
        <v>26.5</v>
      </c>
      <c r="AF86" s="76">
        <f t="shared" si="15"/>
        <v>26.5</v>
      </c>
      <c r="AG86" s="76">
        <f t="shared" si="15"/>
        <v>26.5</v>
      </c>
      <c r="AH86" s="76">
        <f t="shared" si="15"/>
        <v>26.5</v>
      </c>
      <c r="AI86" s="76">
        <f t="shared" si="15"/>
        <v>26.5</v>
      </c>
      <c r="AJ86" s="76">
        <f t="shared" si="15"/>
        <v>26.5</v>
      </c>
      <c r="AK86" s="76">
        <f t="shared" si="14"/>
        <v>12</v>
      </c>
      <c r="AL86" s="64">
        <f t="shared" si="14"/>
        <v>691.6</v>
      </c>
      <c r="AM86" s="55"/>
    </row>
    <row r="87" spans="1:39" hidden="1" x14ac:dyDescent="0.2">
      <c r="A87" s="75"/>
      <c r="B87" s="69" t="s">
        <v>193</v>
      </c>
      <c r="C87" s="70"/>
      <c r="D87" s="67"/>
      <c r="E87" s="67"/>
      <c r="F87" s="67"/>
      <c r="G87" s="67"/>
      <c r="H87" s="67"/>
      <c r="I87" s="173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5"/>
      <c r="AL87" s="77" t="s">
        <v>193</v>
      </c>
      <c r="AM87" s="55"/>
    </row>
    <row r="88" spans="1:39" hidden="1" x14ac:dyDescent="0.2">
      <c r="A88" s="73" t="s">
        <v>157</v>
      </c>
      <c r="B88" s="48" t="s">
        <v>188</v>
      </c>
      <c r="C88" s="51"/>
      <c r="D88" s="52" t="s">
        <v>16</v>
      </c>
      <c r="E88" s="43"/>
      <c r="F88" s="43"/>
      <c r="G88" s="43"/>
      <c r="H88" s="43"/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53">
        <f>SUM(E88:AK88)</f>
        <v>0</v>
      </c>
      <c r="AM88" s="55"/>
    </row>
    <row r="89" spans="1:39" hidden="1" x14ac:dyDescent="0.2">
      <c r="A89" s="73" t="s">
        <v>160</v>
      </c>
      <c r="B89" s="48" t="s">
        <v>189</v>
      </c>
      <c r="C89" s="51"/>
      <c r="D89" s="52" t="s">
        <v>16</v>
      </c>
      <c r="E89" s="43"/>
      <c r="F89" s="43"/>
      <c r="G89" s="43"/>
      <c r="H89" s="43"/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0</v>
      </c>
      <c r="Z89" s="43">
        <v>0</v>
      </c>
      <c r="AA89" s="43">
        <v>0</v>
      </c>
      <c r="AB89" s="43">
        <v>0</v>
      </c>
      <c r="AC89" s="43">
        <v>0</v>
      </c>
      <c r="AD89" s="43">
        <v>0</v>
      </c>
      <c r="AE89" s="43">
        <v>0</v>
      </c>
      <c r="AF89" s="43">
        <v>0</v>
      </c>
      <c r="AG89" s="43">
        <v>0</v>
      </c>
      <c r="AH89" s="43">
        <v>0</v>
      </c>
      <c r="AI89" s="43">
        <v>0</v>
      </c>
      <c r="AJ89" s="43">
        <v>0</v>
      </c>
      <c r="AK89" s="43">
        <v>0</v>
      </c>
      <c r="AL89" s="53">
        <f>SUM(E89:AK89)</f>
        <v>0</v>
      </c>
      <c r="AM89" s="55"/>
    </row>
    <row r="90" spans="1:39" hidden="1" x14ac:dyDescent="0.2">
      <c r="A90" s="73" t="s">
        <v>163</v>
      </c>
      <c r="B90" s="48" t="s">
        <v>190</v>
      </c>
      <c r="C90" s="51"/>
      <c r="D90" s="52" t="s">
        <v>16</v>
      </c>
      <c r="E90" s="43"/>
      <c r="F90" s="43"/>
      <c r="G90" s="43"/>
      <c r="H90" s="43"/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0</v>
      </c>
      <c r="AB90" s="43">
        <v>0</v>
      </c>
      <c r="AC90" s="43">
        <v>0</v>
      </c>
      <c r="AD90" s="43">
        <v>0</v>
      </c>
      <c r="AE90" s="43">
        <v>0</v>
      </c>
      <c r="AF90" s="43">
        <v>0</v>
      </c>
      <c r="AG90" s="43">
        <v>0</v>
      </c>
      <c r="AH90" s="43">
        <v>0</v>
      </c>
      <c r="AI90" s="43">
        <v>0</v>
      </c>
      <c r="AJ90" s="43">
        <v>0</v>
      </c>
      <c r="AK90" s="43">
        <v>0</v>
      </c>
      <c r="AL90" s="53">
        <f>SUM(E90:AK90)</f>
        <v>0</v>
      </c>
      <c r="AM90" s="55"/>
    </row>
    <row r="91" spans="1:39" hidden="1" x14ac:dyDescent="0.2">
      <c r="A91" s="73" t="s">
        <v>166</v>
      </c>
      <c r="B91" s="48" t="s">
        <v>191</v>
      </c>
      <c r="C91" s="51"/>
      <c r="D91" s="52" t="s">
        <v>16</v>
      </c>
      <c r="E91" s="43"/>
      <c r="F91" s="43"/>
      <c r="G91" s="43"/>
      <c r="H91" s="43"/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0</v>
      </c>
      <c r="Y91" s="43">
        <v>0</v>
      </c>
      <c r="Z91" s="43">
        <v>0</v>
      </c>
      <c r="AA91" s="43">
        <v>0</v>
      </c>
      <c r="AB91" s="43">
        <v>0</v>
      </c>
      <c r="AC91" s="43">
        <v>0</v>
      </c>
      <c r="AD91" s="43">
        <v>0</v>
      </c>
      <c r="AE91" s="43">
        <v>0</v>
      </c>
      <c r="AF91" s="43">
        <v>0</v>
      </c>
      <c r="AG91" s="43">
        <v>0</v>
      </c>
      <c r="AH91" s="43">
        <v>0</v>
      </c>
      <c r="AI91" s="43">
        <v>0</v>
      </c>
      <c r="AJ91" s="43">
        <v>0</v>
      </c>
      <c r="AK91" s="43">
        <v>0</v>
      </c>
      <c r="AL91" s="53">
        <f>SUM(E91:AK91)</f>
        <v>0</v>
      </c>
      <c r="AM91" s="55"/>
    </row>
    <row r="92" spans="1:39" hidden="1" x14ac:dyDescent="0.2">
      <c r="A92" s="73" t="s">
        <v>179</v>
      </c>
      <c r="B92" s="48" t="s">
        <v>194</v>
      </c>
      <c r="C92" s="51"/>
      <c r="D92" s="52" t="s">
        <v>16</v>
      </c>
      <c r="E92" s="43"/>
      <c r="F92" s="43"/>
      <c r="G92" s="43"/>
      <c r="H92" s="43"/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53">
        <f>SUM(E92:AK92)</f>
        <v>0</v>
      </c>
      <c r="AM92" s="55"/>
    </row>
    <row r="93" spans="1:39" hidden="1" x14ac:dyDescent="0.2">
      <c r="A93" s="75"/>
      <c r="B93" s="48" t="s">
        <v>192</v>
      </c>
      <c r="C93" s="51"/>
      <c r="D93" s="52" t="s">
        <v>16</v>
      </c>
      <c r="E93" s="76">
        <f t="shared" ref="E93:AL93" si="16">SUM(E88:E92)</f>
        <v>0</v>
      </c>
      <c r="F93" s="76">
        <f t="shared" si="16"/>
        <v>0</v>
      </c>
      <c r="G93" s="76">
        <f t="shared" si="16"/>
        <v>0</v>
      </c>
      <c r="H93" s="76">
        <f t="shared" si="16"/>
        <v>0</v>
      </c>
      <c r="I93" s="76">
        <f t="shared" si="16"/>
        <v>0</v>
      </c>
      <c r="J93" s="76">
        <f t="shared" si="16"/>
        <v>0</v>
      </c>
      <c r="K93" s="76">
        <f t="shared" si="16"/>
        <v>0</v>
      </c>
      <c r="L93" s="76">
        <f t="shared" ref="L93:AJ93" si="17">SUM(L88:L92)</f>
        <v>0</v>
      </c>
      <c r="M93" s="76">
        <f t="shared" si="17"/>
        <v>0</v>
      </c>
      <c r="N93" s="76">
        <f t="shared" si="17"/>
        <v>0</v>
      </c>
      <c r="O93" s="76">
        <f t="shared" si="17"/>
        <v>0</v>
      </c>
      <c r="P93" s="76">
        <f t="shared" si="17"/>
        <v>0</v>
      </c>
      <c r="Q93" s="76">
        <f t="shared" si="17"/>
        <v>0</v>
      </c>
      <c r="R93" s="76">
        <f t="shared" si="17"/>
        <v>0</v>
      </c>
      <c r="S93" s="76">
        <f t="shared" si="17"/>
        <v>0</v>
      </c>
      <c r="T93" s="76">
        <f t="shared" si="17"/>
        <v>0</v>
      </c>
      <c r="U93" s="76">
        <f t="shared" si="17"/>
        <v>0</v>
      </c>
      <c r="V93" s="76">
        <f t="shared" si="17"/>
        <v>0</v>
      </c>
      <c r="W93" s="76">
        <f t="shared" si="17"/>
        <v>0</v>
      </c>
      <c r="X93" s="76">
        <f t="shared" si="17"/>
        <v>0</v>
      </c>
      <c r="Y93" s="76">
        <f t="shared" si="17"/>
        <v>0</v>
      </c>
      <c r="Z93" s="76">
        <f t="shared" si="17"/>
        <v>0</v>
      </c>
      <c r="AA93" s="76">
        <f t="shared" si="17"/>
        <v>0</v>
      </c>
      <c r="AB93" s="76">
        <f t="shared" si="17"/>
        <v>0</v>
      </c>
      <c r="AC93" s="76">
        <f t="shared" si="17"/>
        <v>0</v>
      </c>
      <c r="AD93" s="76">
        <f t="shared" si="17"/>
        <v>0</v>
      </c>
      <c r="AE93" s="76">
        <f t="shared" si="17"/>
        <v>0</v>
      </c>
      <c r="AF93" s="76">
        <f t="shared" si="17"/>
        <v>0</v>
      </c>
      <c r="AG93" s="76">
        <f t="shared" si="17"/>
        <v>0</v>
      </c>
      <c r="AH93" s="76">
        <f t="shared" si="17"/>
        <v>0</v>
      </c>
      <c r="AI93" s="76">
        <f t="shared" si="17"/>
        <v>0</v>
      </c>
      <c r="AJ93" s="76">
        <f t="shared" si="17"/>
        <v>0</v>
      </c>
      <c r="AK93" s="76">
        <f t="shared" si="16"/>
        <v>0</v>
      </c>
      <c r="AL93" s="53">
        <f t="shared" si="16"/>
        <v>0</v>
      </c>
    </row>
    <row r="94" spans="1:39" hidden="1" x14ac:dyDescent="0.2">
      <c r="A94" s="75"/>
      <c r="B94" s="48" t="s">
        <v>195</v>
      </c>
      <c r="C94" s="51"/>
      <c r="D94" s="52" t="s">
        <v>16</v>
      </c>
      <c r="E94" s="76">
        <f t="shared" ref="E94:AL94" si="18">E86+E93</f>
        <v>0</v>
      </c>
      <c r="F94" s="76">
        <f t="shared" si="18"/>
        <v>0</v>
      </c>
      <c r="G94" s="76">
        <f t="shared" si="18"/>
        <v>0</v>
      </c>
      <c r="H94" s="76">
        <f t="shared" si="18"/>
        <v>0</v>
      </c>
      <c r="I94" s="76">
        <f t="shared" si="18"/>
        <v>1.6</v>
      </c>
      <c r="J94" s="76">
        <f t="shared" si="18"/>
        <v>3.5</v>
      </c>
      <c r="K94" s="76">
        <f t="shared" si="18"/>
        <v>12</v>
      </c>
      <c r="L94" s="76">
        <f t="shared" ref="L94:AJ94" si="19">L86+L93</f>
        <v>26.5</v>
      </c>
      <c r="M94" s="76">
        <f t="shared" si="19"/>
        <v>26.5</v>
      </c>
      <c r="N94" s="76">
        <f t="shared" si="19"/>
        <v>26.5</v>
      </c>
      <c r="O94" s="76">
        <f t="shared" si="19"/>
        <v>26.5</v>
      </c>
      <c r="P94" s="76">
        <f t="shared" si="19"/>
        <v>26.5</v>
      </c>
      <c r="Q94" s="76">
        <f t="shared" si="19"/>
        <v>26.5</v>
      </c>
      <c r="R94" s="76">
        <f t="shared" si="19"/>
        <v>26.5</v>
      </c>
      <c r="S94" s="76">
        <f t="shared" si="19"/>
        <v>26.5</v>
      </c>
      <c r="T94" s="76">
        <f t="shared" si="19"/>
        <v>26.5</v>
      </c>
      <c r="U94" s="76">
        <f t="shared" si="19"/>
        <v>26.5</v>
      </c>
      <c r="V94" s="76">
        <f t="shared" si="19"/>
        <v>26.5</v>
      </c>
      <c r="W94" s="76">
        <f t="shared" si="19"/>
        <v>26.5</v>
      </c>
      <c r="X94" s="76">
        <f t="shared" si="19"/>
        <v>26.5</v>
      </c>
      <c r="Y94" s="76">
        <f t="shared" si="19"/>
        <v>26.5</v>
      </c>
      <c r="Z94" s="76">
        <f t="shared" si="19"/>
        <v>26.5</v>
      </c>
      <c r="AA94" s="76">
        <f t="shared" si="19"/>
        <v>26.5</v>
      </c>
      <c r="AB94" s="76">
        <f t="shared" si="19"/>
        <v>26.5</v>
      </c>
      <c r="AC94" s="76">
        <f t="shared" si="19"/>
        <v>26.5</v>
      </c>
      <c r="AD94" s="76">
        <f t="shared" si="19"/>
        <v>26.5</v>
      </c>
      <c r="AE94" s="76">
        <f t="shared" si="19"/>
        <v>26.5</v>
      </c>
      <c r="AF94" s="76">
        <f t="shared" si="19"/>
        <v>26.5</v>
      </c>
      <c r="AG94" s="76">
        <f t="shared" si="19"/>
        <v>26.5</v>
      </c>
      <c r="AH94" s="76">
        <f t="shared" si="19"/>
        <v>26.5</v>
      </c>
      <c r="AI94" s="76">
        <f t="shared" si="19"/>
        <v>26.5</v>
      </c>
      <c r="AJ94" s="76">
        <f t="shared" si="19"/>
        <v>26.5</v>
      </c>
      <c r="AK94" s="76">
        <f t="shared" si="18"/>
        <v>12</v>
      </c>
      <c r="AL94" s="53">
        <f t="shared" si="18"/>
        <v>691.6</v>
      </c>
    </row>
    <row r="95" spans="1:39" ht="21" hidden="1" thickBot="1" x14ac:dyDescent="0.25">
      <c r="A95" s="78"/>
      <c r="B95" s="79" t="s">
        <v>11</v>
      </c>
      <c r="C95" s="80"/>
      <c r="D95" s="81" t="s">
        <v>196</v>
      </c>
      <c r="E95" s="82">
        <f>E99</f>
        <v>0</v>
      </c>
      <c r="F95" s="82">
        <f t="shared" ref="F95:AK95" si="20">F99</f>
        <v>0</v>
      </c>
      <c r="G95" s="82">
        <v>12.5</v>
      </c>
      <c r="H95" s="82">
        <f t="shared" si="20"/>
        <v>0</v>
      </c>
      <c r="I95" s="82">
        <f t="shared" si="20"/>
        <v>26</v>
      </c>
      <c r="J95" s="82">
        <f t="shared" si="20"/>
        <v>17</v>
      </c>
      <c r="K95" s="82">
        <f t="shared" si="20"/>
        <v>17</v>
      </c>
      <c r="L95" s="82">
        <f t="shared" ref="L95:AJ95" si="21">L99</f>
        <v>17</v>
      </c>
      <c r="M95" s="82">
        <f t="shared" si="21"/>
        <v>17</v>
      </c>
      <c r="N95" s="82">
        <f t="shared" si="21"/>
        <v>17</v>
      </c>
      <c r="O95" s="82">
        <f t="shared" si="21"/>
        <v>17</v>
      </c>
      <c r="P95" s="82">
        <f t="shared" si="21"/>
        <v>17</v>
      </c>
      <c r="Q95" s="82">
        <f t="shared" si="21"/>
        <v>17</v>
      </c>
      <c r="R95" s="82">
        <f t="shared" si="21"/>
        <v>17</v>
      </c>
      <c r="S95" s="82">
        <f t="shared" si="21"/>
        <v>17</v>
      </c>
      <c r="T95" s="82">
        <f t="shared" si="21"/>
        <v>17</v>
      </c>
      <c r="U95" s="82">
        <f t="shared" si="21"/>
        <v>17</v>
      </c>
      <c r="V95" s="82">
        <f t="shared" si="21"/>
        <v>17</v>
      </c>
      <c r="W95" s="82">
        <f t="shared" si="21"/>
        <v>17</v>
      </c>
      <c r="X95" s="82">
        <f t="shared" si="21"/>
        <v>17</v>
      </c>
      <c r="Y95" s="82">
        <f t="shared" si="21"/>
        <v>17</v>
      </c>
      <c r="Z95" s="82">
        <f t="shared" si="21"/>
        <v>17</v>
      </c>
      <c r="AA95" s="82">
        <f t="shared" si="21"/>
        <v>17</v>
      </c>
      <c r="AB95" s="82">
        <f t="shared" si="21"/>
        <v>17</v>
      </c>
      <c r="AC95" s="82">
        <f t="shared" si="21"/>
        <v>17</v>
      </c>
      <c r="AD95" s="82">
        <f t="shared" si="21"/>
        <v>17</v>
      </c>
      <c r="AE95" s="82">
        <f t="shared" si="21"/>
        <v>17</v>
      </c>
      <c r="AF95" s="82">
        <f t="shared" si="21"/>
        <v>17</v>
      </c>
      <c r="AG95" s="82">
        <f t="shared" si="21"/>
        <v>17</v>
      </c>
      <c r="AH95" s="82">
        <f t="shared" si="21"/>
        <v>17</v>
      </c>
      <c r="AI95" s="82">
        <f t="shared" si="21"/>
        <v>17</v>
      </c>
      <c r="AJ95" s="82">
        <f t="shared" si="21"/>
        <v>17</v>
      </c>
      <c r="AK95" s="82">
        <f t="shared" si="20"/>
        <v>17</v>
      </c>
      <c r="AL95" s="83">
        <f>+AL99</f>
        <v>17.310344827586206</v>
      </c>
    </row>
    <row r="96" spans="1:39" hidden="1" x14ac:dyDescent="0.2">
      <c r="A96" s="84"/>
      <c r="B96" s="85"/>
      <c r="C96" s="86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7"/>
    </row>
    <row r="97" spans="1:38" hidden="1" x14ac:dyDescent="0.2">
      <c r="A97" s="88" t="s">
        <v>197</v>
      </c>
      <c r="B97" s="89" t="s">
        <v>198</v>
      </c>
      <c r="C97" s="89"/>
      <c r="D97" s="90"/>
      <c r="E97" s="90"/>
      <c r="F97" s="91" t="s">
        <v>199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85"/>
    </row>
    <row r="98" spans="1:38" hidden="1" x14ac:dyDescent="0.2">
      <c r="A98" s="49"/>
      <c r="B98" s="67"/>
      <c r="C98" s="92"/>
      <c r="D98" s="52" t="s">
        <v>101</v>
      </c>
      <c r="E98" s="52">
        <v>1</v>
      </c>
      <c r="F98" s="52">
        <v>2</v>
      </c>
      <c r="G98" s="52">
        <v>3</v>
      </c>
      <c r="H98" s="52">
        <v>4</v>
      </c>
      <c r="I98" s="52">
        <v>5</v>
      </c>
      <c r="J98" s="52">
        <v>6</v>
      </c>
      <c r="K98" s="52">
        <v>7</v>
      </c>
      <c r="L98" s="52">
        <v>8</v>
      </c>
      <c r="M98" s="52">
        <v>8</v>
      </c>
      <c r="N98" s="52">
        <v>8</v>
      </c>
      <c r="O98" s="52">
        <v>8</v>
      </c>
      <c r="P98" s="52">
        <v>8</v>
      </c>
      <c r="Q98" s="52">
        <v>8</v>
      </c>
      <c r="R98" s="52">
        <v>8</v>
      </c>
      <c r="S98" s="52">
        <v>8</v>
      </c>
      <c r="T98" s="52">
        <v>8</v>
      </c>
      <c r="U98" s="52">
        <v>8</v>
      </c>
      <c r="V98" s="52">
        <v>8</v>
      </c>
      <c r="W98" s="52">
        <v>8</v>
      </c>
      <c r="X98" s="52">
        <v>8</v>
      </c>
      <c r="Y98" s="52">
        <v>8</v>
      </c>
      <c r="Z98" s="52">
        <v>8</v>
      </c>
      <c r="AA98" s="52">
        <v>8</v>
      </c>
      <c r="AB98" s="52">
        <v>8</v>
      </c>
      <c r="AC98" s="52">
        <v>8</v>
      </c>
      <c r="AD98" s="52">
        <v>8</v>
      </c>
      <c r="AE98" s="52">
        <v>8</v>
      </c>
      <c r="AF98" s="52">
        <v>8</v>
      </c>
      <c r="AG98" s="52">
        <v>8</v>
      </c>
      <c r="AH98" s="52">
        <v>8</v>
      </c>
      <c r="AI98" s="52">
        <v>8</v>
      </c>
      <c r="AJ98" s="52">
        <v>8</v>
      </c>
      <c r="AK98" s="52">
        <v>9</v>
      </c>
      <c r="AL98" s="93" t="s">
        <v>192</v>
      </c>
    </row>
    <row r="99" spans="1:38" hidden="1" x14ac:dyDescent="0.2">
      <c r="A99" s="73" t="s">
        <v>157</v>
      </c>
      <c r="B99" s="67" t="s">
        <v>200</v>
      </c>
      <c r="C99" s="92"/>
      <c r="D99" s="94" t="s">
        <v>196</v>
      </c>
      <c r="E99" s="59"/>
      <c r="F99" s="59"/>
      <c r="G99" s="59"/>
      <c r="H99" s="59"/>
      <c r="I99" s="59">
        <v>26</v>
      </c>
      <c r="J99" s="59">
        <v>17</v>
      </c>
      <c r="K99" s="59">
        <v>17</v>
      </c>
      <c r="L99" s="59">
        <v>17</v>
      </c>
      <c r="M99" s="59">
        <v>17</v>
      </c>
      <c r="N99" s="59">
        <v>17</v>
      </c>
      <c r="O99" s="59">
        <v>17</v>
      </c>
      <c r="P99" s="59">
        <v>17</v>
      </c>
      <c r="Q99" s="59">
        <v>17</v>
      </c>
      <c r="R99" s="59">
        <v>17</v>
      </c>
      <c r="S99" s="59">
        <v>17</v>
      </c>
      <c r="T99" s="59">
        <v>17</v>
      </c>
      <c r="U99" s="59">
        <v>17</v>
      </c>
      <c r="V99" s="59">
        <v>17</v>
      </c>
      <c r="W99" s="59">
        <v>17</v>
      </c>
      <c r="X99" s="59">
        <v>17</v>
      </c>
      <c r="Y99" s="59">
        <v>17</v>
      </c>
      <c r="Z99" s="59">
        <v>17</v>
      </c>
      <c r="AA99" s="59">
        <v>17</v>
      </c>
      <c r="AB99" s="59">
        <v>17</v>
      </c>
      <c r="AC99" s="59">
        <v>17</v>
      </c>
      <c r="AD99" s="59">
        <v>17</v>
      </c>
      <c r="AE99" s="59">
        <v>17</v>
      </c>
      <c r="AF99" s="59">
        <v>17</v>
      </c>
      <c r="AG99" s="59">
        <v>17</v>
      </c>
      <c r="AH99" s="59">
        <v>17</v>
      </c>
      <c r="AI99" s="59">
        <v>17</v>
      </c>
      <c r="AJ99" s="59">
        <v>17</v>
      </c>
      <c r="AK99" s="59">
        <v>17</v>
      </c>
      <c r="AL99" s="95">
        <f>AVERAGE(E99:AK99)</f>
        <v>17.310344827586206</v>
      </c>
    </row>
    <row r="100" spans="1:38" hidden="1" x14ac:dyDescent="0.2">
      <c r="A100" s="73" t="s">
        <v>160</v>
      </c>
      <c r="B100" s="67" t="s">
        <v>201</v>
      </c>
      <c r="C100" s="92"/>
      <c r="D100" s="94" t="s">
        <v>14</v>
      </c>
      <c r="E100" s="59"/>
      <c r="F100" s="59"/>
      <c r="G100" s="59"/>
      <c r="H100" s="59"/>
      <c r="I100" s="59">
        <v>2.85</v>
      </c>
      <c r="J100" s="59">
        <v>2.85</v>
      </c>
      <c r="K100" s="59">
        <v>2.85</v>
      </c>
      <c r="L100" s="59">
        <v>2.85</v>
      </c>
      <c r="M100" s="59">
        <v>2.85</v>
      </c>
      <c r="N100" s="59">
        <v>2.85</v>
      </c>
      <c r="O100" s="59">
        <v>2.85</v>
      </c>
      <c r="P100" s="59">
        <v>2.85</v>
      </c>
      <c r="Q100" s="59">
        <v>2.85</v>
      </c>
      <c r="R100" s="59">
        <v>2.85</v>
      </c>
      <c r="S100" s="59">
        <v>2.85</v>
      </c>
      <c r="T100" s="59">
        <v>2.85</v>
      </c>
      <c r="U100" s="59">
        <v>2.85</v>
      </c>
      <c r="V100" s="59">
        <v>2.85</v>
      </c>
      <c r="W100" s="59">
        <v>2.85</v>
      </c>
      <c r="X100" s="59">
        <v>2.85</v>
      </c>
      <c r="Y100" s="59">
        <v>2.85</v>
      </c>
      <c r="Z100" s="59">
        <v>2.85</v>
      </c>
      <c r="AA100" s="59">
        <v>2.85</v>
      </c>
      <c r="AB100" s="59">
        <v>2.85</v>
      </c>
      <c r="AC100" s="59">
        <v>2.85</v>
      </c>
      <c r="AD100" s="59">
        <v>2.85</v>
      </c>
      <c r="AE100" s="59">
        <v>2.85</v>
      </c>
      <c r="AF100" s="59">
        <v>2.85</v>
      </c>
      <c r="AG100" s="59">
        <v>2.85</v>
      </c>
      <c r="AH100" s="59">
        <v>2.85</v>
      </c>
      <c r="AI100" s="59">
        <v>2.85</v>
      </c>
      <c r="AJ100" s="59">
        <v>2.85</v>
      </c>
      <c r="AK100" s="59">
        <v>2.85</v>
      </c>
      <c r="AL100" s="95">
        <f>AVERAGE(E100:AK100)</f>
        <v>2.8499999999999996</v>
      </c>
    </row>
    <row r="101" spans="1:38" hidden="1" x14ac:dyDescent="0.2">
      <c r="A101" s="73" t="s">
        <v>163</v>
      </c>
      <c r="B101" s="67" t="s">
        <v>202</v>
      </c>
      <c r="C101" s="92"/>
      <c r="D101" s="94" t="s">
        <v>203</v>
      </c>
      <c r="E101" s="43"/>
      <c r="F101" s="43"/>
      <c r="G101" s="43"/>
      <c r="H101" s="43"/>
      <c r="I101" s="43" t="e">
        <f>#REF!</f>
        <v>#REF!</v>
      </c>
      <c r="J101" s="43" t="e">
        <f>#REF!</f>
        <v>#REF!</v>
      </c>
      <c r="K101" s="43" t="e">
        <f>#REF!</f>
        <v>#REF!</v>
      </c>
      <c r="L101" s="43" t="e">
        <f>#REF!</f>
        <v>#REF!</v>
      </c>
      <c r="M101" s="43" t="e">
        <f>#REF!</f>
        <v>#REF!</v>
      </c>
      <c r="N101" s="43" t="e">
        <f>#REF!</f>
        <v>#REF!</v>
      </c>
      <c r="O101" s="43" t="e">
        <f>#REF!</f>
        <v>#REF!</v>
      </c>
      <c r="P101" s="43" t="e">
        <f>#REF!</f>
        <v>#REF!</v>
      </c>
      <c r="Q101" s="43" t="e">
        <f>#REF!</f>
        <v>#REF!</v>
      </c>
      <c r="R101" s="43" t="e">
        <f>#REF!</f>
        <v>#REF!</v>
      </c>
      <c r="S101" s="43" t="e">
        <f>#REF!</f>
        <v>#REF!</v>
      </c>
      <c r="T101" s="43" t="e">
        <f>#REF!</f>
        <v>#REF!</v>
      </c>
      <c r="U101" s="43" t="e">
        <f>#REF!</f>
        <v>#REF!</v>
      </c>
      <c r="V101" s="43" t="e">
        <f>#REF!</f>
        <v>#REF!</v>
      </c>
      <c r="W101" s="43" t="e">
        <f>#REF!</f>
        <v>#REF!</v>
      </c>
      <c r="X101" s="43" t="e">
        <f>#REF!</f>
        <v>#REF!</v>
      </c>
      <c r="Y101" s="43" t="e">
        <f>#REF!</f>
        <v>#REF!</v>
      </c>
      <c r="Z101" s="43" t="e">
        <f>#REF!</f>
        <v>#REF!</v>
      </c>
      <c r="AA101" s="43" t="e">
        <f>#REF!</f>
        <v>#REF!</v>
      </c>
      <c r="AB101" s="43" t="e">
        <f>#REF!</f>
        <v>#REF!</v>
      </c>
      <c r="AC101" s="43" t="e">
        <f>#REF!</f>
        <v>#REF!</v>
      </c>
      <c r="AD101" s="43" t="e">
        <f>#REF!</f>
        <v>#REF!</v>
      </c>
      <c r="AE101" s="43" t="e">
        <f>#REF!</f>
        <v>#REF!</v>
      </c>
      <c r="AF101" s="43" t="e">
        <f>#REF!</f>
        <v>#REF!</v>
      </c>
      <c r="AG101" s="43" t="e">
        <f>#REF!</f>
        <v>#REF!</v>
      </c>
      <c r="AH101" s="43" t="e">
        <f>#REF!</f>
        <v>#REF!</v>
      </c>
      <c r="AI101" s="43" t="e">
        <f>#REF!</f>
        <v>#REF!</v>
      </c>
      <c r="AJ101" s="43" t="e">
        <f>#REF!</f>
        <v>#REF!</v>
      </c>
      <c r="AK101" s="43" t="e">
        <f>#REF!</f>
        <v>#REF!</v>
      </c>
      <c r="AL101" s="95" t="e">
        <f>AVERAGE(E101:AK101)</f>
        <v>#REF!</v>
      </c>
    </row>
    <row r="102" spans="1:38" hidden="1" x14ac:dyDescent="0.2">
      <c r="A102" s="73" t="s">
        <v>166</v>
      </c>
      <c r="B102" s="67" t="s">
        <v>204</v>
      </c>
      <c r="C102" s="92"/>
      <c r="D102" s="94" t="s">
        <v>16</v>
      </c>
      <c r="E102" s="59"/>
      <c r="F102" s="59"/>
      <c r="G102" s="59"/>
      <c r="H102" s="59"/>
      <c r="I102" s="59">
        <f t="shared" ref="I102:AK102" si="22">+I94</f>
        <v>1.6</v>
      </c>
      <c r="J102" s="59">
        <f t="shared" si="22"/>
        <v>3.5</v>
      </c>
      <c r="K102" s="59">
        <f t="shared" si="22"/>
        <v>12</v>
      </c>
      <c r="L102" s="59">
        <f t="shared" ref="L102:AJ102" si="23">+L94</f>
        <v>26.5</v>
      </c>
      <c r="M102" s="59">
        <f t="shared" si="23"/>
        <v>26.5</v>
      </c>
      <c r="N102" s="59">
        <f t="shared" si="23"/>
        <v>26.5</v>
      </c>
      <c r="O102" s="59">
        <f t="shared" si="23"/>
        <v>26.5</v>
      </c>
      <c r="P102" s="59">
        <f t="shared" si="23"/>
        <v>26.5</v>
      </c>
      <c r="Q102" s="59">
        <f t="shared" si="23"/>
        <v>26.5</v>
      </c>
      <c r="R102" s="59">
        <f t="shared" si="23"/>
        <v>26.5</v>
      </c>
      <c r="S102" s="59">
        <f t="shared" si="23"/>
        <v>26.5</v>
      </c>
      <c r="T102" s="59">
        <f t="shared" si="23"/>
        <v>26.5</v>
      </c>
      <c r="U102" s="59">
        <f t="shared" si="23"/>
        <v>26.5</v>
      </c>
      <c r="V102" s="59">
        <f t="shared" si="23"/>
        <v>26.5</v>
      </c>
      <c r="W102" s="59">
        <f t="shared" si="23"/>
        <v>26.5</v>
      </c>
      <c r="X102" s="59">
        <f t="shared" si="23"/>
        <v>26.5</v>
      </c>
      <c r="Y102" s="59">
        <f t="shared" si="23"/>
        <v>26.5</v>
      </c>
      <c r="Z102" s="59">
        <f t="shared" si="23"/>
        <v>26.5</v>
      </c>
      <c r="AA102" s="59">
        <f t="shared" si="23"/>
        <v>26.5</v>
      </c>
      <c r="AB102" s="59">
        <f t="shared" si="23"/>
        <v>26.5</v>
      </c>
      <c r="AC102" s="59">
        <f t="shared" si="23"/>
        <v>26.5</v>
      </c>
      <c r="AD102" s="59">
        <f t="shared" si="23"/>
        <v>26.5</v>
      </c>
      <c r="AE102" s="59">
        <f t="shared" si="23"/>
        <v>26.5</v>
      </c>
      <c r="AF102" s="59">
        <f t="shared" si="23"/>
        <v>26.5</v>
      </c>
      <c r="AG102" s="59">
        <f t="shared" si="23"/>
        <v>26.5</v>
      </c>
      <c r="AH102" s="59">
        <f t="shared" si="23"/>
        <v>26.5</v>
      </c>
      <c r="AI102" s="59">
        <f t="shared" si="23"/>
        <v>26.5</v>
      </c>
      <c r="AJ102" s="59">
        <f t="shared" si="23"/>
        <v>26.5</v>
      </c>
      <c r="AK102" s="59">
        <f t="shared" si="22"/>
        <v>12</v>
      </c>
      <c r="AL102" s="95">
        <f>SUM(E102:AK102)</f>
        <v>691.6</v>
      </c>
    </row>
    <row r="103" spans="1:38" hidden="1" x14ac:dyDescent="0.2">
      <c r="A103" s="73" t="s">
        <v>179</v>
      </c>
      <c r="B103" s="67" t="s">
        <v>205</v>
      </c>
      <c r="C103" s="92"/>
      <c r="D103" s="94" t="s">
        <v>206</v>
      </c>
      <c r="E103" s="43">
        <v>24</v>
      </c>
      <c r="F103" s="43">
        <v>24</v>
      </c>
      <c r="G103" s="43">
        <v>24</v>
      </c>
      <c r="H103" s="43"/>
      <c r="I103" s="43">
        <v>24</v>
      </c>
      <c r="J103" s="43">
        <v>24</v>
      </c>
      <c r="K103" s="43">
        <v>24</v>
      </c>
      <c r="L103" s="43">
        <v>24</v>
      </c>
      <c r="M103" s="43">
        <v>24</v>
      </c>
      <c r="N103" s="43">
        <v>24</v>
      </c>
      <c r="O103" s="43">
        <v>24</v>
      </c>
      <c r="P103" s="43">
        <v>24</v>
      </c>
      <c r="Q103" s="43">
        <v>24</v>
      </c>
      <c r="R103" s="43">
        <v>24</v>
      </c>
      <c r="S103" s="43">
        <v>24</v>
      </c>
      <c r="T103" s="43">
        <v>24</v>
      </c>
      <c r="U103" s="43">
        <v>24</v>
      </c>
      <c r="V103" s="43">
        <v>24</v>
      </c>
      <c r="W103" s="43">
        <v>24</v>
      </c>
      <c r="X103" s="43">
        <v>24</v>
      </c>
      <c r="Y103" s="43">
        <v>24</v>
      </c>
      <c r="Z103" s="43">
        <v>24</v>
      </c>
      <c r="AA103" s="43">
        <v>24</v>
      </c>
      <c r="AB103" s="43">
        <v>24</v>
      </c>
      <c r="AC103" s="43">
        <v>24</v>
      </c>
      <c r="AD103" s="43">
        <v>24</v>
      </c>
      <c r="AE103" s="43">
        <v>24</v>
      </c>
      <c r="AF103" s="43">
        <v>24</v>
      </c>
      <c r="AG103" s="43">
        <v>24</v>
      </c>
      <c r="AH103" s="43">
        <v>24</v>
      </c>
      <c r="AI103" s="43">
        <v>24</v>
      </c>
      <c r="AJ103" s="43">
        <v>24</v>
      </c>
      <c r="AK103" s="43">
        <v>24</v>
      </c>
      <c r="AL103" s="95">
        <f>SUM(E103:AK103)</f>
        <v>768</v>
      </c>
    </row>
    <row r="104" spans="1:38" hidden="1" x14ac:dyDescent="0.2">
      <c r="A104" s="73" t="s">
        <v>181</v>
      </c>
      <c r="B104" s="67" t="s">
        <v>207</v>
      </c>
      <c r="C104" s="92"/>
      <c r="D104" s="94" t="s">
        <v>206</v>
      </c>
      <c r="E104" s="59">
        <f t="shared" ref="E104:AK104" si="24">E64</f>
        <v>0</v>
      </c>
      <c r="F104" s="43">
        <f t="shared" si="24"/>
        <v>0</v>
      </c>
      <c r="G104" s="43">
        <f t="shared" si="24"/>
        <v>0</v>
      </c>
      <c r="H104" s="43"/>
      <c r="I104" s="59" t="e">
        <f t="shared" si="24"/>
        <v>#REF!</v>
      </c>
      <c r="J104" s="59" t="e">
        <f t="shared" si="24"/>
        <v>#REF!</v>
      </c>
      <c r="K104" s="59" t="e">
        <f t="shared" si="24"/>
        <v>#REF!</v>
      </c>
      <c r="L104" s="59" t="e">
        <f t="shared" ref="L104:AJ104" si="25">L64</f>
        <v>#REF!</v>
      </c>
      <c r="M104" s="59" t="e">
        <f t="shared" si="25"/>
        <v>#REF!</v>
      </c>
      <c r="N104" s="59" t="e">
        <f t="shared" si="25"/>
        <v>#REF!</v>
      </c>
      <c r="O104" s="59" t="e">
        <f t="shared" si="25"/>
        <v>#REF!</v>
      </c>
      <c r="P104" s="59" t="e">
        <f t="shared" si="25"/>
        <v>#REF!</v>
      </c>
      <c r="Q104" s="59" t="e">
        <f t="shared" si="25"/>
        <v>#REF!</v>
      </c>
      <c r="R104" s="59" t="e">
        <f t="shared" si="25"/>
        <v>#REF!</v>
      </c>
      <c r="S104" s="59" t="e">
        <f t="shared" si="25"/>
        <v>#REF!</v>
      </c>
      <c r="T104" s="59" t="e">
        <f t="shared" si="25"/>
        <v>#REF!</v>
      </c>
      <c r="U104" s="59" t="e">
        <f t="shared" si="25"/>
        <v>#REF!</v>
      </c>
      <c r="V104" s="59" t="e">
        <f t="shared" si="25"/>
        <v>#REF!</v>
      </c>
      <c r="W104" s="59" t="e">
        <f t="shared" si="25"/>
        <v>#REF!</v>
      </c>
      <c r="X104" s="59" t="e">
        <f t="shared" si="25"/>
        <v>#REF!</v>
      </c>
      <c r="Y104" s="59" t="e">
        <f t="shared" si="25"/>
        <v>#REF!</v>
      </c>
      <c r="Z104" s="59" t="e">
        <f t="shared" si="25"/>
        <v>#REF!</v>
      </c>
      <c r="AA104" s="59" t="e">
        <f t="shared" si="25"/>
        <v>#REF!</v>
      </c>
      <c r="AB104" s="59" t="e">
        <f t="shared" si="25"/>
        <v>#REF!</v>
      </c>
      <c r="AC104" s="59" t="e">
        <f t="shared" si="25"/>
        <v>#REF!</v>
      </c>
      <c r="AD104" s="59" t="e">
        <f t="shared" si="25"/>
        <v>#REF!</v>
      </c>
      <c r="AE104" s="59" t="e">
        <f t="shared" si="25"/>
        <v>#REF!</v>
      </c>
      <c r="AF104" s="59" t="e">
        <f t="shared" si="25"/>
        <v>#REF!</v>
      </c>
      <c r="AG104" s="59" t="e">
        <f t="shared" si="25"/>
        <v>#REF!</v>
      </c>
      <c r="AH104" s="59" t="e">
        <f t="shared" si="25"/>
        <v>#REF!</v>
      </c>
      <c r="AI104" s="59" t="e">
        <f t="shared" si="25"/>
        <v>#REF!</v>
      </c>
      <c r="AJ104" s="59" t="e">
        <f t="shared" si="25"/>
        <v>#REF!</v>
      </c>
      <c r="AK104" s="59" t="e">
        <f t="shared" si="24"/>
        <v>#REF!</v>
      </c>
      <c r="AL104" s="95" t="e">
        <f>SUM(E104:AK104)</f>
        <v>#REF!</v>
      </c>
    </row>
    <row r="105" spans="1:38" hidden="1" x14ac:dyDescent="0.2">
      <c r="A105" s="73" t="s">
        <v>183</v>
      </c>
      <c r="B105" s="67" t="s">
        <v>208</v>
      </c>
      <c r="C105" s="92"/>
      <c r="D105" s="94" t="s">
        <v>206</v>
      </c>
      <c r="E105" s="43">
        <v>0</v>
      </c>
      <c r="F105" s="43">
        <v>0</v>
      </c>
      <c r="G105" s="43">
        <v>0</v>
      </c>
      <c r="H105" s="43"/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>
        <v>0</v>
      </c>
      <c r="AA105" s="43">
        <v>0</v>
      </c>
      <c r="AB105" s="43">
        <v>0</v>
      </c>
      <c r="AC105" s="43">
        <v>0</v>
      </c>
      <c r="AD105" s="43">
        <v>0</v>
      </c>
      <c r="AE105" s="43">
        <v>0</v>
      </c>
      <c r="AF105" s="43">
        <v>0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95">
        <f>SUM(E105:AK105)</f>
        <v>0</v>
      </c>
    </row>
    <row r="106" spans="1:38" hidden="1" x14ac:dyDescent="0.2">
      <c r="A106" s="73"/>
      <c r="B106" s="67"/>
      <c r="C106" s="92"/>
      <c r="D106" s="94"/>
      <c r="E106" s="59"/>
      <c r="F106" s="94"/>
      <c r="G106" s="59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95"/>
    </row>
    <row r="107" spans="1:38" hidden="1" x14ac:dyDescent="0.2">
      <c r="A107" s="73" t="s">
        <v>209</v>
      </c>
      <c r="B107" s="67" t="s">
        <v>210</v>
      </c>
      <c r="C107" s="92"/>
      <c r="D107" s="94" t="s">
        <v>211</v>
      </c>
      <c r="E107" s="43">
        <f>E99*E100*E101*60/1000000</f>
        <v>0</v>
      </c>
      <c r="F107" s="43">
        <f>F99*F100*F101*60/1000000</f>
        <v>0</v>
      </c>
      <c r="G107" s="43">
        <f>G99*G100*G101*60/1000000</f>
        <v>0</v>
      </c>
      <c r="H107" s="43"/>
      <c r="I107" s="43" t="e">
        <f>I99*I100*I101*60/1000000</f>
        <v>#REF!</v>
      </c>
      <c r="J107" s="43" t="e">
        <f t="shared" ref="J107:AK107" si="26">J99*J100*J101*60/1000000</f>
        <v>#REF!</v>
      </c>
      <c r="K107" s="43" t="e">
        <f t="shared" si="26"/>
        <v>#REF!</v>
      </c>
      <c r="L107" s="43" t="e">
        <f t="shared" ref="L107:AJ107" si="27">L99*L100*L101*60/1000000</f>
        <v>#REF!</v>
      </c>
      <c r="M107" s="43" t="e">
        <f t="shared" si="27"/>
        <v>#REF!</v>
      </c>
      <c r="N107" s="43" t="e">
        <f t="shared" si="27"/>
        <v>#REF!</v>
      </c>
      <c r="O107" s="43" t="e">
        <f t="shared" si="27"/>
        <v>#REF!</v>
      </c>
      <c r="P107" s="43" t="e">
        <f t="shared" si="27"/>
        <v>#REF!</v>
      </c>
      <c r="Q107" s="43" t="e">
        <f t="shared" si="27"/>
        <v>#REF!</v>
      </c>
      <c r="R107" s="43" t="e">
        <f t="shared" si="27"/>
        <v>#REF!</v>
      </c>
      <c r="S107" s="43" t="e">
        <f t="shared" si="27"/>
        <v>#REF!</v>
      </c>
      <c r="T107" s="43" t="e">
        <f t="shared" si="27"/>
        <v>#REF!</v>
      </c>
      <c r="U107" s="43" t="e">
        <f t="shared" si="27"/>
        <v>#REF!</v>
      </c>
      <c r="V107" s="43" t="e">
        <f t="shared" si="27"/>
        <v>#REF!</v>
      </c>
      <c r="W107" s="43" t="e">
        <f t="shared" si="27"/>
        <v>#REF!</v>
      </c>
      <c r="X107" s="43" t="e">
        <f t="shared" si="27"/>
        <v>#REF!</v>
      </c>
      <c r="Y107" s="43" t="e">
        <f t="shared" si="27"/>
        <v>#REF!</v>
      </c>
      <c r="Z107" s="43" t="e">
        <f t="shared" si="27"/>
        <v>#REF!</v>
      </c>
      <c r="AA107" s="43" t="e">
        <f t="shared" si="27"/>
        <v>#REF!</v>
      </c>
      <c r="AB107" s="43" t="e">
        <f t="shared" si="27"/>
        <v>#REF!</v>
      </c>
      <c r="AC107" s="43" t="e">
        <f t="shared" si="27"/>
        <v>#REF!</v>
      </c>
      <c r="AD107" s="43" t="e">
        <f t="shared" si="27"/>
        <v>#REF!</v>
      </c>
      <c r="AE107" s="43" t="e">
        <f t="shared" si="27"/>
        <v>#REF!</v>
      </c>
      <c r="AF107" s="43" t="e">
        <f t="shared" si="27"/>
        <v>#REF!</v>
      </c>
      <c r="AG107" s="43" t="e">
        <f t="shared" si="27"/>
        <v>#REF!</v>
      </c>
      <c r="AH107" s="43" t="e">
        <f t="shared" si="27"/>
        <v>#REF!</v>
      </c>
      <c r="AI107" s="43" t="e">
        <f t="shared" si="27"/>
        <v>#REF!</v>
      </c>
      <c r="AJ107" s="43" t="e">
        <f t="shared" si="27"/>
        <v>#REF!</v>
      </c>
      <c r="AK107" s="43" t="e">
        <f t="shared" si="26"/>
        <v>#REF!</v>
      </c>
      <c r="AL107" s="95" t="e">
        <f>AL99*AL100*AL101*60/1000000</f>
        <v>#REF!</v>
      </c>
    </row>
    <row r="108" spans="1:38" hidden="1" x14ac:dyDescent="0.2">
      <c r="A108" s="73" t="s">
        <v>212</v>
      </c>
      <c r="B108" s="67" t="s">
        <v>213</v>
      </c>
      <c r="C108" s="92"/>
      <c r="D108" s="94" t="s">
        <v>214</v>
      </c>
      <c r="E108" s="43" t="e">
        <f t="shared" ref="E108:AL108" si="28">1/E107</f>
        <v>#DIV/0!</v>
      </c>
      <c r="F108" s="43" t="e">
        <f t="shared" si="28"/>
        <v>#DIV/0!</v>
      </c>
      <c r="G108" s="43" t="e">
        <f t="shared" si="28"/>
        <v>#DIV/0!</v>
      </c>
      <c r="H108" s="43"/>
      <c r="I108" s="43" t="e">
        <f t="shared" si="28"/>
        <v>#REF!</v>
      </c>
      <c r="J108" s="43" t="e">
        <f t="shared" si="28"/>
        <v>#REF!</v>
      </c>
      <c r="K108" s="43" t="e">
        <f t="shared" si="28"/>
        <v>#REF!</v>
      </c>
      <c r="L108" s="43" t="e">
        <f t="shared" ref="L108:AJ108" si="29">1/L107</f>
        <v>#REF!</v>
      </c>
      <c r="M108" s="43" t="e">
        <f t="shared" si="29"/>
        <v>#REF!</v>
      </c>
      <c r="N108" s="43" t="e">
        <f t="shared" si="29"/>
        <v>#REF!</v>
      </c>
      <c r="O108" s="43" t="e">
        <f t="shared" si="29"/>
        <v>#REF!</v>
      </c>
      <c r="P108" s="43" t="e">
        <f t="shared" si="29"/>
        <v>#REF!</v>
      </c>
      <c r="Q108" s="43" t="e">
        <f t="shared" si="29"/>
        <v>#REF!</v>
      </c>
      <c r="R108" s="43" t="e">
        <f t="shared" si="29"/>
        <v>#REF!</v>
      </c>
      <c r="S108" s="43" t="e">
        <f t="shared" si="29"/>
        <v>#REF!</v>
      </c>
      <c r="T108" s="43" t="e">
        <f t="shared" si="29"/>
        <v>#REF!</v>
      </c>
      <c r="U108" s="43" t="e">
        <f t="shared" si="29"/>
        <v>#REF!</v>
      </c>
      <c r="V108" s="43" t="e">
        <f t="shared" si="29"/>
        <v>#REF!</v>
      </c>
      <c r="W108" s="43" t="e">
        <f t="shared" si="29"/>
        <v>#REF!</v>
      </c>
      <c r="X108" s="43" t="e">
        <f t="shared" si="29"/>
        <v>#REF!</v>
      </c>
      <c r="Y108" s="43" t="e">
        <f t="shared" si="29"/>
        <v>#REF!</v>
      </c>
      <c r="Z108" s="43" t="e">
        <f t="shared" si="29"/>
        <v>#REF!</v>
      </c>
      <c r="AA108" s="43" t="e">
        <f t="shared" si="29"/>
        <v>#REF!</v>
      </c>
      <c r="AB108" s="43" t="e">
        <f t="shared" si="29"/>
        <v>#REF!</v>
      </c>
      <c r="AC108" s="43" t="e">
        <f t="shared" si="29"/>
        <v>#REF!</v>
      </c>
      <c r="AD108" s="43" t="e">
        <f t="shared" si="29"/>
        <v>#REF!</v>
      </c>
      <c r="AE108" s="43" t="e">
        <f t="shared" si="29"/>
        <v>#REF!</v>
      </c>
      <c r="AF108" s="43" t="e">
        <f t="shared" si="29"/>
        <v>#REF!</v>
      </c>
      <c r="AG108" s="43" t="e">
        <f t="shared" si="29"/>
        <v>#REF!</v>
      </c>
      <c r="AH108" s="43" t="e">
        <f t="shared" si="29"/>
        <v>#REF!</v>
      </c>
      <c r="AI108" s="43" t="e">
        <f t="shared" si="29"/>
        <v>#REF!</v>
      </c>
      <c r="AJ108" s="43" t="e">
        <f t="shared" si="29"/>
        <v>#REF!</v>
      </c>
      <c r="AK108" s="43" t="e">
        <f t="shared" si="28"/>
        <v>#REF!</v>
      </c>
      <c r="AL108" s="95" t="e">
        <f t="shared" si="28"/>
        <v>#REF!</v>
      </c>
    </row>
    <row r="109" spans="1:38" hidden="1" x14ac:dyDescent="0.2">
      <c r="A109" s="73" t="s">
        <v>215</v>
      </c>
      <c r="B109" s="67" t="s">
        <v>216</v>
      </c>
      <c r="C109" s="92"/>
      <c r="D109" s="94" t="s">
        <v>206</v>
      </c>
      <c r="E109" s="43">
        <f t="shared" ref="E109:AL109" si="30">E103-E105</f>
        <v>24</v>
      </c>
      <c r="F109" s="43">
        <f t="shared" si="30"/>
        <v>24</v>
      </c>
      <c r="G109" s="43">
        <f t="shared" si="30"/>
        <v>24</v>
      </c>
      <c r="H109" s="43"/>
      <c r="I109" s="43">
        <f t="shared" si="30"/>
        <v>24</v>
      </c>
      <c r="J109" s="43">
        <f t="shared" si="30"/>
        <v>24</v>
      </c>
      <c r="K109" s="43">
        <f t="shared" si="30"/>
        <v>24</v>
      </c>
      <c r="L109" s="43">
        <f t="shared" ref="L109:AJ109" si="31">L103-L105</f>
        <v>24</v>
      </c>
      <c r="M109" s="43">
        <f t="shared" si="31"/>
        <v>24</v>
      </c>
      <c r="N109" s="43">
        <f t="shared" si="31"/>
        <v>24</v>
      </c>
      <c r="O109" s="43">
        <f t="shared" si="31"/>
        <v>24</v>
      </c>
      <c r="P109" s="43">
        <f t="shared" si="31"/>
        <v>24</v>
      </c>
      <c r="Q109" s="43">
        <f t="shared" si="31"/>
        <v>24</v>
      </c>
      <c r="R109" s="43">
        <f t="shared" si="31"/>
        <v>24</v>
      </c>
      <c r="S109" s="43">
        <f t="shared" si="31"/>
        <v>24</v>
      </c>
      <c r="T109" s="43">
        <f t="shared" si="31"/>
        <v>24</v>
      </c>
      <c r="U109" s="43">
        <f t="shared" si="31"/>
        <v>24</v>
      </c>
      <c r="V109" s="43">
        <f t="shared" si="31"/>
        <v>24</v>
      </c>
      <c r="W109" s="43">
        <f t="shared" si="31"/>
        <v>24</v>
      </c>
      <c r="X109" s="43">
        <f t="shared" si="31"/>
        <v>24</v>
      </c>
      <c r="Y109" s="43">
        <f t="shared" si="31"/>
        <v>24</v>
      </c>
      <c r="Z109" s="43">
        <f t="shared" si="31"/>
        <v>24</v>
      </c>
      <c r="AA109" s="43">
        <f t="shared" si="31"/>
        <v>24</v>
      </c>
      <c r="AB109" s="43">
        <f t="shared" si="31"/>
        <v>24</v>
      </c>
      <c r="AC109" s="43">
        <f t="shared" si="31"/>
        <v>24</v>
      </c>
      <c r="AD109" s="43">
        <f t="shared" si="31"/>
        <v>24</v>
      </c>
      <c r="AE109" s="43">
        <f t="shared" si="31"/>
        <v>24</v>
      </c>
      <c r="AF109" s="43">
        <f t="shared" si="31"/>
        <v>24</v>
      </c>
      <c r="AG109" s="43">
        <f t="shared" si="31"/>
        <v>24</v>
      </c>
      <c r="AH109" s="43">
        <f t="shared" si="31"/>
        <v>24</v>
      </c>
      <c r="AI109" s="43">
        <f t="shared" si="31"/>
        <v>24</v>
      </c>
      <c r="AJ109" s="43">
        <f t="shared" si="31"/>
        <v>24</v>
      </c>
      <c r="AK109" s="43">
        <f t="shared" si="30"/>
        <v>24</v>
      </c>
      <c r="AL109" s="95">
        <f t="shared" si="30"/>
        <v>768</v>
      </c>
    </row>
    <row r="110" spans="1:38" hidden="1" x14ac:dyDescent="0.2">
      <c r="A110" s="73" t="s">
        <v>217</v>
      </c>
      <c r="B110" s="67" t="s">
        <v>218</v>
      </c>
      <c r="C110" s="92"/>
      <c r="D110" s="94" t="s">
        <v>206</v>
      </c>
      <c r="E110" s="43">
        <f t="shared" ref="E110:AL110" si="32">E103-E104</f>
        <v>24</v>
      </c>
      <c r="F110" s="43">
        <f t="shared" si="32"/>
        <v>24</v>
      </c>
      <c r="G110" s="43">
        <f t="shared" si="32"/>
        <v>24</v>
      </c>
      <c r="H110" s="43"/>
      <c r="I110" s="43" t="e">
        <f t="shared" si="32"/>
        <v>#REF!</v>
      </c>
      <c r="J110" s="43" t="e">
        <f t="shared" si="32"/>
        <v>#REF!</v>
      </c>
      <c r="K110" s="43" t="e">
        <f t="shared" si="32"/>
        <v>#REF!</v>
      </c>
      <c r="L110" s="43" t="e">
        <f t="shared" ref="L110:AJ110" si="33">L103-L104</f>
        <v>#REF!</v>
      </c>
      <c r="M110" s="43" t="e">
        <f t="shared" si="33"/>
        <v>#REF!</v>
      </c>
      <c r="N110" s="43" t="e">
        <f t="shared" si="33"/>
        <v>#REF!</v>
      </c>
      <c r="O110" s="43" t="e">
        <f t="shared" si="33"/>
        <v>#REF!</v>
      </c>
      <c r="P110" s="43" t="e">
        <f t="shared" si="33"/>
        <v>#REF!</v>
      </c>
      <c r="Q110" s="43" t="e">
        <f t="shared" si="33"/>
        <v>#REF!</v>
      </c>
      <c r="R110" s="43" t="e">
        <f t="shared" si="33"/>
        <v>#REF!</v>
      </c>
      <c r="S110" s="43" t="e">
        <f t="shared" si="33"/>
        <v>#REF!</v>
      </c>
      <c r="T110" s="43" t="e">
        <f t="shared" si="33"/>
        <v>#REF!</v>
      </c>
      <c r="U110" s="43" t="e">
        <f t="shared" si="33"/>
        <v>#REF!</v>
      </c>
      <c r="V110" s="43" t="e">
        <f t="shared" si="33"/>
        <v>#REF!</v>
      </c>
      <c r="W110" s="43" t="e">
        <f t="shared" si="33"/>
        <v>#REF!</v>
      </c>
      <c r="X110" s="43" t="e">
        <f t="shared" si="33"/>
        <v>#REF!</v>
      </c>
      <c r="Y110" s="43" t="e">
        <f t="shared" si="33"/>
        <v>#REF!</v>
      </c>
      <c r="Z110" s="43" t="e">
        <f t="shared" si="33"/>
        <v>#REF!</v>
      </c>
      <c r="AA110" s="43" t="e">
        <f t="shared" si="33"/>
        <v>#REF!</v>
      </c>
      <c r="AB110" s="43" t="e">
        <f t="shared" si="33"/>
        <v>#REF!</v>
      </c>
      <c r="AC110" s="43" t="e">
        <f t="shared" si="33"/>
        <v>#REF!</v>
      </c>
      <c r="AD110" s="43" t="e">
        <f t="shared" si="33"/>
        <v>#REF!</v>
      </c>
      <c r="AE110" s="43" t="e">
        <f t="shared" si="33"/>
        <v>#REF!</v>
      </c>
      <c r="AF110" s="43" t="e">
        <f t="shared" si="33"/>
        <v>#REF!</v>
      </c>
      <c r="AG110" s="43" t="e">
        <f t="shared" si="33"/>
        <v>#REF!</v>
      </c>
      <c r="AH110" s="43" t="e">
        <f t="shared" si="33"/>
        <v>#REF!</v>
      </c>
      <c r="AI110" s="43" t="e">
        <f t="shared" si="33"/>
        <v>#REF!</v>
      </c>
      <c r="AJ110" s="43" t="e">
        <f t="shared" si="33"/>
        <v>#REF!</v>
      </c>
      <c r="AK110" s="43" t="e">
        <f t="shared" si="32"/>
        <v>#REF!</v>
      </c>
      <c r="AL110" s="95" t="e">
        <f t="shared" si="32"/>
        <v>#REF!</v>
      </c>
    </row>
    <row r="111" spans="1:38" hidden="1" x14ac:dyDescent="0.2">
      <c r="A111" s="73" t="s">
        <v>219</v>
      </c>
      <c r="B111" s="67" t="s">
        <v>220</v>
      </c>
      <c r="C111" s="92"/>
      <c r="D111" s="94"/>
      <c r="E111" s="43">
        <f t="shared" ref="E111:AL111" si="34">E110/E109</f>
        <v>1</v>
      </c>
      <c r="F111" s="43">
        <f t="shared" si="34"/>
        <v>1</v>
      </c>
      <c r="G111" s="43">
        <f t="shared" si="34"/>
        <v>1</v>
      </c>
      <c r="H111" s="43"/>
      <c r="I111" s="43" t="e">
        <f t="shared" si="34"/>
        <v>#REF!</v>
      </c>
      <c r="J111" s="43" t="e">
        <f t="shared" si="34"/>
        <v>#REF!</v>
      </c>
      <c r="K111" s="43" t="e">
        <f t="shared" si="34"/>
        <v>#REF!</v>
      </c>
      <c r="L111" s="43" t="e">
        <f t="shared" ref="L111:AJ111" si="35">L110/L109</f>
        <v>#REF!</v>
      </c>
      <c r="M111" s="43" t="e">
        <f t="shared" si="35"/>
        <v>#REF!</v>
      </c>
      <c r="N111" s="43" t="e">
        <f t="shared" si="35"/>
        <v>#REF!</v>
      </c>
      <c r="O111" s="43" t="e">
        <f t="shared" si="35"/>
        <v>#REF!</v>
      </c>
      <c r="P111" s="43" t="e">
        <f t="shared" si="35"/>
        <v>#REF!</v>
      </c>
      <c r="Q111" s="43" t="e">
        <f t="shared" si="35"/>
        <v>#REF!</v>
      </c>
      <c r="R111" s="43" t="e">
        <f t="shared" si="35"/>
        <v>#REF!</v>
      </c>
      <c r="S111" s="43" t="e">
        <f t="shared" si="35"/>
        <v>#REF!</v>
      </c>
      <c r="T111" s="43" t="e">
        <f t="shared" si="35"/>
        <v>#REF!</v>
      </c>
      <c r="U111" s="43" t="e">
        <f t="shared" si="35"/>
        <v>#REF!</v>
      </c>
      <c r="V111" s="43" t="e">
        <f t="shared" si="35"/>
        <v>#REF!</v>
      </c>
      <c r="W111" s="43" t="e">
        <f t="shared" si="35"/>
        <v>#REF!</v>
      </c>
      <c r="X111" s="43" t="e">
        <f t="shared" si="35"/>
        <v>#REF!</v>
      </c>
      <c r="Y111" s="43" t="e">
        <f t="shared" si="35"/>
        <v>#REF!</v>
      </c>
      <c r="Z111" s="43" t="e">
        <f t="shared" si="35"/>
        <v>#REF!</v>
      </c>
      <c r="AA111" s="43" t="e">
        <f t="shared" si="35"/>
        <v>#REF!</v>
      </c>
      <c r="AB111" s="43" t="e">
        <f t="shared" si="35"/>
        <v>#REF!</v>
      </c>
      <c r="AC111" s="43" t="e">
        <f t="shared" si="35"/>
        <v>#REF!</v>
      </c>
      <c r="AD111" s="43" t="e">
        <f t="shared" si="35"/>
        <v>#REF!</v>
      </c>
      <c r="AE111" s="43" t="e">
        <f t="shared" si="35"/>
        <v>#REF!</v>
      </c>
      <c r="AF111" s="43" t="e">
        <f t="shared" si="35"/>
        <v>#REF!</v>
      </c>
      <c r="AG111" s="43" t="e">
        <f t="shared" si="35"/>
        <v>#REF!</v>
      </c>
      <c r="AH111" s="43" t="e">
        <f t="shared" si="35"/>
        <v>#REF!</v>
      </c>
      <c r="AI111" s="43" t="e">
        <f t="shared" si="35"/>
        <v>#REF!</v>
      </c>
      <c r="AJ111" s="43" t="e">
        <f t="shared" si="35"/>
        <v>#REF!</v>
      </c>
      <c r="AK111" s="43" t="e">
        <f t="shared" si="34"/>
        <v>#REF!</v>
      </c>
      <c r="AL111" s="95" t="e">
        <f t="shared" si="34"/>
        <v>#REF!</v>
      </c>
    </row>
    <row r="112" spans="1:38" hidden="1" x14ac:dyDescent="0.2">
      <c r="A112" s="73" t="s">
        <v>14</v>
      </c>
      <c r="B112" s="67" t="s">
        <v>221</v>
      </c>
      <c r="C112" s="92"/>
      <c r="D112" s="94"/>
      <c r="E112" s="43" t="e">
        <f t="shared" ref="E112:AL112" si="36">E108*E102/E110</f>
        <v>#DIV/0!</v>
      </c>
      <c r="F112" s="43" t="e">
        <f t="shared" si="36"/>
        <v>#DIV/0!</v>
      </c>
      <c r="G112" s="43" t="e">
        <f t="shared" si="36"/>
        <v>#DIV/0!</v>
      </c>
      <c r="H112" s="43"/>
      <c r="I112" s="43" t="e">
        <f t="shared" si="36"/>
        <v>#REF!</v>
      </c>
      <c r="J112" s="43" t="e">
        <f t="shared" si="36"/>
        <v>#REF!</v>
      </c>
      <c r="K112" s="43" t="e">
        <f t="shared" si="36"/>
        <v>#REF!</v>
      </c>
      <c r="L112" s="43" t="e">
        <f t="shared" ref="L112:AJ112" si="37">L108*L102/L110</f>
        <v>#REF!</v>
      </c>
      <c r="M112" s="43" t="e">
        <f t="shared" si="37"/>
        <v>#REF!</v>
      </c>
      <c r="N112" s="43" t="e">
        <f t="shared" si="37"/>
        <v>#REF!</v>
      </c>
      <c r="O112" s="43" t="e">
        <f t="shared" si="37"/>
        <v>#REF!</v>
      </c>
      <c r="P112" s="43" t="e">
        <f t="shared" si="37"/>
        <v>#REF!</v>
      </c>
      <c r="Q112" s="43" t="e">
        <f t="shared" si="37"/>
        <v>#REF!</v>
      </c>
      <c r="R112" s="43" t="e">
        <f t="shared" si="37"/>
        <v>#REF!</v>
      </c>
      <c r="S112" s="43" t="e">
        <f t="shared" si="37"/>
        <v>#REF!</v>
      </c>
      <c r="T112" s="43" t="e">
        <f t="shared" si="37"/>
        <v>#REF!</v>
      </c>
      <c r="U112" s="43" t="e">
        <f t="shared" si="37"/>
        <v>#REF!</v>
      </c>
      <c r="V112" s="43" t="e">
        <f t="shared" si="37"/>
        <v>#REF!</v>
      </c>
      <c r="W112" s="43" t="e">
        <f t="shared" si="37"/>
        <v>#REF!</v>
      </c>
      <c r="X112" s="43" t="e">
        <f t="shared" si="37"/>
        <v>#REF!</v>
      </c>
      <c r="Y112" s="43" t="e">
        <f t="shared" si="37"/>
        <v>#REF!</v>
      </c>
      <c r="Z112" s="43" t="e">
        <f t="shared" si="37"/>
        <v>#REF!</v>
      </c>
      <c r="AA112" s="43" t="e">
        <f t="shared" si="37"/>
        <v>#REF!</v>
      </c>
      <c r="AB112" s="43" t="e">
        <f t="shared" si="37"/>
        <v>#REF!</v>
      </c>
      <c r="AC112" s="43" t="e">
        <f t="shared" si="37"/>
        <v>#REF!</v>
      </c>
      <c r="AD112" s="43" t="e">
        <f t="shared" si="37"/>
        <v>#REF!</v>
      </c>
      <c r="AE112" s="43" t="e">
        <f t="shared" si="37"/>
        <v>#REF!</v>
      </c>
      <c r="AF112" s="43" t="e">
        <f t="shared" si="37"/>
        <v>#REF!</v>
      </c>
      <c r="AG112" s="43" t="e">
        <f t="shared" si="37"/>
        <v>#REF!</v>
      </c>
      <c r="AH112" s="43" t="e">
        <f t="shared" si="37"/>
        <v>#REF!</v>
      </c>
      <c r="AI112" s="43" t="e">
        <f t="shared" si="37"/>
        <v>#REF!</v>
      </c>
      <c r="AJ112" s="43" t="e">
        <f t="shared" si="37"/>
        <v>#REF!</v>
      </c>
      <c r="AK112" s="43" t="e">
        <f t="shared" si="36"/>
        <v>#REF!</v>
      </c>
      <c r="AL112" s="95" t="e">
        <f t="shared" si="36"/>
        <v>#REF!</v>
      </c>
    </row>
    <row r="113" spans="1:38" ht="21" hidden="1" thickBot="1" x14ac:dyDescent="0.25">
      <c r="A113" s="96"/>
      <c r="B113" s="79" t="s">
        <v>222</v>
      </c>
      <c r="C113" s="80"/>
      <c r="D113" s="81" t="s">
        <v>173</v>
      </c>
      <c r="E113" s="97" t="e">
        <f t="shared" ref="E113:AL113" si="38">E112*E111*100</f>
        <v>#DIV/0!</v>
      </c>
      <c r="F113" s="97" t="e">
        <f t="shared" si="38"/>
        <v>#DIV/0!</v>
      </c>
      <c r="G113" s="97" t="e">
        <f t="shared" si="38"/>
        <v>#DIV/0!</v>
      </c>
      <c r="H113" s="97">
        <f t="shared" si="38"/>
        <v>0</v>
      </c>
      <c r="I113" s="97" t="e">
        <f t="shared" si="38"/>
        <v>#REF!</v>
      </c>
      <c r="J113" s="97" t="e">
        <f t="shared" si="38"/>
        <v>#REF!</v>
      </c>
      <c r="K113" s="97" t="e">
        <f t="shared" si="38"/>
        <v>#REF!</v>
      </c>
      <c r="L113" s="97" t="e">
        <f t="shared" ref="L113:AJ113" si="39">L112*L111*100</f>
        <v>#REF!</v>
      </c>
      <c r="M113" s="97" t="e">
        <f t="shared" si="39"/>
        <v>#REF!</v>
      </c>
      <c r="N113" s="97" t="e">
        <f t="shared" si="39"/>
        <v>#REF!</v>
      </c>
      <c r="O113" s="97" t="e">
        <f t="shared" si="39"/>
        <v>#REF!</v>
      </c>
      <c r="P113" s="97" t="e">
        <f t="shared" si="39"/>
        <v>#REF!</v>
      </c>
      <c r="Q113" s="97" t="e">
        <f t="shared" si="39"/>
        <v>#REF!</v>
      </c>
      <c r="R113" s="97" t="e">
        <f t="shared" si="39"/>
        <v>#REF!</v>
      </c>
      <c r="S113" s="97" t="e">
        <f t="shared" si="39"/>
        <v>#REF!</v>
      </c>
      <c r="T113" s="97" t="e">
        <f t="shared" si="39"/>
        <v>#REF!</v>
      </c>
      <c r="U113" s="97" t="e">
        <f t="shared" si="39"/>
        <v>#REF!</v>
      </c>
      <c r="V113" s="97" t="e">
        <f t="shared" si="39"/>
        <v>#REF!</v>
      </c>
      <c r="W113" s="97" t="e">
        <f t="shared" si="39"/>
        <v>#REF!</v>
      </c>
      <c r="X113" s="97" t="e">
        <f t="shared" si="39"/>
        <v>#REF!</v>
      </c>
      <c r="Y113" s="97" t="e">
        <f t="shared" si="39"/>
        <v>#REF!</v>
      </c>
      <c r="Z113" s="97" t="e">
        <f t="shared" si="39"/>
        <v>#REF!</v>
      </c>
      <c r="AA113" s="97" t="e">
        <f t="shared" si="39"/>
        <v>#REF!</v>
      </c>
      <c r="AB113" s="97" t="e">
        <f t="shared" si="39"/>
        <v>#REF!</v>
      </c>
      <c r="AC113" s="97" t="e">
        <f t="shared" si="39"/>
        <v>#REF!</v>
      </c>
      <c r="AD113" s="97" t="e">
        <f t="shared" si="39"/>
        <v>#REF!</v>
      </c>
      <c r="AE113" s="97" t="e">
        <f t="shared" si="39"/>
        <v>#REF!</v>
      </c>
      <c r="AF113" s="97" t="e">
        <f t="shared" si="39"/>
        <v>#REF!</v>
      </c>
      <c r="AG113" s="97" t="e">
        <f t="shared" si="39"/>
        <v>#REF!</v>
      </c>
      <c r="AH113" s="97" t="e">
        <f t="shared" si="39"/>
        <v>#REF!</v>
      </c>
      <c r="AI113" s="97" t="e">
        <f t="shared" si="39"/>
        <v>#REF!</v>
      </c>
      <c r="AJ113" s="97" t="e">
        <f t="shared" si="39"/>
        <v>#REF!</v>
      </c>
      <c r="AK113" s="97" t="e">
        <f t="shared" si="38"/>
        <v>#REF!</v>
      </c>
      <c r="AL113" s="83" t="e">
        <f t="shared" si="38"/>
        <v>#REF!</v>
      </c>
    </row>
    <row r="114" spans="1:38" x14ac:dyDescent="0.2">
      <c r="A114" s="85"/>
      <c r="B114" s="85"/>
      <c r="C114" s="86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x14ac:dyDescent="0.2">
      <c r="A115" s="85"/>
      <c r="B115" s="85" t="s">
        <v>279</v>
      </c>
      <c r="C115" s="86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ht="26.25" customHeight="1" x14ac:dyDescent="0.2">
      <c r="A116" s="85"/>
      <c r="B116" s="67" t="s">
        <v>150</v>
      </c>
      <c r="C116" s="92" t="s">
        <v>16</v>
      </c>
      <c r="D116" s="67" t="s">
        <v>16</v>
      </c>
      <c r="E116" s="67"/>
      <c r="F116" s="67"/>
      <c r="G116" s="94">
        <v>6.6</v>
      </c>
      <c r="H116" s="94">
        <v>95.6</v>
      </c>
      <c r="I116" s="94">
        <v>116.4</v>
      </c>
      <c r="J116" s="94">
        <v>106.4</v>
      </c>
      <c r="K116" s="94">
        <v>119.6</v>
      </c>
      <c r="L116" s="94">
        <v>105.2</v>
      </c>
      <c r="M116" s="94">
        <v>117</v>
      </c>
      <c r="N116" s="94">
        <v>115.8</v>
      </c>
      <c r="O116" s="94">
        <v>117.3</v>
      </c>
      <c r="P116" s="94">
        <v>120.6</v>
      </c>
      <c r="Q116" s="94">
        <v>56.8</v>
      </c>
      <c r="R116" s="94">
        <v>101.5</v>
      </c>
      <c r="S116" s="94">
        <v>110.8</v>
      </c>
      <c r="T116" s="94">
        <v>78.099999999999994</v>
      </c>
      <c r="U116" s="94">
        <v>101.1</v>
      </c>
      <c r="V116" s="94">
        <v>118.3</v>
      </c>
      <c r="W116" s="94">
        <v>132.4</v>
      </c>
      <c r="X116" s="94">
        <v>126.7</v>
      </c>
      <c r="Y116" s="94">
        <v>122</v>
      </c>
      <c r="Z116" s="94">
        <v>128.9</v>
      </c>
      <c r="AA116" s="26">
        <v>132.5</v>
      </c>
      <c r="AB116" s="94">
        <v>130.5</v>
      </c>
      <c r="AC116" s="94">
        <v>102.8</v>
      </c>
      <c r="AD116" s="67">
        <v>6</v>
      </c>
      <c r="AE116" s="67">
        <v>131.9</v>
      </c>
      <c r="AF116" s="67">
        <v>130.30000000000001</v>
      </c>
      <c r="AG116" s="67">
        <v>125.1</v>
      </c>
      <c r="AH116" s="67">
        <v>115.9</v>
      </c>
      <c r="AI116" s="67">
        <v>122.4</v>
      </c>
      <c r="AJ116" s="67">
        <v>131.30000000000001</v>
      </c>
      <c r="AK116" s="67">
        <v>131.30000000000001</v>
      </c>
      <c r="AL116" s="98"/>
    </row>
    <row r="117" spans="1:38" ht="20" customHeight="1" x14ac:dyDescent="0.2">
      <c r="A117" s="85"/>
      <c r="B117" s="67" t="s">
        <v>280</v>
      </c>
      <c r="C117" s="92" t="s">
        <v>281</v>
      </c>
      <c r="D117" s="67" t="s">
        <v>281</v>
      </c>
      <c r="E117" s="67"/>
      <c r="F117" s="67"/>
      <c r="G117" s="94">
        <v>458.8</v>
      </c>
      <c r="H117" s="94">
        <v>6080.3</v>
      </c>
      <c r="I117" s="94">
        <v>7664.3</v>
      </c>
      <c r="J117" s="94">
        <v>9539.5</v>
      </c>
      <c r="K117" s="94">
        <v>7222.2</v>
      </c>
      <c r="L117" s="94">
        <v>5859.6</v>
      </c>
      <c r="M117" s="94">
        <v>7658.3</v>
      </c>
      <c r="N117" s="94">
        <v>5883.9</v>
      </c>
      <c r="O117" s="94">
        <v>6047.9</v>
      </c>
      <c r="P117" s="94">
        <v>6689.6</v>
      </c>
      <c r="Q117" s="94">
        <v>2798.2</v>
      </c>
      <c r="R117" s="94">
        <v>5715.2</v>
      </c>
      <c r="S117" s="94">
        <v>5759.2</v>
      </c>
      <c r="T117" s="94">
        <v>4425.3</v>
      </c>
      <c r="U117" s="94">
        <v>6088.4</v>
      </c>
      <c r="V117" s="94">
        <v>5323.8</v>
      </c>
      <c r="W117" s="94">
        <v>4638.3999999999996</v>
      </c>
      <c r="X117" s="94">
        <v>5566</v>
      </c>
      <c r="Y117" s="94">
        <v>7024.8</v>
      </c>
      <c r="Z117" s="94">
        <v>6779.1</v>
      </c>
      <c r="AA117" s="26">
        <v>5679.2</v>
      </c>
      <c r="AB117" s="94">
        <v>4279.8</v>
      </c>
      <c r="AC117" s="94">
        <v>6030.4</v>
      </c>
      <c r="AD117" s="67">
        <v>213.4</v>
      </c>
      <c r="AE117" s="67">
        <v>7311</v>
      </c>
      <c r="AF117" s="67">
        <v>8554.7999999999993</v>
      </c>
      <c r="AG117" s="67">
        <v>6702.4</v>
      </c>
      <c r="AH117" s="67">
        <v>6186.3</v>
      </c>
      <c r="AI117" s="67">
        <v>5062.8999999999996</v>
      </c>
      <c r="AJ117" s="67">
        <v>5623</v>
      </c>
      <c r="AK117" s="67">
        <v>6488.1</v>
      </c>
      <c r="AL117" s="98"/>
    </row>
    <row r="118" spans="1:38" x14ac:dyDescent="0.2">
      <c r="A118" s="85"/>
      <c r="B118" s="67" t="s">
        <v>282</v>
      </c>
      <c r="C118" s="92" t="s">
        <v>281</v>
      </c>
      <c r="D118" s="67" t="s">
        <v>281</v>
      </c>
      <c r="E118" s="67"/>
      <c r="F118" s="67"/>
      <c r="G118" s="94">
        <v>0</v>
      </c>
      <c r="H118" s="94">
        <v>39.5</v>
      </c>
      <c r="I118" s="94">
        <v>0</v>
      </c>
      <c r="J118" s="94">
        <v>0</v>
      </c>
      <c r="K118" s="94">
        <v>0</v>
      </c>
      <c r="L118" s="94">
        <v>0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4">
        <v>8.8000000000000007</v>
      </c>
      <c r="U118" s="94">
        <v>0</v>
      </c>
      <c r="V118" s="94">
        <v>0</v>
      </c>
      <c r="W118" s="94">
        <v>0</v>
      </c>
      <c r="X118" s="94">
        <v>29.4</v>
      </c>
      <c r="Y118" s="94">
        <v>0</v>
      </c>
      <c r="Z118" s="94">
        <v>0</v>
      </c>
      <c r="AA118" s="26">
        <v>8.6999999999999993</v>
      </c>
      <c r="AB118" s="94">
        <v>0</v>
      </c>
      <c r="AC118" s="94">
        <v>0</v>
      </c>
      <c r="AD118" s="67">
        <v>0</v>
      </c>
      <c r="AE118" s="67">
        <v>0</v>
      </c>
      <c r="AF118" s="67">
        <v>0</v>
      </c>
      <c r="AG118" s="67">
        <v>0</v>
      </c>
      <c r="AH118" s="67">
        <v>0</v>
      </c>
      <c r="AI118" s="67">
        <v>22.1</v>
      </c>
      <c r="AJ118" s="67">
        <v>13.6</v>
      </c>
      <c r="AK118" s="67">
        <v>0</v>
      </c>
      <c r="AL118" s="98"/>
    </row>
    <row r="119" spans="1:38" x14ac:dyDescent="0.2">
      <c r="A119" s="85"/>
      <c r="B119" s="67" t="s">
        <v>283</v>
      </c>
      <c r="C119" s="92" t="s">
        <v>153</v>
      </c>
      <c r="D119" s="67" t="s">
        <v>153</v>
      </c>
      <c r="E119" s="67"/>
      <c r="F119" s="67"/>
      <c r="G119" s="94">
        <v>684</v>
      </c>
      <c r="H119" s="94">
        <v>799</v>
      </c>
      <c r="I119" s="94">
        <v>889</v>
      </c>
      <c r="J119" s="94">
        <v>863</v>
      </c>
      <c r="K119" s="94">
        <v>573</v>
      </c>
      <c r="L119" s="94">
        <v>296</v>
      </c>
      <c r="M119" s="94">
        <v>527</v>
      </c>
      <c r="N119" s="94">
        <v>671</v>
      </c>
      <c r="O119" s="94">
        <v>633</v>
      </c>
      <c r="P119" s="94">
        <v>701</v>
      </c>
      <c r="Q119" s="94">
        <v>622</v>
      </c>
      <c r="R119" s="94">
        <v>765</v>
      </c>
      <c r="S119" s="94">
        <v>712</v>
      </c>
      <c r="T119" s="94">
        <v>592</v>
      </c>
      <c r="U119" s="94">
        <v>615</v>
      </c>
      <c r="V119" s="94">
        <v>610</v>
      </c>
      <c r="W119" s="94">
        <v>632</v>
      </c>
      <c r="X119" s="94">
        <v>643</v>
      </c>
      <c r="Y119" s="94">
        <v>629</v>
      </c>
      <c r="Z119" s="94">
        <v>596</v>
      </c>
      <c r="AA119" s="26">
        <v>603</v>
      </c>
      <c r="AB119" s="94">
        <v>618</v>
      </c>
      <c r="AC119" s="94">
        <v>581</v>
      </c>
      <c r="AD119" s="67">
        <v>318</v>
      </c>
      <c r="AE119" s="67">
        <v>650</v>
      </c>
      <c r="AF119" s="67">
        <v>654</v>
      </c>
      <c r="AG119" s="67">
        <v>635</v>
      </c>
      <c r="AH119" s="67">
        <v>629</v>
      </c>
      <c r="AI119" s="67">
        <v>566</v>
      </c>
      <c r="AJ119" s="67">
        <v>777</v>
      </c>
      <c r="AK119" s="67">
        <v>589</v>
      </c>
      <c r="AL119" s="98"/>
    </row>
    <row r="120" spans="1:38" x14ac:dyDescent="0.2">
      <c r="A120" s="85"/>
      <c r="B120" s="67" t="s">
        <v>284</v>
      </c>
      <c r="C120" s="92" t="s">
        <v>153</v>
      </c>
      <c r="D120" s="67" t="s">
        <v>153</v>
      </c>
      <c r="E120" s="67"/>
      <c r="F120" s="67"/>
      <c r="G120" s="94">
        <v>0</v>
      </c>
      <c r="H120" s="94">
        <v>0</v>
      </c>
      <c r="I120" s="94">
        <v>0</v>
      </c>
      <c r="J120" s="94">
        <v>0</v>
      </c>
      <c r="K120" s="94">
        <v>153</v>
      </c>
      <c r="L120" s="94">
        <v>386</v>
      </c>
      <c r="M120" s="94">
        <v>195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4">
        <v>0</v>
      </c>
      <c r="W120" s="94">
        <v>0</v>
      </c>
      <c r="X120" s="94">
        <v>0</v>
      </c>
      <c r="Y120" s="94">
        <v>0</v>
      </c>
      <c r="Z120" s="94">
        <v>0</v>
      </c>
      <c r="AA120" s="26">
        <v>0</v>
      </c>
      <c r="AB120" s="94">
        <v>0</v>
      </c>
      <c r="AC120" s="94">
        <v>0</v>
      </c>
      <c r="AD120" s="67">
        <v>0</v>
      </c>
      <c r="AE120" s="67">
        <v>0</v>
      </c>
      <c r="AF120" s="67">
        <v>0</v>
      </c>
      <c r="AG120" s="67">
        <v>0</v>
      </c>
      <c r="AH120" s="67">
        <v>0</v>
      </c>
      <c r="AI120" s="67">
        <v>0</v>
      </c>
      <c r="AJ120" s="67">
        <v>0</v>
      </c>
      <c r="AK120" s="67">
        <v>0</v>
      </c>
      <c r="AL120" s="98"/>
    </row>
    <row r="121" spans="1:38" x14ac:dyDescent="0.2">
      <c r="A121" s="85"/>
      <c r="B121" s="67" t="s">
        <v>285</v>
      </c>
      <c r="C121" s="92" t="s">
        <v>101</v>
      </c>
      <c r="D121" s="67" t="s">
        <v>101</v>
      </c>
      <c r="E121" s="67"/>
      <c r="F121" s="67"/>
      <c r="G121" s="94">
        <v>15879</v>
      </c>
      <c r="H121" s="94">
        <v>68056</v>
      </c>
      <c r="I121" s="94">
        <v>89082</v>
      </c>
      <c r="J121" s="94">
        <v>93707</v>
      </c>
      <c r="K121" s="94">
        <v>96983</v>
      </c>
      <c r="L121" s="94">
        <v>91286</v>
      </c>
      <c r="M121" s="94">
        <v>95649</v>
      </c>
      <c r="N121" s="94">
        <v>98864</v>
      </c>
      <c r="O121" s="94">
        <v>92791</v>
      </c>
      <c r="P121" s="94">
        <v>95550</v>
      </c>
      <c r="Q121" s="94">
        <v>40222</v>
      </c>
      <c r="R121" s="94">
        <v>82449</v>
      </c>
      <c r="S121" s="94">
        <v>88980</v>
      </c>
      <c r="T121" s="94">
        <v>57234</v>
      </c>
      <c r="U121" s="94">
        <v>75772</v>
      </c>
      <c r="V121" s="94">
        <v>85282</v>
      </c>
      <c r="W121" s="94">
        <v>85321</v>
      </c>
      <c r="X121" s="94">
        <v>91303</v>
      </c>
      <c r="Y121" s="94">
        <v>97888</v>
      </c>
      <c r="Z121" s="94">
        <v>96347</v>
      </c>
      <c r="AA121" s="26">
        <v>90100</v>
      </c>
      <c r="AB121" s="94">
        <v>87719</v>
      </c>
      <c r="AC121" s="94">
        <v>86260</v>
      </c>
      <c r="AD121" s="67">
        <v>12018</v>
      </c>
      <c r="AE121" s="67">
        <v>94245</v>
      </c>
      <c r="AF121" s="67">
        <v>97800</v>
      </c>
      <c r="AG121" s="67">
        <v>91674</v>
      </c>
      <c r="AH121" s="67">
        <v>82403</v>
      </c>
      <c r="AI121" s="67">
        <v>89710</v>
      </c>
      <c r="AJ121" s="67">
        <v>90266</v>
      </c>
      <c r="AK121" s="67">
        <v>99840</v>
      </c>
      <c r="AL121" s="98"/>
    </row>
    <row r="122" spans="1:38" x14ac:dyDescent="0.2">
      <c r="A122" s="85"/>
      <c r="B122" s="67" t="s">
        <v>286</v>
      </c>
      <c r="C122" s="92" t="s">
        <v>101</v>
      </c>
      <c r="D122" s="67" t="s">
        <v>101</v>
      </c>
      <c r="E122" s="67"/>
      <c r="F122" s="67"/>
      <c r="G122" s="94">
        <v>3906</v>
      </c>
      <c r="H122" s="94">
        <v>7529</v>
      </c>
      <c r="I122" s="94">
        <v>7653</v>
      </c>
      <c r="J122" s="94">
        <v>7528</v>
      </c>
      <c r="K122" s="94">
        <v>6952</v>
      </c>
      <c r="L122" s="94">
        <v>8149</v>
      </c>
      <c r="M122" s="94">
        <v>7836</v>
      </c>
      <c r="N122" s="94">
        <v>7321</v>
      </c>
      <c r="O122" s="94">
        <v>7544</v>
      </c>
      <c r="P122" s="94">
        <v>7935</v>
      </c>
      <c r="Q122" s="94">
        <v>5213</v>
      </c>
      <c r="R122" s="94">
        <v>7986</v>
      </c>
      <c r="S122" s="94">
        <v>7755</v>
      </c>
      <c r="T122" s="94">
        <v>8001</v>
      </c>
      <c r="U122" s="94">
        <v>6799</v>
      </c>
      <c r="V122" s="94">
        <v>7721</v>
      </c>
      <c r="W122" s="94">
        <v>8124</v>
      </c>
      <c r="X122" s="94">
        <v>7849</v>
      </c>
      <c r="Y122" s="94">
        <v>7847</v>
      </c>
      <c r="Z122" s="94">
        <v>7588</v>
      </c>
      <c r="AA122" s="26">
        <v>7535</v>
      </c>
      <c r="AB122" s="94">
        <v>8566</v>
      </c>
      <c r="AC122" s="94">
        <v>7325</v>
      </c>
      <c r="AD122" s="67">
        <v>2817</v>
      </c>
      <c r="AE122" s="67">
        <v>7318</v>
      </c>
      <c r="AF122" s="67">
        <v>7526</v>
      </c>
      <c r="AG122" s="67">
        <v>7510</v>
      </c>
      <c r="AH122" s="67">
        <v>7582</v>
      </c>
      <c r="AI122" s="67">
        <v>7475</v>
      </c>
      <c r="AJ122" s="67">
        <v>8269</v>
      </c>
      <c r="AK122" s="67">
        <v>7245</v>
      </c>
      <c r="AL122" s="98"/>
    </row>
    <row r="123" spans="1:38" x14ac:dyDescent="0.2">
      <c r="A123" s="85"/>
      <c r="B123" s="85"/>
      <c r="C123" s="86">
        <v>3906</v>
      </c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98"/>
    </row>
    <row r="124" spans="1:38" x14ac:dyDescent="0.2">
      <c r="A124" s="85"/>
      <c r="B124" s="85"/>
      <c r="C124" s="86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98"/>
    </row>
    <row r="125" spans="1:38" x14ac:dyDescent="0.2">
      <c r="A125" s="85"/>
      <c r="B125" s="85"/>
      <c r="C125" s="86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98"/>
    </row>
    <row r="126" spans="1:38" ht="20.25" customHeight="1" x14ac:dyDescent="0.2">
      <c r="A126" s="85"/>
      <c r="B126" s="85"/>
      <c r="C126" s="86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98"/>
    </row>
  </sheetData>
  <mergeCells count="9">
    <mergeCell ref="I87:AK87"/>
    <mergeCell ref="I3:AL3"/>
    <mergeCell ref="H19:AK19"/>
    <mergeCell ref="C59:AL60"/>
    <mergeCell ref="C66:AL66"/>
    <mergeCell ref="D79:AL79"/>
    <mergeCell ref="I81:AK81"/>
    <mergeCell ref="D51:AL51"/>
    <mergeCell ref="A56:AL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01-12-2025</vt:lpstr>
      <vt:lpstr>02-12-2025</vt:lpstr>
      <vt:lpstr>03-12-2025</vt:lpstr>
      <vt:lpstr>04-12-2025</vt:lpstr>
      <vt:lpstr>05-12-2025</vt:lpstr>
      <vt:lpstr>06-12-2025</vt:lpstr>
      <vt:lpstr>07-12-2025</vt:lpstr>
      <vt:lpstr>08-12-2025</vt:lpstr>
      <vt:lpstr>09-12-2025</vt:lpstr>
      <vt:lpstr>10-12-2025</vt:lpstr>
      <vt:lpstr>11-12-2025</vt:lpstr>
      <vt:lpstr>12-12-2025</vt:lpstr>
      <vt:lpstr>13-12-2025</vt:lpstr>
      <vt:lpstr>14-12-2025</vt:lpstr>
      <vt:lpstr>15-12-2025</vt:lpstr>
      <vt:lpstr>16-12-2025</vt:lpstr>
      <vt:lpstr>17-12-2025</vt:lpstr>
      <vt:lpstr>18-12-2025</vt:lpstr>
      <vt:lpstr>19-12-2025</vt:lpstr>
      <vt:lpstr>20-12-2025</vt:lpstr>
      <vt:lpstr>21-12-2025</vt:lpstr>
      <vt:lpstr>22-12-2025</vt:lpstr>
      <vt:lpstr>23-12-2025</vt:lpstr>
      <vt:lpstr>24-12-2025</vt:lpstr>
      <vt:lpstr>25-12-2025</vt:lpstr>
      <vt:lpstr>26-12-2025</vt:lpstr>
      <vt:lpstr>27-12-2025</vt:lpstr>
      <vt:lpstr>28-12-2025</vt:lpstr>
      <vt:lpstr>29-12-2025</vt:lpstr>
      <vt:lpstr>30-12-2025</vt:lpstr>
      <vt:lpstr>31-12-2025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2026-02-27T11:22:16Z</dcterms:modified>
</cp:coreProperties>
</file>