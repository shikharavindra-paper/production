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untitled folder/"/>
    </mc:Choice>
  </mc:AlternateContent>
  <xr:revisionPtr revIDLastSave="0" documentId="13_ncr:1_{70A1A42F-C86A-E045-9067-B3180E0A6A86}" xr6:coauthVersionLast="47" xr6:coauthVersionMax="47" xr10:uidLastSave="{00000000-0000-0000-0000-000000000000}"/>
  <bookViews>
    <workbookView xWindow="0" yWindow="520" windowWidth="20480" windowHeight="12800" firstSheet="25" activeTab="30" xr2:uid="{00000000-000D-0000-FFFF-FFFF00000000}"/>
  </bookViews>
  <sheets>
    <sheet name="01-09-2025" sheetId="154" r:id="rId1"/>
    <sheet name="02-09-2025" sheetId="155" r:id="rId2"/>
    <sheet name="03-09-2025" sheetId="156" r:id="rId3"/>
    <sheet name="04-09-2025" sheetId="157" r:id="rId4"/>
    <sheet name="05-09-2025" sheetId="158" r:id="rId5"/>
    <sheet name="06-09-2025" sheetId="159" r:id="rId6"/>
    <sheet name="07-09-2025" sheetId="160" r:id="rId7"/>
    <sheet name="08-09-2025" sheetId="161" r:id="rId8"/>
    <sheet name="09-09-2025" sheetId="162" r:id="rId9"/>
    <sheet name="10-09-2025" sheetId="163" r:id="rId10"/>
    <sheet name="11-09-2025" sheetId="164" r:id="rId11"/>
    <sheet name="12-09-2025" sheetId="165" r:id="rId12"/>
    <sheet name="13-09-2025" sheetId="166" r:id="rId13"/>
    <sheet name="14-09-2025" sheetId="167" r:id="rId14"/>
    <sheet name="15-09-2025" sheetId="168" r:id="rId15"/>
    <sheet name="16-09-2025" sheetId="169" r:id="rId16"/>
    <sheet name="17-09-2025" sheetId="170" r:id="rId17"/>
    <sheet name="18-09-2025" sheetId="171" r:id="rId18"/>
    <sheet name="19-09-2025" sheetId="172" r:id="rId19"/>
    <sheet name="20-09-2025" sheetId="173" r:id="rId20"/>
    <sheet name="21-09-2025" sheetId="174" r:id="rId21"/>
    <sheet name="22-09-2025" sheetId="175" r:id="rId22"/>
    <sheet name="23-09-2025" sheetId="176" r:id="rId23"/>
    <sheet name="24-09-2025" sheetId="177" r:id="rId24"/>
    <sheet name="25-09-2025" sheetId="178" r:id="rId25"/>
    <sheet name="26-09-2025" sheetId="179" r:id="rId26"/>
    <sheet name="27-09-2025" sheetId="180" r:id="rId27"/>
    <sheet name="28-09-2025" sheetId="181" r:id="rId28"/>
    <sheet name="29-09-2025" sheetId="182" r:id="rId29"/>
    <sheet name="30-09-2025" sheetId="183" r:id="rId30"/>
    <sheet name="Pulp &amp; Chemical consumption" sheetId="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83" l="1"/>
  <c r="F22" i="183"/>
  <c r="J25" i="183" s="1"/>
  <c r="H10" i="183"/>
  <c r="G10" i="183"/>
  <c r="H9" i="183"/>
  <c r="G9" i="183"/>
  <c r="J26" i="182"/>
  <c r="H14" i="182"/>
  <c r="G14" i="182"/>
  <c r="H22" i="182"/>
  <c r="F22" i="182"/>
  <c r="J25" i="182" s="1"/>
  <c r="H13" i="182"/>
  <c r="G13" i="182"/>
  <c r="H12" i="182"/>
  <c r="G12" i="182"/>
  <c r="H11" i="182"/>
  <c r="G11" i="182"/>
  <c r="H10" i="182"/>
  <c r="G10" i="182"/>
  <c r="H9" i="182"/>
  <c r="G9" i="182"/>
  <c r="J26" i="181"/>
  <c r="H12" i="181"/>
  <c r="H13" i="181"/>
  <c r="G12" i="181"/>
  <c r="G13" i="181"/>
  <c r="F22" i="181"/>
  <c r="J25" i="181" s="1"/>
  <c r="H11" i="181"/>
  <c r="G11" i="181"/>
  <c r="H10" i="181"/>
  <c r="G10" i="181"/>
  <c r="H9" i="181"/>
  <c r="G9" i="181"/>
  <c r="J26" i="180"/>
  <c r="F22" i="180"/>
  <c r="H11" i="180"/>
  <c r="G11" i="180"/>
  <c r="H10" i="180"/>
  <c r="G10" i="180"/>
  <c r="H9" i="180"/>
  <c r="G9" i="180"/>
  <c r="H22" i="183" l="1"/>
  <c r="G22" i="183"/>
  <c r="G22" i="182"/>
  <c r="G22" i="181"/>
  <c r="H22" i="181"/>
  <c r="H22" i="180"/>
  <c r="J25" i="180"/>
  <c r="G22" i="180"/>
  <c r="J26" i="179"/>
  <c r="H10" i="179"/>
  <c r="H11" i="179"/>
  <c r="G10" i="179"/>
  <c r="G11" i="179"/>
  <c r="F22" i="179"/>
  <c r="J25" i="179" s="1"/>
  <c r="H9" i="179"/>
  <c r="G9" i="179"/>
  <c r="J26" i="178"/>
  <c r="F22" i="178"/>
  <c r="J25" i="178" s="1"/>
  <c r="H9" i="178"/>
  <c r="G9" i="178"/>
  <c r="J26" i="177"/>
  <c r="F22" i="177"/>
  <c r="J25" i="177" s="1"/>
  <c r="H10" i="177"/>
  <c r="G10" i="177"/>
  <c r="H9" i="177"/>
  <c r="G9" i="177"/>
  <c r="J26" i="176"/>
  <c r="F22" i="176"/>
  <c r="J25" i="176" s="1"/>
  <c r="H10" i="176"/>
  <c r="G10" i="176"/>
  <c r="H9" i="176"/>
  <c r="G9" i="176"/>
  <c r="J26" i="175"/>
  <c r="H12" i="175"/>
  <c r="H13" i="175"/>
  <c r="H14" i="175"/>
  <c r="G12" i="175"/>
  <c r="G13" i="175"/>
  <c r="G14" i="175"/>
  <c r="F22" i="175"/>
  <c r="H11" i="175"/>
  <c r="G11" i="175"/>
  <c r="H10" i="175"/>
  <c r="G10" i="175"/>
  <c r="H9" i="175"/>
  <c r="G9" i="175"/>
  <c r="J26" i="174"/>
  <c r="H10" i="174"/>
  <c r="H11" i="174"/>
  <c r="G10" i="174"/>
  <c r="G11" i="174"/>
  <c r="F22" i="174"/>
  <c r="J25" i="174" s="1"/>
  <c r="H9" i="174"/>
  <c r="G9" i="174"/>
  <c r="G22" i="174" s="1"/>
  <c r="J26" i="173"/>
  <c r="F22" i="173"/>
  <c r="H9" i="173"/>
  <c r="G9" i="173"/>
  <c r="J26" i="172"/>
  <c r="H13" i="172"/>
  <c r="H14" i="172"/>
  <c r="G13" i="172"/>
  <c r="G14" i="172"/>
  <c r="F22" i="172"/>
  <c r="H12" i="172"/>
  <c r="G12" i="172"/>
  <c r="H11" i="172"/>
  <c r="G11" i="172"/>
  <c r="H10" i="172"/>
  <c r="G10" i="172"/>
  <c r="H9" i="172"/>
  <c r="G9" i="172"/>
  <c r="J26" i="171"/>
  <c r="F22" i="171"/>
  <c r="J25" i="171" s="1"/>
  <c r="H12" i="171"/>
  <c r="G12" i="171"/>
  <c r="H11" i="171"/>
  <c r="G11" i="171"/>
  <c r="H10" i="171"/>
  <c r="G10" i="171"/>
  <c r="H9" i="171"/>
  <c r="G9" i="171"/>
  <c r="J26" i="170"/>
  <c r="H14" i="170"/>
  <c r="G14" i="170"/>
  <c r="F22" i="170"/>
  <c r="J25" i="170" s="1"/>
  <c r="H13" i="170"/>
  <c r="G13" i="170"/>
  <c r="H12" i="170"/>
  <c r="G12" i="170"/>
  <c r="H11" i="170"/>
  <c r="G11" i="170"/>
  <c r="H10" i="170"/>
  <c r="G10" i="170"/>
  <c r="H9" i="170"/>
  <c r="G9" i="170"/>
  <c r="J26" i="169"/>
  <c r="F22" i="169"/>
  <c r="J25" i="169" s="1"/>
  <c r="H13" i="169"/>
  <c r="G13" i="169"/>
  <c r="H12" i="169"/>
  <c r="G12" i="169"/>
  <c r="H11" i="169"/>
  <c r="G11" i="169"/>
  <c r="H10" i="169"/>
  <c r="G10" i="169"/>
  <c r="H9" i="169"/>
  <c r="G9" i="169"/>
  <c r="J26" i="168"/>
  <c r="H11" i="168"/>
  <c r="H12" i="168"/>
  <c r="H13" i="168"/>
  <c r="G11" i="168"/>
  <c r="G12" i="168"/>
  <c r="G13" i="168"/>
  <c r="F22" i="168"/>
  <c r="J25" i="168" s="1"/>
  <c r="H10" i="168"/>
  <c r="G10" i="168"/>
  <c r="H9" i="168"/>
  <c r="G9" i="168"/>
  <c r="J26" i="167"/>
  <c r="F22" i="167"/>
  <c r="H10" i="167"/>
  <c r="G10" i="167"/>
  <c r="H9" i="167"/>
  <c r="G9" i="167"/>
  <c r="J26" i="166"/>
  <c r="F22" i="166"/>
  <c r="H13" i="166"/>
  <c r="G13" i="166"/>
  <c r="H12" i="166"/>
  <c r="G12" i="166"/>
  <c r="H11" i="166"/>
  <c r="G11" i="166"/>
  <c r="H10" i="166"/>
  <c r="G10" i="166"/>
  <c r="H9" i="166"/>
  <c r="G9" i="166"/>
  <c r="J26" i="165"/>
  <c r="H13" i="165"/>
  <c r="H14" i="165"/>
  <c r="H15" i="165"/>
  <c r="H16" i="165"/>
  <c r="H17" i="165"/>
  <c r="G13" i="165"/>
  <c r="G14" i="165"/>
  <c r="G15" i="165"/>
  <c r="G16" i="165"/>
  <c r="G17" i="165"/>
  <c r="F22" i="165"/>
  <c r="H12" i="165"/>
  <c r="G12" i="165"/>
  <c r="H11" i="165"/>
  <c r="G11" i="165"/>
  <c r="H10" i="165"/>
  <c r="G10" i="165"/>
  <c r="H9" i="165"/>
  <c r="G9" i="165"/>
  <c r="J26" i="164"/>
  <c r="F22" i="164"/>
  <c r="J25" i="164" s="1"/>
  <c r="H12" i="164"/>
  <c r="G12" i="164"/>
  <c r="H11" i="164"/>
  <c r="G11" i="164"/>
  <c r="H10" i="164"/>
  <c r="G10" i="164"/>
  <c r="H9" i="164"/>
  <c r="G9" i="164"/>
  <c r="J26" i="163"/>
  <c r="H10" i="163"/>
  <c r="H11" i="163"/>
  <c r="H12" i="163"/>
  <c r="G10" i="163"/>
  <c r="G11" i="163"/>
  <c r="G12" i="163"/>
  <c r="F22" i="163"/>
  <c r="J25" i="163" s="1"/>
  <c r="H9" i="163"/>
  <c r="H22" i="163" s="1"/>
  <c r="G9" i="163"/>
  <c r="G22" i="163" s="1"/>
  <c r="J26" i="162"/>
  <c r="F22" i="162"/>
  <c r="H9" i="162"/>
  <c r="H22" i="162" s="1"/>
  <c r="G9" i="162"/>
  <c r="J26" i="161"/>
  <c r="F22" i="161"/>
  <c r="J25" i="161" s="1"/>
  <c r="H11" i="161"/>
  <c r="G11" i="161"/>
  <c r="H10" i="161"/>
  <c r="G10" i="161"/>
  <c r="H9" i="161"/>
  <c r="G9" i="161"/>
  <c r="BT54" i="2"/>
  <c r="J26" i="160"/>
  <c r="H13" i="160"/>
  <c r="G13" i="160"/>
  <c r="F22" i="160"/>
  <c r="J25" i="160" s="1"/>
  <c r="H12" i="160"/>
  <c r="G12" i="160"/>
  <c r="H11" i="160"/>
  <c r="G11" i="160"/>
  <c r="H10" i="160"/>
  <c r="G10" i="160"/>
  <c r="H9" i="160"/>
  <c r="G9" i="160"/>
  <c r="J26" i="159"/>
  <c r="H10" i="159"/>
  <c r="H11" i="159"/>
  <c r="H12" i="159"/>
  <c r="G10" i="159"/>
  <c r="G11" i="159"/>
  <c r="G12" i="159"/>
  <c r="F22" i="159"/>
  <c r="J25" i="159" s="1"/>
  <c r="H9" i="159"/>
  <c r="G9" i="159"/>
  <c r="J26" i="158"/>
  <c r="F22" i="158"/>
  <c r="J25" i="158" s="1"/>
  <c r="H9" i="158"/>
  <c r="G9" i="158"/>
  <c r="J26" i="157"/>
  <c r="F22" i="157"/>
  <c r="J25" i="157" s="1"/>
  <c r="H10" i="157"/>
  <c r="G10" i="157"/>
  <c r="H9" i="157"/>
  <c r="G9" i="157"/>
  <c r="J26" i="156"/>
  <c r="F22" i="156"/>
  <c r="J25" i="156" s="1"/>
  <c r="H11" i="156"/>
  <c r="G11" i="156"/>
  <c r="H10" i="156"/>
  <c r="G10" i="156"/>
  <c r="H9" i="156"/>
  <c r="G9" i="156"/>
  <c r="J26" i="155"/>
  <c r="H11" i="155"/>
  <c r="H12" i="155"/>
  <c r="G11" i="155"/>
  <c r="G12" i="155"/>
  <c r="J25" i="155"/>
  <c r="F22" i="155"/>
  <c r="H10" i="155"/>
  <c r="G10" i="155"/>
  <c r="H9" i="155"/>
  <c r="G9" i="155"/>
  <c r="F22" i="154"/>
  <c r="J25" i="154" s="1"/>
  <c r="H10" i="154"/>
  <c r="G10" i="154"/>
  <c r="H9" i="154"/>
  <c r="G9" i="154"/>
  <c r="G22" i="179" l="1"/>
  <c r="H22" i="179"/>
  <c r="G22" i="178"/>
  <c r="H22" i="178"/>
  <c r="H22" i="177"/>
  <c r="G22" i="177"/>
  <c r="G22" i="176"/>
  <c r="H22" i="176"/>
  <c r="G22" i="175"/>
  <c r="H22" i="175"/>
  <c r="J25" i="175"/>
  <c r="H22" i="174"/>
  <c r="H22" i="173"/>
  <c r="G22" i="173"/>
  <c r="J25" i="173"/>
  <c r="G22" i="172"/>
  <c r="H22" i="172"/>
  <c r="J25" i="172"/>
  <c r="G22" i="171"/>
  <c r="H22" i="171"/>
  <c r="H22" i="170"/>
  <c r="G22" i="170"/>
  <c r="G22" i="169"/>
  <c r="H22" i="169"/>
  <c r="G22" i="168"/>
  <c r="H22" i="168"/>
  <c r="G22" i="167"/>
  <c r="H22" i="167"/>
  <c r="J25" i="167"/>
  <c r="G22" i="166"/>
  <c r="J25" i="166"/>
  <c r="H22" i="166"/>
  <c r="G22" i="165"/>
  <c r="H22" i="165"/>
  <c r="J25" i="165"/>
  <c r="G22" i="164"/>
  <c r="H22" i="164"/>
  <c r="G22" i="162"/>
  <c r="J25" i="162"/>
  <c r="G22" i="161"/>
  <c r="H22" i="161"/>
  <c r="G22" i="160"/>
  <c r="H22" i="160"/>
  <c r="G22" i="159"/>
  <c r="H22" i="159"/>
  <c r="G22" i="158"/>
  <c r="H22" i="158"/>
  <c r="G22" i="157"/>
  <c r="H22" i="157"/>
  <c r="G22" i="156"/>
  <c r="H22" i="156"/>
  <c r="G22" i="155"/>
  <c r="H22" i="155"/>
  <c r="G22" i="154"/>
  <c r="H22" i="154"/>
  <c r="AJ108" i="2" l="1"/>
  <c r="AJ100" i="2"/>
  <c r="AJ106" i="2" s="1"/>
  <c r="AJ107" i="2" s="1"/>
  <c r="AJ94" i="2"/>
  <c r="AJ92" i="2"/>
  <c r="AJ85" i="2"/>
  <c r="AJ93" i="2" s="1"/>
  <c r="AJ101" i="2" s="1"/>
  <c r="AJ76" i="2"/>
  <c r="AJ75" i="2"/>
  <c r="AJ71" i="2"/>
  <c r="AJ68" i="2"/>
  <c r="AJ74" i="2" s="1"/>
  <c r="AJ67" i="2"/>
  <c r="AJ73" i="2" s="1"/>
  <c r="AJ66" i="2"/>
  <c r="AJ72" i="2" s="1"/>
  <c r="AJ63" i="2"/>
  <c r="AJ103" i="2" s="1"/>
  <c r="AJ109" i="2" s="1"/>
  <c r="AJ110" i="2" s="1"/>
  <c r="AJ18" i="2"/>
  <c r="AJ64" i="2" s="1"/>
  <c r="AJ111" i="2" l="1"/>
  <c r="AJ112" i="2" s="1"/>
  <c r="BT48" i="2"/>
  <c r="AI18" i="2"/>
  <c r="AH18" i="2"/>
  <c r="AG18" i="2"/>
  <c r="AF18" i="2"/>
  <c r="AE18" i="2"/>
  <c r="AD18" i="2"/>
  <c r="AC18" i="2"/>
  <c r="AB18" i="2"/>
  <c r="AA18" i="2" l="1"/>
  <c r="Z18" i="2"/>
  <c r="Y18" i="2"/>
  <c r="X18" i="2"/>
  <c r="W18" i="2"/>
  <c r="V18" i="2"/>
  <c r="U18" i="2"/>
  <c r="T18" i="2"/>
  <c r="S18" i="2" l="1"/>
  <c r="R18" i="2" l="1"/>
  <c r="BT47" i="2"/>
  <c r="Q18" i="2"/>
  <c r="P18" i="2"/>
  <c r="O18" i="2"/>
  <c r="N18" i="2"/>
  <c r="M18" i="2"/>
  <c r="L18" i="2"/>
  <c r="K18" i="2"/>
  <c r="J18" i="2"/>
  <c r="I18" i="2"/>
  <c r="H18" i="2"/>
  <c r="G18" i="2"/>
  <c r="BT17" i="2"/>
  <c r="BT52" i="2" l="1"/>
  <c r="AI108" i="2"/>
  <c r="AI100" i="2"/>
  <c r="AI106" i="2" s="1"/>
  <c r="AI107" i="2" s="1"/>
  <c r="AI94" i="2"/>
  <c r="AI92" i="2"/>
  <c r="AI85" i="2"/>
  <c r="AI76" i="2"/>
  <c r="AI75" i="2"/>
  <c r="AI71" i="2"/>
  <c r="AI68" i="2"/>
  <c r="AI74" i="2" s="1"/>
  <c r="AI67" i="2"/>
  <c r="AI73" i="2" s="1"/>
  <c r="AI66" i="2"/>
  <c r="AI72" i="2" s="1"/>
  <c r="AI63" i="2"/>
  <c r="AI103" i="2" s="1"/>
  <c r="AI109" i="2" s="1"/>
  <c r="AI64" i="2"/>
  <c r="AH108" i="2"/>
  <c r="AH100" i="2"/>
  <c r="AH106" i="2" s="1"/>
  <c r="AH107" i="2" s="1"/>
  <c r="AH94" i="2"/>
  <c r="AH92" i="2"/>
  <c r="AH85" i="2"/>
  <c r="AH93" i="2" s="1"/>
  <c r="AH101" i="2" s="1"/>
  <c r="AH76" i="2"/>
  <c r="AH75" i="2"/>
  <c r="AH71" i="2"/>
  <c r="AH68" i="2"/>
  <c r="AH74" i="2" s="1"/>
  <c r="AH67" i="2"/>
  <c r="AH73" i="2" s="1"/>
  <c r="AH66" i="2"/>
  <c r="AH72" i="2" s="1"/>
  <c r="AH63" i="2"/>
  <c r="AH103" i="2" s="1"/>
  <c r="AH109" i="2" s="1"/>
  <c r="AH64" i="2"/>
  <c r="AG108" i="2"/>
  <c r="AG100" i="2"/>
  <c r="AG106" i="2" s="1"/>
  <c r="AG107" i="2" s="1"/>
  <c r="AG94" i="2"/>
  <c r="AG92" i="2"/>
  <c r="AG85" i="2"/>
  <c r="AG76" i="2"/>
  <c r="AG75" i="2"/>
  <c r="AG71" i="2"/>
  <c r="AG68" i="2"/>
  <c r="AG74" i="2" s="1"/>
  <c r="AG67" i="2"/>
  <c r="AG73" i="2" s="1"/>
  <c r="AG66" i="2"/>
  <c r="AG72" i="2" s="1"/>
  <c r="AG63" i="2"/>
  <c r="AG103" i="2" s="1"/>
  <c r="AG109" i="2" s="1"/>
  <c r="AG64" i="2"/>
  <c r="AF108" i="2"/>
  <c r="AF100" i="2"/>
  <c r="AF106" i="2" s="1"/>
  <c r="AF107" i="2" s="1"/>
  <c r="AF94" i="2"/>
  <c r="AF92" i="2"/>
  <c r="AF85" i="2"/>
  <c r="AF76" i="2"/>
  <c r="AF75" i="2"/>
  <c r="AF71" i="2"/>
  <c r="AF68" i="2"/>
  <c r="AF74" i="2" s="1"/>
  <c r="AF67" i="2"/>
  <c r="AF73" i="2" s="1"/>
  <c r="AF66" i="2"/>
  <c r="AF72" i="2" s="1"/>
  <c r="AF63" i="2"/>
  <c r="AF103" i="2" s="1"/>
  <c r="AF109" i="2" s="1"/>
  <c r="AF64" i="2"/>
  <c r="AE108" i="2"/>
  <c r="AE100" i="2"/>
  <c r="AE106" i="2" s="1"/>
  <c r="AE107" i="2" s="1"/>
  <c r="AE94" i="2"/>
  <c r="AE92" i="2"/>
  <c r="AE85" i="2"/>
  <c r="AE76" i="2"/>
  <c r="AE75" i="2"/>
  <c r="AE71" i="2"/>
  <c r="AE68" i="2"/>
  <c r="AE74" i="2" s="1"/>
  <c r="AE67" i="2"/>
  <c r="AE73" i="2" s="1"/>
  <c r="AE66" i="2"/>
  <c r="AE72" i="2" s="1"/>
  <c r="AE63" i="2"/>
  <c r="AE103" i="2" s="1"/>
  <c r="AE109" i="2" s="1"/>
  <c r="AE64" i="2"/>
  <c r="AD108" i="2"/>
  <c r="AD100" i="2"/>
  <c r="AD106" i="2" s="1"/>
  <c r="AD107" i="2" s="1"/>
  <c r="AD94" i="2"/>
  <c r="AD92" i="2"/>
  <c r="AD85" i="2"/>
  <c r="AD76" i="2"/>
  <c r="AD75" i="2"/>
  <c r="AD71" i="2"/>
  <c r="AD68" i="2"/>
  <c r="AD74" i="2" s="1"/>
  <c r="AD67" i="2"/>
  <c r="AD73" i="2" s="1"/>
  <c r="AD66" i="2"/>
  <c r="AD72" i="2" s="1"/>
  <c r="AD63" i="2"/>
  <c r="AD103" i="2" s="1"/>
  <c r="AD109" i="2" s="1"/>
  <c r="AD64" i="2"/>
  <c r="AC108" i="2"/>
  <c r="AC100" i="2"/>
  <c r="AC106" i="2" s="1"/>
  <c r="AC107" i="2" s="1"/>
  <c r="AC94" i="2"/>
  <c r="AC92" i="2"/>
  <c r="AC85" i="2"/>
  <c r="AC76" i="2"/>
  <c r="AC75" i="2"/>
  <c r="AC71" i="2"/>
  <c r="AC68" i="2"/>
  <c r="AC74" i="2" s="1"/>
  <c r="AC67" i="2"/>
  <c r="AC73" i="2" s="1"/>
  <c r="AC66" i="2"/>
  <c r="AC72" i="2" s="1"/>
  <c r="AC63" i="2"/>
  <c r="AC103" i="2" s="1"/>
  <c r="AC109" i="2" s="1"/>
  <c r="AC64" i="2"/>
  <c r="AB108" i="2"/>
  <c r="AB100" i="2"/>
  <c r="AB106" i="2" s="1"/>
  <c r="AB107" i="2" s="1"/>
  <c r="AB94" i="2"/>
  <c r="AB92" i="2"/>
  <c r="AB85" i="2"/>
  <c r="AB76" i="2"/>
  <c r="AB75" i="2"/>
  <c r="AB71" i="2"/>
  <c r="AB68" i="2"/>
  <c r="AB74" i="2" s="1"/>
  <c r="AB67" i="2"/>
  <c r="AB73" i="2" s="1"/>
  <c r="AB66" i="2"/>
  <c r="AB72" i="2" s="1"/>
  <c r="AB63" i="2"/>
  <c r="AB103" i="2" s="1"/>
  <c r="AB109" i="2" s="1"/>
  <c r="AB64" i="2"/>
  <c r="AA108" i="2"/>
  <c r="AA100" i="2"/>
  <c r="AA106" i="2" s="1"/>
  <c r="AA107" i="2" s="1"/>
  <c r="AA94" i="2"/>
  <c r="AA92" i="2"/>
  <c r="AA85" i="2"/>
  <c r="AA76" i="2"/>
  <c r="AA75" i="2"/>
  <c r="AA71" i="2"/>
  <c r="AA68" i="2"/>
  <c r="AA74" i="2" s="1"/>
  <c r="AA67" i="2"/>
  <c r="AA73" i="2" s="1"/>
  <c r="AA66" i="2"/>
  <c r="AA72" i="2" s="1"/>
  <c r="AA63" i="2"/>
  <c r="AA103" i="2" s="1"/>
  <c r="AA109" i="2" s="1"/>
  <c r="AA64" i="2"/>
  <c r="AI93" i="2" l="1"/>
  <c r="AI101" i="2" s="1"/>
  <c r="AI110" i="2"/>
  <c r="AC93" i="2"/>
  <c r="AC101" i="2" s="1"/>
  <c r="AH110" i="2"/>
  <c r="AF93" i="2"/>
  <c r="AF101" i="2" s="1"/>
  <c r="AF111" i="2" s="1"/>
  <c r="AI111" i="2"/>
  <c r="AG93" i="2"/>
  <c r="AG101" i="2" s="1"/>
  <c r="AG110" i="2"/>
  <c r="AH111" i="2"/>
  <c r="AE110" i="2"/>
  <c r="AD93" i="2"/>
  <c r="AD101" i="2" s="1"/>
  <c r="AD111" i="2" s="1"/>
  <c r="AG111" i="2"/>
  <c r="AG112" i="2" s="1"/>
  <c r="AF110" i="2"/>
  <c r="AE93" i="2"/>
  <c r="AE101" i="2" s="1"/>
  <c r="AE111" i="2" s="1"/>
  <c r="AD110" i="2"/>
  <c r="AB110" i="2"/>
  <c r="AC110" i="2"/>
  <c r="AC111" i="2"/>
  <c r="AB93" i="2"/>
  <c r="AB101" i="2" s="1"/>
  <c r="AB111" i="2" s="1"/>
  <c r="AA93" i="2"/>
  <c r="AA101" i="2" s="1"/>
  <c r="AA111" i="2" s="1"/>
  <c r="AA110" i="2"/>
  <c r="AA112" i="2" l="1"/>
  <c r="AI112" i="2"/>
  <c r="AH112" i="2"/>
  <c r="AE112" i="2"/>
  <c r="AC112" i="2"/>
  <c r="AF112" i="2"/>
  <c r="AD112" i="2"/>
  <c r="AB112" i="2"/>
  <c r="Z108" i="2"/>
  <c r="Z100" i="2"/>
  <c r="Z106" i="2" s="1"/>
  <c r="Z107" i="2" s="1"/>
  <c r="Z94" i="2"/>
  <c r="Z92" i="2"/>
  <c r="Z85" i="2"/>
  <c r="Z76" i="2"/>
  <c r="Z75" i="2"/>
  <c r="Z71" i="2"/>
  <c r="Z68" i="2"/>
  <c r="Z74" i="2" s="1"/>
  <c r="Z67" i="2"/>
  <c r="Z73" i="2" s="1"/>
  <c r="Z66" i="2"/>
  <c r="Z72" i="2" s="1"/>
  <c r="Z63" i="2"/>
  <c r="Z103" i="2" s="1"/>
  <c r="Z109" i="2" s="1"/>
  <c r="Z64" i="2"/>
  <c r="Z110" i="2" l="1"/>
  <c r="Z93" i="2"/>
  <c r="Z101" i="2" s="1"/>
  <c r="Z111" i="2" s="1"/>
  <c r="BT16" i="2"/>
  <c r="Y64" i="2"/>
  <c r="X64" i="2"/>
  <c r="W64" i="2"/>
  <c r="V64" i="2"/>
  <c r="U64" i="2"/>
  <c r="T64" i="2"/>
  <c r="S64" i="2"/>
  <c r="R64" i="2"/>
  <c r="Q64" i="2"/>
  <c r="P64" i="2"/>
  <c r="O64" i="2"/>
  <c r="Y108" i="2"/>
  <c r="Y100" i="2"/>
  <c r="Y106" i="2" s="1"/>
  <c r="Y107" i="2" s="1"/>
  <c r="Y94" i="2"/>
  <c r="Y92" i="2"/>
  <c r="Y85" i="2"/>
  <c r="Y76" i="2"/>
  <c r="Y75" i="2"/>
  <c r="Y71" i="2"/>
  <c r="Y68" i="2"/>
  <c r="Y74" i="2" s="1"/>
  <c r="Y67" i="2"/>
  <c r="Y73" i="2" s="1"/>
  <c r="Y66" i="2"/>
  <c r="Y72" i="2" s="1"/>
  <c r="Y63" i="2"/>
  <c r="Y103" i="2" s="1"/>
  <c r="Y109" i="2" s="1"/>
  <c r="X108" i="2"/>
  <c r="X100" i="2"/>
  <c r="X106" i="2" s="1"/>
  <c r="X107" i="2" s="1"/>
  <c r="X94" i="2"/>
  <c r="X92" i="2"/>
  <c r="X85" i="2"/>
  <c r="X76" i="2"/>
  <c r="X75" i="2"/>
  <c r="X71" i="2"/>
  <c r="X68" i="2"/>
  <c r="X74" i="2" s="1"/>
  <c r="X67" i="2"/>
  <c r="X73" i="2" s="1"/>
  <c r="X66" i="2"/>
  <c r="X72" i="2" s="1"/>
  <c r="X63" i="2"/>
  <c r="X103" i="2" s="1"/>
  <c r="X109" i="2" s="1"/>
  <c r="W108" i="2"/>
  <c r="W100" i="2"/>
  <c r="W106" i="2" s="1"/>
  <c r="W107" i="2" s="1"/>
  <c r="W94" i="2"/>
  <c r="W92" i="2"/>
  <c r="W85" i="2"/>
  <c r="W93" i="2" s="1"/>
  <c r="W101" i="2" s="1"/>
  <c r="W76" i="2"/>
  <c r="W75" i="2"/>
  <c r="W71" i="2"/>
  <c r="W68" i="2"/>
  <c r="W74" i="2" s="1"/>
  <c r="W67" i="2"/>
  <c r="W73" i="2" s="1"/>
  <c r="W66" i="2"/>
  <c r="W72" i="2" s="1"/>
  <c r="W63" i="2"/>
  <c r="W103" i="2" s="1"/>
  <c r="W109" i="2" s="1"/>
  <c r="V108" i="2"/>
  <c r="V100" i="2"/>
  <c r="V106" i="2" s="1"/>
  <c r="V107" i="2" s="1"/>
  <c r="V94" i="2"/>
  <c r="V92" i="2"/>
  <c r="V85" i="2"/>
  <c r="V93" i="2" s="1"/>
  <c r="V101" i="2" s="1"/>
  <c r="V76" i="2"/>
  <c r="V75" i="2"/>
  <c r="V71" i="2"/>
  <c r="V68" i="2"/>
  <c r="V74" i="2" s="1"/>
  <c r="V67" i="2"/>
  <c r="V73" i="2" s="1"/>
  <c r="V66" i="2"/>
  <c r="V72" i="2" s="1"/>
  <c r="V63" i="2"/>
  <c r="V103" i="2" s="1"/>
  <c r="V109" i="2" s="1"/>
  <c r="U108" i="2"/>
  <c r="U100" i="2"/>
  <c r="U106" i="2" s="1"/>
  <c r="U107" i="2" s="1"/>
  <c r="U94" i="2"/>
  <c r="U92" i="2"/>
  <c r="U85" i="2"/>
  <c r="U76" i="2"/>
  <c r="U75" i="2"/>
  <c r="U71" i="2"/>
  <c r="U68" i="2"/>
  <c r="U74" i="2" s="1"/>
  <c r="U67" i="2"/>
  <c r="U73" i="2" s="1"/>
  <c r="U66" i="2"/>
  <c r="U72" i="2" s="1"/>
  <c r="U63" i="2"/>
  <c r="U103" i="2" s="1"/>
  <c r="U109" i="2" s="1"/>
  <c r="T108" i="2"/>
  <c r="T100" i="2"/>
  <c r="T106" i="2" s="1"/>
  <c r="T107" i="2" s="1"/>
  <c r="T94" i="2"/>
  <c r="T92" i="2"/>
  <c r="T85" i="2"/>
  <c r="T76" i="2"/>
  <c r="T75" i="2"/>
  <c r="T71" i="2"/>
  <c r="T68" i="2"/>
  <c r="T74" i="2" s="1"/>
  <c r="T67" i="2"/>
  <c r="T73" i="2" s="1"/>
  <c r="T66" i="2"/>
  <c r="T72" i="2" s="1"/>
  <c r="T63" i="2"/>
  <c r="T103" i="2" s="1"/>
  <c r="T109" i="2" s="1"/>
  <c r="S108" i="2"/>
  <c r="S100" i="2"/>
  <c r="S106" i="2" s="1"/>
  <c r="S107" i="2" s="1"/>
  <c r="S94" i="2"/>
  <c r="S92" i="2"/>
  <c r="S85" i="2"/>
  <c r="S76" i="2"/>
  <c r="S75" i="2"/>
  <c r="S71" i="2"/>
  <c r="S68" i="2"/>
  <c r="S74" i="2" s="1"/>
  <c r="S67" i="2"/>
  <c r="S73" i="2" s="1"/>
  <c r="S66" i="2"/>
  <c r="S72" i="2" s="1"/>
  <c r="S63" i="2"/>
  <c r="S103" i="2" s="1"/>
  <c r="S109" i="2" s="1"/>
  <c r="R108" i="2"/>
  <c r="R100" i="2"/>
  <c r="R106" i="2" s="1"/>
  <c r="R107" i="2" s="1"/>
  <c r="R94" i="2"/>
  <c r="R92" i="2"/>
  <c r="R85" i="2"/>
  <c r="R76" i="2"/>
  <c r="R75" i="2"/>
  <c r="R71" i="2"/>
  <c r="R68" i="2"/>
  <c r="R74" i="2" s="1"/>
  <c r="R67" i="2"/>
  <c r="R73" i="2" s="1"/>
  <c r="R66" i="2"/>
  <c r="R72" i="2" s="1"/>
  <c r="R63" i="2"/>
  <c r="R103" i="2" s="1"/>
  <c r="R109" i="2" s="1"/>
  <c r="Q108" i="2"/>
  <c r="Q100" i="2"/>
  <c r="Q106" i="2" s="1"/>
  <c r="Q107" i="2" s="1"/>
  <c r="Q94" i="2"/>
  <c r="Q92" i="2"/>
  <c r="Q85" i="2"/>
  <c r="Q76" i="2"/>
  <c r="Q75" i="2"/>
  <c r="Q71" i="2"/>
  <c r="Q68" i="2"/>
  <c r="Q74" i="2" s="1"/>
  <c r="Q67" i="2"/>
  <c r="Q73" i="2" s="1"/>
  <c r="Q66" i="2"/>
  <c r="Q72" i="2" s="1"/>
  <c r="Q63" i="2"/>
  <c r="Q103" i="2" s="1"/>
  <c r="Q109" i="2" s="1"/>
  <c r="P108" i="2"/>
  <c r="P100" i="2"/>
  <c r="P106" i="2" s="1"/>
  <c r="P107" i="2" s="1"/>
  <c r="P94" i="2"/>
  <c r="P92" i="2"/>
  <c r="P85" i="2"/>
  <c r="P76" i="2"/>
  <c r="P75" i="2"/>
  <c r="P71" i="2"/>
  <c r="P68" i="2"/>
  <c r="P74" i="2" s="1"/>
  <c r="P67" i="2"/>
  <c r="P73" i="2" s="1"/>
  <c r="P66" i="2"/>
  <c r="P72" i="2" s="1"/>
  <c r="P63" i="2"/>
  <c r="P103" i="2" s="1"/>
  <c r="P109" i="2" s="1"/>
  <c r="O108" i="2"/>
  <c r="O100" i="2"/>
  <c r="O106" i="2" s="1"/>
  <c r="O107" i="2" s="1"/>
  <c r="O94" i="2"/>
  <c r="O92" i="2"/>
  <c r="O85" i="2"/>
  <c r="O76" i="2"/>
  <c r="O75" i="2"/>
  <c r="O71" i="2"/>
  <c r="O68" i="2"/>
  <c r="O74" i="2" s="1"/>
  <c r="O67" i="2"/>
  <c r="O73" i="2" s="1"/>
  <c r="O66" i="2"/>
  <c r="O72" i="2" s="1"/>
  <c r="O63" i="2"/>
  <c r="O103" i="2" s="1"/>
  <c r="O109" i="2" s="1"/>
  <c r="U93" i="2" l="1"/>
  <c r="U101" i="2" s="1"/>
  <c r="S110" i="2"/>
  <c r="Z112" i="2"/>
  <c r="X93" i="2"/>
  <c r="X101" i="2" s="1"/>
  <c r="X111" i="2" s="1"/>
  <c r="X110" i="2"/>
  <c r="Q93" i="2"/>
  <c r="Q101" i="2" s="1"/>
  <c r="Q111" i="2" s="1"/>
  <c r="S93" i="2"/>
  <c r="S101" i="2" s="1"/>
  <c r="S111" i="2" s="1"/>
  <c r="V110" i="2"/>
  <c r="Y110" i="2"/>
  <c r="Y93" i="2"/>
  <c r="Y101" i="2" s="1"/>
  <c r="Y111" i="2" s="1"/>
  <c r="Y112" i="2" s="1"/>
  <c r="O110" i="2"/>
  <c r="W110" i="2"/>
  <c r="W111" i="2"/>
  <c r="T93" i="2"/>
  <c r="T101" i="2" s="1"/>
  <c r="T111" i="2" s="1"/>
  <c r="U110" i="2"/>
  <c r="V111" i="2"/>
  <c r="U111" i="2"/>
  <c r="T110" i="2"/>
  <c r="R93" i="2"/>
  <c r="R101" i="2" s="1"/>
  <c r="R111" i="2" s="1"/>
  <c r="Q110" i="2"/>
  <c r="R110" i="2"/>
  <c r="P110" i="2"/>
  <c r="P93" i="2"/>
  <c r="P101" i="2" s="1"/>
  <c r="P111" i="2" s="1"/>
  <c r="P112" i="2" s="1"/>
  <c r="O93" i="2"/>
  <c r="O101" i="2" s="1"/>
  <c r="O111" i="2" s="1"/>
  <c r="O112" i="2" s="1"/>
  <c r="N108" i="2"/>
  <c r="N100" i="2"/>
  <c r="N106" i="2" s="1"/>
  <c r="N107" i="2" s="1"/>
  <c r="N94" i="2"/>
  <c r="N92" i="2"/>
  <c r="N85" i="2"/>
  <c r="N76" i="2"/>
  <c r="N75" i="2"/>
  <c r="N71" i="2"/>
  <c r="N68" i="2"/>
  <c r="N74" i="2" s="1"/>
  <c r="N67" i="2"/>
  <c r="N73" i="2" s="1"/>
  <c r="N66" i="2"/>
  <c r="N72" i="2" s="1"/>
  <c r="N63" i="2"/>
  <c r="N103" i="2" s="1"/>
  <c r="N109" i="2" s="1"/>
  <c r="N64" i="2"/>
  <c r="M108" i="2"/>
  <c r="M100" i="2"/>
  <c r="M106" i="2" s="1"/>
  <c r="M107" i="2" s="1"/>
  <c r="M94" i="2"/>
  <c r="M92" i="2"/>
  <c r="M85" i="2"/>
  <c r="M76" i="2"/>
  <c r="M75" i="2"/>
  <c r="M71" i="2"/>
  <c r="M68" i="2"/>
  <c r="M74" i="2" s="1"/>
  <c r="M67" i="2"/>
  <c r="M73" i="2" s="1"/>
  <c r="M66" i="2"/>
  <c r="M72" i="2" s="1"/>
  <c r="M63" i="2"/>
  <c r="M103" i="2" s="1"/>
  <c r="M109" i="2" s="1"/>
  <c r="M64" i="2"/>
  <c r="L108" i="2"/>
  <c r="L100" i="2"/>
  <c r="L106" i="2" s="1"/>
  <c r="L107" i="2" s="1"/>
  <c r="L94" i="2"/>
  <c r="L92" i="2"/>
  <c r="L85" i="2"/>
  <c r="L76" i="2"/>
  <c r="L75" i="2"/>
  <c r="L71" i="2"/>
  <c r="L68" i="2"/>
  <c r="L74" i="2" s="1"/>
  <c r="L67" i="2"/>
  <c r="L73" i="2" s="1"/>
  <c r="L66" i="2"/>
  <c r="L72" i="2" s="1"/>
  <c r="L63" i="2"/>
  <c r="L103" i="2" s="1"/>
  <c r="L109" i="2" s="1"/>
  <c r="L64" i="2"/>
  <c r="BT53" i="2"/>
  <c r="BT51" i="2"/>
  <c r="V112" i="2" l="1"/>
  <c r="S112" i="2"/>
  <c r="X112" i="2"/>
  <c r="R112" i="2"/>
  <c r="W112" i="2"/>
  <c r="T112" i="2"/>
  <c r="U112" i="2"/>
  <c r="Q112" i="2"/>
  <c r="M110" i="2"/>
  <c r="N110" i="2"/>
  <c r="L110" i="2"/>
  <c r="N93" i="2"/>
  <c r="N101" i="2" s="1"/>
  <c r="N111" i="2" s="1"/>
  <c r="M93" i="2"/>
  <c r="M101" i="2" s="1"/>
  <c r="M111" i="2" s="1"/>
  <c r="L93" i="2"/>
  <c r="L101" i="2" s="1"/>
  <c r="L111" i="2" s="1"/>
  <c r="N112" i="2" l="1"/>
  <c r="M112" i="2"/>
  <c r="L112" i="2"/>
  <c r="BT23" i="2"/>
  <c r="H112" i="2" l="1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K108" i="2"/>
  <c r="J108" i="2"/>
  <c r="I108" i="2"/>
  <c r="G108" i="2"/>
  <c r="F108" i="2"/>
  <c r="E108" i="2"/>
  <c r="G106" i="2"/>
  <c r="G107" i="2" s="1"/>
  <c r="F106" i="2"/>
  <c r="F107" i="2" s="1"/>
  <c r="E106" i="2"/>
  <c r="E107" i="2" s="1"/>
  <c r="BT104" i="2"/>
  <c r="BQ103" i="2"/>
  <c r="BQ109" i="2" s="1"/>
  <c r="BP103" i="2"/>
  <c r="BP109" i="2" s="1"/>
  <c r="BO103" i="2"/>
  <c r="BO109" i="2" s="1"/>
  <c r="BN103" i="2"/>
  <c r="BN109" i="2" s="1"/>
  <c r="BM103" i="2"/>
  <c r="BM109" i="2" s="1"/>
  <c r="BL103" i="2"/>
  <c r="BL109" i="2" s="1"/>
  <c r="BK103" i="2"/>
  <c r="BK109" i="2" s="1"/>
  <c r="BJ103" i="2"/>
  <c r="BJ109" i="2" s="1"/>
  <c r="BI103" i="2"/>
  <c r="BI109" i="2" s="1"/>
  <c r="G103" i="2"/>
  <c r="G109" i="2" s="1"/>
  <c r="F103" i="2"/>
  <c r="F109" i="2" s="1"/>
  <c r="E103" i="2"/>
  <c r="E109" i="2" s="1"/>
  <c r="BT102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O106" i="2" s="1"/>
  <c r="AO107" i="2" s="1"/>
  <c r="AN100" i="2"/>
  <c r="AN106" i="2" s="1"/>
  <c r="AN107" i="2" s="1"/>
  <c r="AM100" i="2"/>
  <c r="AM106" i="2" s="1"/>
  <c r="AM107" i="2" s="1"/>
  <c r="AL100" i="2"/>
  <c r="AL106" i="2" s="1"/>
  <c r="AL107" i="2" s="1"/>
  <c r="AK100" i="2"/>
  <c r="AK106" i="2" s="1"/>
  <c r="AK107" i="2" s="1"/>
  <c r="K100" i="2"/>
  <c r="K106" i="2" s="1"/>
  <c r="K107" i="2" s="1"/>
  <c r="J100" i="2"/>
  <c r="J106" i="2" s="1"/>
  <c r="J107" i="2" s="1"/>
  <c r="I100" i="2"/>
  <c r="I106" i="2" s="1"/>
  <c r="I107" i="2" s="1"/>
  <c r="BT99" i="2"/>
  <c r="BT98" i="2"/>
  <c r="BT94" i="2" s="1"/>
  <c r="BQ98" i="2"/>
  <c r="BP98" i="2"/>
  <c r="BO98" i="2"/>
  <c r="BN98" i="2"/>
  <c r="BN94" i="2" s="1"/>
  <c r="BM98" i="2"/>
  <c r="BM94" i="2" s="1"/>
  <c r="BL98" i="2"/>
  <c r="BL94" i="2" s="1"/>
  <c r="BK98" i="2"/>
  <c r="BK94" i="2" s="1"/>
  <c r="BJ98" i="2"/>
  <c r="BJ94" i="2" s="1"/>
  <c r="BI98" i="2"/>
  <c r="BH98" i="2"/>
  <c r="BH94" i="2" s="1"/>
  <c r="BG98" i="2"/>
  <c r="BF98" i="2"/>
  <c r="BF94" i="2" s="1"/>
  <c r="BE98" i="2"/>
  <c r="BD98" i="2"/>
  <c r="BD94" i="2" s="1"/>
  <c r="BC98" i="2"/>
  <c r="BB98" i="2"/>
  <c r="BB94" i="2" s="1"/>
  <c r="BA98" i="2"/>
  <c r="AZ98" i="2"/>
  <c r="AZ94" i="2" s="1"/>
  <c r="AY98" i="2"/>
  <c r="AY94" i="2" s="1"/>
  <c r="AX98" i="2"/>
  <c r="AX94" i="2" s="1"/>
  <c r="AW98" i="2"/>
  <c r="AW94" i="2" s="1"/>
  <c r="AV98" i="2"/>
  <c r="AV94" i="2" s="1"/>
  <c r="AU98" i="2"/>
  <c r="AT98" i="2"/>
  <c r="AT94" i="2" s="1"/>
  <c r="AS98" i="2"/>
  <c r="AR98" i="2"/>
  <c r="AR94" i="2" s="1"/>
  <c r="AQ98" i="2"/>
  <c r="AP98" i="2"/>
  <c r="AP94" i="2" s="1"/>
  <c r="AO94" i="2"/>
  <c r="AN94" i="2"/>
  <c r="AM94" i="2"/>
  <c r="AL94" i="2"/>
  <c r="AK94" i="2"/>
  <c r="K94" i="2"/>
  <c r="J94" i="2"/>
  <c r="I94" i="2"/>
  <c r="H94" i="2"/>
  <c r="F94" i="2"/>
  <c r="E94" i="2"/>
  <c r="AM92" i="2"/>
  <c r="AL92" i="2"/>
  <c r="AK92" i="2"/>
  <c r="K92" i="2"/>
  <c r="J92" i="2"/>
  <c r="I92" i="2"/>
  <c r="H92" i="2"/>
  <c r="G92" i="2"/>
  <c r="F92" i="2"/>
  <c r="E92" i="2"/>
  <c r="BT91" i="2"/>
  <c r="BT90" i="2"/>
  <c r="BT89" i="2"/>
  <c r="BT88" i="2"/>
  <c r="BT87" i="2"/>
  <c r="BQ85" i="2"/>
  <c r="BQ93" i="2" s="1"/>
  <c r="BQ101" i="2" s="1"/>
  <c r="BP85" i="2"/>
  <c r="BP93" i="2" s="1"/>
  <c r="BP101" i="2" s="1"/>
  <c r="BO85" i="2"/>
  <c r="BO93" i="2" s="1"/>
  <c r="BO101" i="2" s="1"/>
  <c r="BN85" i="2"/>
  <c r="BN93" i="2" s="1"/>
  <c r="BN101" i="2" s="1"/>
  <c r="BM85" i="2"/>
  <c r="BM93" i="2" s="1"/>
  <c r="BM101" i="2" s="1"/>
  <c r="BL85" i="2"/>
  <c r="BL93" i="2" s="1"/>
  <c r="BL101" i="2" s="1"/>
  <c r="BK85" i="2"/>
  <c r="BK93" i="2" s="1"/>
  <c r="BK101" i="2" s="1"/>
  <c r="BJ85" i="2"/>
  <c r="BJ93" i="2" s="1"/>
  <c r="BJ101" i="2" s="1"/>
  <c r="BI85" i="2"/>
  <c r="BI93" i="2" s="1"/>
  <c r="BI101" i="2" s="1"/>
  <c r="BH85" i="2"/>
  <c r="BH93" i="2" s="1"/>
  <c r="BH101" i="2" s="1"/>
  <c r="BG85" i="2"/>
  <c r="BG93" i="2" s="1"/>
  <c r="BG101" i="2" s="1"/>
  <c r="BF85" i="2"/>
  <c r="BF93" i="2" s="1"/>
  <c r="BF101" i="2" s="1"/>
  <c r="BE85" i="2"/>
  <c r="BE93" i="2" s="1"/>
  <c r="BE101" i="2" s="1"/>
  <c r="BD85" i="2"/>
  <c r="BD93" i="2" s="1"/>
  <c r="BD101" i="2" s="1"/>
  <c r="BC85" i="2"/>
  <c r="BC93" i="2" s="1"/>
  <c r="BC101" i="2" s="1"/>
  <c r="BB85" i="2"/>
  <c r="BB93" i="2" s="1"/>
  <c r="BB101" i="2" s="1"/>
  <c r="BA85" i="2"/>
  <c r="BA93" i="2" s="1"/>
  <c r="BA101" i="2" s="1"/>
  <c r="AZ85" i="2"/>
  <c r="AZ93" i="2" s="1"/>
  <c r="AZ101" i="2" s="1"/>
  <c r="AY85" i="2"/>
  <c r="AY93" i="2" s="1"/>
  <c r="AY101" i="2" s="1"/>
  <c r="AX85" i="2"/>
  <c r="AX93" i="2" s="1"/>
  <c r="AX101" i="2" s="1"/>
  <c r="AW85" i="2"/>
  <c r="AW93" i="2" s="1"/>
  <c r="AW101" i="2" s="1"/>
  <c r="AV85" i="2"/>
  <c r="AV93" i="2" s="1"/>
  <c r="AV101" i="2" s="1"/>
  <c r="AU85" i="2"/>
  <c r="AU93" i="2" s="1"/>
  <c r="AU101" i="2" s="1"/>
  <c r="AT85" i="2"/>
  <c r="AT93" i="2" s="1"/>
  <c r="AT101" i="2" s="1"/>
  <c r="AS85" i="2"/>
  <c r="AS93" i="2" s="1"/>
  <c r="AS101" i="2" s="1"/>
  <c r="AR85" i="2"/>
  <c r="AR93" i="2" s="1"/>
  <c r="AR101" i="2" s="1"/>
  <c r="AQ85" i="2"/>
  <c r="AQ93" i="2" s="1"/>
  <c r="AQ101" i="2" s="1"/>
  <c r="AP85" i="2"/>
  <c r="AP93" i="2" s="1"/>
  <c r="AP101" i="2" s="1"/>
  <c r="AO85" i="2"/>
  <c r="AO93" i="2" s="1"/>
  <c r="AO101" i="2" s="1"/>
  <c r="AN85" i="2"/>
  <c r="AN93" i="2" s="1"/>
  <c r="AN101" i="2" s="1"/>
  <c r="AM85" i="2"/>
  <c r="AL85" i="2"/>
  <c r="AK85" i="2"/>
  <c r="K85" i="2"/>
  <c r="J85" i="2"/>
  <c r="I85" i="2"/>
  <c r="H85" i="2"/>
  <c r="G85" i="2"/>
  <c r="F85" i="2"/>
  <c r="E85" i="2"/>
  <c r="BT84" i="2"/>
  <c r="BT83" i="2"/>
  <c r="BT82" i="2"/>
  <c r="BT81" i="2"/>
  <c r="BT77" i="2"/>
  <c r="AL76" i="2"/>
  <c r="AK76" i="2"/>
  <c r="K76" i="2"/>
  <c r="J76" i="2"/>
  <c r="I76" i="2"/>
  <c r="H76" i="2"/>
  <c r="G76" i="2"/>
  <c r="AL75" i="2"/>
  <c r="AK75" i="2"/>
  <c r="K75" i="2"/>
  <c r="J75" i="2"/>
  <c r="I75" i="2"/>
  <c r="H75" i="2"/>
  <c r="G75" i="2"/>
  <c r="F75" i="2"/>
  <c r="E75" i="2"/>
  <c r="H74" i="2"/>
  <c r="H73" i="2"/>
  <c r="H72" i="2"/>
  <c r="AL71" i="2"/>
  <c r="AK71" i="2"/>
  <c r="K71" i="2"/>
  <c r="J71" i="2"/>
  <c r="I71" i="2"/>
  <c r="H71" i="2"/>
  <c r="G71" i="2"/>
  <c r="BT69" i="2"/>
  <c r="BT75" i="2" s="1"/>
  <c r="AP68" i="2"/>
  <c r="AO68" i="2"/>
  <c r="AN68" i="2"/>
  <c r="AM68" i="2"/>
  <c r="AL68" i="2"/>
  <c r="AL74" i="2" s="1"/>
  <c r="AK68" i="2"/>
  <c r="AK74" i="2" s="1"/>
  <c r="K68" i="2"/>
  <c r="K74" i="2" s="1"/>
  <c r="J68" i="2"/>
  <c r="J74" i="2" s="1"/>
  <c r="I68" i="2"/>
  <c r="I74" i="2" s="1"/>
  <c r="G68" i="2"/>
  <c r="G74" i="2" s="1"/>
  <c r="AP67" i="2"/>
  <c r="AO67" i="2"/>
  <c r="AN67" i="2"/>
  <c r="AM67" i="2"/>
  <c r="AL67" i="2"/>
  <c r="AL73" i="2" s="1"/>
  <c r="AK67" i="2"/>
  <c r="AK73" i="2" s="1"/>
  <c r="K67" i="2"/>
  <c r="K73" i="2" s="1"/>
  <c r="J67" i="2"/>
  <c r="J73" i="2" s="1"/>
  <c r="I67" i="2"/>
  <c r="I73" i="2" s="1"/>
  <c r="G67" i="2"/>
  <c r="G73" i="2" s="1"/>
  <c r="AP66" i="2"/>
  <c r="AO66" i="2"/>
  <c r="AN66" i="2"/>
  <c r="AM66" i="2"/>
  <c r="AL66" i="2"/>
  <c r="AL72" i="2" s="1"/>
  <c r="AK66" i="2"/>
  <c r="AK72" i="2" s="1"/>
  <c r="K66" i="2"/>
  <c r="K72" i="2" s="1"/>
  <c r="J66" i="2"/>
  <c r="J72" i="2" s="1"/>
  <c r="I66" i="2"/>
  <c r="I72" i="2" s="1"/>
  <c r="G66" i="2"/>
  <c r="G72" i="2" s="1"/>
  <c r="BH63" i="2"/>
  <c r="BH103" i="2" s="1"/>
  <c r="BH109" i="2" s="1"/>
  <c r="BG63" i="2"/>
  <c r="BG103" i="2" s="1"/>
  <c r="BG109" i="2" s="1"/>
  <c r="BF63" i="2"/>
  <c r="BF103" i="2" s="1"/>
  <c r="BF109" i="2" s="1"/>
  <c r="BE63" i="2"/>
  <c r="BE103" i="2" s="1"/>
  <c r="BE109" i="2" s="1"/>
  <c r="BD63" i="2"/>
  <c r="BD103" i="2" s="1"/>
  <c r="BD109" i="2" s="1"/>
  <c r="BC63" i="2"/>
  <c r="BC103" i="2" s="1"/>
  <c r="BC109" i="2" s="1"/>
  <c r="BB63" i="2"/>
  <c r="BB103" i="2" s="1"/>
  <c r="BB109" i="2" s="1"/>
  <c r="BA63" i="2"/>
  <c r="BA103" i="2" s="1"/>
  <c r="BA109" i="2" s="1"/>
  <c r="AZ63" i="2"/>
  <c r="AZ103" i="2" s="1"/>
  <c r="AZ109" i="2" s="1"/>
  <c r="AY63" i="2"/>
  <c r="AY103" i="2" s="1"/>
  <c r="AY109" i="2" s="1"/>
  <c r="AX63" i="2"/>
  <c r="AX103" i="2" s="1"/>
  <c r="AX109" i="2" s="1"/>
  <c r="AW63" i="2"/>
  <c r="AW103" i="2" s="1"/>
  <c r="AW109" i="2" s="1"/>
  <c r="AV63" i="2"/>
  <c r="AV103" i="2" s="1"/>
  <c r="AV109" i="2" s="1"/>
  <c r="AU63" i="2"/>
  <c r="AU103" i="2" s="1"/>
  <c r="AU109" i="2" s="1"/>
  <c r="AT63" i="2"/>
  <c r="AT103" i="2" s="1"/>
  <c r="AT109" i="2" s="1"/>
  <c r="AS63" i="2"/>
  <c r="AS103" i="2" s="1"/>
  <c r="AS109" i="2" s="1"/>
  <c r="AR63" i="2"/>
  <c r="AR103" i="2" s="1"/>
  <c r="AR109" i="2" s="1"/>
  <c r="AQ63" i="2"/>
  <c r="AQ103" i="2" s="1"/>
  <c r="AQ109" i="2" s="1"/>
  <c r="AP63" i="2"/>
  <c r="AP103" i="2" s="1"/>
  <c r="AP109" i="2" s="1"/>
  <c r="AO63" i="2"/>
  <c r="AO103" i="2" s="1"/>
  <c r="AO109" i="2" s="1"/>
  <c r="AN63" i="2"/>
  <c r="AN103" i="2" s="1"/>
  <c r="AN109" i="2" s="1"/>
  <c r="AM63" i="2"/>
  <c r="AM103" i="2" s="1"/>
  <c r="AM109" i="2" s="1"/>
  <c r="AL63" i="2"/>
  <c r="AL103" i="2" s="1"/>
  <c r="AL109" i="2" s="1"/>
  <c r="AK63" i="2"/>
  <c r="AK103" i="2" s="1"/>
  <c r="AK109" i="2" s="1"/>
  <c r="K63" i="2"/>
  <c r="K103" i="2" s="1"/>
  <c r="K109" i="2" s="1"/>
  <c r="J63" i="2"/>
  <c r="J103" i="2" s="1"/>
  <c r="J109" i="2" s="1"/>
  <c r="I63" i="2"/>
  <c r="BT63" i="2" s="1"/>
  <c r="BT62" i="2"/>
  <c r="BT61" i="2"/>
  <c r="BT60" i="2"/>
  <c r="BT57" i="2"/>
  <c r="BT76" i="2" s="1"/>
  <c r="BQ57" i="2"/>
  <c r="BP57" i="2"/>
  <c r="BO57" i="2"/>
  <c r="BN57" i="2"/>
  <c r="BM57" i="2"/>
  <c r="BL57" i="2"/>
  <c r="BK57" i="2"/>
  <c r="BJ57" i="2"/>
  <c r="BI57" i="2"/>
  <c r="BH57" i="2"/>
  <c r="BG57" i="2"/>
  <c r="F57" i="2"/>
  <c r="F66" i="2" s="1"/>
  <c r="F72" i="2" s="1"/>
  <c r="E57" i="2"/>
  <c r="E71" i="2" s="1"/>
  <c r="BT56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2" i="2"/>
  <c r="BT21" i="2"/>
  <c r="BT20" i="2"/>
  <c r="BT19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F64" i="2" s="1"/>
  <c r="BE18" i="2"/>
  <c r="BE64" i="2" s="1"/>
  <c r="BD18" i="2"/>
  <c r="BD64" i="2" s="1"/>
  <c r="BC18" i="2"/>
  <c r="BC64" i="2" s="1"/>
  <c r="BB18" i="2"/>
  <c r="BB64" i="2" s="1"/>
  <c r="BA18" i="2"/>
  <c r="BA64" i="2" s="1"/>
  <c r="AZ18" i="2"/>
  <c r="AZ64" i="2" s="1"/>
  <c r="AY18" i="2"/>
  <c r="AY64" i="2" s="1"/>
  <c r="AX18" i="2"/>
  <c r="AX64" i="2" s="1"/>
  <c r="AW18" i="2"/>
  <c r="AW64" i="2" s="1"/>
  <c r="AV18" i="2"/>
  <c r="AV64" i="2" s="1"/>
  <c r="AU18" i="2"/>
  <c r="AU64" i="2" s="1"/>
  <c r="AT18" i="2"/>
  <c r="AT64" i="2" s="1"/>
  <c r="AS18" i="2"/>
  <c r="AS64" i="2" s="1"/>
  <c r="AR18" i="2"/>
  <c r="AR64" i="2" s="1"/>
  <c r="AQ18" i="2"/>
  <c r="AQ64" i="2" s="1"/>
  <c r="AP18" i="2"/>
  <c r="AP64" i="2" s="1"/>
  <c r="AO18" i="2"/>
  <c r="AO64" i="2" s="1"/>
  <c r="AN18" i="2"/>
  <c r="AN64" i="2" s="1"/>
  <c r="AM18" i="2"/>
  <c r="AM64" i="2" s="1"/>
  <c r="AL18" i="2"/>
  <c r="AL64" i="2" s="1"/>
  <c r="AK18" i="2"/>
  <c r="AK64" i="2" s="1"/>
  <c r="K64" i="2"/>
  <c r="J64" i="2"/>
  <c r="I64" i="2"/>
  <c r="F18" i="2"/>
  <c r="E18" i="2"/>
  <c r="BT15" i="2"/>
  <c r="BT14" i="2"/>
  <c r="BT13" i="2"/>
  <c r="BT12" i="2"/>
  <c r="BT11" i="2"/>
  <c r="BT10" i="2"/>
  <c r="BT9" i="2"/>
  <c r="BT8" i="2"/>
  <c r="BT7" i="2"/>
  <c r="BT6" i="2"/>
  <c r="BT5" i="2"/>
  <c r="BT4" i="2"/>
  <c r="AP110" i="2" l="1"/>
  <c r="BB110" i="2"/>
  <c r="BP110" i="2"/>
  <c r="AQ106" i="2"/>
  <c r="AQ107" i="2" s="1"/>
  <c r="AQ111" i="2" s="1"/>
  <c r="BC106" i="2"/>
  <c r="BC107" i="2" s="1"/>
  <c r="BC111" i="2" s="1"/>
  <c r="BO106" i="2"/>
  <c r="BO107" i="2" s="1"/>
  <c r="BO111" i="2" s="1"/>
  <c r="E110" i="2"/>
  <c r="F110" i="2"/>
  <c r="G110" i="2"/>
  <c r="BP106" i="2"/>
  <c r="BP107" i="2" s="1"/>
  <c r="BP111" i="2" s="1"/>
  <c r="BH106" i="2"/>
  <c r="BH107" i="2" s="1"/>
  <c r="BH111" i="2" s="1"/>
  <c r="BN110" i="2"/>
  <c r="F93" i="2"/>
  <c r="BJ106" i="2"/>
  <c r="BJ107" i="2" s="1"/>
  <c r="BJ111" i="2" s="1"/>
  <c r="BL64" i="2"/>
  <c r="BM64" i="2"/>
  <c r="AN110" i="2"/>
  <c r="AZ110" i="2"/>
  <c r="AZ106" i="2"/>
  <c r="AZ107" i="2" s="1"/>
  <c r="AZ111" i="2" s="1"/>
  <c r="AW106" i="2"/>
  <c r="AW107" i="2" s="1"/>
  <c r="AW111" i="2" s="1"/>
  <c r="BG64" i="2"/>
  <c r="AO110" i="2"/>
  <c r="BA110" i="2"/>
  <c r="E93" i="2"/>
  <c r="BO64" i="2"/>
  <c r="AS106" i="2"/>
  <c r="AS107" i="2" s="1"/>
  <c r="AS111" i="2" s="1"/>
  <c r="BE106" i="2"/>
  <c r="BE107" i="2" s="1"/>
  <c r="BE111" i="2" s="1"/>
  <c r="BQ106" i="2"/>
  <c r="BQ107" i="2" s="1"/>
  <c r="BQ111" i="2" s="1"/>
  <c r="BP64" i="2"/>
  <c r="AQ110" i="2"/>
  <c r="BC110" i="2"/>
  <c r="AR110" i="2"/>
  <c r="BD110" i="2"/>
  <c r="AU106" i="2"/>
  <c r="AU107" i="2" s="1"/>
  <c r="AU111" i="2" s="1"/>
  <c r="BG106" i="2"/>
  <c r="BG107" i="2" s="1"/>
  <c r="BG111" i="2" s="1"/>
  <c r="BO110" i="2"/>
  <c r="AR106" i="2"/>
  <c r="AR107" i="2" s="1"/>
  <c r="AR111" i="2" s="1"/>
  <c r="H93" i="2"/>
  <c r="BJ64" i="2"/>
  <c r="BT92" i="2"/>
  <c r="K93" i="2"/>
  <c r="K101" i="2" s="1"/>
  <c r="K111" i="2" s="1"/>
  <c r="AU94" i="2"/>
  <c r="BI106" i="2"/>
  <c r="BI107" i="2" s="1"/>
  <c r="BI111" i="2" s="1"/>
  <c r="AK93" i="2"/>
  <c r="AK101" i="2" s="1"/>
  <c r="AK111" i="2" s="1"/>
  <c r="BT108" i="2"/>
  <c r="G93" i="2"/>
  <c r="AM110" i="2"/>
  <c r="AY110" i="2"/>
  <c r="BP94" i="2"/>
  <c r="BA106" i="2"/>
  <c r="BA107" i="2" s="1"/>
  <c r="BA111" i="2" s="1"/>
  <c r="F111" i="2"/>
  <c r="BE110" i="2"/>
  <c r="AT106" i="2"/>
  <c r="AT107" i="2" s="1"/>
  <c r="AT111" i="2" s="1"/>
  <c r="BT100" i="2"/>
  <c r="BT106" i="2" s="1"/>
  <c r="BT107" i="2" s="1"/>
  <c r="BK110" i="2"/>
  <c r="BC94" i="2"/>
  <c r="BM106" i="2"/>
  <c r="BM107" i="2" s="1"/>
  <c r="BM111" i="2" s="1"/>
  <c r="BI110" i="2"/>
  <c r="BF110" i="2"/>
  <c r="AU110" i="2"/>
  <c r="F67" i="2"/>
  <c r="F73" i="2" s="1"/>
  <c r="AL93" i="2"/>
  <c r="AL101" i="2" s="1"/>
  <c r="AL111" i="2" s="1"/>
  <c r="BN64" i="2"/>
  <c r="AV110" i="2"/>
  <c r="BH110" i="2"/>
  <c r="F76" i="2"/>
  <c r="BT85" i="2"/>
  <c r="AM93" i="2"/>
  <c r="AM101" i="2" s="1"/>
  <c r="AM111" i="2" s="1"/>
  <c r="BL110" i="2"/>
  <c r="BE94" i="2"/>
  <c r="J110" i="2"/>
  <c r="BG110" i="2"/>
  <c r="AK110" i="2"/>
  <c r="AW110" i="2"/>
  <c r="AY106" i="2"/>
  <c r="AY107" i="2" s="1"/>
  <c r="AY111" i="2" s="1"/>
  <c r="BK106" i="2"/>
  <c r="BK107" i="2" s="1"/>
  <c r="BK111" i="2" s="1"/>
  <c r="BM110" i="2"/>
  <c r="J93" i="2"/>
  <c r="J101" i="2" s="1"/>
  <c r="J111" i="2" s="1"/>
  <c r="BQ64" i="2"/>
  <c r="AS110" i="2"/>
  <c r="AT110" i="2"/>
  <c r="BG94" i="2"/>
  <c r="BH64" i="2"/>
  <c r="K110" i="2"/>
  <c r="BI64" i="2"/>
  <c r="BK64" i="2"/>
  <c r="AL110" i="2"/>
  <c r="AX110" i="2"/>
  <c r="AQ94" i="2"/>
  <c r="BO94" i="2"/>
  <c r="BQ110" i="2"/>
  <c r="BJ110" i="2"/>
  <c r="I93" i="2"/>
  <c r="I101" i="2" s="1"/>
  <c r="BB106" i="2"/>
  <c r="BB107" i="2" s="1"/>
  <c r="BB111" i="2" s="1"/>
  <c r="BB112" i="2" s="1"/>
  <c r="E111" i="2"/>
  <c r="E112" i="2" s="1"/>
  <c r="BT64" i="2"/>
  <c r="BT18" i="2"/>
  <c r="BT66" i="2"/>
  <c r="BT72" i="2" s="1"/>
  <c r="BT67" i="2"/>
  <c r="BT73" i="2" s="1"/>
  <c r="BT68" i="2"/>
  <c r="BT74" i="2" s="1"/>
  <c r="AN111" i="2"/>
  <c r="AO111" i="2"/>
  <c r="G111" i="2"/>
  <c r="E68" i="2"/>
  <c r="E74" i="2" s="1"/>
  <c r="F71" i="2"/>
  <c r="F68" i="2"/>
  <c r="F74" i="2" s="1"/>
  <c r="AS94" i="2"/>
  <c r="BA94" i="2"/>
  <c r="BI94" i="2"/>
  <c r="BQ94" i="2"/>
  <c r="I103" i="2"/>
  <c r="I109" i="2" s="1"/>
  <c r="I110" i="2" s="1"/>
  <c r="E67" i="2"/>
  <c r="E73" i="2" s="1"/>
  <c r="AV106" i="2"/>
  <c r="AV107" i="2" s="1"/>
  <c r="AV111" i="2" s="1"/>
  <c r="BD106" i="2"/>
  <c r="BD107" i="2" s="1"/>
  <c r="BD111" i="2" s="1"/>
  <c r="BL106" i="2"/>
  <c r="BL107" i="2" s="1"/>
  <c r="BL111" i="2" s="1"/>
  <c r="E66" i="2"/>
  <c r="E72" i="2" s="1"/>
  <c r="AP106" i="2"/>
  <c r="AP107" i="2" s="1"/>
  <c r="AP111" i="2" s="1"/>
  <c r="AP112" i="2" s="1"/>
  <c r="AX106" i="2"/>
  <c r="AX107" i="2" s="1"/>
  <c r="AX111" i="2" s="1"/>
  <c r="BF106" i="2"/>
  <c r="BF107" i="2" s="1"/>
  <c r="BF111" i="2" s="1"/>
  <c r="BN106" i="2"/>
  <c r="BN107" i="2" s="1"/>
  <c r="BN111" i="2" s="1"/>
  <c r="E76" i="2"/>
  <c r="BP112" i="2" l="1"/>
  <c r="BO112" i="2"/>
  <c r="F112" i="2"/>
  <c r="J112" i="2"/>
  <c r="AS112" i="2"/>
  <c r="G112" i="2"/>
  <c r="AZ112" i="2"/>
  <c r="BQ112" i="2"/>
  <c r="BE112" i="2"/>
  <c r="BN112" i="2"/>
  <c r="AM112" i="2"/>
  <c r="AN112" i="2"/>
  <c r="BM112" i="2"/>
  <c r="BC112" i="2"/>
  <c r="BT93" i="2"/>
  <c r="AK112" i="2"/>
  <c r="BF112" i="2"/>
  <c r="BI112" i="2"/>
  <c r="AQ112" i="2"/>
  <c r="AL112" i="2"/>
  <c r="BA112" i="2"/>
  <c r="BH112" i="2"/>
  <c r="AO112" i="2"/>
  <c r="AR112" i="2"/>
  <c r="BD112" i="2"/>
  <c r="BT101" i="2"/>
  <c r="BL112" i="2"/>
  <c r="BK112" i="2"/>
  <c r="AT112" i="2"/>
  <c r="AY112" i="2"/>
  <c r="AX112" i="2"/>
  <c r="BG112" i="2"/>
  <c r="BJ112" i="2"/>
  <c r="AW112" i="2"/>
  <c r="AV112" i="2"/>
  <c r="AU112" i="2"/>
  <c r="K112" i="2"/>
  <c r="I111" i="2"/>
  <c r="I112" i="2" s="1"/>
  <c r="BT103" i="2"/>
  <c r="BT109" i="2" s="1"/>
  <c r="BT110" i="2" s="1"/>
  <c r="BT111" i="2" l="1"/>
  <c r="BT112" i="2" s="1"/>
</calcChain>
</file>

<file path=xl/sharedStrings.xml><?xml version="1.0" encoding="utf-8"?>
<sst xmlns="http://schemas.openxmlformats.org/spreadsheetml/2006/main" count="3579" uniqueCount="284">
  <si>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</si>
  <si>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</si>
  <si>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</si>
  <si>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</si>
  <si>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</si>
  <si>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</si>
  <si>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</si>
  <si>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</si>
  <si>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</si>
  <si>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</si>
  <si>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</si>
  <si>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</si>
  <si>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</si>
  <si>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</si>
  <si>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</si>
  <si>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</si>
  <si>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</si>
  <si>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</si>
  <si>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</si>
  <si>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</si>
  <si>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</si>
  <si>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</si>
  <si>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</si>
  <si>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</si>
  <si>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</si>
  <si>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</si>
  <si>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</si>
  <si>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</si>
  <si>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</si>
  <si>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</si>
  <si>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</si>
  <si>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</si>
  <si>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</si>
  <si>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</si>
  <si>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</si>
  <si>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</si>
  <si>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</si>
  <si>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</si>
  <si>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</si>
  <si>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</si>
  <si>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</si>
  <si>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</si>
  <si>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</si>
  <si>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</si>
  <si>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</si>
  <si>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</si>
  <si>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</si>
  <si>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</si>
  <si>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</si>
  <si>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</si>
  <si>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</si>
  <si>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</si>
  <si>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</si>
  <si>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</si>
  <si>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</si>
  <si>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</si>
  <si>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</si>
  <si>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</si>
  <si>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</si>
  <si>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</si>
  <si>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</si>
  <si>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</si>
  <si>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</si>
  <si>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</si>
  <si>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</si>
  <si>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</si>
  <si>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</si>
  <si>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</si>
  <si>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</si>
  <si>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</si>
  <si>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</si>
  <si>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</si>
  <si>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</si>
  <si>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</si>
  <si>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</si>
  <si>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</si>
  <si>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</si>
  <si>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</si>
  <si>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</si>
  <si>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</si>
  <si>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</si>
  <si>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</si>
  <si>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</si>
  <si>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</si>
  <si>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</si>
  <si>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</si>
  <si>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</si>
  <si>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</si>
  <si>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</si>
  <si>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</si>
  <si>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</si>
  <si>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</si>
  <si>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</si>
  <si>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</si>
  <si>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</si>
  <si>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</si>
  <si>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</si>
  <si>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</si>
  <si>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</si>
  <si>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</si>
  <si>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</si>
  <si>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</si>
  <si>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</si>
  <si>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</si>
  <si>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</si>
  <si>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</si>
  <si>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</si>
  <si>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</si>
  <si>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</si>
  <si>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</si>
  <si>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</si>
  <si>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</si>
  <si>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</si>
  <si>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</si>
  <si>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</si>
  <si>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</si>
  <si>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</si>
  <si>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</si>
  <si>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</si>
  <si>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</si>
  <si>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Kyemene 777LX (WSR)</t>
  </si>
  <si>
    <t>SOFTING AGENT - PROSOFT TQ 218</t>
  </si>
  <si>
    <t>Creptrol A9915 (Yankee coating)</t>
  </si>
  <si>
    <t>Creptrol 3718 (Yankee coating)</t>
  </si>
  <si>
    <t>Rezosol 1400 ( Yankee Release)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</si>
  <si>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</si>
  <si>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</si>
  <si>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</si>
  <si>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</si>
  <si>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</si>
  <si>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</si>
  <si>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</si>
  <si>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</si>
  <si>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</si>
  <si>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</si>
  <si>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</si>
  <si>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</si>
  <si>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</si>
  <si>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</si>
  <si>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</si>
  <si>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</si>
  <si>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</si>
  <si>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</si>
  <si>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</si>
  <si>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</si>
  <si>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</si>
  <si>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</si>
  <si>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</si>
  <si>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</si>
  <si>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</si>
  <si>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</si>
  <si>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</si>
  <si>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</si>
  <si>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</si>
  <si>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</si>
  <si>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</si>
  <si>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</si>
  <si>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</si>
  <si>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</si>
  <si>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</si>
  <si>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</si>
  <si>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</si>
  <si>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</si>
  <si>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</si>
  <si>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</si>
  <si>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</si>
  <si>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</si>
  <si>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</si>
  <si>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</si>
  <si>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</si>
  <si>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</si>
  <si>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</si>
  <si>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</si>
  <si>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</si>
  <si>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</si>
  <si>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</si>
  <si>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</si>
  <si>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</si>
  <si>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</si>
  <si>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</si>
  <si>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</si>
  <si>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</si>
  <si>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</si>
  <si>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</si>
  <si>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</si>
  <si>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</si>
  <si>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</si>
  <si>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</si>
  <si>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</si>
  <si>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</si>
  <si>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</si>
  <si>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</si>
  <si>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</si>
  <si>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</si>
  <si>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</si>
  <si>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</si>
  <si>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</si>
  <si>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</si>
  <si>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</si>
  <si>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</si>
  <si>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</si>
  <si>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</si>
  <si>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</si>
  <si>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</si>
  <si>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</si>
  <si>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</si>
  <si>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</si>
  <si>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</si>
  <si>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</si>
  <si>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</si>
  <si>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</si>
  <si>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</si>
  <si>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</si>
  <si>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</si>
  <si>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</si>
  <si>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</si>
  <si>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</si>
  <si>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</si>
  <si>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</si>
  <si>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</si>
  <si>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</si>
  <si>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</si>
  <si>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</si>
  <si>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</si>
  <si>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</si>
  <si>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</si>
  <si>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</si>
  <si>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</si>
  <si>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</si>
  <si>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</si>
  <si>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Imported Softwood Pulp METSA (AD)</t>
  </si>
  <si>
    <t>Yankee doctor blade change &amp; roll cleaning</t>
  </si>
  <si>
    <t>Imported Hardwood April XP (AD)</t>
  </si>
  <si>
    <t>BCHEM Rzym E - TR</t>
  </si>
  <si>
    <t>Power</t>
  </si>
  <si>
    <t>Machine tripped due to power fluctuation</t>
  </si>
  <si>
    <t>Creptrol 9258 AP (Yankee coating)</t>
  </si>
  <si>
    <t>NT</t>
  </si>
  <si>
    <t>Anmosuper PAE (WSR)</t>
  </si>
  <si>
    <t>Sheet break</t>
  </si>
  <si>
    <t>Steam</t>
  </si>
  <si>
    <t>Steam pressure dropped</t>
  </si>
  <si>
    <t>FT</t>
  </si>
  <si>
    <t>DAILY REPORT  Month (September-2025)</t>
  </si>
  <si>
    <t>TOWEL</t>
  </si>
  <si>
    <t>Instt</t>
  </si>
  <si>
    <t>Secondary arm air pressure zero</t>
  </si>
  <si>
    <t>TT</t>
  </si>
  <si>
    <t>Clothing change</t>
  </si>
  <si>
    <t>Others</t>
  </si>
  <si>
    <t>Macine stopped for vibration checking</t>
  </si>
  <si>
    <t>System wash up</t>
  </si>
  <si>
    <t>Felt &amp; wire cleaned</t>
  </si>
  <si>
    <t>Maintainance</t>
  </si>
  <si>
    <t>Vacuum bleeding from uhle box</t>
  </si>
  <si>
    <t>Power fluctuation</t>
  </si>
  <si>
    <t>Other</t>
  </si>
  <si>
    <t>Machine stopped for vibration checking</t>
  </si>
  <si>
    <t>Packing lables</t>
  </si>
  <si>
    <t>Electrical</t>
  </si>
  <si>
    <t>Yankee motor 2 encoder changed</t>
  </si>
  <si>
    <t>Power failure</t>
  </si>
  <si>
    <t>KT</t>
  </si>
  <si>
    <t>Felt wire cleaning</t>
  </si>
  <si>
    <t>Next press lubrication low flow</t>
  </si>
  <si>
    <t>.3:00</t>
  </si>
  <si>
    <t>Next press belt checked by VOITH</t>
  </si>
  <si>
    <t>ULTRALUX(NT)</t>
  </si>
  <si>
    <t>Paper feeding delay due to tail cutter stuck at B/S position</t>
  </si>
  <si>
    <t>Machine shut to attend the work on Tail cutter</t>
  </si>
  <si>
    <t>Want of steam</t>
  </si>
  <si>
    <t>Plant shut due to Want of steam</t>
  </si>
  <si>
    <t>Yankee doctor blade change and machine rolls cleaning</t>
  </si>
  <si>
    <t>Grade Change</t>
  </si>
  <si>
    <t>Paper feeding delay due to tail cutter stuck at B/S</t>
  </si>
  <si>
    <t>Elect</t>
  </si>
  <si>
    <t>Maintt</t>
  </si>
  <si>
    <t>Natural Gas consumption (Tissue Machine)</t>
  </si>
  <si>
    <t>Natural Gas consumption (Boiler)</t>
  </si>
  <si>
    <t>Fresh Water consumption</t>
  </si>
  <si>
    <t>RO water consumption</t>
  </si>
  <si>
    <t>Power (MACHINE)</t>
  </si>
  <si>
    <t>Power (BOILER+ETP)</t>
  </si>
  <si>
    <t>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</si>
</sst>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$-409]d\-mmm\-yy;@"/>
    <numFmt numFmtId="167" formatCode="0.000"/>
  </numFmts>
  <fonts count="1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0" borderId="16" xfId="1" applyFont="1" applyBorder="1" applyAlignment="1">
      <alignment vertical="center"/>
    </xf>
    <xf numFmtId="165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21" xfId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2" xfId="0" applyFont="1" applyBorder="1"/>
    <xf numFmtId="0" fontId="2" fillId="0" borderId="8" xfId="0" applyFont="1" applyBorder="1"/>
    <xf numFmtId="2" fontId="2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/>
    <xf numFmtId="0" fontId="2" fillId="0" borderId="23" xfId="0" applyFont="1" applyBorder="1"/>
    <xf numFmtId="0" fontId="2" fillId="0" borderId="24" xfId="0" applyFont="1" applyBorder="1"/>
    <xf numFmtId="0" fontId="1" fillId="0" borderId="23" xfId="0" applyFont="1" applyBorder="1" applyAlignment="1">
      <alignment horizontal="right"/>
    </xf>
    <xf numFmtId="2" fontId="2" fillId="0" borderId="23" xfId="0" applyNumberFormat="1" applyFont="1" applyBorder="1" applyAlignment="1">
      <alignment horizontal="center"/>
    </xf>
    <xf numFmtId="0" fontId="1" fillId="0" borderId="23" xfId="0" applyFont="1" applyBorder="1"/>
    <xf numFmtId="0" fontId="2" fillId="0" borderId="25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7" fillId="2" borderId="26" xfId="0" applyFont="1" applyFill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7" fillId="0" borderId="0" xfId="0" applyFont="1"/>
    <xf numFmtId="0" fontId="7" fillId="3" borderId="20" xfId="0" applyFont="1" applyFill="1" applyBorder="1"/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1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7" fontId="9" fillId="6" borderId="21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167" fontId="9" fillId="7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/>
    <xf numFmtId="0" fontId="10" fillId="4" borderId="1" xfId="0" applyFont="1" applyFill="1" applyBorder="1"/>
    <xf numFmtId="0" fontId="10" fillId="4" borderId="3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7" fillId="2" borderId="20" xfId="0" applyFont="1" applyFill="1" applyBorder="1" applyAlignment="1">
      <alignment horizontal="center"/>
    </xf>
    <xf numFmtId="0" fontId="13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7" fontId="7" fillId="0" borderId="0" xfId="0" applyNumberFormat="1" applyFont="1"/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center"/>
    </xf>
    <xf numFmtId="167" fontId="7" fillId="2" borderId="2" xfId="0" applyNumberFormat="1" applyFont="1" applyFill="1" applyBorder="1" applyAlignment="1">
      <alignment horizontal="center"/>
    </xf>
    <xf numFmtId="167" fontId="9" fillId="2" borderId="2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2" borderId="21" xfId="0" applyNumberFormat="1" applyFont="1" applyFill="1" applyBorder="1" applyAlignment="1">
      <alignment horizontal="center"/>
    </xf>
    <xf numFmtId="164" fontId="9" fillId="2" borderId="21" xfId="0" applyNumberFormat="1" applyFont="1" applyFill="1" applyBorder="1" applyAlignment="1">
      <alignment horizontal="center" vertical="center"/>
    </xf>
    <xf numFmtId="1" fontId="9" fillId="2" borderId="2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5" xfId="0" applyFont="1" applyFill="1" applyBorder="1"/>
    <xf numFmtId="0" fontId="7" fillId="2" borderId="4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7" fillId="2" borderId="2" xfId="0" applyFont="1" applyFill="1" applyBorder="1"/>
    <xf numFmtId="0" fontId="7" fillId="2" borderId="30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right"/>
    </xf>
    <xf numFmtId="164" fontId="7" fillId="2" borderId="8" xfId="0" applyNumberFormat="1" applyFont="1" applyFill="1" applyBorder="1" applyAlignment="1">
      <alignment horizontal="center"/>
    </xf>
    <xf numFmtId="164" fontId="7" fillId="2" borderId="22" xfId="0" applyNumberFormat="1" applyFont="1" applyFill="1" applyBorder="1" applyAlignment="1">
      <alignment horizontal="center"/>
    </xf>
    <xf numFmtId="0" fontId="7" fillId="2" borderId="20" xfId="0" applyFont="1" applyFill="1" applyBorder="1"/>
    <xf numFmtId="164" fontId="9" fillId="2" borderId="1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7" fillId="2" borderId="33" xfId="0" applyFont="1" applyFill="1" applyBorder="1"/>
    <xf numFmtId="0" fontId="9" fillId="2" borderId="34" xfId="0" applyFont="1" applyFill="1" applyBorder="1"/>
    <xf numFmtId="0" fontId="9" fillId="2" borderId="34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center"/>
    </xf>
    <xf numFmtId="2" fontId="7" fillId="2" borderId="34" xfId="0" applyNumberFormat="1" applyFont="1" applyFill="1" applyBorder="1" applyAlignment="1">
      <alignment horizontal="center"/>
    </xf>
    <xf numFmtId="2" fontId="7" fillId="2" borderId="35" xfId="0" applyNumberFormat="1" applyFont="1" applyFill="1" applyBorder="1" applyAlignment="1">
      <alignment horizontal="center"/>
    </xf>
    <xf numFmtId="2" fontId="9" fillId="2" borderId="36" xfId="0" applyNumberFormat="1" applyFont="1" applyFill="1" applyBorder="1" applyAlignment="1">
      <alignment horizontal="center" vertical="center"/>
    </xf>
    <xf numFmtId="0" fontId="7" fillId="2" borderId="37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38" xfId="0" applyFont="1" applyFill="1" applyBorder="1" applyAlignment="1">
      <alignment vertical="center"/>
    </xf>
    <xf numFmtId="0" fontId="7" fillId="2" borderId="26" xfId="0" applyFont="1" applyFill="1" applyBorder="1" applyAlignment="1">
      <alignment horizontal="center"/>
    </xf>
    <xf numFmtId="0" fontId="11" fillId="2" borderId="39" xfId="0" applyFont="1" applyFill="1" applyBorder="1" applyAlignment="1">
      <alignment horizontal="left"/>
    </xf>
    <xf numFmtId="0" fontId="7" fillId="2" borderId="39" xfId="0" applyFont="1" applyFill="1" applyBorder="1"/>
    <xf numFmtId="0" fontId="9" fillId="2" borderId="39" xfId="0" applyFont="1" applyFill="1" applyBorder="1" applyAlignment="1">
      <alignment horizontal="left"/>
    </xf>
    <xf numFmtId="0" fontId="7" fillId="2" borderId="27" xfId="0" applyFont="1" applyFill="1" applyBorder="1"/>
    <xf numFmtId="0" fontId="9" fillId="2" borderId="4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2" fontId="7" fillId="2" borderId="21" xfId="0" applyNumberFormat="1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/>
    </xf>
    <xf numFmtId="164" fontId="9" fillId="2" borderId="34" xfId="0" applyNumberFormat="1" applyFont="1" applyFill="1" applyBorder="1" applyAlignment="1">
      <alignment horizontal="center"/>
    </xf>
    <xf numFmtId="164" fontId="9" fillId="2" borderId="35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5" fontId="2" fillId="0" borderId="22" xfId="0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6" fillId="0" borderId="14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/>
    </xf>
    <xf numFmtId="0" fontId="7" fillId="2" borderId="42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7" fillId="3" borderId="33" xfId="0" applyFont="1" applyFill="1" applyBorder="1" applyAlignment="1">
      <alignment horizontal="center"/>
    </xf>
    <xf numFmtId="0" fontId="9" fillId="7" borderId="34" xfId="0" applyFont="1" applyFill="1" applyBorder="1"/>
    <xf numFmtId="0" fontId="9" fillId="7" borderId="34" xfId="0" applyFont="1" applyFill="1" applyBorder="1" applyAlignment="1">
      <alignment horizontal="left"/>
    </xf>
    <xf numFmtId="0" fontId="9" fillId="7" borderId="34" xfId="0" applyFont="1" applyFill="1" applyBorder="1" applyAlignment="1">
      <alignment horizontal="center"/>
    </xf>
    <xf numFmtId="2" fontId="9" fillId="7" borderId="34" xfId="0" applyNumberFormat="1" applyFont="1" applyFill="1" applyBorder="1" applyAlignment="1">
      <alignment horizontal="center"/>
    </xf>
    <xf numFmtId="167" fontId="9" fillId="7" borderId="34" xfId="0" applyNumberFormat="1" applyFont="1" applyFill="1" applyBorder="1" applyAlignment="1">
      <alignment horizontal="center"/>
    </xf>
    <xf numFmtId="2" fontId="9" fillId="7" borderId="35" xfId="0" applyNumberFormat="1" applyFont="1" applyFill="1" applyBorder="1" applyAlignment="1">
      <alignment horizontal="center"/>
    </xf>
    <xf numFmtId="167" fontId="9" fillId="6" borderId="36" xfId="0" applyNumberFormat="1" applyFont="1" applyFill="1" applyBorder="1" applyAlignment="1">
      <alignment horizontal="center" vertical="center"/>
    </xf>
    <xf numFmtId="164" fontId="6" fillId="0" borderId="3" xfId="2" applyNumberFormat="1" applyFont="1" applyBorder="1" applyAlignment="1">
      <alignment horizontal="center" vertical="center" wrapText="1"/>
    </xf>
    <xf numFmtId="164" fontId="4" fillId="0" borderId="7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164" fontId="4" fillId="0" borderId="9" xfId="2" applyNumberFormat="1" applyFont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/>
    </xf>
    <xf numFmtId="165" fontId="4" fillId="2" borderId="10" xfId="2" applyNumberFormat="1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vertical="center"/>
    </xf>
    <xf numFmtId="0" fontId="4" fillId="2" borderId="15" xfId="2" applyFont="1" applyFill="1" applyBorder="1" applyAlignment="1">
      <alignment horizontal="center" vertical="center"/>
    </xf>
    <xf numFmtId="164" fontId="4" fillId="0" borderId="13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4" fontId="4" fillId="0" borderId="17" xfId="2" applyNumberFormat="1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/>
    </xf>
    <xf numFmtId="0" fontId="7" fillId="5" borderId="2" xfId="0" applyFont="1" applyFill="1" applyBorder="1" applyAlignment="1">
      <alignment horizontal="center"/>
    </xf>
    <xf numFmtId="164" fontId="7" fillId="0" borderId="30" xfId="0" applyNumberFormat="1" applyFont="1" applyBorder="1" applyAlignment="1">
      <alignment horizontal="center"/>
    </xf>
    <xf numFmtId="167" fontId="9" fillId="6" borderId="1" xfId="0" applyNumberFormat="1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165" fontId="4" fillId="2" borderId="15" xfId="2" applyNumberFormat="1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2" xfId="2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4" fillId="0" borderId="6" xfId="2" applyFont="1" applyBorder="1" applyAlignment="1">
      <alignment horizontal="center" vertical="center" wrapText="1"/>
    </xf>
    <xf numFmtId="164" fontId="4" fillId="0" borderId="18" xfId="2" applyNumberFormat="1" applyFont="1" applyBorder="1" applyAlignment="1">
      <alignment horizontal="center" vertical="center" wrapText="1"/>
    </xf>
    <xf numFmtId="164" fontId="4" fillId="0" borderId="19" xfId="2" applyNumberFormat="1" applyFont="1" applyBorder="1" applyAlignment="1">
      <alignment horizontal="center" vertical="center" wrapText="1"/>
    </xf>
    <xf numFmtId="20" fontId="4" fillId="0" borderId="10" xfId="0" applyNumberFormat="1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0" fontId="4" fillId="0" borderId="20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9" fillId="2" borderId="43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22C7-4A42-4CA0-8F6E-4304B043AC3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45901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242</v>
      </c>
      <c r="C9" s="161">
        <v>13.5</v>
      </c>
      <c r="D9" s="14">
        <v>2.85</v>
      </c>
      <c r="E9" s="163">
        <v>1373</v>
      </c>
      <c r="F9" s="162">
        <v>8.5</v>
      </c>
      <c r="G9" s="15">
        <f t="shared" ref="G9:G10" si="0">E9*F9</f>
        <v>11670.5</v>
      </c>
      <c r="H9" s="16">
        <f>F9*C9</f>
        <v>114.75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15</v>
      </c>
      <c r="D10" s="14">
        <v>2.85</v>
      </c>
      <c r="E10" s="163">
        <v>1445</v>
      </c>
      <c r="F10" s="162">
        <v>61.5</v>
      </c>
      <c r="G10" s="15">
        <f t="shared" si="0"/>
        <v>88867.5</v>
      </c>
      <c r="H10" s="16">
        <f t="shared" ref="H10" si="1">F10*C10</f>
        <v>922.5</v>
      </c>
      <c r="I10" s="182" t="s">
        <v>44</v>
      </c>
      <c r="J10" s="192">
        <v>1.3888888888888888E-2</v>
      </c>
      <c r="K10" s="194" t="s">
        <v>44</v>
      </c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 t="s">
        <v>240</v>
      </c>
      <c r="J11" s="192">
        <v>2.7777777777777776E-2</v>
      </c>
      <c r="K11" s="193" t="s">
        <v>241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 t="s">
        <v>234</v>
      </c>
      <c r="J12" s="192">
        <v>6.25E-2</v>
      </c>
      <c r="K12" s="193" t="s">
        <v>235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 t="s">
        <v>239</v>
      </c>
      <c r="J13" s="192">
        <v>2.0833333333333332E-2</v>
      </c>
      <c r="K13" s="196" t="s">
        <v>239</v>
      </c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70</v>
      </c>
      <c r="G22" s="33">
        <f>SUM(G9:G21)/F22</f>
        <v>1436.2571428571428</v>
      </c>
      <c r="H22" s="34">
        <f>SUM(H9:H21)/F22</f>
        <v>14.817857142857143</v>
      </c>
      <c r="I22" s="35" t="s">
        <v>22</v>
      </c>
      <c r="J22" s="160">
        <v>0.14583333333333334</v>
      </c>
      <c r="K22" s="29"/>
    </row>
    <row r="23" spans="1:11" x14ac:dyDescent="0.15">
      <c r="E23" s="36"/>
      <c r="F23" s="37"/>
      <c r="I23" s="38" t="s">
        <v>23</v>
      </c>
      <c r="J23" s="39">
        <v>3.5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70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v>70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3.5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AB218EAA-A3AB-407B-B606-2369C063A3B9}">
      <formula1>$I$41:$I$50</formula1>
    </dataValidation>
    <dataValidation type="list" allowBlank="1" showInputMessage="1" showErrorMessage="1" sqref="B20:B21" xr:uid="{3AF4B977-3967-4D73-8159-CEDB212CA6DD}">
      <formula1>$K$29:$K$40</formula1>
    </dataValidation>
    <dataValidation type="list" allowBlank="1" showInputMessage="1" showErrorMessage="1" sqref="B16:B19" xr:uid="{73117704-E9FA-4912-9651-CC754CA4DE5E}">
      <formula1>$K$29:$K$85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1964-2EB1-4162-A41C-80B99AA762D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45902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15</v>
      </c>
      <c r="D9" s="14">
        <v>2.85</v>
      </c>
      <c r="E9" s="163">
        <v>1369</v>
      </c>
      <c r="F9" s="162">
        <v>29.5</v>
      </c>
      <c r="G9" s="15">
        <f t="shared" ref="G9:G12" si="0">E9*F9</f>
        <v>40385.5</v>
      </c>
      <c r="H9" s="16">
        <f>F9*C9</f>
        <v>442.5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16</v>
      </c>
      <c r="D10" s="14">
        <v>2.85</v>
      </c>
      <c r="E10" s="163">
        <v>1411</v>
      </c>
      <c r="F10" s="162">
        <v>3.5</v>
      </c>
      <c r="G10" s="15">
        <f t="shared" si="0"/>
        <v>4938.5</v>
      </c>
      <c r="H10" s="16">
        <f t="shared" ref="H10:H12" si="1">F10*C10</f>
        <v>56</v>
      </c>
      <c r="I10" s="182" t="s">
        <v>44</v>
      </c>
      <c r="J10" s="192">
        <v>2.4305555555555556E-2</v>
      </c>
      <c r="K10" s="194" t="s">
        <v>44</v>
      </c>
    </row>
    <row r="11" spans="1:11" ht="17" x14ac:dyDescent="0.15">
      <c r="A11" s="190">
        <v>3</v>
      </c>
      <c r="B11" s="191" t="s">
        <v>237</v>
      </c>
      <c r="C11" s="161">
        <v>17</v>
      </c>
      <c r="D11" s="14">
        <v>2.85</v>
      </c>
      <c r="E11" s="163">
        <v>1369</v>
      </c>
      <c r="F11" s="175">
        <v>16</v>
      </c>
      <c r="G11" s="15">
        <f t="shared" si="0"/>
        <v>21904</v>
      </c>
      <c r="H11" s="16">
        <f>F11*C11</f>
        <v>272</v>
      </c>
      <c r="I11" s="182" t="s">
        <v>245</v>
      </c>
      <c r="J11" s="192">
        <v>1.0416666666666666E-2</v>
      </c>
      <c r="K11" s="193" t="s">
        <v>246</v>
      </c>
    </row>
    <row r="12" spans="1:11" ht="19.25" customHeight="1" x14ac:dyDescent="0.15">
      <c r="A12" s="195">
        <v>4</v>
      </c>
      <c r="B12" s="191" t="s">
        <v>244</v>
      </c>
      <c r="C12" s="176">
        <v>19</v>
      </c>
      <c r="D12" s="14">
        <v>2.85</v>
      </c>
      <c r="E12" s="177">
        <v>1113</v>
      </c>
      <c r="F12" s="178">
        <v>27</v>
      </c>
      <c r="G12" s="15">
        <f t="shared" si="0"/>
        <v>30051</v>
      </c>
      <c r="H12" s="16">
        <f t="shared" si="1"/>
        <v>513</v>
      </c>
      <c r="I12" s="182"/>
      <c r="J12" s="192"/>
      <c r="K12" s="193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76</v>
      </c>
      <c r="G22" s="33">
        <f>SUM(G9:G21)/F22</f>
        <v>1279.9868421052631</v>
      </c>
      <c r="H22" s="34">
        <f>SUM(H9:H21)/F22</f>
        <v>16.888157894736842</v>
      </c>
      <c r="I22" s="35" t="s">
        <v>22</v>
      </c>
      <c r="J22" s="160">
        <v>5.5555555555555552E-2</v>
      </c>
      <c r="K22" s="29"/>
    </row>
    <row r="23" spans="1:11" x14ac:dyDescent="0.15">
      <c r="E23" s="36"/>
      <c r="F23" s="37"/>
      <c r="I23" s="38" t="s">
        <v>23</v>
      </c>
      <c r="J23" s="39">
        <v>1.33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76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</f>
        <v>146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4.83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6AEAB88-10FF-4F12-9B85-FCEC7557A492}">
      <formula1>$K$29:$K$85</formula1>
    </dataValidation>
    <dataValidation type="list" allowBlank="1" showInputMessage="1" showErrorMessage="1" sqref="B20:B21" xr:uid="{089E5867-E113-4993-8979-EB82CE94480E}">
      <formula1>$K$29:$K$40</formula1>
    </dataValidation>
    <dataValidation type="list" allowBlank="1" showInputMessage="1" showErrorMessage="1" sqref="I50 K15:K21" xr:uid="{8CBBFD45-9B6F-41F6-BB67-D9F5DF7FF106}">
      <formula1>$I$41:$I$50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37C1-1D10-4CAD-9245-7F48CEEE06A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45903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14</v>
      </c>
      <c r="D9" s="14">
        <v>2.85</v>
      </c>
      <c r="E9" s="163">
        <v>1245</v>
      </c>
      <c r="F9" s="162">
        <v>3.5</v>
      </c>
      <c r="G9" s="15">
        <f t="shared" ref="G9:G11" si="0">E9*F9</f>
        <v>4357.5</v>
      </c>
      <c r="H9" s="16">
        <f>F9*C9</f>
        <v>49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15</v>
      </c>
      <c r="D10" s="14">
        <v>2.85</v>
      </c>
      <c r="E10" s="163">
        <v>1173</v>
      </c>
      <c r="F10" s="162">
        <v>5.5</v>
      </c>
      <c r="G10" s="15">
        <f t="shared" si="0"/>
        <v>6451.5</v>
      </c>
      <c r="H10" s="16">
        <f t="shared" ref="H10" si="1">F10*C10</f>
        <v>82.5</v>
      </c>
      <c r="I10" s="182" t="s">
        <v>44</v>
      </c>
      <c r="J10" s="192">
        <v>6.9444444444444441E-3</v>
      </c>
      <c r="K10" s="194" t="s">
        <v>44</v>
      </c>
    </row>
    <row r="11" spans="1:11" ht="17" x14ac:dyDescent="0.15">
      <c r="A11" s="190">
        <v>3</v>
      </c>
      <c r="B11" s="191" t="s">
        <v>247</v>
      </c>
      <c r="C11" s="161">
        <v>17</v>
      </c>
      <c r="D11" s="14">
        <v>2.85</v>
      </c>
      <c r="E11" s="163">
        <v>810</v>
      </c>
      <c r="F11" s="175">
        <v>31</v>
      </c>
      <c r="G11" s="15">
        <f t="shared" si="0"/>
        <v>25110</v>
      </c>
      <c r="H11" s="16">
        <f>F11*C11</f>
        <v>527</v>
      </c>
      <c r="I11" s="182" t="s">
        <v>248</v>
      </c>
      <c r="J11" s="192">
        <v>0.26041666666666669</v>
      </c>
      <c r="K11" s="193" t="s">
        <v>246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 t="s">
        <v>239</v>
      </c>
      <c r="J12" s="192">
        <v>2.7777777777777776E-2</v>
      </c>
      <c r="K12" s="193" t="s">
        <v>239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40</v>
      </c>
      <c r="G22" s="33">
        <f>SUM(G9:G21)/F22</f>
        <v>897.97500000000002</v>
      </c>
      <c r="H22" s="34">
        <f>SUM(H9:H21)/F22</f>
        <v>16.462499999999999</v>
      </c>
      <c r="I22" s="35" t="s">
        <v>22</v>
      </c>
      <c r="J22" s="160">
        <v>0.31597222222222221</v>
      </c>
      <c r="K22" s="29"/>
    </row>
    <row r="23" spans="1:11" x14ac:dyDescent="0.15">
      <c r="E23" s="36"/>
      <c r="F23" s="37"/>
      <c r="I23" s="38" t="s">
        <v>23</v>
      </c>
      <c r="J23" s="39">
        <v>7.58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40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</f>
        <v>186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12.42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9551C55-4F1F-4167-BDA5-731136892A0D}">
      <formula1>$I$41:$I$50</formula1>
    </dataValidation>
    <dataValidation type="list" allowBlank="1" showInputMessage="1" showErrorMessage="1" sqref="B20:B21" xr:uid="{AAA0578C-29CD-44C9-A7E5-C1BA24648E04}">
      <formula1>$K$29:$K$40</formula1>
    </dataValidation>
    <dataValidation type="list" allowBlank="1" showInputMessage="1" showErrorMessage="1" sqref="B16:B19" xr:uid="{69721D33-771D-4AE9-89C6-9E1C9936EE42}">
      <formula1>$K$29:$K$85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85BB-86D3-4989-BF43-F13EA49C37B6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45904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247</v>
      </c>
      <c r="C9" s="161">
        <v>15</v>
      </c>
      <c r="D9" s="14">
        <v>2.85</v>
      </c>
      <c r="E9" s="163">
        <v>1134</v>
      </c>
      <c r="F9" s="162">
        <v>10</v>
      </c>
      <c r="G9" s="15">
        <f t="shared" ref="G9:G10" si="0">E9*F9</f>
        <v>11340</v>
      </c>
      <c r="H9" s="16">
        <f>F9*C9</f>
        <v>150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247</v>
      </c>
      <c r="C10" s="161">
        <v>17</v>
      </c>
      <c r="D10" s="14">
        <v>2.85</v>
      </c>
      <c r="E10" s="163">
        <v>1053</v>
      </c>
      <c r="F10" s="162">
        <v>49</v>
      </c>
      <c r="G10" s="15">
        <f t="shared" si="0"/>
        <v>51597</v>
      </c>
      <c r="H10" s="16">
        <f t="shared" ref="H10" si="1">F10*C10</f>
        <v>833</v>
      </c>
      <c r="I10" s="182" t="s">
        <v>44</v>
      </c>
      <c r="J10" s="192">
        <v>6.9444444444444441E-3</v>
      </c>
      <c r="K10" s="194" t="s">
        <v>44</v>
      </c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 t="s">
        <v>249</v>
      </c>
      <c r="J11" s="192">
        <v>0.14583333333333334</v>
      </c>
      <c r="K11" s="193" t="s">
        <v>250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 t="s">
        <v>239</v>
      </c>
      <c r="J12" s="192">
        <v>1.3888888888888888E-2</v>
      </c>
      <c r="K12" s="193" t="s">
        <v>239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59</v>
      </c>
      <c r="G22" s="33">
        <f>SUM(G9:G21)/F22</f>
        <v>1066.7288135593221</v>
      </c>
      <c r="H22" s="34">
        <f>SUM(H9:H21)/F22</f>
        <v>16.661016949152543</v>
      </c>
      <c r="I22" s="35" t="s">
        <v>22</v>
      </c>
      <c r="J22" s="160">
        <v>0.1875</v>
      </c>
      <c r="K22" s="29"/>
    </row>
    <row r="23" spans="1:11" x14ac:dyDescent="0.15">
      <c r="E23" s="36"/>
      <c r="F23" s="37"/>
      <c r="I23" s="38" t="s">
        <v>23</v>
      </c>
      <c r="J23" s="39">
        <v>4.5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59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</f>
        <v>245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16.920000000000002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2278A266-289A-4F52-B193-A254735E264A}">
      <formula1>$K$29:$K$85</formula1>
    </dataValidation>
    <dataValidation type="list" allowBlank="1" showInputMessage="1" showErrorMessage="1" sqref="B20:B21" xr:uid="{BD2F49D5-A186-4EC4-AF82-85C016E254C0}">
      <formula1>$K$29:$K$40</formula1>
    </dataValidation>
    <dataValidation type="list" allowBlank="1" showInputMessage="1" showErrorMessage="1" sqref="I50 K15:K21" xr:uid="{6017978B-8C35-472C-BDDC-AEDCEADBC233}">
      <formula1>$I$41:$I$50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FC20-6A0A-4D8F-8721-35D7EFBF94D9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45905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247</v>
      </c>
      <c r="C9" s="161">
        <v>15</v>
      </c>
      <c r="D9" s="14">
        <v>2.85</v>
      </c>
      <c r="E9" s="163">
        <v>1053</v>
      </c>
      <c r="F9" s="162">
        <v>25</v>
      </c>
      <c r="G9" s="15">
        <f t="shared" ref="G9" si="0">E9*F9</f>
        <v>26325</v>
      </c>
      <c r="H9" s="16">
        <f>F9*C9</f>
        <v>375</v>
      </c>
      <c r="I9" s="179" t="s">
        <v>20</v>
      </c>
      <c r="J9" s="180">
        <v>1.3888888888888888E-2</v>
      </c>
      <c r="K9" s="181" t="s">
        <v>231</v>
      </c>
    </row>
    <row r="10" spans="1:11" ht="16" x14ac:dyDescent="0.15">
      <c r="A10" s="195"/>
      <c r="B10" s="191"/>
      <c r="C10" s="161"/>
      <c r="D10" s="14"/>
      <c r="E10" s="163"/>
      <c r="F10" s="162"/>
      <c r="G10" s="15"/>
      <c r="H10" s="16"/>
      <c r="I10" s="182" t="s">
        <v>249</v>
      </c>
      <c r="J10" s="192">
        <v>0.41666666666666669</v>
      </c>
      <c r="K10" s="193" t="s">
        <v>250</v>
      </c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 t="s">
        <v>251</v>
      </c>
      <c r="J11" s="192">
        <v>4.1666666666666664E-2</v>
      </c>
      <c r="K11" s="193" t="s">
        <v>252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 t="s">
        <v>253</v>
      </c>
      <c r="J12" s="192">
        <v>4.1666666666666664E-2</v>
      </c>
      <c r="K12" s="196" t="s">
        <v>254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 t="s">
        <v>239</v>
      </c>
      <c r="J13" s="192">
        <v>1.3888888888888888E-2</v>
      </c>
      <c r="K13" s="196" t="s">
        <v>239</v>
      </c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25</v>
      </c>
      <c r="G22" s="33">
        <f>SUM(G9:G21)/F22</f>
        <v>1053</v>
      </c>
      <c r="H22" s="34">
        <f>SUM(H9:H21)/F22</f>
        <v>15</v>
      </c>
      <c r="I22" s="35" t="s">
        <v>22</v>
      </c>
      <c r="J22" s="160">
        <v>0.52777777777777779</v>
      </c>
      <c r="K22" s="29"/>
    </row>
    <row r="23" spans="1:11" x14ac:dyDescent="0.15">
      <c r="E23" s="36"/>
      <c r="F23" s="37"/>
      <c r="I23" s="38" t="s">
        <v>23</v>
      </c>
      <c r="J23" s="39">
        <v>12.67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25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</f>
        <v>270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29.58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854B3A30-083C-4BA4-8896-F64127C7A953}">
      <formula1>$I$41:$I$50</formula1>
    </dataValidation>
    <dataValidation type="list" allowBlank="1" showInputMessage="1" showErrorMessage="1" sqref="B20:B21" xr:uid="{46137F5F-F887-4440-8858-4B56FDBDDE58}">
      <formula1>$K$29:$K$40</formula1>
    </dataValidation>
    <dataValidation type="list" allowBlank="1" showInputMessage="1" showErrorMessage="1" sqref="B16:B19" xr:uid="{B336B7B8-3579-4C98-849F-3BBBAB990CB2}">
      <formula1>$K$29:$K$85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85C3-921B-40E2-BB26-FAB403BF633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45906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247</v>
      </c>
      <c r="C9" s="161">
        <v>15</v>
      </c>
      <c r="D9" s="14">
        <v>2.85</v>
      </c>
      <c r="E9" s="163">
        <v>972</v>
      </c>
      <c r="F9" s="162">
        <v>7</v>
      </c>
      <c r="G9" s="15">
        <f t="shared" ref="G9:G12" si="0">E9*F9</f>
        <v>6804</v>
      </c>
      <c r="H9" s="16">
        <f>F9*C9</f>
        <v>105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15</v>
      </c>
      <c r="D10" s="14">
        <v>2.85</v>
      </c>
      <c r="E10" s="163">
        <v>1328</v>
      </c>
      <c r="F10" s="162">
        <v>20</v>
      </c>
      <c r="G10" s="15">
        <f t="shared" si="0"/>
        <v>26560</v>
      </c>
      <c r="H10" s="16">
        <f t="shared" ref="H10:H12" si="1">F10*C10</f>
        <v>300</v>
      </c>
      <c r="I10" s="182" t="s">
        <v>44</v>
      </c>
      <c r="J10" s="192">
        <v>1.3888888888888888E-2</v>
      </c>
      <c r="K10" s="193" t="s">
        <v>44</v>
      </c>
    </row>
    <row r="11" spans="1:11" ht="17" x14ac:dyDescent="0.15">
      <c r="A11" s="190">
        <v>3</v>
      </c>
      <c r="B11" s="191" t="s">
        <v>237</v>
      </c>
      <c r="C11" s="161">
        <v>16</v>
      </c>
      <c r="D11" s="14">
        <v>2.85</v>
      </c>
      <c r="E11" s="163">
        <v>1203</v>
      </c>
      <c r="F11" s="175">
        <v>8</v>
      </c>
      <c r="G11" s="15">
        <f t="shared" si="0"/>
        <v>9624</v>
      </c>
      <c r="H11" s="16">
        <f t="shared" si="1"/>
        <v>128</v>
      </c>
      <c r="I11" s="182" t="s">
        <v>234</v>
      </c>
      <c r="J11" s="192">
        <v>9.0277777777777776E-2</v>
      </c>
      <c r="K11" s="193" t="s">
        <v>255</v>
      </c>
    </row>
    <row r="12" spans="1:11" ht="19.25" customHeight="1" x14ac:dyDescent="0.15">
      <c r="A12" s="195">
        <v>4</v>
      </c>
      <c r="B12" s="191" t="s">
        <v>237</v>
      </c>
      <c r="C12" s="176">
        <v>17</v>
      </c>
      <c r="D12" s="14">
        <v>2.85</v>
      </c>
      <c r="E12" s="177">
        <v>1231</v>
      </c>
      <c r="F12" s="178">
        <v>10</v>
      </c>
      <c r="G12" s="15">
        <f t="shared" si="0"/>
        <v>12310</v>
      </c>
      <c r="H12" s="16">
        <f t="shared" si="1"/>
        <v>170</v>
      </c>
      <c r="I12" s="182" t="s">
        <v>256</v>
      </c>
      <c r="J12" s="192">
        <v>0.22916666666666666</v>
      </c>
      <c r="K12" s="196" t="s">
        <v>257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45</v>
      </c>
      <c r="G22" s="33">
        <f>SUM(G9:G21)/F22</f>
        <v>1228.8444444444444</v>
      </c>
      <c r="H22" s="34">
        <f>SUM(H9:H21)/F22</f>
        <v>15.622222222222222</v>
      </c>
      <c r="I22" s="35" t="s">
        <v>22</v>
      </c>
      <c r="J22" s="160">
        <v>0.35416666666666669</v>
      </c>
      <c r="K22" s="29"/>
    </row>
    <row r="23" spans="1:11" x14ac:dyDescent="0.15">
      <c r="E23" s="36"/>
      <c r="F23" s="37"/>
      <c r="I23" s="38" t="s">
        <v>23</v>
      </c>
      <c r="J23" s="39">
        <v>8.5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45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</f>
        <v>315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38.08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5B4635CD-3DDC-42DA-B3E7-3EF49A08070C}">
      <formula1>$K$29:$K$85</formula1>
    </dataValidation>
    <dataValidation type="list" allowBlank="1" showInputMessage="1" showErrorMessage="1" sqref="B20:B21" xr:uid="{EE9CE22F-337A-4EC6-9972-37DE44274B3F}">
      <formula1>$K$29:$K$40</formula1>
    </dataValidation>
    <dataValidation type="list" allowBlank="1" showInputMessage="1" showErrorMessage="1" sqref="I50 K15:K21" xr:uid="{A82CB0C7-0EB9-47DE-B29F-C9F84EE90730}">
      <formula1>$I$41:$I$50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4C8E-C028-4BDE-BA69-7099FF7DFFC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45907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14</v>
      </c>
      <c r="D9" s="14">
        <v>2.85</v>
      </c>
      <c r="E9" s="163">
        <v>1245</v>
      </c>
      <c r="F9" s="162">
        <v>15</v>
      </c>
      <c r="G9" s="15">
        <f t="shared" ref="G9:G13" si="0">E9*F9</f>
        <v>18675</v>
      </c>
      <c r="H9" s="16">
        <f>F9*C9</f>
        <v>210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15</v>
      </c>
      <c r="D10" s="14">
        <v>2.85</v>
      </c>
      <c r="E10" s="163">
        <v>1245</v>
      </c>
      <c r="F10" s="162">
        <v>1</v>
      </c>
      <c r="G10" s="15">
        <f t="shared" si="0"/>
        <v>1245</v>
      </c>
      <c r="H10" s="16">
        <f t="shared" ref="H10:H12" si="1">F10*C10</f>
        <v>15</v>
      </c>
      <c r="I10" s="182" t="s">
        <v>44</v>
      </c>
      <c r="J10" s="192">
        <v>2.7777777777777776E-2</v>
      </c>
      <c r="K10" s="193" t="s">
        <v>44</v>
      </c>
    </row>
    <row r="11" spans="1:11" ht="17" x14ac:dyDescent="0.15">
      <c r="A11" s="190">
        <v>3</v>
      </c>
      <c r="B11" s="191" t="s">
        <v>237</v>
      </c>
      <c r="C11" s="161">
        <v>16</v>
      </c>
      <c r="D11" s="14">
        <v>2.85</v>
      </c>
      <c r="E11" s="163">
        <v>1245</v>
      </c>
      <c r="F11" s="175">
        <v>14.5</v>
      </c>
      <c r="G11" s="15">
        <f t="shared" si="0"/>
        <v>18052.5</v>
      </c>
      <c r="H11" s="16">
        <f t="shared" si="1"/>
        <v>232</v>
      </c>
      <c r="I11" s="182" t="s">
        <v>256</v>
      </c>
      <c r="J11" s="192">
        <v>9.7222222222222224E-2</v>
      </c>
      <c r="K11" s="196" t="s">
        <v>257</v>
      </c>
    </row>
    <row r="12" spans="1:11" ht="19.25" customHeight="1" x14ac:dyDescent="0.15">
      <c r="A12" s="195">
        <v>4</v>
      </c>
      <c r="B12" s="191" t="s">
        <v>237</v>
      </c>
      <c r="C12" s="176">
        <v>17</v>
      </c>
      <c r="D12" s="14">
        <v>2.85</v>
      </c>
      <c r="E12" s="177">
        <v>1012</v>
      </c>
      <c r="F12" s="178">
        <v>8</v>
      </c>
      <c r="G12" s="15">
        <f t="shared" si="0"/>
        <v>8096</v>
      </c>
      <c r="H12" s="16">
        <f t="shared" si="1"/>
        <v>136</v>
      </c>
      <c r="I12" s="182" t="s">
        <v>239</v>
      </c>
      <c r="J12" s="192">
        <v>6.9444444444444441E-3</v>
      </c>
      <c r="K12" s="196" t="s">
        <v>239</v>
      </c>
    </row>
    <row r="13" spans="1:11" ht="17" x14ac:dyDescent="0.15">
      <c r="A13" s="197">
        <v>5</v>
      </c>
      <c r="B13" s="191" t="s">
        <v>237</v>
      </c>
      <c r="C13" s="176">
        <v>19</v>
      </c>
      <c r="D13" s="14">
        <v>2.85</v>
      </c>
      <c r="E13" s="177">
        <v>1263</v>
      </c>
      <c r="F13" s="178">
        <v>22.5</v>
      </c>
      <c r="G13" s="15">
        <f t="shared" si="0"/>
        <v>28417.5</v>
      </c>
      <c r="H13" s="16">
        <f>F13*C13</f>
        <v>427.5</v>
      </c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61</v>
      </c>
      <c r="G22" s="33">
        <f>SUM(G9:G21)/F22</f>
        <v>1221.0819672131147</v>
      </c>
      <c r="H22" s="34">
        <f>SUM(H9:H21)/F22</f>
        <v>16.729508196721312</v>
      </c>
      <c r="I22" s="35" t="s">
        <v>22</v>
      </c>
      <c r="J22" s="160">
        <v>0.15277777777777779</v>
      </c>
      <c r="K22" s="29"/>
    </row>
    <row r="23" spans="1:11" x14ac:dyDescent="0.15">
      <c r="E23" s="36"/>
      <c r="F23" s="37"/>
      <c r="I23" s="38" t="s">
        <v>23</v>
      </c>
      <c r="J23" s="39">
        <v>3.67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61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</f>
        <v>376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41.75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8C8211F4-4D4E-4517-83C5-5946B9CF8ED2}">
      <formula1>$I$41:$I$50</formula1>
    </dataValidation>
    <dataValidation type="list" allowBlank="1" showInputMessage="1" showErrorMessage="1" sqref="B20:B21" xr:uid="{9ACAF49C-F8E6-45CD-B097-DB0C52CD4898}">
      <formula1>$K$29:$K$40</formula1>
    </dataValidation>
    <dataValidation type="list" allowBlank="1" showInputMessage="1" showErrorMessage="1" sqref="B16:B19" xr:uid="{008DFC1E-510E-4D06-83E9-28AC70F97368}">
      <formula1>$K$29:$K$85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9C35-A28C-4D47-A960-6AE5507F8CDE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45908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14</v>
      </c>
      <c r="D9" s="14">
        <v>2.85</v>
      </c>
      <c r="E9" s="163">
        <v>1174</v>
      </c>
      <c r="F9" s="162">
        <v>18</v>
      </c>
      <c r="G9" s="15">
        <f t="shared" ref="G9:G11" si="0">E9*F9</f>
        <v>21132</v>
      </c>
      <c r="H9" s="16">
        <f>F9*C9</f>
        <v>252</v>
      </c>
      <c r="I9" s="179" t="s">
        <v>20</v>
      </c>
      <c r="J9" s="180">
        <v>1.3888888888888888E-2</v>
      </c>
      <c r="K9" s="181" t="s">
        <v>231</v>
      </c>
    </row>
    <row r="10" spans="1:11" ht="17" x14ac:dyDescent="0.15">
      <c r="A10" s="195">
        <v>2</v>
      </c>
      <c r="B10" s="191" t="s">
        <v>247</v>
      </c>
      <c r="C10" s="161">
        <v>15</v>
      </c>
      <c r="D10" s="14">
        <v>2.85</v>
      </c>
      <c r="E10" s="163">
        <v>913</v>
      </c>
      <c r="F10" s="162">
        <v>14</v>
      </c>
      <c r="G10" s="15">
        <f t="shared" si="0"/>
        <v>12782</v>
      </c>
      <c r="H10" s="16">
        <f t="shared" ref="H10:H11" si="1">F10*C10</f>
        <v>210</v>
      </c>
      <c r="I10" s="182" t="s">
        <v>44</v>
      </c>
      <c r="J10" s="192">
        <v>6.9444444444444441E-3</v>
      </c>
      <c r="K10" s="193" t="s">
        <v>44</v>
      </c>
    </row>
    <row r="11" spans="1:11" ht="17" x14ac:dyDescent="0.15">
      <c r="A11" s="190">
        <v>3</v>
      </c>
      <c r="B11" s="191" t="s">
        <v>247</v>
      </c>
      <c r="C11" s="161">
        <v>17</v>
      </c>
      <c r="D11" s="14">
        <v>2.85</v>
      </c>
      <c r="E11" s="163">
        <v>903</v>
      </c>
      <c r="F11" s="175">
        <v>10</v>
      </c>
      <c r="G11" s="15">
        <f t="shared" si="0"/>
        <v>9030</v>
      </c>
      <c r="H11" s="16">
        <f t="shared" si="1"/>
        <v>170</v>
      </c>
      <c r="I11" s="182" t="s">
        <v>248</v>
      </c>
      <c r="J11" s="192">
        <v>0.27083333333333331</v>
      </c>
      <c r="K11" s="196" t="s">
        <v>56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/>
      <c r="J12" s="192"/>
      <c r="K12" s="196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42</v>
      </c>
      <c r="G22" s="33">
        <f>SUM(G9:G21)/F22</f>
        <v>1022.4761904761905</v>
      </c>
      <c r="H22" s="34">
        <f>SUM(H9:H21)/F22</f>
        <v>15.047619047619047</v>
      </c>
      <c r="I22" s="35" t="s">
        <v>22</v>
      </c>
      <c r="J22" s="160">
        <v>0.29166666666666669</v>
      </c>
      <c r="K22" s="29"/>
    </row>
    <row r="23" spans="1:11" x14ac:dyDescent="0.15">
      <c r="E23" s="36"/>
      <c r="F23" s="37"/>
      <c r="I23" s="38" t="s">
        <v>23</v>
      </c>
      <c r="J23" s="39">
        <v>7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42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</f>
        <v>418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48.75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B7075647-D081-4E7D-B80E-B8734D25078A}">
      <formula1>$K$29:$K$85</formula1>
    </dataValidation>
    <dataValidation type="list" allowBlank="1" showInputMessage="1" showErrorMessage="1" sqref="B20:B21" xr:uid="{517CBDBD-EEE3-42D2-A33A-87E7E831B3B0}">
      <formula1>$K$29:$K$40</formula1>
    </dataValidation>
    <dataValidation type="list" allowBlank="1" showInputMessage="1" showErrorMessage="1" sqref="I50 K15:K21" xr:uid="{31FA23CB-7F38-441B-8C65-6FA71590835E}">
      <formula1>$I$41:$I$50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8EC3-7578-426F-8251-09BE80833808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45909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247</v>
      </c>
      <c r="C9" s="161">
        <v>15</v>
      </c>
      <c r="D9" s="14">
        <v>2.85</v>
      </c>
      <c r="E9" s="163">
        <v>1320</v>
      </c>
      <c r="F9" s="162">
        <v>68</v>
      </c>
      <c r="G9" s="15">
        <f t="shared" ref="G9" si="0">E9*F9</f>
        <v>89760</v>
      </c>
      <c r="H9" s="16">
        <f>F9*C9</f>
        <v>1020</v>
      </c>
      <c r="I9" s="179" t="s">
        <v>20</v>
      </c>
      <c r="J9" s="180">
        <v>2.4305555555555556E-2</v>
      </c>
      <c r="K9" s="181" t="s">
        <v>231</v>
      </c>
    </row>
    <row r="10" spans="1:11" ht="16" x14ac:dyDescent="0.15">
      <c r="A10" s="195"/>
      <c r="B10" s="191"/>
      <c r="C10" s="161"/>
      <c r="D10" s="14"/>
      <c r="E10" s="163"/>
      <c r="F10" s="162"/>
      <c r="G10" s="15"/>
      <c r="H10" s="16"/>
      <c r="I10" s="182" t="s">
        <v>259</v>
      </c>
      <c r="J10" s="192">
        <v>4.8611111111111112E-2</v>
      </c>
      <c r="K10" s="193" t="s">
        <v>260</v>
      </c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 t="s">
        <v>239</v>
      </c>
      <c r="J11" s="192">
        <v>1.0416666666666666E-2</v>
      </c>
      <c r="K11" s="196" t="s">
        <v>239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 t="s">
        <v>234</v>
      </c>
      <c r="J12" s="192">
        <v>4.1666666666666664E-2</v>
      </c>
      <c r="K12" s="196" t="s">
        <v>261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68</v>
      </c>
      <c r="G22" s="33">
        <f>SUM(G9:G21)/F22</f>
        <v>1320</v>
      </c>
      <c r="H22" s="34">
        <f>SUM(H9:H21)/F22</f>
        <v>15</v>
      </c>
      <c r="I22" s="35" t="s">
        <v>22</v>
      </c>
      <c r="J22" s="160">
        <v>0.125</v>
      </c>
      <c r="K22" s="29"/>
    </row>
    <row r="23" spans="1:11" x14ac:dyDescent="0.15">
      <c r="E23" s="36"/>
      <c r="F23" s="37"/>
      <c r="I23" s="38" t="s">
        <v>23</v>
      </c>
      <c r="J23" s="39">
        <v>3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68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</f>
        <v>486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51.75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1796C1E2-79E0-4D65-9226-866C22498569}">
      <formula1>$I$41:$I$50</formula1>
    </dataValidation>
    <dataValidation type="list" allowBlank="1" showInputMessage="1" showErrorMessage="1" sqref="B20:B21" xr:uid="{E6FE6924-9E21-4566-AFCD-44DD344BF37C}">
      <formula1>$K$29:$K$40</formula1>
    </dataValidation>
    <dataValidation type="list" allowBlank="1" showInputMessage="1" showErrorMessage="1" sqref="B16:B19" xr:uid="{2DC61774-E074-470E-9CD0-B2366B0051D5}">
      <formula1>$K$29:$K$85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DD3-4A65-442A-96CF-6CF9256E57B6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242</v>
      </c>
      <c r="C9" s="161">
        <v>12.5</v>
      </c>
      <c r="D9" s="14">
        <v>2.85</v>
      </c>
      <c r="E9" s="163">
        <v>1467</v>
      </c>
      <c r="F9" s="162">
        <v>32.4</v>
      </c>
      <c r="G9" s="15">
        <f t="shared" ref="G9:G12" si="0">E9*F9</f>
        <v>47530.799999999996</v>
      </c>
      <c r="H9" s="16">
        <f>F9*C9</f>
        <v>405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242</v>
      </c>
      <c r="C10" s="161">
        <v>14</v>
      </c>
      <c r="D10" s="14">
        <v>2.85</v>
      </c>
      <c r="E10" s="163">
        <v>1404</v>
      </c>
      <c r="F10" s="162">
        <v>24.6</v>
      </c>
      <c r="G10" s="15">
        <f t="shared" si="0"/>
        <v>34538.400000000001</v>
      </c>
      <c r="H10" s="16">
        <f t="shared" ref="H10:H12" si="1">F10*C10</f>
        <v>344.40000000000003</v>
      </c>
      <c r="I10" s="182" t="s">
        <v>44</v>
      </c>
      <c r="J10" s="192">
        <v>2.4305555555555556E-2</v>
      </c>
      <c r="K10" s="193" t="s">
        <v>44</v>
      </c>
    </row>
    <row r="11" spans="1:11" ht="17" x14ac:dyDescent="0.15">
      <c r="A11" s="190">
        <v>3</v>
      </c>
      <c r="B11" s="191" t="s">
        <v>247</v>
      </c>
      <c r="C11" s="161">
        <v>15</v>
      </c>
      <c r="D11" s="14">
        <v>2.85</v>
      </c>
      <c r="E11" s="163">
        <v>1411</v>
      </c>
      <c r="F11" s="175">
        <v>7</v>
      </c>
      <c r="G11" s="15">
        <f t="shared" si="0"/>
        <v>9877</v>
      </c>
      <c r="H11" s="16">
        <f t="shared" si="1"/>
        <v>105</v>
      </c>
      <c r="I11" s="182" t="s">
        <v>234</v>
      </c>
      <c r="J11" s="192">
        <v>6.25E-2</v>
      </c>
      <c r="K11" s="196" t="s">
        <v>261</v>
      </c>
    </row>
    <row r="12" spans="1:11" ht="19.25" customHeight="1" x14ac:dyDescent="0.15">
      <c r="A12" s="195">
        <v>4</v>
      </c>
      <c r="B12" s="191" t="s">
        <v>247</v>
      </c>
      <c r="C12" s="176">
        <v>17</v>
      </c>
      <c r="D12" s="14">
        <v>2.85</v>
      </c>
      <c r="E12" s="177">
        <v>1411</v>
      </c>
      <c r="F12" s="178">
        <v>5</v>
      </c>
      <c r="G12" s="15">
        <f t="shared" si="0"/>
        <v>7055</v>
      </c>
      <c r="H12" s="16">
        <f t="shared" si="1"/>
        <v>85</v>
      </c>
      <c r="I12" s="182" t="s">
        <v>239</v>
      </c>
      <c r="J12" s="192">
        <v>1.3888888888888888E-2</v>
      </c>
      <c r="K12" s="196" t="s">
        <v>239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69</v>
      </c>
      <c r="G22" s="33">
        <f>SUM(G9:G21)/F22</f>
        <v>1434.8</v>
      </c>
      <c r="H22" s="34">
        <f>SUM(H9:H21)/F22</f>
        <v>13.614492753623189</v>
      </c>
      <c r="I22" s="35" t="s">
        <v>22</v>
      </c>
      <c r="J22" s="160">
        <v>0.12152777777777778</v>
      </c>
      <c r="K22" s="29"/>
    </row>
    <row r="23" spans="1:11" x14ac:dyDescent="0.15">
      <c r="E23" s="36"/>
      <c r="F23" s="37"/>
      <c r="I23" s="38" t="s">
        <v>23</v>
      </c>
      <c r="J23" s="39">
        <v>2.92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69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</f>
        <v>555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54.67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C4A83D95-018D-49C5-BD84-7F0ED3D9CAE4}">
      <formula1>$K$29:$K$85</formula1>
    </dataValidation>
    <dataValidation type="list" allowBlank="1" showInputMessage="1" showErrorMessage="1" sqref="B20:B21" xr:uid="{A85CDB18-2DA3-44EA-8D49-CF84AB8D0D21}">
      <formula1>$K$29:$K$40</formula1>
    </dataValidation>
    <dataValidation type="list" allowBlank="1" showInputMessage="1" showErrorMessage="1" sqref="I50 K15:K21" xr:uid="{A87862BE-AC5B-4483-818E-CA788AEE6A42}">
      <formula1>$I$41:$I$50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B47E-EE6F-49FE-8BA6-17F57CD3A6C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242</v>
      </c>
      <c r="C9" s="161">
        <v>12.5</v>
      </c>
      <c r="D9" s="14">
        <v>2.85</v>
      </c>
      <c r="E9" s="163">
        <v>1458</v>
      </c>
      <c r="F9" s="162">
        <v>33.5</v>
      </c>
      <c r="G9" s="15">
        <f t="shared" ref="G9:G12" si="0">E9*F9</f>
        <v>48843</v>
      </c>
      <c r="H9" s="16">
        <f>F9*C9</f>
        <v>418.75</v>
      </c>
      <c r="I9" s="179" t="s">
        <v>20</v>
      </c>
      <c r="J9" s="180">
        <v>2.4305555555555556E-2</v>
      </c>
      <c r="K9" s="181" t="s">
        <v>231</v>
      </c>
    </row>
    <row r="10" spans="1:11" ht="17" x14ac:dyDescent="0.15">
      <c r="A10" s="195">
        <v>2</v>
      </c>
      <c r="B10" s="191" t="s">
        <v>242</v>
      </c>
      <c r="C10" s="161">
        <v>13.5</v>
      </c>
      <c r="D10" s="14">
        <v>2.85</v>
      </c>
      <c r="E10" s="163">
        <v>1458</v>
      </c>
      <c r="F10" s="162">
        <v>12</v>
      </c>
      <c r="G10" s="15">
        <f t="shared" si="0"/>
        <v>17496</v>
      </c>
      <c r="H10" s="16">
        <f t="shared" ref="H10:H12" si="1">F10*C10</f>
        <v>162</v>
      </c>
      <c r="I10" s="182" t="s">
        <v>44</v>
      </c>
      <c r="J10" s="192">
        <v>2.4305555555555556E-2</v>
      </c>
      <c r="K10" s="193" t="s">
        <v>44</v>
      </c>
    </row>
    <row r="11" spans="1:11" ht="17" x14ac:dyDescent="0.15">
      <c r="A11" s="190">
        <v>3</v>
      </c>
      <c r="B11" s="191" t="s">
        <v>242</v>
      </c>
      <c r="C11" s="161">
        <v>14</v>
      </c>
      <c r="D11" s="14">
        <v>2.85</v>
      </c>
      <c r="E11" s="163">
        <v>1374</v>
      </c>
      <c r="F11" s="175">
        <v>24</v>
      </c>
      <c r="G11" s="15">
        <f t="shared" si="0"/>
        <v>32976</v>
      </c>
      <c r="H11" s="16">
        <f t="shared" si="1"/>
        <v>336</v>
      </c>
      <c r="I11" s="182"/>
      <c r="J11" s="192"/>
      <c r="K11" s="196"/>
    </row>
    <row r="12" spans="1:11" ht="19.25" customHeight="1" x14ac:dyDescent="0.15">
      <c r="A12" s="195">
        <v>4</v>
      </c>
      <c r="B12" s="191" t="s">
        <v>237</v>
      </c>
      <c r="C12" s="176">
        <v>14</v>
      </c>
      <c r="D12" s="14">
        <v>2.85</v>
      </c>
      <c r="E12" s="177">
        <v>1467</v>
      </c>
      <c r="F12" s="178">
        <v>1.5</v>
      </c>
      <c r="G12" s="15">
        <f t="shared" si="0"/>
        <v>2200.5</v>
      </c>
      <c r="H12" s="16">
        <f t="shared" si="1"/>
        <v>21</v>
      </c>
      <c r="I12" s="182"/>
      <c r="J12" s="192"/>
      <c r="K12" s="196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x14ac:dyDescent="0.15">
      <c r="A19" s="21"/>
      <c r="B19" s="22"/>
      <c r="C19" s="23"/>
      <c r="D19" s="24"/>
      <c r="E19" s="21"/>
      <c r="F19" s="23"/>
      <c r="G19" s="25"/>
      <c r="H19" s="23"/>
      <c r="I19" s="22"/>
      <c r="J19" s="26"/>
      <c r="K19" s="22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71</v>
      </c>
      <c r="G22" s="33">
        <f>SUM(G9:G21)/F22</f>
        <v>1429.7957746478874</v>
      </c>
      <c r="H22" s="34">
        <f>SUM(H9:H21)/F22</f>
        <v>13.20774647887324</v>
      </c>
      <c r="I22" s="35" t="s">
        <v>22</v>
      </c>
      <c r="J22" s="160">
        <v>4.8611111111111112E-2</v>
      </c>
      <c r="K22" s="29"/>
    </row>
    <row r="23" spans="1:11" x14ac:dyDescent="0.15">
      <c r="E23" s="36"/>
      <c r="F23" s="37"/>
      <c r="I23" s="38" t="s">
        <v>23</v>
      </c>
      <c r="J23" s="39">
        <v>1.17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71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</f>
        <v>626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55.83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20F5E561-AB53-49CB-9154-67B7B4E23654}">
      <formula1>$I$41:$I$50</formula1>
    </dataValidation>
    <dataValidation type="list" allowBlank="1" showInputMessage="1" showErrorMessage="1" sqref="B20:B21" xr:uid="{F4CE818C-5E3C-44AA-8CE1-CB93099F61F3}">
      <formula1>$K$29:$K$40</formula1>
    </dataValidation>
    <dataValidation type="list" allowBlank="1" showInputMessage="1" showErrorMessage="1" sqref="B16:B19" xr:uid="{1D9F13AD-55F4-4026-875D-DC3873244FF2}">
      <formula1>$K$29:$K$85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5076-38C9-42AC-9519-A3DF9BD0ACF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14</v>
      </c>
      <c r="D9" s="14">
        <v>2.85</v>
      </c>
      <c r="E9" s="163">
        <v>1494</v>
      </c>
      <c r="F9" s="162">
        <v>11</v>
      </c>
      <c r="G9" s="15">
        <f t="shared" ref="G9:G17" si="0">E9*F9</f>
        <v>16434</v>
      </c>
      <c r="H9" s="16">
        <f>F9*C9</f>
        <v>154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18</v>
      </c>
      <c r="D10" s="14">
        <v>2.85</v>
      </c>
      <c r="E10" s="163">
        <v>1411</v>
      </c>
      <c r="F10" s="162">
        <v>10.5</v>
      </c>
      <c r="G10" s="15">
        <f t="shared" si="0"/>
        <v>14815.5</v>
      </c>
      <c r="H10" s="16">
        <f t="shared" ref="H10:H17" si="1">F10*C10</f>
        <v>189</v>
      </c>
      <c r="I10" s="182" t="s">
        <v>44</v>
      </c>
      <c r="J10" s="192">
        <v>4.1666666666666664E-2</v>
      </c>
      <c r="K10" s="193" t="s">
        <v>44</v>
      </c>
    </row>
    <row r="11" spans="1:11" ht="17" x14ac:dyDescent="0.15">
      <c r="A11" s="190">
        <v>3</v>
      </c>
      <c r="B11" s="191" t="s">
        <v>237</v>
      </c>
      <c r="C11" s="161">
        <v>19</v>
      </c>
      <c r="D11" s="14">
        <v>2.85</v>
      </c>
      <c r="E11" s="163">
        <v>1411</v>
      </c>
      <c r="F11" s="175">
        <v>3.5</v>
      </c>
      <c r="G11" s="15">
        <f t="shared" si="0"/>
        <v>4938.5</v>
      </c>
      <c r="H11" s="16">
        <f t="shared" si="1"/>
        <v>66.5</v>
      </c>
      <c r="I11" s="182" t="s">
        <v>251</v>
      </c>
      <c r="J11" s="192">
        <v>3.4722222222222224E-2</v>
      </c>
      <c r="K11" s="196" t="s">
        <v>263</v>
      </c>
    </row>
    <row r="12" spans="1:11" ht="19.25" customHeight="1" x14ac:dyDescent="0.15">
      <c r="A12" s="195">
        <v>4</v>
      </c>
      <c r="B12" s="191" t="s">
        <v>262</v>
      </c>
      <c r="C12" s="176">
        <v>20</v>
      </c>
      <c r="D12" s="14">
        <v>2.85</v>
      </c>
      <c r="E12" s="177">
        <v>1335</v>
      </c>
      <c r="F12" s="178">
        <v>5.5</v>
      </c>
      <c r="G12" s="15">
        <f t="shared" si="0"/>
        <v>7342.5</v>
      </c>
      <c r="H12" s="16">
        <f t="shared" si="1"/>
        <v>110</v>
      </c>
      <c r="I12" s="182" t="s">
        <v>234</v>
      </c>
      <c r="J12" s="192">
        <v>4.1666666666666664E-2</v>
      </c>
      <c r="K12" s="196" t="s">
        <v>261</v>
      </c>
    </row>
    <row r="13" spans="1:11" ht="17" x14ac:dyDescent="0.15">
      <c r="A13" s="197">
        <v>5</v>
      </c>
      <c r="B13" s="191" t="s">
        <v>262</v>
      </c>
      <c r="C13" s="176">
        <v>22</v>
      </c>
      <c r="D13" s="14">
        <v>2.85</v>
      </c>
      <c r="E13" s="177">
        <v>1232</v>
      </c>
      <c r="F13" s="178">
        <v>7</v>
      </c>
      <c r="G13" s="15">
        <f t="shared" si="0"/>
        <v>8624</v>
      </c>
      <c r="H13" s="16">
        <f t="shared" si="1"/>
        <v>154</v>
      </c>
      <c r="I13" s="182"/>
      <c r="J13" s="192"/>
      <c r="K13" s="196"/>
    </row>
    <row r="14" spans="1:11" ht="17" x14ac:dyDescent="0.15">
      <c r="A14" s="190">
        <v>6</v>
      </c>
      <c r="B14" s="191" t="s">
        <v>262</v>
      </c>
      <c r="C14" s="183">
        <v>28</v>
      </c>
      <c r="D14" s="14">
        <v>2.85</v>
      </c>
      <c r="E14" s="184">
        <v>1007</v>
      </c>
      <c r="F14" s="185">
        <v>12.5</v>
      </c>
      <c r="G14" s="15">
        <f t="shared" si="0"/>
        <v>12587.5</v>
      </c>
      <c r="H14" s="16">
        <f t="shared" si="1"/>
        <v>350</v>
      </c>
      <c r="I14" s="201"/>
      <c r="J14" s="200"/>
      <c r="K14" s="194"/>
    </row>
    <row r="15" spans="1:11" ht="17" x14ac:dyDescent="0.2">
      <c r="A15" s="195">
        <v>7</v>
      </c>
      <c r="B15" s="191" t="s">
        <v>262</v>
      </c>
      <c r="C15" s="198">
        <v>30</v>
      </c>
      <c r="D15" s="14">
        <v>2.85</v>
      </c>
      <c r="E15" s="184">
        <v>980</v>
      </c>
      <c r="F15" s="199">
        <v>10</v>
      </c>
      <c r="G15" s="15">
        <f t="shared" si="0"/>
        <v>9800</v>
      </c>
      <c r="H15" s="16">
        <f t="shared" si="1"/>
        <v>300</v>
      </c>
      <c r="I15" s="19"/>
      <c r="J15" s="18"/>
      <c r="K15" s="17"/>
    </row>
    <row r="16" spans="1:11" ht="16" x14ac:dyDescent="0.2">
      <c r="A16" s="203">
        <v>8</v>
      </c>
      <c r="B16" s="204" t="s">
        <v>262</v>
      </c>
      <c r="C16" s="161">
        <v>32</v>
      </c>
      <c r="D16" s="14">
        <v>2.85</v>
      </c>
      <c r="E16" s="177">
        <v>826</v>
      </c>
      <c r="F16" s="161">
        <v>25.3</v>
      </c>
      <c r="G16" s="15">
        <f t="shared" si="0"/>
        <v>20897.8</v>
      </c>
      <c r="H16" s="16">
        <f t="shared" si="1"/>
        <v>809.6</v>
      </c>
      <c r="I16" s="19"/>
      <c r="J16" s="18"/>
      <c r="K16" s="20"/>
    </row>
    <row r="17" spans="1:11" ht="16" x14ac:dyDescent="0.2">
      <c r="A17" s="203">
        <v>9</v>
      </c>
      <c r="B17" s="204" t="s">
        <v>262</v>
      </c>
      <c r="C17" s="161">
        <v>34</v>
      </c>
      <c r="D17" s="14">
        <v>2.85</v>
      </c>
      <c r="E17" s="184">
        <v>826</v>
      </c>
      <c r="F17" s="161">
        <v>1.7</v>
      </c>
      <c r="G17" s="15">
        <f t="shared" si="0"/>
        <v>1404.2</v>
      </c>
      <c r="H17" s="16">
        <f t="shared" si="1"/>
        <v>57.8</v>
      </c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87</v>
      </c>
      <c r="G22" s="33">
        <f>SUM(G9:G21)/F22</f>
        <v>1113.1494252873563</v>
      </c>
      <c r="H22" s="34">
        <f>SUM(H9:H21)/F22</f>
        <v>25.182758620689658</v>
      </c>
      <c r="I22" s="35" t="s">
        <v>22</v>
      </c>
      <c r="J22" s="160">
        <v>0.1388888888888889</v>
      </c>
      <c r="K22" s="29"/>
    </row>
    <row r="23" spans="1:11" x14ac:dyDescent="0.15">
      <c r="E23" s="36"/>
      <c r="F23" s="37"/>
      <c r="I23" s="38" t="s">
        <v>23</v>
      </c>
      <c r="J23" s="39">
        <v>3.33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87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</f>
        <v>713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59.17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670CCAD8-77AF-4AA3-A965-F10D8F8CE6D7}">
      <formula1>$K$29:$K$85</formula1>
    </dataValidation>
    <dataValidation type="list" allowBlank="1" showInputMessage="1" showErrorMessage="1" sqref="B20:B21" xr:uid="{1481E262-4E08-4E42-A062-1A4D18AEBDF3}">
      <formula1>$K$29:$K$40</formula1>
    </dataValidation>
    <dataValidation type="list" allowBlank="1" showInputMessage="1" showErrorMessage="1" sqref="I50 K15:K21" xr:uid="{54173866-8B88-4108-A242-107A11852056}">
      <formula1>$I$41:$I$50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E372-C082-49AB-B7E6-F02B1CEC2F4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262</v>
      </c>
      <c r="C9" s="161">
        <v>22</v>
      </c>
      <c r="D9" s="14">
        <v>2.85</v>
      </c>
      <c r="E9" s="163">
        <v>1232</v>
      </c>
      <c r="F9" s="162">
        <v>1</v>
      </c>
      <c r="G9" s="15">
        <f t="shared" ref="G9:G13" si="0">E9*F9</f>
        <v>1232</v>
      </c>
      <c r="H9" s="16">
        <f>F9*C9</f>
        <v>22</v>
      </c>
      <c r="I9" s="179" t="s">
        <v>20</v>
      </c>
      <c r="J9" s="180">
        <v>1.3888888888888888E-2</v>
      </c>
      <c r="K9" s="181" t="s">
        <v>231</v>
      </c>
    </row>
    <row r="10" spans="1:11" ht="17" x14ac:dyDescent="0.15">
      <c r="A10" s="195">
        <v>2</v>
      </c>
      <c r="B10" s="191" t="s">
        <v>262</v>
      </c>
      <c r="C10" s="161">
        <v>34</v>
      </c>
      <c r="D10" s="14">
        <v>2.85</v>
      </c>
      <c r="E10" s="163">
        <v>826</v>
      </c>
      <c r="F10" s="162">
        <v>20</v>
      </c>
      <c r="G10" s="15">
        <f t="shared" si="0"/>
        <v>16520</v>
      </c>
      <c r="H10" s="16">
        <f t="shared" ref="H10:H13" si="1">F10*C10</f>
        <v>680</v>
      </c>
      <c r="I10" s="182" t="s">
        <v>44</v>
      </c>
      <c r="J10" s="192">
        <v>2.7777777777777776E-2</v>
      </c>
      <c r="K10" s="193" t="s">
        <v>44</v>
      </c>
    </row>
    <row r="11" spans="1:11" ht="17" x14ac:dyDescent="0.15">
      <c r="A11" s="190">
        <v>3</v>
      </c>
      <c r="B11" s="191" t="s">
        <v>262</v>
      </c>
      <c r="C11" s="161">
        <v>36</v>
      </c>
      <c r="D11" s="14">
        <v>2.85</v>
      </c>
      <c r="E11" s="163">
        <v>818</v>
      </c>
      <c r="F11" s="175">
        <v>26.5</v>
      </c>
      <c r="G11" s="15">
        <f t="shared" si="0"/>
        <v>21677</v>
      </c>
      <c r="H11" s="16">
        <f t="shared" si="1"/>
        <v>954</v>
      </c>
      <c r="I11" s="182" t="s">
        <v>251</v>
      </c>
      <c r="J11" s="192">
        <v>3.4722222222222224E-2</v>
      </c>
      <c r="K11" s="196" t="s">
        <v>263</v>
      </c>
    </row>
    <row r="12" spans="1:11" ht="19.25" customHeight="1" x14ac:dyDescent="0.15">
      <c r="A12" s="195">
        <v>4</v>
      </c>
      <c r="B12" s="191" t="s">
        <v>262</v>
      </c>
      <c r="C12" s="176">
        <v>38</v>
      </c>
      <c r="D12" s="14">
        <v>2.85</v>
      </c>
      <c r="E12" s="177">
        <v>753</v>
      </c>
      <c r="F12" s="178">
        <v>1</v>
      </c>
      <c r="G12" s="15">
        <f t="shared" si="0"/>
        <v>753</v>
      </c>
      <c r="H12" s="16">
        <f t="shared" si="1"/>
        <v>38</v>
      </c>
      <c r="I12" s="182"/>
      <c r="J12" s="192"/>
      <c r="K12" s="196"/>
    </row>
    <row r="13" spans="1:11" ht="17" x14ac:dyDescent="0.15">
      <c r="A13" s="197">
        <v>5</v>
      </c>
      <c r="B13" s="191" t="s">
        <v>244</v>
      </c>
      <c r="C13" s="176">
        <v>17</v>
      </c>
      <c r="D13" s="14">
        <v>2.85</v>
      </c>
      <c r="E13" s="177">
        <v>1397</v>
      </c>
      <c r="F13" s="178">
        <v>44.5</v>
      </c>
      <c r="G13" s="15">
        <f t="shared" si="0"/>
        <v>62166.5</v>
      </c>
      <c r="H13" s="16">
        <f t="shared" si="1"/>
        <v>756.5</v>
      </c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93</v>
      </c>
      <c r="G22" s="33">
        <f>SUM(G9:G21)/F22</f>
        <v>1100.5215053763441</v>
      </c>
      <c r="H22" s="34">
        <f>SUM(H9:H21)/F22</f>
        <v>26.349462365591396</v>
      </c>
      <c r="I22" s="35" t="s">
        <v>22</v>
      </c>
      <c r="J22" s="160">
        <v>7.6388888888888895E-2</v>
      </c>
      <c r="K22" s="29"/>
    </row>
    <row r="23" spans="1:11" x14ac:dyDescent="0.15">
      <c r="E23" s="36"/>
      <c r="F23" s="37"/>
      <c r="I23" s="38" t="s">
        <v>23</v>
      </c>
      <c r="J23" s="39">
        <v>1.83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93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</f>
        <v>806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61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DB4A6EF3-E7C7-41A2-8D31-DBE1BCFCB193}">
      <formula1>$I$41:$I$50</formula1>
    </dataValidation>
    <dataValidation type="list" allowBlank="1" showInputMessage="1" showErrorMessage="1" sqref="B20:B21" xr:uid="{0F215E87-B2AE-41A0-BBFD-03BA0A28FBB7}">
      <formula1>$K$29:$K$40</formula1>
    </dataValidation>
    <dataValidation type="list" allowBlank="1" showInputMessage="1" showErrorMessage="1" sqref="B16:B19" xr:uid="{1523FDBE-7255-4647-8297-0C511FBA0A59}">
      <formula1>$K$29:$K$85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CE3D-D2C0-46F2-AADE-1EC565A916E1}">
  <dimension ref="A1:K85"/>
  <sheetViews>
    <sheetView workbookViewId="0">
      <selection activeCell="J17" sqref="J17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244</v>
      </c>
      <c r="C9" s="161">
        <v>17</v>
      </c>
      <c r="D9" s="14">
        <v>2.85</v>
      </c>
      <c r="E9" s="163">
        <v>1426</v>
      </c>
      <c r="F9" s="162">
        <v>36</v>
      </c>
      <c r="G9" s="15">
        <f t="shared" ref="G9:G10" si="0">E9*F9</f>
        <v>51336</v>
      </c>
      <c r="H9" s="16">
        <f>F9*C9</f>
        <v>612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244</v>
      </c>
      <c r="C10" s="161">
        <v>19</v>
      </c>
      <c r="D10" s="14">
        <v>2.85</v>
      </c>
      <c r="E10" s="163">
        <v>1368</v>
      </c>
      <c r="F10" s="162">
        <v>55</v>
      </c>
      <c r="G10" s="15">
        <f t="shared" si="0"/>
        <v>75240</v>
      </c>
      <c r="H10" s="16">
        <f t="shared" ref="H10" si="1">F10*C10</f>
        <v>1045</v>
      </c>
      <c r="I10" s="182" t="s">
        <v>44</v>
      </c>
      <c r="J10" s="192">
        <v>6.9444444444444441E-3</v>
      </c>
      <c r="K10" s="193" t="s">
        <v>44</v>
      </c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 t="s">
        <v>251</v>
      </c>
      <c r="J11" s="192">
        <v>4.1666666666666664E-2</v>
      </c>
      <c r="K11" s="196" t="s">
        <v>263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/>
      <c r="J12" s="192"/>
      <c r="K12" s="196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91</v>
      </c>
      <c r="G22" s="33">
        <f>SUM(G9:G21)/F22</f>
        <v>1390.9450549450548</v>
      </c>
      <c r="H22" s="34">
        <f>SUM(H9:H21)/F22</f>
        <v>18.208791208791208</v>
      </c>
      <c r="I22" s="35" t="s">
        <v>22</v>
      </c>
      <c r="J22" s="160">
        <v>6.9444444444444448E-2</v>
      </c>
      <c r="K22" s="29"/>
    </row>
    <row r="23" spans="1:11" x14ac:dyDescent="0.15">
      <c r="E23" s="36"/>
      <c r="F23" s="37"/>
      <c r="I23" s="38" t="s">
        <v>23</v>
      </c>
      <c r="J23" s="39">
        <v>1.67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91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</f>
        <v>897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62.67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5F07348-CF70-427C-8B47-CDE291A3A6E4}">
      <formula1>$K$29:$K$85</formula1>
    </dataValidation>
    <dataValidation type="list" allowBlank="1" showInputMessage="1" showErrorMessage="1" sqref="B20:B21" xr:uid="{DAA985D4-A182-481F-AA16-792870B94F4F}">
      <formula1>$K$29:$K$40</formula1>
    </dataValidation>
    <dataValidation type="list" allowBlank="1" showInputMessage="1" showErrorMessage="1" sqref="I50 K15:K21" xr:uid="{F58FBADD-1AA4-42D3-B828-83AE2162617B}">
      <formula1>$I$41:$I$50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388D-AB50-4B66-9A80-3F9CAB1CBA0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244</v>
      </c>
      <c r="C9" s="161">
        <v>19</v>
      </c>
      <c r="D9" s="14">
        <v>2.85</v>
      </c>
      <c r="E9" s="163">
        <v>1370</v>
      </c>
      <c r="F9" s="162">
        <v>43.5</v>
      </c>
      <c r="G9" s="15">
        <f t="shared" ref="G9:G13" si="0">E9*F9</f>
        <v>59595</v>
      </c>
      <c r="H9" s="16">
        <f>F9*C9</f>
        <v>826.5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15</v>
      </c>
      <c r="D10" s="14">
        <v>2.85</v>
      </c>
      <c r="E10" s="163">
        <v>1485</v>
      </c>
      <c r="F10" s="162">
        <v>5.5</v>
      </c>
      <c r="G10" s="15">
        <f t="shared" si="0"/>
        <v>8167.5</v>
      </c>
      <c r="H10" s="16">
        <f t="shared" ref="H10:H13" si="1">F10*C10</f>
        <v>82.5</v>
      </c>
      <c r="I10" s="182" t="s">
        <v>44</v>
      </c>
      <c r="J10" s="192">
        <v>2.0833333333333332E-2</v>
      </c>
      <c r="K10" s="193" t="s">
        <v>44</v>
      </c>
    </row>
    <row r="11" spans="1:11" ht="17" x14ac:dyDescent="0.15">
      <c r="A11" s="190">
        <v>3</v>
      </c>
      <c r="B11" s="191" t="s">
        <v>237</v>
      </c>
      <c r="C11" s="161">
        <v>16</v>
      </c>
      <c r="D11" s="14">
        <v>2.85</v>
      </c>
      <c r="E11" s="163">
        <v>1494</v>
      </c>
      <c r="F11" s="175">
        <v>11.5</v>
      </c>
      <c r="G11" s="15">
        <f t="shared" si="0"/>
        <v>17181</v>
      </c>
      <c r="H11" s="16">
        <f t="shared" si="1"/>
        <v>184</v>
      </c>
      <c r="I11" s="182" t="s">
        <v>234</v>
      </c>
      <c r="J11" s="192">
        <v>6.9444444444444448E-2</v>
      </c>
      <c r="K11" s="196" t="s">
        <v>261</v>
      </c>
    </row>
    <row r="12" spans="1:11" ht="19.25" customHeight="1" x14ac:dyDescent="0.15">
      <c r="A12" s="195">
        <v>4</v>
      </c>
      <c r="B12" s="191" t="s">
        <v>237</v>
      </c>
      <c r="C12" s="176">
        <v>17</v>
      </c>
      <c r="D12" s="14">
        <v>2.85</v>
      </c>
      <c r="E12" s="177">
        <v>1485</v>
      </c>
      <c r="F12" s="178">
        <v>20.2</v>
      </c>
      <c r="G12" s="15">
        <f t="shared" si="0"/>
        <v>29997</v>
      </c>
      <c r="H12" s="16">
        <f t="shared" si="1"/>
        <v>343.4</v>
      </c>
      <c r="I12" s="182"/>
      <c r="J12" s="192"/>
      <c r="K12" s="196"/>
    </row>
    <row r="13" spans="1:11" ht="17" x14ac:dyDescent="0.15">
      <c r="A13" s="197">
        <v>5</v>
      </c>
      <c r="B13" s="191" t="s">
        <v>237</v>
      </c>
      <c r="C13" s="176">
        <v>18</v>
      </c>
      <c r="D13" s="14">
        <v>2.85</v>
      </c>
      <c r="E13" s="177">
        <v>1444</v>
      </c>
      <c r="F13" s="178">
        <v>9.3000000000000007</v>
      </c>
      <c r="G13" s="15">
        <f t="shared" si="0"/>
        <v>13429.2</v>
      </c>
      <c r="H13" s="16">
        <f t="shared" si="1"/>
        <v>167.4</v>
      </c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90</v>
      </c>
      <c r="G22" s="33">
        <f>SUM(G9:G21)/F22</f>
        <v>1426.33</v>
      </c>
      <c r="H22" s="34">
        <f>SUM(H9:H21)/F22</f>
        <v>17.82</v>
      </c>
      <c r="I22" s="35" t="s">
        <v>22</v>
      </c>
      <c r="J22" s="160">
        <v>0.1111111111111111</v>
      </c>
      <c r="K22" s="29"/>
    </row>
    <row r="23" spans="1:11" x14ac:dyDescent="0.15">
      <c r="E23" s="36"/>
      <c r="F23" s="37"/>
      <c r="I23" s="38" t="s">
        <v>23</v>
      </c>
      <c r="J23" s="39">
        <v>2.67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90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</f>
        <v>987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65.33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E1F046E-900C-4E14-A8FA-11FEB0A672D4}">
      <formula1>$I$41:$I$50</formula1>
    </dataValidation>
    <dataValidation type="list" allowBlank="1" showInputMessage="1" showErrorMessage="1" sqref="B20:B21" xr:uid="{623B1E43-6489-4E31-826E-EAAAE36C9CE5}">
      <formula1>$K$29:$K$40</formula1>
    </dataValidation>
    <dataValidation type="list" allowBlank="1" showInputMessage="1" showErrorMessage="1" sqref="B16:B19" xr:uid="{79862EF7-758D-4216-83EE-02764D477734}">
      <formula1>$K$29:$K$85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50FD-C3BB-4082-99BC-1400ADDBEAA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15</v>
      </c>
      <c r="D9" s="14">
        <v>2.85</v>
      </c>
      <c r="E9" s="163">
        <v>1494</v>
      </c>
      <c r="F9" s="162">
        <v>10</v>
      </c>
      <c r="G9" s="15">
        <f t="shared" ref="G9:G13" si="0">E9*F9</f>
        <v>14940</v>
      </c>
      <c r="H9" s="16">
        <f>F9*C9</f>
        <v>150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262</v>
      </c>
      <c r="C10" s="161">
        <v>32</v>
      </c>
      <c r="D10" s="14">
        <v>2.85</v>
      </c>
      <c r="E10" s="163">
        <v>839</v>
      </c>
      <c r="F10" s="162">
        <v>11</v>
      </c>
      <c r="G10" s="15">
        <f t="shared" si="0"/>
        <v>9229</v>
      </c>
      <c r="H10" s="16">
        <f t="shared" ref="H10:H13" si="1">F10*C10</f>
        <v>352</v>
      </c>
      <c r="I10" s="182" t="s">
        <v>44</v>
      </c>
      <c r="J10" s="192">
        <v>4.1666666666666664E-2</v>
      </c>
      <c r="K10" s="193" t="s">
        <v>44</v>
      </c>
    </row>
    <row r="11" spans="1:11" ht="17" x14ac:dyDescent="0.15">
      <c r="A11" s="190">
        <v>3</v>
      </c>
      <c r="B11" s="191" t="s">
        <v>262</v>
      </c>
      <c r="C11" s="161">
        <v>36</v>
      </c>
      <c r="D11" s="14">
        <v>2.85</v>
      </c>
      <c r="E11" s="163">
        <v>779</v>
      </c>
      <c r="F11" s="175">
        <v>19</v>
      </c>
      <c r="G11" s="15">
        <f t="shared" si="0"/>
        <v>14801</v>
      </c>
      <c r="H11" s="16">
        <f t="shared" si="1"/>
        <v>684</v>
      </c>
      <c r="I11" s="182"/>
      <c r="J11" s="192"/>
      <c r="K11" s="196"/>
    </row>
    <row r="12" spans="1:11" ht="19.25" customHeight="1" x14ac:dyDescent="0.15">
      <c r="A12" s="195">
        <v>4</v>
      </c>
      <c r="B12" s="191" t="s">
        <v>262</v>
      </c>
      <c r="C12" s="176">
        <v>38</v>
      </c>
      <c r="D12" s="14">
        <v>2.85</v>
      </c>
      <c r="E12" s="177">
        <v>709</v>
      </c>
      <c r="F12" s="178">
        <v>28</v>
      </c>
      <c r="G12" s="15">
        <f t="shared" si="0"/>
        <v>19852</v>
      </c>
      <c r="H12" s="16">
        <f t="shared" si="1"/>
        <v>1064</v>
      </c>
      <c r="I12" s="182"/>
      <c r="J12" s="192"/>
      <c r="K12" s="196"/>
    </row>
    <row r="13" spans="1:11" ht="17" x14ac:dyDescent="0.15">
      <c r="A13" s="197">
        <v>5</v>
      </c>
      <c r="B13" s="191" t="s">
        <v>262</v>
      </c>
      <c r="C13" s="176">
        <v>40</v>
      </c>
      <c r="D13" s="14">
        <v>2.85</v>
      </c>
      <c r="E13" s="177">
        <v>670</v>
      </c>
      <c r="F13" s="178">
        <v>33</v>
      </c>
      <c r="G13" s="15">
        <f t="shared" si="0"/>
        <v>22110</v>
      </c>
      <c r="H13" s="16">
        <f t="shared" si="1"/>
        <v>1320</v>
      </c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101</v>
      </c>
      <c r="G22" s="33">
        <f>SUM(G9:G21)/F22</f>
        <v>801.30693069306926</v>
      </c>
      <c r="H22" s="34">
        <f>SUM(H9:H21)/F22</f>
        <v>35.346534653465348</v>
      </c>
      <c r="I22" s="35" t="s">
        <v>22</v>
      </c>
      <c r="J22" s="160">
        <v>6.25E-2</v>
      </c>
      <c r="K22" s="29"/>
    </row>
    <row r="23" spans="1:11" x14ac:dyDescent="0.15">
      <c r="E23" s="36"/>
      <c r="F23" s="37"/>
      <c r="I23" s="38" t="s">
        <v>23</v>
      </c>
      <c r="J23" s="39">
        <v>1.5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101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</f>
        <v>1088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66.83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8EC8DBD-0A6D-41A7-9A2C-97E02C10F33F}">
      <formula1>$K$29:$K$85</formula1>
    </dataValidation>
    <dataValidation type="list" allowBlank="1" showInputMessage="1" showErrorMessage="1" sqref="B20:B21" xr:uid="{FEF5BE79-58A0-45E0-9C0F-A531884E1590}">
      <formula1>$K$29:$K$40</formula1>
    </dataValidation>
    <dataValidation type="list" allowBlank="1" showInputMessage="1" showErrorMessage="1" sqref="I50 K15:K21" xr:uid="{D4EA3620-750D-4A40-8CB0-3F0413A07086}">
      <formula1>$I$41:$I$50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A08C-86B4-4933-B5C2-C2B336C6B6D6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15</v>
      </c>
      <c r="D9" s="14">
        <v>2.85</v>
      </c>
      <c r="E9" s="163">
        <v>1494</v>
      </c>
      <c r="F9" s="162">
        <v>39.6</v>
      </c>
      <c r="G9" s="15">
        <f t="shared" ref="G9:G14" si="0">E9*F9</f>
        <v>59162.400000000001</v>
      </c>
      <c r="H9" s="16">
        <f>F9*C9</f>
        <v>594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17</v>
      </c>
      <c r="D10" s="14">
        <v>2.85</v>
      </c>
      <c r="E10" s="163">
        <v>1503</v>
      </c>
      <c r="F10" s="162">
        <v>16</v>
      </c>
      <c r="G10" s="15">
        <f t="shared" si="0"/>
        <v>24048</v>
      </c>
      <c r="H10" s="16">
        <f t="shared" ref="H10:H13" si="1">F10*C10</f>
        <v>272</v>
      </c>
      <c r="I10" s="182" t="s">
        <v>44</v>
      </c>
      <c r="J10" s="192">
        <v>4.1666666666666664E-2</v>
      </c>
      <c r="K10" s="193" t="s">
        <v>44</v>
      </c>
    </row>
    <row r="11" spans="1:11" ht="17" x14ac:dyDescent="0.15">
      <c r="A11" s="190">
        <v>3</v>
      </c>
      <c r="B11" s="191" t="s">
        <v>262</v>
      </c>
      <c r="C11" s="161">
        <v>22</v>
      </c>
      <c r="D11" s="14">
        <v>2.85</v>
      </c>
      <c r="E11" s="163">
        <v>1300</v>
      </c>
      <c r="F11" s="175">
        <v>6.4</v>
      </c>
      <c r="G11" s="15">
        <f t="shared" si="0"/>
        <v>8320</v>
      </c>
      <c r="H11" s="16">
        <f t="shared" si="1"/>
        <v>140.80000000000001</v>
      </c>
      <c r="I11" s="182" t="s">
        <v>245</v>
      </c>
      <c r="J11" s="192">
        <v>2.0833333333333332E-2</v>
      </c>
      <c r="K11" s="208" t="s">
        <v>264</v>
      </c>
    </row>
    <row r="12" spans="1:11" ht="19.25" customHeight="1" x14ac:dyDescent="0.15">
      <c r="A12" s="195">
        <v>4</v>
      </c>
      <c r="B12" s="191" t="s">
        <v>262</v>
      </c>
      <c r="C12" s="176">
        <v>32</v>
      </c>
      <c r="D12" s="14">
        <v>2.85</v>
      </c>
      <c r="E12" s="177">
        <v>891</v>
      </c>
      <c r="F12" s="178">
        <v>13.5</v>
      </c>
      <c r="G12" s="15">
        <f t="shared" si="0"/>
        <v>12028.5</v>
      </c>
      <c r="H12" s="16">
        <f t="shared" si="1"/>
        <v>432</v>
      </c>
      <c r="I12" s="182" t="s">
        <v>251</v>
      </c>
      <c r="J12" s="192">
        <v>4.1666666666666664E-2</v>
      </c>
      <c r="K12" s="208" t="s">
        <v>263</v>
      </c>
    </row>
    <row r="13" spans="1:11" ht="17" x14ac:dyDescent="0.15">
      <c r="A13" s="197">
        <v>5</v>
      </c>
      <c r="B13" s="191" t="s">
        <v>262</v>
      </c>
      <c r="C13" s="176">
        <v>34</v>
      </c>
      <c r="D13" s="14">
        <v>2.85</v>
      </c>
      <c r="E13" s="177">
        <v>843</v>
      </c>
      <c r="F13" s="178">
        <v>5</v>
      </c>
      <c r="G13" s="15">
        <f t="shared" si="0"/>
        <v>4215</v>
      </c>
      <c r="H13" s="16">
        <f t="shared" si="1"/>
        <v>170</v>
      </c>
      <c r="I13" s="182"/>
      <c r="J13" s="192"/>
      <c r="K13" s="196"/>
    </row>
    <row r="14" spans="1:11" ht="17" x14ac:dyDescent="0.15">
      <c r="A14" s="190">
        <v>6</v>
      </c>
      <c r="B14" s="191" t="s">
        <v>262</v>
      </c>
      <c r="C14" s="183">
        <v>36</v>
      </c>
      <c r="D14" s="14">
        <v>2.85</v>
      </c>
      <c r="E14" s="184">
        <v>779</v>
      </c>
      <c r="F14" s="185">
        <v>2.5</v>
      </c>
      <c r="G14" s="15">
        <f t="shared" si="0"/>
        <v>1947.5</v>
      </c>
      <c r="H14" s="16">
        <f>F14*C14</f>
        <v>90</v>
      </c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83</v>
      </c>
      <c r="G22" s="33">
        <f>SUM(G9:G21)/F22</f>
        <v>1321.944578313253</v>
      </c>
      <c r="H22" s="34">
        <f>SUM(H9:H21)/F22</f>
        <v>20.46746987951807</v>
      </c>
      <c r="I22" s="35" t="s">
        <v>22</v>
      </c>
      <c r="J22" s="160" t="s">
        <v>265</v>
      </c>
      <c r="K22" s="29"/>
    </row>
    <row r="23" spans="1:11" x14ac:dyDescent="0.15">
      <c r="E23" s="36"/>
      <c r="F23" s="37"/>
      <c r="I23" s="38" t="s">
        <v>23</v>
      </c>
      <c r="J23" s="39">
        <v>3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83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</f>
        <v>1171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69.83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140B42A5-8B04-4BFF-A110-5AE000626C55}">
      <formula1>$I$41:$I$50</formula1>
    </dataValidation>
    <dataValidation type="list" allowBlank="1" showInputMessage="1" showErrorMessage="1" sqref="B20:B21" xr:uid="{828D56C8-E1A0-4052-A9C8-61849830C009}">
      <formula1>$K$29:$K$40</formula1>
    </dataValidation>
    <dataValidation type="list" allowBlank="1" showInputMessage="1" showErrorMessage="1" sqref="B16:B19" xr:uid="{C591D0C1-CEDE-4986-A9D4-752A9E6953F1}">
      <formula1>$K$29:$K$85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56D3-FC53-4D6C-9801-E1FC0C09E76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14</v>
      </c>
      <c r="D9" s="14">
        <v>2.85</v>
      </c>
      <c r="E9" s="163">
        <v>1494</v>
      </c>
      <c r="F9" s="162">
        <v>9.1999999999999993</v>
      </c>
      <c r="G9" s="15">
        <f t="shared" ref="G9:G12" si="0">E9*F9</f>
        <v>13744.8</v>
      </c>
      <c r="H9" s="16">
        <f>F9*C9</f>
        <v>128.79999999999998</v>
      </c>
      <c r="I9" s="179" t="s">
        <v>20</v>
      </c>
      <c r="J9" s="180">
        <v>2.4305555555555556E-2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17</v>
      </c>
      <c r="D10" s="14">
        <v>2.85</v>
      </c>
      <c r="E10" s="163">
        <v>1494</v>
      </c>
      <c r="F10" s="162">
        <v>6.6</v>
      </c>
      <c r="G10" s="15">
        <f t="shared" si="0"/>
        <v>9860.4</v>
      </c>
      <c r="H10" s="16">
        <f t="shared" ref="H10:H12" si="1">F10*C10</f>
        <v>112.19999999999999</v>
      </c>
      <c r="I10" s="182" t="s">
        <v>44</v>
      </c>
      <c r="J10" s="192">
        <v>1.3888888888888888E-2</v>
      </c>
      <c r="K10" s="193" t="s">
        <v>44</v>
      </c>
    </row>
    <row r="11" spans="1:11" ht="17" x14ac:dyDescent="0.15">
      <c r="A11" s="190">
        <v>3</v>
      </c>
      <c r="B11" s="191" t="s">
        <v>242</v>
      </c>
      <c r="C11" s="161">
        <v>12.5</v>
      </c>
      <c r="D11" s="14">
        <v>2.85</v>
      </c>
      <c r="E11" s="163">
        <v>1413</v>
      </c>
      <c r="F11" s="175">
        <v>14.5</v>
      </c>
      <c r="G11" s="15">
        <f t="shared" si="0"/>
        <v>20488.5</v>
      </c>
      <c r="H11" s="16">
        <f t="shared" si="1"/>
        <v>181.25</v>
      </c>
      <c r="I11" s="182" t="s">
        <v>234</v>
      </c>
      <c r="J11" s="192">
        <v>0.14930555555555555</v>
      </c>
      <c r="K11" s="208" t="s">
        <v>261</v>
      </c>
    </row>
    <row r="12" spans="1:11" ht="19.25" customHeight="1" x14ac:dyDescent="0.15">
      <c r="A12" s="195">
        <v>4</v>
      </c>
      <c r="B12" s="191" t="s">
        <v>242</v>
      </c>
      <c r="C12" s="176">
        <v>14</v>
      </c>
      <c r="D12" s="14">
        <v>2.85</v>
      </c>
      <c r="E12" s="177">
        <v>1449</v>
      </c>
      <c r="F12" s="178">
        <v>36.700000000000003</v>
      </c>
      <c r="G12" s="15">
        <f t="shared" si="0"/>
        <v>53178.3</v>
      </c>
      <c r="H12" s="16">
        <f t="shared" si="1"/>
        <v>513.80000000000007</v>
      </c>
      <c r="I12" s="182"/>
      <c r="J12" s="192"/>
      <c r="K12" s="208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67</v>
      </c>
      <c r="G22" s="33">
        <f>SUM(G9:G21)/F22</f>
        <v>1451.8208955223881</v>
      </c>
      <c r="H22" s="34">
        <f>SUM(H9:H21)/F22</f>
        <v>13.97089552238806</v>
      </c>
      <c r="I22" s="35" t="s">
        <v>22</v>
      </c>
      <c r="J22" s="160">
        <v>0.1875</v>
      </c>
      <c r="K22" s="29"/>
    </row>
    <row r="23" spans="1:11" x14ac:dyDescent="0.15">
      <c r="E23" s="36"/>
      <c r="F23" s="37"/>
      <c r="I23" s="38" t="s">
        <v>23</v>
      </c>
      <c r="J23" s="39">
        <v>4.5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67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</f>
        <v>1238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74.33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6FA9008-EBC5-4056-80F6-96AA25178729}">
      <formula1>$K$29:$K$85</formula1>
    </dataValidation>
    <dataValidation type="list" allowBlank="1" showInputMessage="1" showErrorMessage="1" sqref="B20:B21" xr:uid="{303AD941-B8C8-43F0-8CFB-01158D60762D}">
      <formula1>$K$29:$K$40</formula1>
    </dataValidation>
    <dataValidation type="list" allowBlank="1" showInputMessage="1" showErrorMessage="1" sqref="I50 K15:K21" xr:uid="{4C5E1067-358B-450C-B1E1-F73B594EBD1C}">
      <formula1>$I$41:$I$50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86F9-EB4F-498A-AB17-B5F104D3FCB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45919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242</v>
      </c>
      <c r="C9" s="161">
        <v>12.5</v>
      </c>
      <c r="D9" s="14">
        <v>2.85</v>
      </c>
      <c r="E9" s="163">
        <v>1422</v>
      </c>
      <c r="F9" s="162">
        <v>2</v>
      </c>
      <c r="G9" s="15">
        <f t="shared" ref="G9:G14" si="0">E9*F9</f>
        <v>2844</v>
      </c>
      <c r="H9" s="16">
        <f>F9*C9</f>
        <v>25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242</v>
      </c>
      <c r="C10" s="161">
        <v>14</v>
      </c>
      <c r="D10" s="14">
        <v>2.85</v>
      </c>
      <c r="E10" s="163">
        <v>1449</v>
      </c>
      <c r="F10" s="162">
        <v>12</v>
      </c>
      <c r="G10" s="15">
        <f t="shared" si="0"/>
        <v>17388</v>
      </c>
      <c r="H10" s="16">
        <f t="shared" ref="H10:H14" si="1">F10*C10</f>
        <v>168</v>
      </c>
      <c r="I10" s="182" t="s">
        <v>44</v>
      </c>
      <c r="J10" s="192">
        <v>3.125E-2</v>
      </c>
      <c r="K10" s="193" t="s">
        <v>44</v>
      </c>
    </row>
    <row r="11" spans="1:11" ht="17" x14ac:dyDescent="0.15">
      <c r="A11" s="190">
        <v>3</v>
      </c>
      <c r="B11" s="191" t="s">
        <v>247</v>
      </c>
      <c r="C11" s="161">
        <v>15</v>
      </c>
      <c r="D11" s="14">
        <v>2.85</v>
      </c>
      <c r="E11" s="163">
        <v>1440</v>
      </c>
      <c r="F11" s="175">
        <v>2</v>
      </c>
      <c r="G11" s="15">
        <f t="shared" si="0"/>
        <v>2880</v>
      </c>
      <c r="H11" s="16">
        <f t="shared" si="1"/>
        <v>30</v>
      </c>
      <c r="I11" s="182" t="s">
        <v>234</v>
      </c>
      <c r="J11" s="192">
        <v>9.0277777777777776E-2</v>
      </c>
      <c r="K11" s="208" t="s">
        <v>261</v>
      </c>
    </row>
    <row r="12" spans="1:11" ht="19.25" customHeight="1" x14ac:dyDescent="0.15">
      <c r="A12" s="195">
        <v>4</v>
      </c>
      <c r="B12" s="191" t="s">
        <v>247</v>
      </c>
      <c r="C12" s="176">
        <v>17</v>
      </c>
      <c r="D12" s="14">
        <v>2.85</v>
      </c>
      <c r="E12" s="177">
        <v>1422</v>
      </c>
      <c r="F12" s="178">
        <v>14</v>
      </c>
      <c r="G12" s="15">
        <f t="shared" si="0"/>
        <v>19908</v>
      </c>
      <c r="H12" s="16">
        <f t="shared" si="1"/>
        <v>238</v>
      </c>
      <c r="I12" s="182"/>
      <c r="J12" s="192"/>
      <c r="K12" s="208"/>
    </row>
    <row r="13" spans="1:11" ht="17" x14ac:dyDescent="0.15">
      <c r="A13" s="197">
        <v>5</v>
      </c>
      <c r="B13" s="191" t="s">
        <v>237</v>
      </c>
      <c r="C13" s="176">
        <v>15</v>
      </c>
      <c r="D13" s="14">
        <v>2.85</v>
      </c>
      <c r="E13" s="177">
        <v>1512</v>
      </c>
      <c r="F13" s="178">
        <v>20</v>
      </c>
      <c r="G13" s="15">
        <f t="shared" si="0"/>
        <v>30240</v>
      </c>
      <c r="H13" s="16">
        <f>F13*C13</f>
        <v>300</v>
      </c>
      <c r="I13" s="182"/>
      <c r="J13" s="192"/>
      <c r="K13" s="196"/>
    </row>
    <row r="14" spans="1:11" ht="17" x14ac:dyDescent="0.15">
      <c r="A14" s="190">
        <v>6</v>
      </c>
      <c r="B14" s="191" t="s">
        <v>237</v>
      </c>
      <c r="C14" s="183">
        <v>16</v>
      </c>
      <c r="D14" s="14">
        <v>2.85</v>
      </c>
      <c r="E14" s="184">
        <v>1503</v>
      </c>
      <c r="F14" s="185">
        <v>27</v>
      </c>
      <c r="G14" s="15">
        <f t="shared" si="0"/>
        <v>40581</v>
      </c>
      <c r="H14" s="16">
        <f t="shared" si="1"/>
        <v>432</v>
      </c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77</v>
      </c>
      <c r="G22" s="33">
        <f>SUM(G9:G21)/F22</f>
        <v>1478.4545454545455</v>
      </c>
      <c r="H22" s="34">
        <f>SUM(H9:H21)/F22</f>
        <v>15.493506493506494</v>
      </c>
      <c r="I22" s="35" t="s">
        <v>22</v>
      </c>
      <c r="J22" s="160">
        <v>0.1423611111111111</v>
      </c>
      <c r="K22" s="29"/>
    </row>
    <row r="23" spans="1:11" x14ac:dyDescent="0.15">
      <c r="E23" s="36"/>
      <c r="F23" s="37"/>
      <c r="I23" s="38" t="s">
        <v>23</v>
      </c>
      <c r="J23" s="39">
        <v>3.42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77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</f>
        <v>1315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77.75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DEDB586-2F51-4C63-8360-D7EC12B3ED7E}">
      <formula1>$I$41:$I$50</formula1>
    </dataValidation>
    <dataValidation type="list" allowBlank="1" showInputMessage="1" showErrorMessage="1" sqref="B20:B21" xr:uid="{A849E260-58DF-40FB-AA08-0FDF9F9647B1}">
      <formula1>$K$29:$K$40</formula1>
    </dataValidation>
    <dataValidation type="list" allowBlank="1" showInputMessage="1" showErrorMessage="1" sqref="B16:B19" xr:uid="{136237DA-7C69-486F-88F0-8DFDD0D7F029}">
      <formula1>$K$29:$K$85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94B7-048D-4B3C-9120-BBF8C4768DC1}">
  <dimension ref="A1:K85"/>
  <sheetViews>
    <sheetView workbookViewId="0">
      <selection activeCell="K20" sqref="K20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15</v>
      </c>
      <c r="D9" s="14">
        <v>2.85</v>
      </c>
      <c r="E9" s="163">
        <v>1485</v>
      </c>
      <c r="F9" s="162">
        <v>78</v>
      </c>
      <c r="G9" s="15">
        <f t="shared" ref="G9" si="0">E9*F9</f>
        <v>115830</v>
      </c>
      <c r="H9" s="16">
        <f>F9*C9</f>
        <v>1170</v>
      </c>
      <c r="I9" s="179" t="s">
        <v>20</v>
      </c>
      <c r="J9" s="180">
        <v>2.0833333333333332E-2</v>
      </c>
      <c r="K9" s="181" t="s">
        <v>231</v>
      </c>
    </row>
    <row r="10" spans="1:11" ht="16" x14ac:dyDescent="0.15">
      <c r="A10" s="195"/>
      <c r="B10" s="191"/>
      <c r="C10" s="161"/>
      <c r="D10" s="14"/>
      <c r="E10" s="163"/>
      <c r="F10" s="162"/>
      <c r="G10" s="15"/>
      <c r="H10" s="16"/>
      <c r="I10" s="182" t="s">
        <v>234</v>
      </c>
      <c r="J10" s="192">
        <v>2.7777777777777776E-2</v>
      </c>
      <c r="K10" s="193" t="s">
        <v>44</v>
      </c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 t="s">
        <v>249</v>
      </c>
      <c r="J11" s="192">
        <v>9.0277777777777776E-2</v>
      </c>
      <c r="K11" s="208" t="s">
        <v>266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/>
      <c r="J12" s="192"/>
      <c r="K12" s="208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78</v>
      </c>
      <c r="G22" s="33">
        <f>SUM(G9:G21)/F22</f>
        <v>1485</v>
      </c>
      <c r="H22" s="34">
        <f>SUM(H9:H21)/F22</f>
        <v>15</v>
      </c>
      <c r="I22" s="35" t="s">
        <v>22</v>
      </c>
      <c r="J22" s="160">
        <v>0.1388888888888889</v>
      </c>
      <c r="K22" s="29"/>
    </row>
    <row r="23" spans="1:11" x14ac:dyDescent="0.15">
      <c r="E23" s="36"/>
      <c r="F23" s="37"/>
      <c r="I23" s="38" t="s">
        <v>23</v>
      </c>
      <c r="J23" s="39">
        <v>3.33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78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</f>
        <v>1393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81.08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3E9EA0F7-E359-40F8-9D99-2EAF78A0D381}">
      <formula1>$K$29:$K$85</formula1>
    </dataValidation>
    <dataValidation type="list" allowBlank="1" showInputMessage="1" showErrorMessage="1" sqref="B20:B21" xr:uid="{7FBD1376-FE36-482D-988D-C72855FFD7F2}">
      <formula1>$K$29:$K$40</formula1>
    </dataValidation>
    <dataValidation type="list" allowBlank="1" showInputMessage="1" showErrorMessage="1" sqref="I50 K15:K21" xr:uid="{80C78698-37B8-49FB-908B-CD0187571C6D}">
      <formula1>$I$41:$I$50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ECD5-0A84-4431-8A5A-ECC7628C3569}">
  <dimension ref="A1:K85"/>
  <sheetViews>
    <sheetView topLeftCell="A6" workbookViewId="0">
      <selection activeCell="A6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15</v>
      </c>
      <c r="D9" s="14">
        <v>2.85</v>
      </c>
      <c r="E9" s="163">
        <v>1485</v>
      </c>
      <c r="F9" s="162">
        <v>12</v>
      </c>
      <c r="G9" s="15">
        <f t="shared" ref="G9:G11" si="0">E9*F9</f>
        <v>17820</v>
      </c>
      <c r="H9" s="16">
        <f>F9*C9</f>
        <v>180</v>
      </c>
      <c r="I9" s="179" t="s">
        <v>20</v>
      </c>
      <c r="J9" s="180">
        <v>2.4305555555555556E-2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17</v>
      </c>
      <c r="D10" s="14">
        <v>2.85</v>
      </c>
      <c r="E10" s="163">
        <v>1485</v>
      </c>
      <c r="F10" s="162">
        <v>30</v>
      </c>
      <c r="G10" s="15">
        <f t="shared" si="0"/>
        <v>44550</v>
      </c>
      <c r="H10" s="16">
        <f t="shared" ref="H10:H11" si="1">F10*C10</f>
        <v>510</v>
      </c>
      <c r="I10" s="182" t="s">
        <v>44</v>
      </c>
      <c r="J10" s="192">
        <v>6.9444444444444441E-3</v>
      </c>
      <c r="K10" s="193" t="s">
        <v>44</v>
      </c>
    </row>
    <row r="11" spans="1:11" ht="17" x14ac:dyDescent="0.15">
      <c r="A11" s="190">
        <v>3</v>
      </c>
      <c r="B11" s="191" t="s">
        <v>244</v>
      </c>
      <c r="C11" s="161">
        <v>17</v>
      </c>
      <c r="D11" s="14">
        <v>2.85</v>
      </c>
      <c r="E11" s="163">
        <v>1434</v>
      </c>
      <c r="F11" s="175">
        <v>52</v>
      </c>
      <c r="G11" s="15">
        <f t="shared" si="0"/>
        <v>74568</v>
      </c>
      <c r="H11" s="16">
        <f t="shared" si="1"/>
        <v>884</v>
      </c>
      <c r="I11" s="182" t="s">
        <v>239</v>
      </c>
      <c r="J11" s="192">
        <v>6.9444444444444441E-3</v>
      </c>
      <c r="K11" s="208" t="s">
        <v>239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/>
      <c r="J12" s="192"/>
      <c r="K12" s="208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196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94</v>
      </c>
      <c r="G22" s="33">
        <f>SUM(G9:G21)/F22</f>
        <v>1456.7872340425531</v>
      </c>
      <c r="H22" s="34">
        <f>SUM(H9:H21)/F22</f>
        <v>16.74468085106383</v>
      </c>
      <c r="I22" s="35" t="s">
        <v>22</v>
      </c>
      <c r="J22" s="160">
        <v>3.8194444444444448E-2</v>
      </c>
      <c r="K22" s="29"/>
    </row>
    <row r="23" spans="1:11" x14ac:dyDescent="0.15">
      <c r="E23" s="36"/>
      <c r="F23" s="37"/>
      <c r="I23" s="38" t="s">
        <v>23</v>
      </c>
      <c r="J23" s="39">
        <v>0.92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94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</f>
        <v>1487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82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1FCB522A-2859-4579-9E2C-BA0CF25CF7BA}">
      <formula1>$I$41:$I$50</formula1>
    </dataValidation>
    <dataValidation type="list" allowBlank="1" showInputMessage="1" showErrorMessage="1" sqref="B20:B21" xr:uid="{6AC09A45-F601-4A57-ABCC-51381789874A}">
      <formula1>$K$29:$K$40</formula1>
    </dataValidation>
    <dataValidation type="list" allowBlank="1" showInputMessage="1" showErrorMessage="1" sqref="B16:B19" xr:uid="{F2A08BB2-929D-4647-AC71-FAEA1974D188}">
      <formula1>$K$29:$K$85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A979-EFDA-47AA-955F-41C259F25E87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15</v>
      </c>
      <c r="D9" s="14">
        <v>2.85</v>
      </c>
      <c r="E9" s="163">
        <v>1443</v>
      </c>
      <c r="F9" s="162">
        <v>7</v>
      </c>
      <c r="G9" s="15">
        <f t="shared" ref="G9:G14" si="0">E9*F9</f>
        <v>10101</v>
      </c>
      <c r="H9" s="16">
        <f>F9*C9</f>
        <v>105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237</v>
      </c>
      <c r="C10" s="161">
        <v>17</v>
      </c>
      <c r="D10" s="14">
        <v>2.85</v>
      </c>
      <c r="E10" s="163">
        <v>1485</v>
      </c>
      <c r="F10" s="162">
        <v>31</v>
      </c>
      <c r="G10" s="15">
        <f t="shared" si="0"/>
        <v>46035</v>
      </c>
      <c r="H10" s="16">
        <f t="shared" ref="H10:H14" si="1">F10*C10</f>
        <v>527</v>
      </c>
      <c r="I10" s="182" t="s">
        <v>44</v>
      </c>
      <c r="J10" s="192">
        <v>2.0833333333333332E-2</v>
      </c>
      <c r="K10" s="193" t="s">
        <v>44</v>
      </c>
    </row>
    <row r="11" spans="1:11" ht="17" x14ac:dyDescent="0.15">
      <c r="A11" s="190">
        <v>3</v>
      </c>
      <c r="B11" s="191" t="s">
        <v>267</v>
      </c>
      <c r="C11" s="161">
        <v>17</v>
      </c>
      <c r="D11" s="14">
        <v>2.85</v>
      </c>
      <c r="E11" s="163">
        <v>1426</v>
      </c>
      <c r="F11" s="175">
        <v>7</v>
      </c>
      <c r="G11" s="15">
        <f t="shared" si="0"/>
        <v>9982</v>
      </c>
      <c r="H11" s="16">
        <f t="shared" si="1"/>
        <v>119</v>
      </c>
      <c r="I11" s="182" t="s">
        <v>253</v>
      </c>
      <c r="J11" s="192">
        <v>1.7361111111111112E-2</v>
      </c>
      <c r="K11" s="208" t="s">
        <v>268</v>
      </c>
    </row>
    <row r="12" spans="1:11" ht="19.25" customHeight="1" x14ac:dyDescent="0.15">
      <c r="A12" s="195">
        <v>4</v>
      </c>
      <c r="B12" s="191" t="s">
        <v>237</v>
      </c>
      <c r="C12" s="176">
        <v>18</v>
      </c>
      <c r="D12" s="14">
        <v>2.85</v>
      </c>
      <c r="E12" s="177">
        <v>1479</v>
      </c>
      <c r="F12" s="178">
        <v>5.5</v>
      </c>
      <c r="G12" s="15">
        <f t="shared" si="0"/>
        <v>8134.5</v>
      </c>
      <c r="H12" s="16">
        <f>F12*C12</f>
        <v>99</v>
      </c>
      <c r="I12" s="182" t="s">
        <v>245</v>
      </c>
      <c r="J12" s="192">
        <v>1.7361111111111112E-2</v>
      </c>
      <c r="K12" s="208" t="s">
        <v>268</v>
      </c>
    </row>
    <row r="13" spans="1:11" ht="17" x14ac:dyDescent="0.15">
      <c r="A13" s="197">
        <v>5</v>
      </c>
      <c r="B13" s="191" t="s">
        <v>247</v>
      </c>
      <c r="C13" s="176">
        <v>15</v>
      </c>
      <c r="D13" s="14">
        <v>2.85</v>
      </c>
      <c r="E13" s="177">
        <v>1382</v>
      </c>
      <c r="F13" s="178">
        <v>21</v>
      </c>
      <c r="G13" s="15">
        <f t="shared" si="0"/>
        <v>29022</v>
      </c>
      <c r="H13" s="16">
        <f t="shared" si="1"/>
        <v>315</v>
      </c>
      <c r="I13" s="182"/>
      <c r="J13" s="192"/>
      <c r="K13" s="196"/>
    </row>
    <row r="14" spans="1:11" ht="17" x14ac:dyDescent="0.15">
      <c r="A14" s="190">
        <v>6</v>
      </c>
      <c r="B14" s="191" t="s">
        <v>247</v>
      </c>
      <c r="C14" s="183">
        <v>16.5</v>
      </c>
      <c r="D14" s="14">
        <v>2.85</v>
      </c>
      <c r="E14" s="184">
        <v>1494</v>
      </c>
      <c r="F14" s="185">
        <v>13.5</v>
      </c>
      <c r="G14" s="15">
        <f t="shared" si="0"/>
        <v>20169</v>
      </c>
      <c r="H14" s="16">
        <f t="shared" si="1"/>
        <v>222.75</v>
      </c>
      <c r="I14" s="201"/>
      <c r="J14" s="200"/>
      <c r="K14" s="194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85</v>
      </c>
      <c r="G22" s="33">
        <f>SUM(G9:G21)/F22</f>
        <v>1452.2764705882353</v>
      </c>
      <c r="H22" s="34">
        <f>SUM(H9:H21)/F22</f>
        <v>16.326470588235296</v>
      </c>
      <c r="I22" s="35" t="s">
        <v>22</v>
      </c>
      <c r="J22" s="160">
        <v>7.6388888888888895E-2</v>
      </c>
      <c r="K22" s="29"/>
    </row>
    <row r="23" spans="1:11" x14ac:dyDescent="0.15">
      <c r="E23" s="36"/>
      <c r="F23" s="37"/>
      <c r="I23" s="38" t="s">
        <v>23</v>
      </c>
      <c r="J23" s="39">
        <v>1.83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85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70+76+40+59+25+45+61+42+68+69+71+87+93+91+90+101+83+67+77+78+94+85</f>
        <v>1572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83.83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63103C9D-19D6-4B64-A3BA-EB53BB405877}">
      <formula1>$K$29:$K$85</formula1>
    </dataValidation>
    <dataValidation type="list" allowBlank="1" showInputMessage="1" showErrorMessage="1" sqref="B20:B21" xr:uid="{106129B7-2164-468A-9ECB-6776FCF11109}">
      <formula1>$K$29:$K$40</formula1>
    </dataValidation>
    <dataValidation type="list" allowBlank="1" showInputMessage="1" showErrorMessage="1" sqref="I50 K15:K21" xr:uid="{B9836879-5562-43E6-8C92-481295DE221E}">
      <formula1>$I$41:$I$50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4E27-64FB-4931-8155-93E76466186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247</v>
      </c>
      <c r="C9" s="161">
        <v>15</v>
      </c>
      <c r="D9" s="14">
        <v>2.85</v>
      </c>
      <c r="E9" s="163">
        <v>1458</v>
      </c>
      <c r="F9" s="162">
        <v>68.8</v>
      </c>
      <c r="G9" s="15">
        <f t="shared" ref="G9:G10" si="0">E9*F9</f>
        <v>100310.39999999999</v>
      </c>
      <c r="H9" s="16">
        <f>F9*C9</f>
        <v>1032</v>
      </c>
      <c r="I9" s="179" t="s">
        <v>20</v>
      </c>
      <c r="J9" s="180">
        <v>2.0833333333333332E-2</v>
      </c>
      <c r="K9" s="181" t="s">
        <v>231</v>
      </c>
    </row>
    <row r="10" spans="1:11" ht="17" x14ac:dyDescent="0.15">
      <c r="A10" s="195">
        <v>2</v>
      </c>
      <c r="B10" s="191" t="s">
        <v>247</v>
      </c>
      <c r="C10" s="161">
        <v>16.5</v>
      </c>
      <c r="D10" s="14">
        <v>2.85</v>
      </c>
      <c r="E10" s="163">
        <v>1458</v>
      </c>
      <c r="F10" s="162">
        <v>3.2</v>
      </c>
      <c r="G10" s="15">
        <f t="shared" si="0"/>
        <v>4665.6000000000004</v>
      </c>
      <c r="H10" s="16">
        <f t="shared" ref="H10" si="1">F10*C10</f>
        <v>52.800000000000004</v>
      </c>
      <c r="I10" s="182" t="s">
        <v>44</v>
      </c>
      <c r="J10" s="192">
        <v>6.9444444444444441E-3</v>
      </c>
      <c r="K10" s="193" t="s">
        <v>44</v>
      </c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 t="s">
        <v>253</v>
      </c>
      <c r="J11" s="192">
        <v>4.1666666666666664E-2</v>
      </c>
      <c r="K11" s="208" t="s">
        <v>269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182" t="s">
        <v>245</v>
      </c>
      <c r="J12" s="192">
        <v>4.1666666666666664E-2</v>
      </c>
      <c r="K12" s="208" t="s">
        <v>269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 t="s">
        <v>234</v>
      </c>
      <c r="J13" s="192">
        <v>5.5555555555555552E-2</v>
      </c>
      <c r="K13" s="208" t="s">
        <v>261</v>
      </c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 t="s">
        <v>239</v>
      </c>
      <c r="J14" s="200">
        <v>6.9444444444444441E-3</v>
      </c>
      <c r="K14" s="209" t="s">
        <v>239</v>
      </c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72</v>
      </c>
      <c r="G22" s="33">
        <f>SUM(G9:G21)/F22</f>
        <v>1458</v>
      </c>
      <c r="H22" s="34">
        <f>SUM(H9:H21)/F22</f>
        <v>15.066666666666666</v>
      </c>
      <c r="I22" s="35" t="s">
        <v>22</v>
      </c>
      <c r="J22" s="160">
        <v>0.1736111111111111</v>
      </c>
      <c r="K22" s="29"/>
    </row>
    <row r="23" spans="1:11" x14ac:dyDescent="0.15">
      <c r="E23" s="36"/>
      <c r="F23" s="37"/>
      <c r="I23" s="38" t="s">
        <v>23</v>
      </c>
      <c r="J23" s="39">
        <v>4.17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72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70+76+40+59+25+45+61+42+68+69+71+87+93+91+90+101+83+67+77+78+94+85+72</f>
        <v>1644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88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7A0BD450-F4D8-4EFD-B7B9-C93768B72945}">
      <formula1>$I$41:$I$50</formula1>
    </dataValidation>
    <dataValidation type="list" allowBlank="1" showInputMessage="1" showErrorMessage="1" sqref="B20:B21" xr:uid="{20513D49-AE72-42DC-9A60-C1B777F20169}">
      <formula1>$K$29:$K$40</formula1>
    </dataValidation>
    <dataValidation type="list" allowBlank="1" showInputMessage="1" showErrorMessage="1" sqref="B16:B19" xr:uid="{BBB0A33F-170D-4AB8-9075-8280AC2014E3}">
      <formula1>$K$29:$K$85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0B34-2153-478B-BE05-D04F5F81C19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247</v>
      </c>
      <c r="C9" s="161">
        <v>15</v>
      </c>
      <c r="D9" s="14">
        <v>2.85</v>
      </c>
      <c r="E9" s="163">
        <v>1467</v>
      </c>
      <c r="F9" s="162">
        <v>43</v>
      </c>
      <c r="G9" s="15">
        <f t="shared" ref="G9:G10" si="0">E9*F9</f>
        <v>63081</v>
      </c>
      <c r="H9" s="16">
        <f>F9*C9</f>
        <v>645</v>
      </c>
      <c r="I9" s="179" t="s">
        <v>20</v>
      </c>
      <c r="J9" s="180">
        <v>1.3888888888888888E-2</v>
      </c>
      <c r="K9" s="181" t="s">
        <v>231</v>
      </c>
    </row>
    <row r="10" spans="1:11" ht="17" x14ac:dyDescent="0.15">
      <c r="A10" s="195">
        <v>2</v>
      </c>
      <c r="B10" s="191" t="s">
        <v>247</v>
      </c>
      <c r="C10" s="161">
        <v>16</v>
      </c>
      <c r="D10" s="14">
        <v>2.85</v>
      </c>
      <c r="E10" s="163">
        <v>1467</v>
      </c>
      <c r="F10" s="162">
        <v>16</v>
      </c>
      <c r="G10" s="15">
        <f t="shared" si="0"/>
        <v>23472</v>
      </c>
      <c r="H10" s="16">
        <f t="shared" ref="H10" si="1">F10*C10</f>
        <v>256</v>
      </c>
      <c r="I10" s="182" t="s">
        <v>44</v>
      </c>
      <c r="J10" s="192">
        <v>6.9444444444444441E-3</v>
      </c>
      <c r="K10" s="193" t="s">
        <v>44</v>
      </c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 t="s">
        <v>240</v>
      </c>
      <c r="J11" s="192">
        <v>0.28472222222222221</v>
      </c>
      <c r="K11" s="208" t="s">
        <v>270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201" t="s">
        <v>239</v>
      </c>
      <c r="J12" s="200">
        <v>6.9444444444444441E-3</v>
      </c>
      <c r="K12" s="209" t="s">
        <v>239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208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209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59</v>
      </c>
      <c r="G22" s="33">
        <f>SUM(G9:G21)/F22</f>
        <v>1467</v>
      </c>
      <c r="H22" s="34">
        <f>SUM(H9:H21)/F22</f>
        <v>15.271186440677965</v>
      </c>
      <c r="I22" s="35" t="s">
        <v>22</v>
      </c>
      <c r="J22" s="160">
        <v>0.3125</v>
      </c>
      <c r="K22" s="29"/>
    </row>
    <row r="23" spans="1:11" x14ac:dyDescent="0.15">
      <c r="E23" s="36"/>
      <c r="F23" s="37"/>
      <c r="I23" s="38" t="s">
        <v>23</v>
      </c>
      <c r="J23" s="39">
        <v>7.5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59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70+76+40+59+25+45+61+42+68+69+71+87+93+91+90+101+83+67+77+78+94+85+72+59</f>
        <v>1703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95.3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6031B856-FD8D-4107-BEB2-919955C877E0}">
      <formula1>$K$29:$K$85</formula1>
    </dataValidation>
    <dataValidation type="list" allowBlank="1" showInputMessage="1" showErrorMessage="1" sqref="B20:B21" xr:uid="{28020ED3-7370-4F65-9F72-465A192F644E}">
      <formula1>$K$29:$K$40</formula1>
    </dataValidation>
    <dataValidation type="list" allowBlank="1" showInputMessage="1" showErrorMessage="1" sqref="I50 K15:K21" xr:uid="{7BA4DF23-2B07-473B-BD5B-C12DCA76E0A7}">
      <formula1>$I$41:$I$50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EAC9-FF6B-4F65-9EF2-0B965283D6E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16</v>
      </c>
      <c r="D9" s="14">
        <v>2.85</v>
      </c>
      <c r="E9" s="163">
        <v>1476</v>
      </c>
      <c r="F9" s="162">
        <v>5</v>
      </c>
      <c r="G9" s="15">
        <f t="shared" ref="G9" si="0">E9*F9</f>
        <v>7380</v>
      </c>
      <c r="H9" s="16">
        <f>F9*C9</f>
        <v>80</v>
      </c>
      <c r="I9" s="182" t="s">
        <v>240</v>
      </c>
      <c r="J9" s="192">
        <v>0.94444444444444442</v>
      </c>
      <c r="K9" s="208" t="s">
        <v>271</v>
      </c>
    </row>
    <row r="10" spans="1:11" ht="16" x14ac:dyDescent="0.15">
      <c r="A10" s="195"/>
      <c r="B10" s="191"/>
      <c r="C10" s="161"/>
      <c r="D10" s="14"/>
      <c r="E10" s="163"/>
      <c r="F10" s="162"/>
      <c r="G10" s="15"/>
      <c r="H10" s="16"/>
      <c r="I10" s="182"/>
      <c r="J10" s="192"/>
      <c r="K10" s="193"/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/>
      <c r="J11" s="192"/>
      <c r="K11" s="208"/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201"/>
      <c r="J12" s="200"/>
      <c r="K12" s="209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208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209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5</v>
      </c>
      <c r="G22" s="33">
        <f>SUM(G9:G21)/F22</f>
        <v>1476</v>
      </c>
      <c r="H22" s="34">
        <f>SUM(H9:H21)/F22</f>
        <v>16</v>
      </c>
      <c r="I22" s="35" t="s">
        <v>22</v>
      </c>
      <c r="J22" s="160">
        <v>0.94444444444444442</v>
      </c>
      <c r="K22" s="29"/>
    </row>
    <row r="23" spans="1:11" x14ac:dyDescent="0.15">
      <c r="E23" s="36"/>
      <c r="F23" s="37"/>
      <c r="I23" s="38" t="s">
        <v>23</v>
      </c>
      <c r="J23" s="39">
        <v>22.67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5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70+76+40+59+25+45+61+42+68+69+71+87+93+91+90+101+83+67+77+78+94+85+72+59+5</f>
        <v>1708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118.17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C8E9582B-2F66-4CD1-9596-6AACDEA3DBEC}">
      <formula1>$I$41:$I$50</formula1>
    </dataValidation>
    <dataValidation type="list" allowBlank="1" showInputMessage="1" showErrorMessage="1" sqref="B20:B21" xr:uid="{D6804809-7CA6-418F-812E-7BD5FB07F681}">
      <formula1>$K$29:$K$40</formula1>
    </dataValidation>
    <dataValidation type="list" allowBlank="1" showInputMessage="1" showErrorMessage="1" sqref="B16:B19" xr:uid="{784DB83C-F3F9-426A-BB4D-A68A694A0345}">
      <formula1>$K$29:$K$85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FC90-069A-428D-88E7-FCF4A749D56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15</v>
      </c>
      <c r="D9" s="14">
        <v>2.85</v>
      </c>
      <c r="E9" s="163">
        <v>1485</v>
      </c>
      <c r="F9" s="162">
        <v>24.5</v>
      </c>
      <c r="G9" s="15">
        <f t="shared" ref="G9:G11" si="0">E9*F9</f>
        <v>36382.5</v>
      </c>
      <c r="H9" s="16">
        <f>F9*C9</f>
        <v>367.5</v>
      </c>
      <c r="I9" s="182" t="s">
        <v>20</v>
      </c>
      <c r="J9" s="192">
        <v>2.0833333333333332E-2</v>
      </c>
      <c r="K9" s="208" t="s">
        <v>272</v>
      </c>
    </row>
    <row r="10" spans="1:11" ht="17" x14ac:dyDescent="0.15">
      <c r="A10" s="195">
        <v>2</v>
      </c>
      <c r="B10" s="191" t="s">
        <v>237</v>
      </c>
      <c r="C10" s="161">
        <v>16</v>
      </c>
      <c r="D10" s="14">
        <v>2.85</v>
      </c>
      <c r="E10" s="163">
        <v>1467</v>
      </c>
      <c r="F10" s="162">
        <v>29.4</v>
      </c>
      <c r="G10" s="15">
        <f t="shared" si="0"/>
        <v>43129.799999999996</v>
      </c>
      <c r="H10" s="16">
        <f t="shared" ref="H10:H11" si="1">F10*C10</f>
        <v>470.4</v>
      </c>
      <c r="I10" s="182" t="s">
        <v>273</v>
      </c>
      <c r="J10" s="192">
        <v>1.3888888888888888E-2</v>
      </c>
      <c r="K10" s="193" t="s">
        <v>44</v>
      </c>
    </row>
    <row r="11" spans="1:11" ht="17" x14ac:dyDescent="0.15">
      <c r="A11" s="190">
        <v>3</v>
      </c>
      <c r="B11" s="191" t="s">
        <v>237</v>
      </c>
      <c r="C11" s="161">
        <v>17</v>
      </c>
      <c r="D11" s="14">
        <v>2.85</v>
      </c>
      <c r="E11" s="163">
        <v>1485</v>
      </c>
      <c r="F11" s="175">
        <v>38.1</v>
      </c>
      <c r="G11" s="15">
        <f t="shared" si="0"/>
        <v>56578.5</v>
      </c>
      <c r="H11" s="16">
        <f t="shared" si="1"/>
        <v>647.70000000000005</v>
      </c>
      <c r="I11" s="182" t="s">
        <v>239</v>
      </c>
      <c r="J11" s="192">
        <v>1.0416666666666666E-2</v>
      </c>
      <c r="K11" s="208" t="s">
        <v>239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201"/>
      <c r="J12" s="200"/>
      <c r="K12" s="209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208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209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92</v>
      </c>
      <c r="G22" s="33">
        <f>SUM(G9:G21)/F22</f>
        <v>1479.2478260869564</v>
      </c>
      <c r="H22" s="34">
        <f>SUM(H9:H21)/F22</f>
        <v>16.14782608695652</v>
      </c>
      <c r="I22" s="35" t="s">
        <v>22</v>
      </c>
      <c r="J22" s="160">
        <v>4.5138888888888888E-2</v>
      </c>
      <c r="K22" s="29"/>
    </row>
    <row r="23" spans="1:11" x14ac:dyDescent="0.15">
      <c r="E23" s="36"/>
      <c r="F23" s="37"/>
      <c r="I23" s="38" t="s">
        <v>23</v>
      </c>
      <c r="J23" s="39">
        <v>1.08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92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70+76+40+59+25+45+61+42+68+69+71+87+93+91+90+101+83+67+77+78+94+85+72+59+5+92</f>
        <v>1800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119.25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90B5BC18-67ED-442A-B494-70CF87995952}">
      <formula1>$K$29:$K$85</formula1>
    </dataValidation>
    <dataValidation type="list" allowBlank="1" showInputMessage="1" showErrorMessage="1" sqref="B20:B21" xr:uid="{8FF83BF1-2D3F-4ECF-8BBD-2D83CF112FE0}">
      <formula1>$K$29:$K$40</formula1>
    </dataValidation>
    <dataValidation type="list" allowBlank="1" showInputMessage="1" showErrorMessage="1" sqref="I50 K15:K21" xr:uid="{092134CD-9732-482E-BAE4-8D30D4643DB9}">
      <formula1>$I$41:$I$50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F690-1E3D-401E-BD8C-948F01E1829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15</v>
      </c>
      <c r="D9" s="14">
        <v>2.85</v>
      </c>
      <c r="E9" s="163">
        <v>1494</v>
      </c>
      <c r="F9" s="162">
        <v>25</v>
      </c>
      <c r="G9" s="15">
        <f t="shared" ref="G9:G11" si="0">E9*F9</f>
        <v>37350</v>
      </c>
      <c r="H9" s="16">
        <f>F9*C9</f>
        <v>375</v>
      </c>
      <c r="I9" s="182" t="s">
        <v>20</v>
      </c>
      <c r="J9" s="192">
        <v>2.0833333333333332E-2</v>
      </c>
      <c r="K9" s="208" t="s">
        <v>272</v>
      </c>
    </row>
    <row r="10" spans="1:11" ht="17" x14ac:dyDescent="0.15">
      <c r="A10" s="195">
        <v>2</v>
      </c>
      <c r="B10" s="191" t="s">
        <v>242</v>
      </c>
      <c r="C10" s="161">
        <v>12.5</v>
      </c>
      <c r="D10" s="14">
        <v>2.85</v>
      </c>
      <c r="E10" s="163">
        <v>1494</v>
      </c>
      <c r="F10" s="162">
        <v>31</v>
      </c>
      <c r="G10" s="15">
        <f t="shared" si="0"/>
        <v>46314</v>
      </c>
      <c r="H10" s="16">
        <f t="shared" ref="H10:H11" si="1">F10*C10</f>
        <v>387.5</v>
      </c>
      <c r="I10" s="182" t="s">
        <v>273</v>
      </c>
      <c r="J10" s="192">
        <v>2.0833333333333332E-2</v>
      </c>
      <c r="K10" s="193" t="s">
        <v>44</v>
      </c>
    </row>
    <row r="11" spans="1:11" ht="17" x14ac:dyDescent="0.15">
      <c r="A11" s="190">
        <v>3</v>
      </c>
      <c r="B11" s="191" t="s">
        <v>242</v>
      </c>
      <c r="C11" s="161">
        <v>14</v>
      </c>
      <c r="D11" s="14">
        <v>2.85</v>
      </c>
      <c r="E11" s="163">
        <v>1440</v>
      </c>
      <c r="F11" s="175">
        <v>20</v>
      </c>
      <c r="G11" s="15">
        <f t="shared" si="0"/>
        <v>28800</v>
      </c>
      <c r="H11" s="16">
        <f t="shared" si="1"/>
        <v>280</v>
      </c>
      <c r="I11" s="182"/>
      <c r="J11" s="192"/>
      <c r="K11" s="208"/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201"/>
      <c r="J12" s="200"/>
      <c r="K12" s="209"/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208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209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76</v>
      </c>
      <c r="G22" s="33">
        <f>SUM(G9:G21)/F22</f>
        <v>1479.7894736842106</v>
      </c>
      <c r="H22" s="34">
        <f>SUM(H9:H21)/F22</f>
        <v>13.717105263157896</v>
      </c>
      <c r="I22" s="35" t="s">
        <v>22</v>
      </c>
      <c r="J22" s="160">
        <v>4.1666666666666664E-2</v>
      </c>
      <c r="K22" s="29"/>
    </row>
    <row r="23" spans="1:11" x14ac:dyDescent="0.15">
      <c r="E23" s="36"/>
      <c r="F23" s="37"/>
      <c r="I23" s="38" t="s">
        <v>23</v>
      </c>
      <c r="J23" s="39">
        <v>1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76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70+76+40+59+25+45+61+42+68+69+71+87+93+91+90+101+83+67+77+78+94+85+72+59+5+92+76</f>
        <v>1876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120.25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16906AC7-564A-4A2F-8364-01B28D4AF9F8}">
      <formula1>$I$41:$I$50</formula1>
    </dataValidation>
    <dataValidation type="list" allowBlank="1" showInputMessage="1" showErrorMessage="1" sqref="B20:B21" xr:uid="{5718FBE9-BA78-4A33-9930-122AF647175A}">
      <formula1>$K$29:$K$40</formula1>
    </dataValidation>
    <dataValidation type="list" allowBlank="1" showInputMessage="1" showErrorMessage="1" sqref="B16:B19" xr:uid="{2A9E703A-6B6B-42FD-A7FE-9B71D525CE68}">
      <formula1>$K$29:$K$85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30A7-85BF-4D79-99AC-A5B5457749C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242</v>
      </c>
      <c r="C9" s="161">
        <v>12.5</v>
      </c>
      <c r="D9" s="14">
        <v>2.85</v>
      </c>
      <c r="E9" s="163">
        <v>1476</v>
      </c>
      <c r="F9" s="162">
        <v>5.2</v>
      </c>
      <c r="G9" s="15">
        <f t="shared" ref="G9:G13" si="0">E9*F9</f>
        <v>7675.2</v>
      </c>
      <c r="H9" s="16">
        <f>F9*C9</f>
        <v>65</v>
      </c>
      <c r="I9" s="182" t="s">
        <v>20</v>
      </c>
      <c r="J9" s="192">
        <v>1.3888888888888888E-2</v>
      </c>
      <c r="K9" s="208" t="s">
        <v>272</v>
      </c>
    </row>
    <row r="10" spans="1:11" ht="17" x14ac:dyDescent="0.15">
      <c r="A10" s="195">
        <v>2</v>
      </c>
      <c r="B10" s="191" t="s">
        <v>242</v>
      </c>
      <c r="C10" s="161">
        <v>13.5</v>
      </c>
      <c r="D10" s="14">
        <v>2.85</v>
      </c>
      <c r="E10" s="163">
        <v>1494</v>
      </c>
      <c r="F10" s="162">
        <v>6.8</v>
      </c>
      <c r="G10" s="15">
        <f t="shared" si="0"/>
        <v>10159.199999999999</v>
      </c>
      <c r="H10" s="16">
        <f t="shared" ref="H10:H13" si="1">F10*C10</f>
        <v>91.8</v>
      </c>
      <c r="I10" s="182" t="s">
        <v>273</v>
      </c>
      <c r="J10" s="192">
        <v>2.4305555555555556E-2</v>
      </c>
      <c r="K10" s="193" t="s">
        <v>44</v>
      </c>
    </row>
    <row r="11" spans="1:11" ht="17" x14ac:dyDescent="0.15">
      <c r="A11" s="190">
        <v>3</v>
      </c>
      <c r="B11" s="191" t="s">
        <v>242</v>
      </c>
      <c r="C11" s="161">
        <v>14</v>
      </c>
      <c r="D11" s="14">
        <v>2.85</v>
      </c>
      <c r="E11" s="163">
        <v>1440</v>
      </c>
      <c r="F11" s="175">
        <v>16</v>
      </c>
      <c r="G11" s="15">
        <f t="shared" si="0"/>
        <v>23040</v>
      </c>
      <c r="H11" s="16">
        <f t="shared" si="1"/>
        <v>224</v>
      </c>
      <c r="I11" s="182" t="s">
        <v>239</v>
      </c>
      <c r="J11" s="192">
        <v>6.9444444444444441E-3</v>
      </c>
      <c r="K11" s="208" t="s">
        <v>239</v>
      </c>
    </row>
    <row r="12" spans="1:11" ht="19.25" customHeight="1" x14ac:dyDescent="0.15">
      <c r="A12" s="195">
        <v>4</v>
      </c>
      <c r="B12" s="191" t="s">
        <v>247</v>
      </c>
      <c r="C12" s="176">
        <v>17</v>
      </c>
      <c r="D12" s="14">
        <v>2.85</v>
      </c>
      <c r="E12" s="177">
        <v>1455</v>
      </c>
      <c r="F12" s="178">
        <v>51.4</v>
      </c>
      <c r="G12" s="15">
        <f t="shared" si="0"/>
        <v>74787</v>
      </c>
      <c r="H12" s="16">
        <f>F12*C12</f>
        <v>873.8</v>
      </c>
      <c r="I12" s="201"/>
      <c r="J12" s="200"/>
      <c r="K12" s="209"/>
    </row>
    <row r="13" spans="1:11" ht="17" x14ac:dyDescent="0.15">
      <c r="A13" s="197">
        <v>5</v>
      </c>
      <c r="B13" s="191" t="s">
        <v>247</v>
      </c>
      <c r="C13" s="176">
        <v>18</v>
      </c>
      <c r="D13" s="14">
        <v>2.85</v>
      </c>
      <c r="E13" s="177">
        <v>1455</v>
      </c>
      <c r="F13" s="178">
        <v>6.6</v>
      </c>
      <c r="G13" s="15">
        <f t="shared" si="0"/>
        <v>9603</v>
      </c>
      <c r="H13" s="16">
        <f t="shared" si="1"/>
        <v>118.8</v>
      </c>
      <c r="I13" s="182"/>
      <c r="J13" s="192"/>
      <c r="K13" s="208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209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86</v>
      </c>
      <c r="G22" s="33">
        <f>SUM(G9:G21)/F22</f>
        <v>1456.5627906976742</v>
      </c>
      <c r="H22" s="34">
        <f>SUM(H9:H21)/F22</f>
        <v>15.969767441860464</v>
      </c>
      <c r="I22" s="35" t="s">
        <v>22</v>
      </c>
      <c r="J22" s="160">
        <v>4.5138888888888888E-2</v>
      </c>
      <c r="K22" s="29"/>
    </row>
    <row r="23" spans="1:11" x14ac:dyDescent="0.15">
      <c r="E23" s="36"/>
      <c r="F23" s="37"/>
      <c r="I23" s="38" t="s">
        <v>23</v>
      </c>
      <c r="J23" s="39">
        <v>1.08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86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70+76+40+59+25+45+61+42+68+69+71+87+93+91+90+101+83+67+77+78+94+85+72+59+5+92+76+86</f>
        <v>1962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121.33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4A9975B1-65A2-4CDB-A4FA-4CB6DBBF584A}">
      <formula1>$K$29:$K$85</formula1>
    </dataValidation>
    <dataValidation type="list" allowBlank="1" showInputMessage="1" showErrorMessage="1" sqref="B20:B21" xr:uid="{30B604EF-ADCB-4895-9D88-7ED954C7B2B2}">
      <formula1>$K$29:$K$40</formula1>
    </dataValidation>
    <dataValidation type="list" allowBlank="1" showInputMessage="1" showErrorMessage="1" sqref="I50 K15:K21" xr:uid="{2ED8E0AA-EC95-4C76-BFE6-8CF28773DCD9}">
      <formula1>$I$41:$I$50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56D2-6BE0-4713-A6A0-BE7FEEDE36F6}">
  <dimension ref="A1:K85"/>
  <sheetViews>
    <sheetView topLeftCell="A5" workbookViewId="0">
      <selection activeCell="A5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45929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15</v>
      </c>
      <c r="D9" s="14">
        <v>2.85</v>
      </c>
      <c r="E9" s="163">
        <v>1494</v>
      </c>
      <c r="F9" s="162">
        <v>13.4</v>
      </c>
      <c r="G9" s="15">
        <f t="shared" ref="G9:G14" si="0">E9*F9</f>
        <v>20019.600000000002</v>
      </c>
      <c r="H9" s="16">
        <f>F9*C9</f>
        <v>201</v>
      </c>
      <c r="I9" s="182" t="s">
        <v>20</v>
      </c>
      <c r="J9" s="192">
        <v>2.0833333333333332E-2</v>
      </c>
      <c r="K9" s="208" t="s">
        <v>272</v>
      </c>
    </row>
    <row r="10" spans="1:11" ht="17" x14ac:dyDescent="0.15">
      <c r="A10" s="195">
        <v>2</v>
      </c>
      <c r="B10" s="191" t="s">
        <v>237</v>
      </c>
      <c r="C10" s="161">
        <v>16</v>
      </c>
      <c r="D10" s="14">
        <v>2.85</v>
      </c>
      <c r="E10" s="163">
        <v>1494</v>
      </c>
      <c r="F10" s="162">
        <v>9</v>
      </c>
      <c r="G10" s="15">
        <f t="shared" si="0"/>
        <v>13446</v>
      </c>
      <c r="H10" s="16">
        <f t="shared" ref="H10:H13" si="1">F10*C10</f>
        <v>144</v>
      </c>
      <c r="I10" s="182" t="s">
        <v>273</v>
      </c>
      <c r="J10" s="192">
        <v>3.125E-2</v>
      </c>
      <c r="K10" s="193" t="s">
        <v>44</v>
      </c>
    </row>
    <row r="11" spans="1:11" ht="17" x14ac:dyDescent="0.15">
      <c r="A11" s="190">
        <v>3</v>
      </c>
      <c r="B11" s="191" t="s">
        <v>237</v>
      </c>
      <c r="C11" s="161">
        <v>17</v>
      </c>
      <c r="D11" s="14">
        <v>2.85</v>
      </c>
      <c r="E11" s="163">
        <v>1494</v>
      </c>
      <c r="F11" s="175">
        <v>20</v>
      </c>
      <c r="G11" s="15">
        <f t="shared" si="0"/>
        <v>29880</v>
      </c>
      <c r="H11" s="16">
        <f t="shared" si="1"/>
        <v>340</v>
      </c>
      <c r="I11" s="182"/>
      <c r="J11" s="192"/>
      <c r="K11" s="208"/>
    </row>
    <row r="12" spans="1:11" ht="19.25" customHeight="1" x14ac:dyDescent="0.15">
      <c r="A12" s="195">
        <v>4</v>
      </c>
      <c r="B12" s="191" t="s">
        <v>237</v>
      </c>
      <c r="C12" s="176">
        <v>19</v>
      </c>
      <c r="D12" s="14">
        <v>2.85</v>
      </c>
      <c r="E12" s="177">
        <v>1411</v>
      </c>
      <c r="F12" s="178">
        <v>29.5</v>
      </c>
      <c r="G12" s="15">
        <f t="shared" si="0"/>
        <v>41624.5</v>
      </c>
      <c r="H12" s="16">
        <f>F12*C12</f>
        <v>560.5</v>
      </c>
      <c r="I12" s="201"/>
      <c r="J12" s="200"/>
      <c r="K12" s="209"/>
    </row>
    <row r="13" spans="1:11" ht="17" x14ac:dyDescent="0.15">
      <c r="A13" s="197">
        <v>5</v>
      </c>
      <c r="B13" s="191" t="s">
        <v>247</v>
      </c>
      <c r="C13" s="176">
        <v>15</v>
      </c>
      <c r="D13" s="14">
        <v>2.85</v>
      </c>
      <c r="E13" s="177">
        <v>1440</v>
      </c>
      <c r="F13" s="178">
        <v>13.1</v>
      </c>
      <c r="G13" s="15">
        <f t="shared" si="0"/>
        <v>18864</v>
      </c>
      <c r="H13" s="16">
        <f t="shared" si="1"/>
        <v>196.5</v>
      </c>
      <c r="I13" s="182"/>
      <c r="J13" s="192"/>
      <c r="K13" s="208"/>
    </row>
    <row r="14" spans="1:11" ht="17" x14ac:dyDescent="0.15">
      <c r="A14" s="190">
        <v>6</v>
      </c>
      <c r="B14" s="191" t="s">
        <v>247</v>
      </c>
      <c r="C14" s="183">
        <v>18</v>
      </c>
      <c r="D14" s="14">
        <v>2.85</v>
      </c>
      <c r="E14" s="184">
        <v>1440</v>
      </c>
      <c r="F14" s="185">
        <v>7</v>
      </c>
      <c r="G14" s="15">
        <f t="shared" si="0"/>
        <v>10080</v>
      </c>
      <c r="H14" s="16">
        <f>F14*C14</f>
        <v>126</v>
      </c>
      <c r="I14" s="201"/>
      <c r="J14" s="200"/>
      <c r="K14" s="209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92</v>
      </c>
      <c r="G22" s="33">
        <f>SUM(G9:G21)/F22</f>
        <v>1455.5880434782609</v>
      </c>
      <c r="H22" s="34">
        <f>SUM(H9:H21)/F22</f>
        <v>17.043478260869566</v>
      </c>
      <c r="I22" s="35" t="s">
        <v>22</v>
      </c>
      <c r="J22" s="160">
        <v>5.2083333333333336E-2</v>
      </c>
      <c r="K22" s="29"/>
    </row>
    <row r="23" spans="1:11" x14ac:dyDescent="0.15">
      <c r="E23" s="36"/>
      <c r="F23" s="37"/>
      <c r="I23" s="38" t="s">
        <v>23</v>
      </c>
      <c r="J23" s="39">
        <v>1.25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92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70+76+40+59+25+45+61+42+68+69+71+87+93+91+90+101+83+67+77+78+94+85+72+59+5+92+76+86+92</f>
        <v>2054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122.58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BD8C80F8-85AB-4542-8998-57BDF97CD6FA}">
      <formula1>$I$41:$I$50</formula1>
    </dataValidation>
    <dataValidation type="list" allowBlank="1" showInputMessage="1" showErrorMessage="1" sqref="B20:B21" xr:uid="{C857004D-5AEF-4FB7-AB47-D7FF747CBFA4}">
      <formula1>$K$29:$K$40</formula1>
    </dataValidation>
    <dataValidation type="list" allowBlank="1" showInputMessage="1" showErrorMessage="1" sqref="B16:B19" xr:uid="{EA2E18EA-97E2-4E8B-96AB-33249473C31C}">
      <formula1>$K$29:$K$85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F967-608C-47CC-A618-E92E0EA41DB9}">
  <dimension ref="A1:K85"/>
  <sheetViews>
    <sheetView workbookViewId="0">
      <selection activeCell="M22" sqref="M22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50">
        <v>45930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0">
        <v>1</v>
      </c>
      <c r="B9" s="191" t="s">
        <v>237</v>
      </c>
      <c r="C9" s="161">
        <v>19</v>
      </c>
      <c r="D9" s="14">
        <v>2.85</v>
      </c>
      <c r="E9" s="163">
        <v>1428</v>
      </c>
      <c r="F9" s="162">
        <v>33</v>
      </c>
      <c r="G9" s="15">
        <f t="shared" ref="G9:G10" si="0">E9*F9</f>
        <v>47124</v>
      </c>
      <c r="H9" s="16">
        <f>F9*C9</f>
        <v>627</v>
      </c>
      <c r="I9" s="182" t="s">
        <v>20</v>
      </c>
      <c r="J9" s="192">
        <v>2.0833333333333332E-2</v>
      </c>
      <c r="K9" s="208" t="s">
        <v>272</v>
      </c>
    </row>
    <row r="10" spans="1:11" ht="17" x14ac:dyDescent="0.15">
      <c r="A10" s="195">
        <v>2</v>
      </c>
      <c r="B10" s="191" t="s">
        <v>244</v>
      </c>
      <c r="C10" s="161">
        <v>17</v>
      </c>
      <c r="D10" s="14">
        <v>2.85</v>
      </c>
      <c r="E10" s="163">
        <v>1467</v>
      </c>
      <c r="F10" s="162">
        <v>63</v>
      </c>
      <c r="G10" s="15">
        <f t="shared" si="0"/>
        <v>92421</v>
      </c>
      <c r="H10" s="16">
        <f t="shared" ref="H10" si="1">F10*C10</f>
        <v>1071</v>
      </c>
      <c r="I10" s="182" t="s">
        <v>245</v>
      </c>
      <c r="J10" s="192">
        <v>1.3888888888888888E-2</v>
      </c>
      <c r="K10" s="193" t="s">
        <v>274</v>
      </c>
    </row>
    <row r="11" spans="1:11" ht="16" x14ac:dyDescent="0.15">
      <c r="A11" s="190"/>
      <c r="B11" s="191"/>
      <c r="C11" s="161"/>
      <c r="D11" s="14"/>
      <c r="E11" s="163"/>
      <c r="F11" s="175"/>
      <c r="G11" s="15"/>
      <c r="H11" s="16"/>
      <c r="I11" s="182" t="s">
        <v>275</v>
      </c>
      <c r="J11" s="192">
        <v>1.3888888888888888E-2</v>
      </c>
      <c r="K11" s="193" t="s">
        <v>274</v>
      </c>
    </row>
    <row r="12" spans="1:11" ht="19.25" customHeight="1" x14ac:dyDescent="0.15">
      <c r="A12" s="195"/>
      <c r="B12" s="191"/>
      <c r="C12" s="176"/>
      <c r="D12" s="14"/>
      <c r="E12" s="177"/>
      <c r="F12" s="178"/>
      <c r="G12" s="15"/>
      <c r="H12" s="16"/>
      <c r="I12" s="201" t="s">
        <v>276</v>
      </c>
      <c r="J12" s="200">
        <v>1.3888888888888888E-2</v>
      </c>
      <c r="K12" s="193" t="s">
        <v>274</v>
      </c>
    </row>
    <row r="13" spans="1:11" ht="16" x14ac:dyDescent="0.15">
      <c r="A13" s="197"/>
      <c r="B13" s="191"/>
      <c r="C13" s="176"/>
      <c r="D13" s="14"/>
      <c r="E13" s="177"/>
      <c r="F13" s="178"/>
      <c r="G13" s="15"/>
      <c r="H13" s="16"/>
      <c r="I13" s="182"/>
      <c r="J13" s="192"/>
      <c r="K13" s="208"/>
    </row>
    <row r="14" spans="1:11" ht="16" x14ac:dyDescent="0.15">
      <c r="A14" s="190"/>
      <c r="B14" s="191"/>
      <c r="C14" s="183"/>
      <c r="D14" s="14"/>
      <c r="E14" s="184"/>
      <c r="F14" s="185"/>
      <c r="G14" s="15"/>
      <c r="H14" s="16"/>
      <c r="I14" s="201"/>
      <c r="J14" s="200"/>
      <c r="K14" s="209"/>
    </row>
    <row r="15" spans="1:11" ht="16" x14ac:dyDescent="0.2">
      <c r="A15" s="195"/>
      <c r="B15" s="191"/>
      <c r="C15" s="198"/>
      <c r="D15" s="14"/>
      <c r="E15" s="184"/>
      <c r="F15" s="199"/>
      <c r="G15" s="15"/>
      <c r="H15" s="16"/>
      <c r="I15" s="19"/>
      <c r="J15" s="18"/>
      <c r="K15" s="17"/>
    </row>
    <row r="16" spans="1:11" ht="16" x14ac:dyDescent="0.2">
      <c r="A16" s="203"/>
      <c r="B16" s="204"/>
      <c r="C16" s="161"/>
      <c r="D16" s="14"/>
      <c r="E16" s="177"/>
      <c r="F16" s="161"/>
      <c r="G16" s="15"/>
      <c r="H16" s="16"/>
      <c r="I16" s="19"/>
      <c r="J16" s="18"/>
      <c r="K16" s="20"/>
    </row>
    <row r="17" spans="1:11" ht="16" x14ac:dyDescent="0.2">
      <c r="A17" s="203"/>
      <c r="B17" s="204"/>
      <c r="C17" s="161"/>
      <c r="D17" s="14"/>
      <c r="E17" s="184"/>
      <c r="F17" s="161"/>
      <c r="G17" s="15"/>
      <c r="H17" s="16"/>
      <c r="I17" s="19"/>
      <c r="J17" s="18"/>
      <c r="K17" s="20"/>
    </row>
    <row r="18" spans="1:11" ht="16" x14ac:dyDescent="0.2">
      <c r="A18" s="203"/>
      <c r="B18" s="204"/>
      <c r="C18" s="161"/>
      <c r="D18" s="14"/>
      <c r="E18" s="184"/>
      <c r="F18" s="161"/>
      <c r="G18" s="15"/>
      <c r="H18" s="16"/>
      <c r="I18" s="10"/>
      <c r="J18" s="13"/>
      <c r="K18" s="10"/>
    </row>
    <row r="19" spans="1:11" ht="16" x14ac:dyDescent="0.2">
      <c r="A19" s="11"/>
      <c r="B19" s="10"/>
      <c r="C19" s="12"/>
      <c r="D19" s="206"/>
      <c r="E19" s="11"/>
      <c r="F19" s="12"/>
      <c r="G19" s="207"/>
      <c r="H19" s="12"/>
      <c r="I19" s="10"/>
      <c r="J19" s="13"/>
      <c r="K19" s="10"/>
    </row>
    <row r="20" spans="1:11" x14ac:dyDescent="0.15">
      <c r="A20" s="21"/>
      <c r="B20" s="22"/>
      <c r="C20" s="23"/>
      <c r="D20" s="24"/>
      <c r="E20" s="21"/>
      <c r="F20" s="23"/>
      <c r="G20" s="25"/>
      <c r="H20" s="23"/>
      <c r="I20" s="22"/>
      <c r="J20" s="26"/>
      <c r="K20" s="22"/>
    </row>
    <row r="21" spans="1:11" x14ac:dyDescent="0.15">
      <c r="A21" s="21"/>
      <c r="B21" s="22"/>
      <c r="C21" s="27"/>
      <c r="D21" s="21"/>
      <c r="E21" s="26"/>
      <c r="F21" s="27"/>
      <c r="G21" s="25"/>
      <c r="H21" s="23"/>
      <c r="I21" s="22"/>
      <c r="J21" s="26"/>
      <c r="K21" s="22"/>
    </row>
    <row r="22" spans="1:11" x14ac:dyDescent="0.15">
      <c r="A22" s="28"/>
      <c r="B22" s="29"/>
      <c r="C22" s="30"/>
      <c r="D22" s="30"/>
      <c r="E22" s="31" t="s">
        <v>21</v>
      </c>
      <c r="F22" s="32">
        <f>SUM(F9:F21)</f>
        <v>96</v>
      </c>
      <c r="G22" s="33">
        <f>SUM(G9:G21)/F22</f>
        <v>1453.59375</v>
      </c>
      <c r="H22" s="34">
        <f>SUM(H9:H21)/F22</f>
        <v>17.6875</v>
      </c>
      <c r="I22" s="35" t="s">
        <v>22</v>
      </c>
      <c r="J22" s="160">
        <v>6.25E-2</v>
      </c>
      <c r="K22" s="29"/>
    </row>
    <row r="23" spans="1:11" x14ac:dyDescent="0.15">
      <c r="E23" s="36"/>
      <c r="F23" s="37"/>
      <c r="I23" s="38" t="s">
        <v>23</v>
      </c>
      <c r="J23" s="39">
        <v>1.5</v>
      </c>
    </row>
    <row r="24" spans="1:11" x14ac:dyDescent="0.15">
      <c r="A24" s="1"/>
      <c r="I24" s="40"/>
      <c r="J24" s="41"/>
    </row>
    <row r="25" spans="1:11" x14ac:dyDescent="0.15">
      <c r="A25" s="42" t="s">
        <v>24</v>
      </c>
      <c r="B25" s="42"/>
      <c r="C25" s="42"/>
      <c r="D25" s="27"/>
      <c r="H25" s="4" t="s">
        <v>25</v>
      </c>
      <c r="I25" s="4"/>
      <c r="J25" s="36">
        <f>F22</f>
        <v>96</v>
      </c>
      <c r="K25" s="1" t="s">
        <v>16</v>
      </c>
    </row>
    <row r="26" spans="1:11" x14ac:dyDescent="0.15">
      <c r="A26" s="42" t="s">
        <v>26</v>
      </c>
      <c r="B26" s="42"/>
      <c r="C26" s="42"/>
      <c r="D26" s="27"/>
      <c r="H26" s="4" t="s">
        <v>27</v>
      </c>
      <c r="I26" s="4"/>
      <c r="J26" s="36">
        <f>70+76+40+59+25+45+61+42+68+69+71+87+93+91+90+101+83+67+77+78+94+85+72+59+5+92+76+86+92+96</f>
        <v>2150</v>
      </c>
      <c r="K26" s="1" t="s">
        <v>16</v>
      </c>
    </row>
    <row r="27" spans="1:11" ht="15" thickBot="1" x14ac:dyDescent="0.2">
      <c r="A27" s="43"/>
      <c r="B27" s="43"/>
      <c r="C27" s="43"/>
      <c r="D27" s="43"/>
      <c r="E27" s="44"/>
      <c r="F27" s="44"/>
      <c r="G27" s="43"/>
      <c r="H27" s="45" t="s">
        <v>28</v>
      </c>
      <c r="I27" s="45"/>
      <c r="J27" s="46">
        <v>124.08</v>
      </c>
      <c r="K27" s="47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48" t="s">
        <v>42</v>
      </c>
      <c r="K41" s="2" t="s">
        <v>43</v>
      </c>
    </row>
    <row r="42" spans="9:11" ht="15" hidden="1" x14ac:dyDescent="0.15">
      <c r="I42" s="48" t="s">
        <v>44</v>
      </c>
      <c r="K42" s="2" t="s">
        <v>45</v>
      </c>
    </row>
    <row r="43" spans="9:11" hidden="1" x14ac:dyDescent="0.15">
      <c r="I43" s="49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87539449-AE19-4506-A926-AB411A24E2DC}">
      <formula1>$K$29:$K$85</formula1>
    </dataValidation>
    <dataValidation type="list" allowBlank="1" showInputMessage="1" showErrorMessage="1" sqref="B20:B21" xr:uid="{AC404157-1BBB-4C2A-8799-A1B3146C8575}">
      <formula1>$K$29:$K$40</formula1>
    </dataValidation>
    <dataValidation type="list" allowBlank="1" showInputMessage="1" showErrorMessage="1" sqref="I50 K15:K21" xr:uid="{46C671EF-B83B-44CC-A2D0-783D95D505F1}">
      <formula1>$I$41:$I$50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W125"/>
  <sheetViews>
    <sheetView tabSelected="1" topLeftCell="U51" zoomScale="85" zoomScaleNormal="85" workbookViewId="0">
      <selection activeCell="AJ116" sqref="AJ116:AJ122"/>
    </sheetView>
  </sheetViews>
  <sheetFormatPr baseColWidth="10" defaultColWidth="9.1640625" defaultRowHeight="20" x14ac:dyDescent="0.2"/>
  <cols>
    <col min="1" max="1" width="5.5" style="157" bestFit="1" customWidth="1"/>
    <col min="2" max="2" width="65.5" style="55" bestFit="1" customWidth="1"/>
    <col min="3" max="3" width="14.83203125" style="158" hidden="1" customWidth="1"/>
    <col min="4" max="4" width="12.1640625" style="55" customWidth="1"/>
    <col min="5" max="5" width="12.6640625" style="55" hidden="1" customWidth="1"/>
    <col min="6" max="6" width="17.33203125" style="55" hidden="1" customWidth="1"/>
    <col min="7" max="7" width="16.1640625" style="55" bestFit="1" customWidth="1"/>
    <col min="8" max="8" width="14.1640625" style="55" bestFit="1" customWidth="1"/>
    <col min="9" max="9" width="13.6640625" style="55" bestFit="1" customWidth="1"/>
    <col min="10" max="11" width="13.1640625" style="55" bestFit="1" customWidth="1"/>
    <col min="12" max="17" width="12.5" style="55" bestFit="1" customWidth="1"/>
    <col min="18" max="18" width="14.6640625" style="55" bestFit="1" customWidth="1"/>
    <col min="19" max="20" width="12.5" style="55" bestFit="1" customWidth="1"/>
    <col min="21" max="21" width="13.5" style="55" bestFit="1" customWidth="1"/>
    <col min="22" max="22" width="14" style="55" bestFit="1" customWidth="1"/>
    <col min="23" max="23" width="12.83203125" style="55" bestFit="1" customWidth="1"/>
    <col min="24" max="35" width="12.5" style="55" bestFit="1" customWidth="1"/>
    <col min="36" max="36" width="13.83203125" style="55" bestFit="1" customWidth="1"/>
    <col min="37" max="37" width="10.1640625" style="55" hidden="1" customWidth="1"/>
    <col min="38" max="38" width="11.6640625" style="55" hidden="1" customWidth="1"/>
    <col min="39" max="39" width="12.5" style="55" hidden="1" customWidth="1"/>
    <col min="40" max="40" width="11.6640625" style="55" hidden="1" customWidth="1"/>
    <col min="41" max="41" width="12" style="55" hidden="1" customWidth="1"/>
    <col min="42" max="42" width="12.1640625" style="55" hidden="1" customWidth="1"/>
    <col min="43" max="43" width="11.83203125" style="55" hidden="1" customWidth="1"/>
    <col min="44" max="44" width="11" style="55" hidden="1" customWidth="1"/>
    <col min="45" max="49" width="11.33203125" style="55" hidden="1" customWidth="1"/>
    <col min="50" max="50" width="13.1640625" style="55" hidden="1" customWidth="1"/>
    <col min="51" max="51" width="12.6640625" style="55" hidden="1" customWidth="1"/>
    <col min="52" max="58" width="11.33203125" style="55" hidden="1" customWidth="1"/>
    <col min="59" max="71" width="11" style="55" hidden="1" customWidth="1"/>
    <col min="72" max="72" width="34.33203125" style="159" customWidth="1"/>
    <col min="73" max="73" width="14.83203125" style="55" customWidth="1"/>
    <col min="74" max="74" width="13.5" style="55" customWidth="1"/>
    <col min="75" max="75" width="17" style="55" customWidth="1"/>
    <col min="76" max="76" width="10" style="55" customWidth="1"/>
    <col min="77" max="16384" width="9.1640625" style="55"/>
  </cols>
  <sheetData>
    <row r="1" spans="1:74" ht="23" x14ac:dyDescent="0.25">
      <c r="A1" s="51" t="s">
        <v>3</v>
      </c>
      <c r="B1" s="52" t="s">
        <v>243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4"/>
    </row>
    <row r="2" spans="1:74" ht="44.25" customHeight="1" x14ac:dyDescent="0.2">
      <c r="A2" s="56"/>
      <c r="B2" s="57" t="s">
        <v>95</v>
      </c>
      <c r="C2" s="57" t="s">
        <v>96</v>
      </c>
      <c r="D2" s="58" t="s">
        <v>97</v>
      </c>
      <c r="E2" s="58">
        <v>1</v>
      </c>
      <c r="F2" s="58">
        <v>2</v>
      </c>
      <c r="G2" s="58">
        <v>1</v>
      </c>
      <c r="H2" s="58">
        <v>2</v>
      </c>
      <c r="I2" s="58">
        <v>3</v>
      </c>
      <c r="J2" s="58">
        <v>4</v>
      </c>
      <c r="K2" s="58">
        <v>5</v>
      </c>
      <c r="L2" s="58">
        <v>6</v>
      </c>
      <c r="M2" s="58">
        <v>7</v>
      </c>
      <c r="N2" s="58">
        <v>8</v>
      </c>
      <c r="O2" s="58">
        <v>9</v>
      </c>
      <c r="P2" s="58">
        <v>10</v>
      </c>
      <c r="Q2" s="58">
        <v>11</v>
      </c>
      <c r="R2" s="58">
        <v>12</v>
      </c>
      <c r="S2" s="58">
        <v>13</v>
      </c>
      <c r="T2" s="58">
        <v>14</v>
      </c>
      <c r="U2" s="58">
        <v>15</v>
      </c>
      <c r="V2" s="58">
        <v>16</v>
      </c>
      <c r="W2" s="58">
        <v>17</v>
      </c>
      <c r="X2" s="58">
        <v>18</v>
      </c>
      <c r="Y2" s="58">
        <v>19</v>
      </c>
      <c r="Z2" s="58">
        <v>20</v>
      </c>
      <c r="AA2" s="58">
        <v>21</v>
      </c>
      <c r="AB2" s="58">
        <v>22</v>
      </c>
      <c r="AC2" s="58">
        <v>23</v>
      </c>
      <c r="AD2" s="58">
        <v>24</v>
      </c>
      <c r="AE2" s="58">
        <v>25</v>
      </c>
      <c r="AF2" s="58">
        <v>26</v>
      </c>
      <c r="AG2" s="58">
        <v>27</v>
      </c>
      <c r="AH2" s="58">
        <v>28</v>
      </c>
      <c r="AI2" s="58">
        <v>29</v>
      </c>
      <c r="AJ2" s="58">
        <v>30</v>
      </c>
      <c r="AK2" s="58">
        <v>7</v>
      </c>
      <c r="AL2" s="58">
        <v>8</v>
      </c>
      <c r="AM2" s="58">
        <v>9</v>
      </c>
      <c r="AN2" s="58">
        <v>10</v>
      </c>
      <c r="AO2" s="58">
        <v>11</v>
      </c>
      <c r="AP2" s="58">
        <v>12</v>
      </c>
      <c r="AQ2" s="58">
        <v>13</v>
      </c>
      <c r="AR2" s="58">
        <v>14</v>
      </c>
      <c r="AS2" s="58">
        <v>15</v>
      </c>
      <c r="AT2" s="58">
        <v>16</v>
      </c>
      <c r="AU2" s="58">
        <v>17</v>
      </c>
      <c r="AV2" s="58">
        <v>18</v>
      </c>
      <c r="AW2" s="58">
        <v>19</v>
      </c>
      <c r="AX2" s="58">
        <v>20</v>
      </c>
      <c r="AY2" s="58">
        <v>21</v>
      </c>
      <c r="AZ2" s="58">
        <v>22</v>
      </c>
      <c r="BA2" s="58">
        <v>23</v>
      </c>
      <c r="BB2" s="58">
        <v>24</v>
      </c>
      <c r="BC2" s="58">
        <v>25</v>
      </c>
      <c r="BD2" s="58">
        <v>26</v>
      </c>
      <c r="BE2" s="58">
        <v>27</v>
      </c>
      <c r="BF2" s="58">
        <v>28</v>
      </c>
      <c r="BG2" s="58">
        <v>16</v>
      </c>
      <c r="BH2" s="58">
        <v>17</v>
      </c>
      <c r="BI2" s="58">
        <v>18</v>
      </c>
      <c r="BJ2" s="58">
        <v>19</v>
      </c>
      <c r="BK2" s="58">
        <v>20</v>
      </c>
      <c r="BL2" s="58">
        <v>21</v>
      </c>
      <c r="BM2" s="58">
        <v>22</v>
      </c>
      <c r="BN2" s="58">
        <v>23</v>
      </c>
      <c r="BO2" s="58">
        <v>24</v>
      </c>
      <c r="BP2" s="58">
        <v>25</v>
      </c>
      <c r="BQ2" s="58">
        <v>26</v>
      </c>
      <c r="BR2" s="58">
        <v>27</v>
      </c>
      <c r="BS2" s="58">
        <v>28</v>
      </c>
      <c r="BT2" s="59" t="s">
        <v>98</v>
      </c>
    </row>
    <row r="3" spans="1:74" s="66" customFormat="1" x14ac:dyDescent="0.2">
      <c r="A3" s="60" t="s">
        <v>99</v>
      </c>
      <c r="B3" s="61" t="s">
        <v>100</v>
      </c>
      <c r="C3" s="62"/>
      <c r="D3" s="63" t="s">
        <v>101</v>
      </c>
      <c r="E3" s="64"/>
      <c r="F3" s="65"/>
      <c r="G3" s="65"/>
      <c r="H3" s="65"/>
      <c r="I3" s="213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5"/>
    </row>
    <row r="4" spans="1:74" x14ac:dyDescent="0.2">
      <c r="A4" s="67">
        <v>1</v>
      </c>
      <c r="B4" s="68" t="s">
        <v>102</v>
      </c>
      <c r="C4" s="69"/>
      <c r="D4" s="70" t="s">
        <v>16</v>
      </c>
      <c r="E4" s="64">
        <v>0</v>
      </c>
      <c r="F4" s="64">
        <v>0</v>
      </c>
      <c r="G4" s="71">
        <v>0</v>
      </c>
      <c r="H4" s="71">
        <v>0</v>
      </c>
      <c r="I4" s="71">
        <v>0</v>
      </c>
      <c r="J4" s="71">
        <v>0</v>
      </c>
      <c r="K4" s="71">
        <v>0</v>
      </c>
      <c r="L4" s="71">
        <v>0</v>
      </c>
      <c r="M4" s="71">
        <v>0</v>
      </c>
      <c r="N4" s="71">
        <v>0</v>
      </c>
      <c r="O4" s="71">
        <v>0</v>
      </c>
      <c r="P4" s="71">
        <v>0</v>
      </c>
      <c r="Q4" s="71">
        <v>0</v>
      </c>
      <c r="R4" s="71">
        <v>0</v>
      </c>
      <c r="S4" s="71">
        <v>0</v>
      </c>
      <c r="T4" s="71">
        <v>0</v>
      </c>
      <c r="U4" s="71">
        <v>0</v>
      </c>
      <c r="V4" s="71">
        <v>0</v>
      </c>
      <c r="W4" s="71">
        <v>0</v>
      </c>
      <c r="X4" s="71">
        <v>0</v>
      </c>
      <c r="Y4" s="71">
        <v>0</v>
      </c>
      <c r="Z4" s="71">
        <v>0</v>
      </c>
      <c r="AA4" s="71">
        <v>0</v>
      </c>
      <c r="AB4" s="71">
        <v>0</v>
      </c>
      <c r="AC4" s="71">
        <v>0</v>
      </c>
      <c r="AD4" s="71">
        <v>0</v>
      </c>
      <c r="AE4" s="71">
        <v>0</v>
      </c>
      <c r="AF4" s="71">
        <v>0</v>
      </c>
      <c r="AG4" s="71">
        <v>0</v>
      </c>
      <c r="AH4" s="71">
        <v>0</v>
      </c>
      <c r="AI4" s="71">
        <v>0</v>
      </c>
      <c r="AJ4" s="71">
        <v>0</v>
      </c>
      <c r="AK4" s="71"/>
      <c r="AL4" s="71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4">
        <f t="shared" ref="BT4:BT46" si="0">SUM(G4:BF4)</f>
        <v>0</v>
      </c>
      <c r="BU4" s="75"/>
    </row>
    <row r="5" spans="1:74" x14ac:dyDescent="0.2">
      <c r="A5" s="67">
        <v>2</v>
      </c>
      <c r="B5" s="68" t="s">
        <v>103</v>
      </c>
      <c r="C5" s="69"/>
      <c r="D5" s="70" t="s">
        <v>16</v>
      </c>
      <c r="E5" s="64"/>
      <c r="F5" s="64"/>
      <c r="G5" s="71">
        <v>4.024</v>
      </c>
      <c r="H5" s="71">
        <v>0</v>
      </c>
      <c r="I5" s="71">
        <v>0</v>
      </c>
      <c r="J5" s="71">
        <v>0</v>
      </c>
      <c r="K5" s="71">
        <v>0</v>
      </c>
      <c r="L5" s="71">
        <v>0</v>
      </c>
      <c r="M5" s="71">
        <v>0</v>
      </c>
      <c r="N5" s="71">
        <v>0</v>
      </c>
      <c r="O5" s="71">
        <v>0</v>
      </c>
      <c r="P5" s="71">
        <v>20.12</v>
      </c>
      <c r="Q5" s="71">
        <v>24.143999999999998</v>
      </c>
      <c r="R5" s="71">
        <v>1.006</v>
      </c>
      <c r="S5" s="71">
        <v>0</v>
      </c>
      <c r="T5" s="71">
        <v>0</v>
      </c>
      <c r="U5" s="71">
        <v>0</v>
      </c>
      <c r="V5" s="71">
        <v>0</v>
      </c>
      <c r="W5" s="71">
        <v>0</v>
      </c>
      <c r="X5" s="71">
        <v>12.827</v>
      </c>
      <c r="Y5" s="71">
        <v>3.0179999999999998</v>
      </c>
      <c r="Z5" s="71">
        <v>0</v>
      </c>
      <c r="AA5" s="71">
        <v>0</v>
      </c>
      <c r="AB5" s="71">
        <v>0</v>
      </c>
      <c r="AC5" s="71">
        <v>0</v>
      </c>
      <c r="AD5" s="71">
        <v>0</v>
      </c>
      <c r="AE5" s="71">
        <v>0</v>
      </c>
      <c r="AF5" s="71">
        <v>0</v>
      </c>
      <c r="AG5" s="71">
        <v>14.336</v>
      </c>
      <c r="AH5" s="71">
        <v>6.0359999999999996</v>
      </c>
      <c r="AI5" s="71">
        <v>0</v>
      </c>
      <c r="AJ5" s="71">
        <v>0</v>
      </c>
      <c r="AK5" s="71"/>
      <c r="AL5" s="71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4">
        <f t="shared" si="0"/>
        <v>85.510999999999996</v>
      </c>
      <c r="BU5" s="75"/>
      <c r="BV5" s="100"/>
    </row>
    <row r="6" spans="1:74" x14ac:dyDescent="0.2">
      <c r="A6" s="67">
        <v>3</v>
      </c>
      <c r="B6" s="68" t="s">
        <v>104</v>
      </c>
      <c r="C6" s="69"/>
      <c r="D6" s="70" t="s">
        <v>16</v>
      </c>
      <c r="E6" s="64">
        <v>0</v>
      </c>
      <c r="F6" s="64">
        <v>0</v>
      </c>
      <c r="G6" s="71">
        <v>0</v>
      </c>
      <c r="H6" s="71">
        <v>0</v>
      </c>
      <c r="I6" s="71">
        <v>0</v>
      </c>
      <c r="J6" s="71">
        <v>0</v>
      </c>
      <c r="K6" s="71">
        <v>0</v>
      </c>
      <c r="L6" s="71">
        <v>0</v>
      </c>
      <c r="M6" s="71">
        <v>0</v>
      </c>
      <c r="N6" s="71">
        <v>0</v>
      </c>
      <c r="O6" s="71">
        <v>0</v>
      </c>
      <c r="P6" s="71">
        <v>0</v>
      </c>
      <c r="Q6" s="71">
        <v>0</v>
      </c>
      <c r="R6" s="71">
        <v>0</v>
      </c>
      <c r="S6" s="71">
        <v>0</v>
      </c>
      <c r="T6" s="71">
        <v>0</v>
      </c>
      <c r="U6" s="71">
        <v>0</v>
      </c>
      <c r="V6" s="71">
        <v>0</v>
      </c>
      <c r="W6" s="71">
        <v>0</v>
      </c>
      <c r="X6" s="71">
        <v>0</v>
      </c>
      <c r="Y6" s="71">
        <v>0</v>
      </c>
      <c r="Z6" s="71">
        <v>0</v>
      </c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0</v>
      </c>
      <c r="AI6" s="71">
        <v>0</v>
      </c>
      <c r="AJ6" s="71">
        <v>0</v>
      </c>
      <c r="AK6" s="71"/>
      <c r="AL6" s="71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4">
        <f t="shared" si="0"/>
        <v>0</v>
      </c>
      <c r="BU6" s="75"/>
      <c r="BV6" s="100"/>
    </row>
    <row r="7" spans="1:74" x14ac:dyDescent="0.2">
      <c r="A7" s="67">
        <v>4</v>
      </c>
      <c r="B7" s="68" t="s">
        <v>105</v>
      </c>
      <c r="C7" s="69"/>
      <c r="D7" s="70" t="s">
        <v>16</v>
      </c>
      <c r="E7" s="64">
        <v>0</v>
      </c>
      <c r="F7" s="64">
        <v>0</v>
      </c>
      <c r="G7" s="71">
        <v>18</v>
      </c>
      <c r="H7" s="71">
        <v>27</v>
      </c>
      <c r="I7" s="71">
        <v>13.5</v>
      </c>
      <c r="J7" s="71">
        <v>21</v>
      </c>
      <c r="K7" s="71">
        <v>8</v>
      </c>
      <c r="L7" s="71">
        <v>16</v>
      </c>
      <c r="M7" s="71">
        <v>23</v>
      </c>
      <c r="N7" s="71">
        <v>15</v>
      </c>
      <c r="O7" s="71">
        <v>26</v>
      </c>
      <c r="P7" s="71">
        <v>21</v>
      </c>
      <c r="Q7" s="71">
        <v>24</v>
      </c>
      <c r="R7" s="71">
        <v>33</v>
      </c>
      <c r="S7" s="71">
        <v>35</v>
      </c>
      <c r="T7" s="71">
        <v>38</v>
      </c>
      <c r="U7" s="71">
        <v>35</v>
      </c>
      <c r="V7" s="71">
        <v>34</v>
      </c>
      <c r="W7" s="71">
        <v>48.360999999999997</v>
      </c>
      <c r="X7" s="71">
        <v>26</v>
      </c>
      <c r="Y7" s="71">
        <v>4</v>
      </c>
      <c r="Z7" s="71">
        <v>0</v>
      </c>
      <c r="AA7" s="71">
        <v>0</v>
      </c>
      <c r="AB7" s="71">
        <v>0</v>
      </c>
      <c r="AC7" s="71">
        <v>0</v>
      </c>
      <c r="AD7" s="71">
        <v>0</v>
      </c>
      <c r="AE7" s="71">
        <v>0</v>
      </c>
      <c r="AF7" s="71">
        <v>0</v>
      </c>
      <c r="AG7" s="71">
        <v>19</v>
      </c>
      <c r="AH7" s="71">
        <v>8</v>
      </c>
      <c r="AI7" s="71">
        <v>0</v>
      </c>
      <c r="AJ7" s="71">
        <v>0</v>
      </c>
      <c r="AK7" s="71"/>
      <c r="AL7" s="71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4">
        <f t="shared" si="0"/>
        <v>492.86099999999999</v>
      </c>
      <c r="BU7" s="75"/>
    </row>
    <row r="8" spans="1:74" x14ac:dyDescent="0.2">
      <c r="A8" s="67">
        <v>5</v>
      </c>
      <c r="B8" s="68" t="s">
        <v>106</v>
      </c>
      <c r="C8" s="69"/>
      <c r="D8" s="70" t="s">
        <v>16</v>
      </c>
      <c r="E8" s="64"/>
      <c r="F8" s="64"/>
      <c r="G8" s="71">
        <v>7.3360000000000003</v>
      </c>
      <c r="H8" s="71">
        <v>14.148</v>
      </c>
      <c r="I8" s="71">
        <v>6.8120000000000003</v>
      </c>
      <c r="J8" s="71">
        <v>11.004</v>
      </c>
      <c r="K8" s="71">
        <v>6.2880000000000003</v>
      </c>
      <c r="L8" s="71">
        <v>8.3840000000000003</v>
      </c>
      <c r="M8" s="71">
        <v>12.052</v>
      </c>
      <c r="N8" s="71">
        <v>4.1920000000000002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6.0259999999999998</v>
      </c>
      <c r="X8" s="71">
        <v>1.5720000000000001</v>
      </c>
      <c r="Y8" s="71">
        <v>3.306</v>
      </c>
      <c r="Z8" s="71">
        <v>0</v>
      </c>
      <c r="AA8" s="71">
        <v>0</v>
      </c>
      <c r="AB8" s="71">
        <v>0</v>
      </c>
      <c r="AC8" s="71">
        <v>0</v>
      </c>
      <c r="AD8" s="71">
        <v>0</v>
      </c>
      <c r="AE8" s="71">
        <v>0</v>
      </c>
      <c r="AF8" s="71">
        <v>0</v>
      </c>
      <c r="AG8" s="71">
        <v>0</v>
      </c>
      <c r="AH8" s="71">
        <v>0</v>
      </c>
      <c r="AI8" s="71">
        <v>0</v>
      </c>
      <c r="AJ8" s="71">
        <v>0</v>
      </c>
      <c r="AK8" s="71"/>
      <c r="AL8" s="71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4">
        <f t="shared" si="0"/>
        <v>81.12</v>
      </c>
      <c r="BU8" s="75"/>
    </row>
    <row r="9" spans="1:74" x14ac:dyDescent="0.2">
      <c r="A9" s="67">
        <v>6</v>
      </c>
      <c r="B9" s="68" t="s">
        <v>107</v>
      </c>
      <c r="C9" s="69"/>
      <c r="D9" s="70" t="s">
        <v>16</v>
      </c>
      <c r="E9" s="64"/>
      <c r="F9" s="64"/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0</v>
      </c>
      <c r="AA9" s="71">
        <v>0</v>
      </c>
      <c r="AB9" s="71">
        <v>0</v>
      </c>
      <c r="AC9" s="71">
        <v>0</v>
      </c>
      <c r="AD9" s="71">
        <v>0</v>
      </c>
      <c r="AE9" s="71">
        <v>0</v>
      </c>
      <c r="AF9" s="71">
        <v>0</v>
      </c>
      <c r="AG9" s="71">
        <v>0</v>
      </c>
      <c r="AH9" s="71">
        <v>0</v>
      </c>
      <c r="AI9" s="71">
        <v>0</v>
      </c>
      <c r="AJ9" s="71">
        <v>0</v>
      </c>
      <c r="AK9" s="71"/>
      <c r="AL9" s="71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4">
        <f t="shared" si="0"/>
        <v>0</v>
      </c>
      <c r="BU9" s="75"/>
    </row>
    <row r="10" spans="1:74" x14ac:dyDescent="0.2">
      <c r="A10" s="67">
        <v>7</v>
      </c>
      <c r="B10" s="68" t="s">
        <v>108</v>
      </c>
      <c r="C10" s="69"/>
      <c r="D10" s="70" t="s">
        <v>16</v>
      </c>
      <c r="E10" s="64"/>
      <c r="F10" s="64"/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  <c r="AC10" s="71">
        <v>0</v>
      </c>
      <c r="AD10" s="71">
        <v>0</v>
      </c>
      <c r="AE10" s="71">
        <v>0</v>
      </c>
      <c r="AF10" s="71">
        <v>0</v>
      </c>
      <c r="AG10" s="71">
        <v>0</v>
      </c>
      <c r="AH10" s="71">
        <v>0</v>
      </c>
      <c r="AI10" s="71">
        <v>0</v>
      </c>
      <c r="AJ10" s="71">
        <v>0</v>
      </c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64"/>
      <c r="BH10" s="64"/>
      <c r="BI10" s="64"/>
      <c r="BJ10" s="64"/>
      <c r="BK10" s="64"/>
      <c r="BL10" s="64"/>
      <c r="BM10" s="73"/>
      <c r="BN10" s="73"/>
      <c r="BO10" s="73"/>
      <c r="BP10" s="73"/>
      <c r="BQ10" s="73"/>
      <c r="BR10" s="73"/>
      <c r="BS10" s="73"/>
      <c r="BT10" s="74">
        <f t="shared" si="0"/>
        <v>0</v>
      </c>
      <c r="BU10" s="75"/>
    </row>
    <row r="11" spans="1:74" x14ac:dyDescent="0.2">
      <c r="A11" s="67">
        <v>8</v>
      </c>
      <c r="B11" s="68" t="s">
        <v>109</v>
      </c>
      <c r="C11" s="69"/>
      <c r="D11" s="70" t="s">
        <v>16</v>
      </c>
      <c r="E11" s="64"/>
      <c r="F11" s="64"/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  <c r="AC11" s="71">
        <v>0</v>
      </c>
      <c r="AD11" s="71">
        <v>0</v>
      </c>
      <c r="AE11" s="71">
        <v>0</v>
      </c>
      <c r="AF11" s="71">
        <v>0</v>
      </c>
      <c r="AG11" s="71">
        <v>0</v>
      </c>
      <c r="AH11" s="71">
        <v>0</v>
      </c>
      <c r="AI11" s="71">
        <v>0</v>
      </c>
      <c r="AJ11" s="71">
        <v>0</v>
      </c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64"/>
      <c r="BH11" s="64"/>
      <c r="BI11" s="64"/>
      <c r="BJ11" s="64"/>
      <c r="BK11" s="64"/>
      <c r="BL11" s="64"/>
      <c r="BM11" s="73"/>
      <c r="BN11" s="73"/>
      <c r="BO11" s="73"/>
      <c r="BP11" s="73"/>
      <c r="BQ11" s="73"/>
      <c r="BR11" s="73"/>
      <c r="BS11" s="73"/>
      <c r="BT11" s="74">
        <f t="shared" si="0"/>
        <v>0</v>
      </c>
      <c r="BU11" s="75"/>
    </row>
    <row r="12" spans="1:74" x14ac:dyDescent="0.2">
      <c r="A12" s="67">
        <v>9</v>
      </c>
      <c r="B12" s="68" t="s">
        <v>110</v>
      </c>
      <c r="C12" s="69"/>
      <c r="D12" s="70" t="s">
        <v>16</v>
      </c>
      <c r="E12" s="64"/>
      <c r="F12" s="64"/>
      <c r="G12" s="71">
        <v>13.86</v>
      </c>
      <c r="H12" s="71">
        <v>15.12</v>
      </c>
      <c r="I12" s="71">
        <v>5.04</v>
      </c>
      <c r="J12" s="71">
        <v>10.08</v>
      </c>
      <c r="K12" s="71">
        <v>6.3</v>
      </c>
      <c r="L12" s="71">
        <v>11.34</v>
      </c>
      <c r="M12" s="71">
        <v>13.86</v>
      </c>
      <c r="N12" s="71">
        <v>6.3</v>
      </c>
      <c r="O12" s="71">
        <v>10.08</v>
      </c>
      <c r="P12" s="71">
        <v>12.6</v>
      </c>
      <c r="Q12" s="71">
        <v>13.86</v>
      </c>
      <c r="R12" s="71">
        <v>17.64</v>
      </c>
      <c r="S12" s="71">
        <v>20.16</v>
      </c>
      <c r="T12" s="71">
        <v>13.86</v>
      </c>
      <c r="U12" s="71">
        <v>13.86</v>
      </c>
      <c r="V12" s="71">
        <v>20.16</v>
      </c>
      <c r="W12" s="71">
        <v>15.12</v>
      </c>
      <c r="X12" s="71">
        <v>13.86</v>
      </c>
      <c r="Y12" s="71">
        <v>13.86</v>
      </c>
      <c r="Z12" s="71">
        <v>11.34</v>
      </c>
      <c r="AA12" s="71">
        <v>16.38</v>
      </c>
      <c r="AB12" s="71">
        <v>15.12</v>
      </c>
      <c r="AC12" s="71">
        <v>12.6</v>
      </c>
      <c r="AD12" s="71">
        <v>8.82</v>
      </c>
      <c r="AE12" s="71">
        <v>2.52</v>
      </c>
      <c r="AF12" s="71">
        <v>15.12</v>
      </c>
      <c r="AG12" s="71">
        <v>15.12</v>
      </c>
      <c r="AH12" s="71">
        <v>15.12</v>
      </c>
      <c r="AI12" s="71">
        <v>16.38</v>
      </c>
      <c r="AJ12" s="71">
        <v>16.38</v>
      </c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64"/>
      <c r="BH12" s="64"/>
      <c r="BI12" s="64"/>
      <c r="BJ12" s="64"/>
      <c r="BK12" s="64"/>
      <c r="BL12" s="64"/>
      <c r="BM12" s="73"/>
      <c r="BN12" s="73"/>
      <c r="BO12" s="73"/>
      <c r="BP12" s="73"/>
      <c r="BQ12" s="73"/>
      <c r="BR12" s="73"/>
      <c r="BS12" s="73"/>
      <c r="BT12" s="74">
        <f t="shared" si="0"/>
        <v>391.85999999999996</v>
      </c>
      <c r="BU12" s="75"/>
    </row>
    <row r="13" spans="1:74" x14ac:dyDescent="0.2">
      <c r="A13" s="67">
        <v>10</v>
      </c>
      <c r="B13" s="68" t="s">
        <v>111</v>
      </c>
      <c r="C13" s="69"/>
      <c r="D13" s="70" t="s">
        <v>16</v>
      </c>
      <c r="E13" s="64"/>
      <c r="F13" s="64"/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  <c r="AC13" s="71">
        <v>0</v>
      </c>
      <c r="AD13" s="71">
        <v>0</v>
      </c>
      <c r="AE13" s="71">
        <v>0</v>
      </c>
      <c r="AF13" s="71">
        <v>0</v>
      </c>
      <c r="AG13" s="71">
        <v>0</v>
      </c>
      <c r="AH13" s="71">
        <v>0</v>
      </c>
      <c r="AI13" s="71">
        <v>0</v>
      </c>
      <c r="AJ13" s="71">
        <v>0</v>
      </c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64"/>
      <c r="BH13" s="64"/>
      <c r="BI13" s="64"/>
      <c r="BJ13" s="64"/>
      <c r="BK13" s="64"/>
      <c r="BL13" s="64"/>
      <c r="BM13" s="73"/>
      <c r="BN13" s="73"/>
      <c r="BO13" s="73"/>
      <c r="BP13" s="73"/>
      <c r="BQ13" s="73"/>
      <c r="BR13" s="73"/>
      <c r="BS13" s="73"/>
      <c r="BT13" s="74">
        <f t="shared" si="0"/>
        <v>0</v>
      </c>
      <c r="BU13" s="186"/>
    </row>
    <row r="14" spans="1:74" x14ac:dyDescent="0.2">
      <c r="A14" s="67">
        <v>11</v>
      </c>
      <c r="B14" s="68" t="s">
        <v>112</v>
      </c>
      <c r="C14" s="69"/>
      <c r="D14" s="70" t="s">
        <v>16</v>
      </c>
      <c r="E14" s="64"/>
      <c r="F14" s="64"/>
      <c r="G14" s="71">
        <v>26.393999999999998</v>
      </c>
      <c r="H14" s="71">
        <v>19.422000000000001</v>
      </c>
      <c r="I14" s="71">
        <v>8.9640000000000004</v>
      </c>
      <c r="J14" s="71">
        <v>14.442</v>
      </c>
      <c r="K14" s="71">
        <v>8.4659999999999993</v>
      </c>
      <c r="L14" s="71">
        <v>12.45</v>
      </c>
      <c r="M14" s="71">
        <v>16.931999999999999</v>
      </c>
      <c r="N14" s="71">
        <v>14.442</v>
      </c>
      <c r="O14" s="71">
        <v>29.88</v>
      </c>
      <c r="P14" s="71">
        <v>5.976</v>
      </c>
      <c r="Q14" s="71">
        <v>5.4779999999999998</v>
      </c>
      <c r="R14" s="71">
        <v>38.844000000000001</v>
      </c>
      <c r="S14" s="71">
        <v>42.828000000000003</v>
      </c>
      <c r="T14" s="71">
        <v>43.326000000000001</v>
      </c>
      <c r="U14" s="71">
        <v>40.338000000000001</v>
      </c>
      <c r="V14" s="71">
        <v>41.664000000000001</v>
      </c>
      <c r="W14" s="71">
        <v>17.699000000000002</v>
      </c>
      <c r="X14" s="71">
        <v>6.944</v>
      </c>
      <c r="Y14" s="71">
        <v>55.744</v>
      </c>
      <c r="Z14" s="71">
        <v>65.834999999999994</v>
      </c>
      <c r="AA14" s="71">
        <v>77.715000000000003</v>
      </c>
      <c r="AB14" s="71">
        <v>73.260000000000005</v>
      </c>
      <c r="AC14" s="71">
        <v>61.875</v>
      </c>
      <c r="AD14" s="71">
        <v>41.085000000000001</v>
      </c>
      <c r="AE14" s="71">
        <v>8.9280000000000008</v>
      </c>
      <c r="AF14" s="71">
        <v>73.408000000000001</v>
      </c>
      <c r="AG14" s="71">
        <v>21.824000000000002</v>
      </c>
      <c r="AH14" s="71">
        <v>57.536000000000001</v>
      </c>
      <c r="AI14" s="71">
        <v>71.775000000000006</v>
      </c>
      <c r="AJ14" s="71">
        <v>77.715000000000003</v>
      </c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64"/>
      <c r="BH14" s="64"/>
      <c r="BI14" s="64"/>
      <c r="BJ14" s="64"/>
      <c r="BK14" s="64"/>
      <c r="BL14" s="64"/>
      <c r="BM14" s="73"/>
      <c r="BN14" s="73"/>
      <c r="BO14" s="73"/>
      <c r="BP14" s="73"/>
      <c r="BQ14" s="73"/>
      <c r="BR14" s="73"/>
      <c r="BS14" s="73"/>
      <c r="BT14" s="74">
        <f t="shared" si="0"/>
        <v>1081.1890000000001</v>
      </c>
      <c r="BU14" s="75"/>
    </row>
    <row r="15" spans="1:74" x14ac:dyDescent="0.2">
      <c r="A15" s="67">
        <v>12</v>
      </c>
      <c r="B15" s="68" t="s">
        <v>113</v>
      </c>
      <c r="C15" s="69"/>
      <c r="D15" s="70" t="s">
        <v>16</v>
      </c>
      <c r="E15" s="64"/>
      <c r="F15" s="64"/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  <c r="AC15" s="71">
        <v>0</v>
      </c>
      <c r="AD15" s="71">
        <v>0</v>
      </c>
      <c r="AE15" s="71">
        <v>0</v>
      </c>
      <c r="AF15" s="71">
        <v>0</v>
      </c>
      <c r="AG15" s="71">
        <v>0</v>
      </c>
      <c r="AH15" s="71">
        <v>0</v>
      </c>
      <c r="AI15" s="71">
        <v>0</v>
      </c>
      <c r="AJ15" s="71">
        <v>0</v>
      </c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64"/>
      <c r="BH15" s="64"/>
      <c r="BI15" s="64"/>
      <c r="BJ15" s="64"/>
      <c r="BK15" s="64"/>
      <c r="BL15" s="64"/>
      <c r="BM15" s="73"/>
      <c r="BN15" s="73"/>
      <c r="BO15" s="73"/>
      <c r="BP15" s="73"/>
      <c r="BQ15" s="73"/>
      <c r="BR15" s="73"/>
      <c r="BS15" s="73"/>
      <c r="BT15" s="74">
        <f t="shared" si="0"/>
        <v>0</v>
      </c>
      <c r="BU15" s="75"/>
    </row>
    <row r="16" spans="1:74" x14ac:dyDescent="0.2">
      <c r="A16" s="67">
        <v>13</v>
      </c>
      <c r="B16" s="68" t="s">
        <v>230</v>
      </c>
      <c r="C16" s="69"/>
      <c r="D16" s="70" t="s">
        <v>16</v>
      </c>
      <c r="E16" s="64"/>
      <c r="F16" s="64"/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0</v>
      </c>
      <c r="AA16" s="71">
        <v>0</v>
      </c>
      <c r="AB16" s="71">
        <v>0</v>
      </c>
      <c r="AC16" s="71">
        <v>0</v>
      </c>
      <c r="AD16" s="71">
        <v>0</v>
      </c>
      <c r="AE16" s="71">
        <v>0</v>
      </c>
      <c r="AF16" s="71">
        <v>0</v>
      </c>
      <c r="AG16" s="71">
        <v>0</v>
      </c>
      <c r="AH16" s="71">
        <v>0</v>
      </c>
      <c r="AI16" s="71">
        <v>0</v>
      </c>
      <c r="AJ16" s="71">
        <v>0</v>
      </c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64"/>
      <c r="BH16" s="64"/>
      <c r="BI16" s="64"/>
      <c r="BJ16" s="64"/>
      <c r="BK16" s="64"/>
      <c r="BL16" s="64"/>
      <c r="BM16" s="73"/>
      <c r="BN16" s="73"/>
      <c r="BO16" s="73"/>
      <c r="BP16" s="73"/>
      <c r="BQ16" s="73"/>
      <c r="BR16" s="73"/>
      <c r="BS16" s="73"/>
      <c r="BT16" s="74">
        <f t="shared" si="0"/>
        <v>0</v>
      </c>
      <c r="BU16" s="75"/>
    </row>
    <row r="17" spans="1:73" x14ac:dyDescent="0.2">
      <c r="A17" s="67">
        <v>14</v>
      </c>
      <c r="B17" s="68" t="s">
        <v>232</v>
      </c>
      <c r="C17" s="69"/>
      <c r="D17" s="70" t="s">
        <v>16</v>
      </c>
      <c r="E17" s="64"/>
      <c r="F17" s="64"/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4.2670000000000003</v>
      </c>
      <c r="Y17" s="71">
        <v>1.004</v>
      </c>
      <c r="Z17" s="71">
        <v>0</v>
      </c>
      <c r="AA17" s="71">
        <v>0</v>
      </c>
      <c r="AB17" s="71">
        <v>0</v>
      </c>
      <c r="AC17" s="71">
        <v>0</v>
      </c>
      <c r="AD17" s="71">
        <v>0</v>
      </c>
      <c r="AE17" s="71">
        <v>0</v>
      </c>
      <c r="AF17" s="71">
        <v>0</v>
      </c>
      <c r="AG17" s="71">
        <v>4.7690000000000001</v>
      </c>
      <c r="AH17" s="71">
        <v>2.008</v>
      </c>
      <c r="AI17" s="71">
        <v>0</v>
      </c>
      <c r="AJ17" s="71">
        <v>0</v>
      </c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64"/>
      <c r="BH17" s="64"/>
      <c r="BI17" s="64"/>
      <c r="BJ17" s="64"/>
      <c r="BK17" s="64"/>
      <c r="BL17" s="64"/>
      <c r="BM17" s="73"/>
      <c r="BN17" s="73"/>
      <c r="BO17" s="73"/>
      <c r="BP17" s="73"/>
      <c r="BQ17" s="73"/>
      <c r="BR17" s="73"/>
      <c r="BS17" s="73"/>
      <c r="BT17" s="74">
        <f t="shared" si="0"/>
        <v>12.048000000000002</v>
      </c>
      <c r="BU17" s="75"/>
    </row>
    <row r="18" spans="1:73" x14ac:dyDescent="0.2">
      <c r="A18" s="67"/>
      <c r="B18" s="76" t="s">
        <v>114</v>
      </c>
      <c r="C18" s="77"/>
      <c r="D18" s="78" t="s">
        <v>16</v>
      </c>
      <c r="E18" s="79">
        <f>SUM(E4:E7)</f>
        <v>0</v>
      </c>
      <c r="F18" s="79">
        <f>SUM(F4:F7)</f>
        <v>0</v>
      </c>
      <c r="G18" s="79">
        <f t="shared" ref="G18:L18" si="1">SUM(G4:G17)</f>
        <v>69.614000000000004</v>
      </c>
      <c r="H18" s="79">
        <f t="shared" si="1"/>
        <v>75.69</v>
      </c>
      <c r="I18" s="79">
        <f t="shared" si="1"/>
        <v>34.316000000000003</v>
      </c>
      <c r="J18" s="79">
        <f t="shared" si="1"/>
        <v>56.525999999999996</v>
      </c>
      <c r="K18" s="79">
        <f t="shared" si="1"/>
        <v>29.054000000000002</v>
      </c>
      <c r="L18" s="79">
        <f t="shared" si="1"/>
        <v>48.174000000000007</v>
      </c>
      <c r="M18" s="79">
        <f t="shared" ref="M18:R18" si="2">SUM(M4:M17)</f>
        <v>65.843999999999994</v>
      </c>
      <c r="N18" s="79">
        <f t="shared" si="2"/>
        <v>39.933999999999997</v>
      </c>
      <c r="O18" s="79">
        <f t="shared" si="2"/>
        <v>65.959999999999994</v>
      </c>
      <c r="P18" s="79">
        <f t="shared" si="2"/>
        <v>59.696000000000005</v>
      </c>
      <c r="Q18" s="79">
        <f t="shared" si="2"/>
        <v>67.481999999999999</v>
      </c>
      <c r="R18" s="79">
        <f t="shared" si="2"/>
        <v>90.490000000000009</v>
      </c>
      <c r="S18" s="79">
        <f t="shared" ref="S18:X18" si="3">SUM(S4:S17)</f>
        <v>97.988</v>
      </c>
      <c r="T18" s="79">
        <f t="shared" si="3"/>
        <v>95.186000000000007</v>
      </c>
      <c r="U18" s="79">
        <f t="shared" si="3"/>
        <v>89.198000000000008</v>
      </c>
      <c r="V18" s="79">
        <f t="shared" si="3"/>
        <v>95.823999999999998</v>
      </c>
      <c r="W18" s="79">
        <f t="shared" si="3"/>
        <v>87.206000000000003</v>
      </c>
      <c r="X18" s="79">
        <f t="shared" si="3"/>
        <v>65.47</v>
      </c>
      <c r="Y18" s="79">
        <f t="shared" ref="Y18:AD18" si="4">SUM(Y4:Y17)</f>
        <v>80.932000000000002</v>
      </c>
      <c r="Z18" s="79">
        <f t="shared" si="4"/>
        <v>77.174999999999997</v>
      </c>
      <c r="AA18" s="79">
        <f t="shared" si="4"/>
        <v>94.094999999999999</v>
      </c>
      <c r="AB18" s="79">
        <f t="shared" si="4"/>
        <v>88.38000000000001</v>
      </c>
      <c r="AC18" s="79">
        <f t="shared" si="4"/>
        <v>74.474999999999994</v>
      </c>
      <c r="AD18" s="79">
        <f t="shared" si="4"/>
        <v>49.905000000000001</v>
      </c>
      <c r="AE18" s="79">
        <f t="shared" ref="AE18:AI18" si="5">SUM(AE4:AE17)</f>
        <v>11.448</v>
      </c>
      <c r="AF18" s="79">
        <f t="shared" si="5"/>
        <v>88.528000000000006</v>
      </c>
      <c r="AG18" s="79">
        <f t="shared" si="5"/>
        <v>75.049000000000007</v>
      </c>
      <c r="AH18" s="79">
        <f t="shared" si="5"/>
        <v>88.7</v>
      </c>
      <c r="AI18" s="79">
        <f t="shared" si="5"/>
        <v>88.155000000000001</v>
      </c>
      <c r="AJ18" s="79">
        <f t="shared" ref="AJ18" si="6">SUM(AJ4:AJ17)</f>
        <v>94.094999999999999</v>
      </c>
      <c r="AK18" s="79">
        <f t="shared" ref="AK18:BC18" si="7">SUM(AK4:AK15)</f>
        <v>0</v>
      </c>
      <c r="AL18" s="79">
        <f t="shared" si="7"/>
        <v>0</v>
      </c>
      <c r="AM18" s="79">
        <f t="shared" si="7"/>
        <v>0</v>
      </c>
      <c r="AN18" s="79">
        <f t="shared" si="7"/>
        <v>0</v>
      </c>
      <c r="AO18" s="79">
        <f t="shared" si="7"/>
        <v>0</v>
      </c>
      <c r="AP18" s="79">
        <f t="shared" si="7"/>
        <v>0</v>
      </c>
      <c r="AQ18" s="79">
        <f t="shared" si="7"/>
        <v>0</v>
      </c>
      <c r="AR18" s="79">
        <f t="shared" si="7"/>
        <v>0</v>
      </c>
      <c r="AS18" s="79">
        <f t="shared" si="7"/>
        <v>0</v>
      </c>
      <c r="AT18" s="79">
        <f t="shared" si="7"/>
        <v>0</v>
      </c>
      <c r="AU18" s="79">
        <f t="shared" si="7"/>
        <v>0</v>
      </c>
      <c r="AV18" s="79">
        <f t="shared" si="7"/>
        <v>0</v>
      </c>
      <c r="AW18" s="79">
        <f t="shared" si="7"/>
        <v>0</v>
      </c>
      <c r="AX18" s="79">
        <f t="shared" si="7"/>
        <v>0</v>
      </c>
      <c r="AY18" s="79">
        <f t="shared" si="7"/>
        <v>0</v>
      </c>
      <c r="AZ18" s="79">
        <f t="shared" si="7"/>
        <v>0</v>
      </c>
      <c r="BA18" s="79">
        <f t="shared" si="7"/>
        <v>0</v>
      </c>
      <c r="BB18" s="79">
        <f t="shared" si="7"/>
        <v>0</v>
      </c>
      <c r="BC18" s="79">
        <f t="shared" si="7"/>
        <v>0</v>
      </c>
      <c r="BD18" s="79">
        <f>SUM(BD4:BD15)</f>
        <v>0</v>
      </c>
      <c r="BE18" s="79">
        <f t="shared" ref="BE18:BF18" si="8">SUM(BE4:BE13)</f>
        <v>0</v>
      </c>
      <c r="BF18" s="79">
        <f t="shared" si="8"/>
        <v>0</v>
      </c>
      <c r="BG18" s="79">
        <f t="shared" ref="BG18:BL18" si="9">SUM(BG4:BG9)</f>
        <v>0</v>
      </c>
      <c r="BH18" s="79">
        <f t="shared" si="9"/>
        <v>0</v>
      </c>
      <c r="BI18" s="79">
        <f t="shared" si="9"/>
        <v>0</v>
      </c>
      <c r="BJ18" s="79">
        <f t="shared" si="9"/>
        <v>0</v>
      </c>
      <c r="BK18" s="79">
        <f t="shared" si="9"/>
        <v>0</v>
      </c>
      <c r="BL18" s="79">
        <f t="shared" si="9"/>
        <v>0</v>
      </c>
      <c r="BM18" s="79">
        <f t="shared" ref="BM18:BS18" si="10">SUM(BM4:BM10)</f>
        <v>0</v>
      </c>
      <c r="BN18" s="79">
        <f t="shared" si="10"/>
        <v>0</v>
      </c>
      <c r="BO18" s="79">
        <f t="shared" si="10"/>
        <v>0</v>
      </c>
      <c r="BP18" s="79">
        <f t="shared" si="10"/>
        <v>0</v>
      </c>
      <c r="BQ18" s="79">
        <f t="shared" si="10"/>
        <v>0</v>
      </c>
      <c r="BR18" s="79">
        <f t="shared" si="10"/>
        <v>0</v>
      </c>
      <c r="BS18" s="79">
        <f t="shared" si="10"/>
        <v>0</v>
      </c>
      <c r="BT18" s="74">
        <f t="shared" si="0"/>
        <v>2144.5889999999999</v>
      </c>
      <c r="BU18" s="75"/>
    </row>
    <row r="19" spans="1:73" ht="25" x14ac:dyDescent="0.25">
      <c r="A19" s="60" t="s">
        <v>115</v>
      </c>
      <c r="B19" s="80" t="s">
        <v>116</v>
      </c>
      <c r="C19" s="81"/>
      <c r="D19" s="81"/>
      <c r="E19" s="81"/>
      <c r="F19" s="81"/>
      <c r="G19" s="81"/>
      <c r="H19" s="216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8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74">
        <f t="shared" si="0"/>
        <v>0</v>
      </c>
      <c r="BU19" s="75"/>
    </row>
    <row r="20" spans="1:73" x14ac:dyDescent="0.2">
      <c r="A20" s="67">
        <v>1</v>
      </c>
      <c r="B20" s="83" t="s">
        <v>117</v>
      </c>
      <c r="C20" s="69"/>
      <c r="D20" s="70" t="s">
        <v>118</v>
      </c>
      <c r="E20" s="64"/>
      <c r="F20" s="64"/>
      <c r="G20" s="64">
        <v>120</v>
      </c>
      <c r="H20" s="64">
        <v>180</v>
      </c>
      <c r="I20" s="64">
        <v>30</v>
      </c>
      <c r="J20" s="84">
        <v>10</v>
      </c>
      <c r="K20" s="84">
        <v>0</v>
      </c>
      <c r="L20" s="64">
        <v>90</v>
      </c>
      <c r="M20" s="64">
        <v>160</v>
      </c>
      <c r="N20" s="64">
        <v>40</v>
      </c>
      <c r="O20" s="64">
        <v>0</v>
      </c>
      <c r="P20" s="64">
        <v>0</v>
      </c>
      <c r="Q20" s="64">
        <v>0</v>
      </c>
      <c r="R20" s="64">
        <v>140</v>
      </c>
      <c r="S20" s="64">
        <v>190</v>
      </c>
      <c r="T20" s="64">
        <v>180</v>
      </c>
      <c r="U20" s="64">
        <v>160</v>
      </c>
      <c r="V20" s="64">
        <v>200</v>
      </c>
      <c r="W20" s="64">
        <v>180</v>
      </c>
      <c r="X20" s="64">
        <v>70</v>
      </c>
      <c r="Y20" s="64">
        <v>100</v>
      </c>
      <c r="Z20" s="64">
        <v>130</v>
      </c>
      <c r="AA20" s="64">
        <v>170</v>
      </c>
      <c r="AB20" s="64">
        <v>100</v>
      </c>
      <c r="AC20" s="64">
        <v>50</v>
      </c>
      <c r="AD20" s="64">
        <v>30</v>
      </c>
      <c r="AE20" s="64">
        <v>10</v>
      </c>
      <c r="AF20" s="64">
        <v>190</v>
      </c>
      <c r="AG20" s="64">
        <v>80</v>
      </c>
      <c r="AH20" s="64">
        <v>40</v>
      </c>
      <c r="AI20" s="64">
        <v>170</v>
      </c>
      <c r="AJ20" s="64">
        <v>180</v>
      </c>
      <c r="AK20" s="64"/>
      <c r="AL20" s="64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4">
        <f t="shared" si="0"/>
        <v>3000</v>
      </c>
      <c r="BU20" s="75"/>
    </row>
    <row r="21" spans="1:73" x14ac:dyDescent="0.2">
      <c r="A21" s="67">
        <v>2</v>
      </c>
      <c r="B21" s="83" t="s">
        <v>119</v>
      </c>
      <c r="C21" s="69"/>
      <c r="D21" s="70" t="s">
        <v>118</v>
      </c>
      <c r="E21" s="64"/>
      <c r="F21" s="64"/>
      <c r="G21" s="64">
        <v>20</v>
      </c>
      <c r="H21" s="64">
        <v>18</v>
      </c>
      <c r="I21" s="64">
        <v>10</v>
      </c>
      <c r="J21" s="64">
        <v>20</v>
      </c>
      <c r="K21" s="64">
        <v>15</v>
      </c>
      <c r="L21" s="64">
        <v>18</v>
      </c>
      <c r="M21" s="64">
        <v>18</v>
      </c>
      <c r="N21" s="64">
        <v>14</v>
      </c>
      <c r="O21" s="64">
        <v>14</v>
      </c>
      <c r="P21" s="64">
        <v>16</v>
      </c>
      <c r="Q21" s="64">
        <v>18</v>
      </c>
      <c r="R21" s="64">
        <v>14</v>
      </c>
      <c r="S21" s="64">
        <v>14</v>
      </c>
      <c r="T21" s="64">
        <v>18</v>
      </c>
      <c r="U21" s="85">
        <v>18</v>
      </c>
      <c r="V21" s="64">
        <v>12</v>
      </c>
      <c r="W21" s="64">
        <v>18</v>
      </c>
      <c r="X21" s="64">
        <v>18</v>
      </c>
      <c r="Y21" s="64">
        <v>19</v>
      </c>
      <c r="Z21" s="64">
        <v>22</v>
      </c>
      <c r="AA21" s="64">
        <v>30</v>
      </c>
      <c r="AB21" s="64">
        <v>26</v>
      </c>
      <c r="AC21" s="64">
        <v>16</v>
      </c>
      <c r="AD21" s="64">
        <v>12</v>
      </c>
      <c r="AE21" s="64">
        <v>6</v>
      </c>
      <c r="AF21" s="64">
        <v>26</v>
      </c>
      <c r="AG21" s="64">
        <v>18</v>
      </c>
      <c r="AH21" s="64">
        <v>25</v>
      </c>
      <c r="AI21" s="64">
        <v>24</v>
      </c>
      <c r="AJ21" s="64">
        <v>22</v>
      </c>
      <c r="AK21" s="85"/>
      <c r="AL21" s="64"/>
      <c r="AM21" s="73"/>
      <c r="AN21" s="86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4">
        <f t="shared" si="0"/>
        <v>539</v>
      </c>
      <c r="BU21" s="75"/>
    </row>
    <row r="22" spans="1:73" x14ac:dyDescent="0.2">
      <c r="A22" s="67">
        <v>3</v>
      </c>
      <c r="B22" s="83" t="s">
        <v>120</v>
      </c>
      <c r="C22" s="69"/>
      <c r="D22" s="70" t="s">
        <v>118</v>
      </c>
      <c r="E22" s="64"/>
      <c r="F22" s="64"/>
      <c r="G22" s="64">
        <v>20</v>
      </c>
      <c r="H22" s="64">
        <v>20</v>
      </c>
      <c r="I22" s="64">
        <v>20</v>
      </c>
      <c r="J22" s="64">
        <v>0</v>
      </c>
      <c r="K22" s="64">
        <v>0</v>
      </c>
      <c r="L22" s="64">
        <v>20</v>
      </c>
      <c r="M22" s="64">
        <v>20</v>
      </c>
      <c r="N22" s="64">
        <v>20</v>
      </c>
      <c r="O22" s="64">
        <v>0</v>
      </c>
      <c r="P22" s="64">
        <v>20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/>
      <c r="AL22" s="64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4">
        <f t="shared" si="0"/>
        <v>140</v>
      </c>
      <c r="BU22" s="75"/>
    </row>
    <row r="23" spans="1:73" x14ac:dyDescent="0.2">
      <c r="A23" s="67">
        <v>4</v>
      </c>
      <c r="B23" s="83" t="s">
        <v>223</v>
      </c>
      <c r="C23" s="69"/>
      <c r="D23" s="70" t="s">
        <v>118</v>
      </c>
      <c r="E23" s="64"/>
      <c r="F23" s="64"/>
      <c r="G23" s="64">
        <v>380</v>
      </c>
      <c r="H23" s="64">
        <v>440</v>
      </c>
      <c r="I23" s="64">
        <v>40</v>
      </c>
      <c r="J23" s="64">
        <v>0</v>
      </c>
      <c r="K23" s="64">
        <v>0</v>
      </c>
      <c r="L23" s="64">
        <v>200</v>
      </c>
      <c r="M23" s="64">
        <v>320</v>
      </c>
      <c r="N23" s="64">
        <v>70</v>
      </c>
      <c r="O23" s="64">
        <v>0</v>
      </c>
      <c r="P23" s="64">
        <v>280</v>
      </c>
      <c r="Q23" s="64">
        <v>360</v>
      </c>
      <c r="R23" s="64">
        <v>540</v>
      </c>
      <c r="S23" s="64">
        <v>900</v>
      </c>
      <c r="T23" s="64">
        <v>680</v>
      </c>
      <c r="U23" s="64">
        <v>580</v>
      </c>
      <c r="V23" s="64">
        <v>950</v>
      </c>
      <c r="W23" s="64">
        <v>600</v>
      </c>
      <c r="X23" s="64">
        <v>320</v>
      </c>
      <c r="Y23" s="64">
        <v>330</v>
      </c>
      <c r="Z23" s="64">
        <v>370</v>
      </c>
      <c r="AA23" s="64">
        <v>570</v>
      </c>
      <c r="AB23" s="64">
        <v>300</v>
      </c>
      <c r="AC23" s="64">
        <v>0</v>
      </c>
      <c r="AD23" s="64">
        <v>0</v>
      </c>
      <c r="AE23" s="64">
        <v>30</v>
      </c>
      <c r="AF23" s="64">
        <v>630</v>
      </c>
      <c r="AG23" s="64">
        <v>480</v>
      </c>
      <c r="AH23" s="64">
        <v>190</v>
      </c>
      <c r="AI23" s="64">
        <v>460</v>
      </c>
      <c r="AJ23" s="64">
        <v>570</v>
      </c>
      <c r="AK23" s="64"/>
      <c r="AL23" s="64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4">
        <f t="shared" si="0"/>
        <v>10590</v>
      </c>
      <c r="BU23" s="75"/>
    </row>
    <row r="24" spans="1:73" x14ac:dyDescent="0.2">
      <c r="A24" s="67">
        <v>5</v>
      </c>
      <c r="B24" s="83" t="s">
        <v>121</v>
      </c>
      <c r="C24" s="69"/>
      <c r="D24" s="70" t="s">
        <v>118</v>
      </c>
      <c r="E24" s="64"/>
      <c r="F24" s="64"/>
      <c r="G24" s="64">
        <v>2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4</v>
      </c>
      <c r="Q24" s="64">
        <v>5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4</v>
      </c>
      <c r="Y24" s="64">
        <v>1</v>
      </c>
      <c r="Z24" s="64">
        <v>0</v>
      </c>
      <c r="AA24" s="64">
        <v>0</v>
      </c>
      <c r="AB24" s="64">
        <v>0</v>
      </c>
      <c r="AC24" s="64">
        <v>0</v>
      </c>
      <c r="AD24" s="64">
        <v>0</v>
      </c>
      <c r="AE24" s="64">
        <v>0</v>
      </c>
      <c r="AF24" s="64">
        <v>0</v>
      </c>
      <c r="AG24" s="64">
        <v>6</v>
      </c>
      <c r="AH24" s="64">
        <v>3</v>
      </c>
      <c r="AI24" s="64">
        <v>0</v>
      </c>
      <c r="AJ24" s="64">
        <v>0</v>
      </c>
      <c r="AK24" s="64"/>
      <c r="AL24" s="64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4">
        <f t="shared" si="0"/>
        <v>25</v>
      </c>
      <c r="BU24" s="75"/>
    </row>
    <row r="25" spans="1:73" x14ac:dyDescent="0.2">
      <c r="A25" s="67">
        <v>6</v>
      </c>
      <c r="B25" s="83" t="s">
        <v>122</v>
      </c>
      <c r="C25" s="69"/>
      <c r="D25" s="70" t="s">
        <v>118</v>
      </c>
      <c r="E25" s="64"/>
      <c r="F25" s="64"/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85">
        <v>0</v>
      </c>
      <c r="Z25" s="85">
        <v>0</v>
      </c>
      <c r="AA25" s="85">
        <v>0</v>
      </c>
      <c r="AB25" s="85">
        <v>0</v>
      </c>
      <c r="AC25" s="85">
        <v>0</v>
      </c>
      <c r="AD25" s="85">
        <v>0</v>
      </c>
      <c r="AE25" s="85">
        <v>0</v>
      </c>
      <c r="AF25" s="85">
        <v>0</v>
      </c>
      <c r="AG25" s="85">
        <v>0</v>
      </c>
      <c r="AH25" s="85">
        <v>0</v>
      </c>
      <c r="AI25" s="85">
        <v>0</v>
      </c>
      <c r="AJ25" s="85">
        <v>0</v>
      </c>
      <c r="AK25" s="64"/>
      <c r="AL25" s="64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64"/>
      <c r="AX25" s="64"/>
      <c r="AY25" s="64"/>
      <c r="AZ25" s="64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4">
        <f t="shared" si="0"/>
        <v>0</v>
      </c>
      <c r="BU25" s="75"/>
    </row>
    <row r="26" spans="1:73" x14ac:dyDescent="0.2">
      <c r="A26" s="67">
        <v>7</v>
      </c>
      <c r="B26" s="83" t="s">
        <v>123</v>
      </c>
      <c r="C26" s="69"/>
      <c r="D26" s="70" t="s">
        <v>118</v>
      </c>
      <c r="E26" s="64"/>
      <c r="F26" s="64"/>
      <c r="G26" s="64">
        <v>90</v>
      </c>
      <c r="H26" s="64">
        <v>95</v>
      </c>
      <c r="I26" s="64">
        <v>45</v>
      </c>
      <c r="J26" s="64">
        <v>52</v>
      </c>
      <c r="K26" s="64">
        <v>31</v>
      </c>
      <c r="L26" s="64">
        <v>60</v>
      </c>
      <c r="M26" s="64">
        <v>74</v>
      </c>
      <c r="N26" s="64">
        <v>40</v>
      </c>
      <c r="O26" s="64">
        <v>75</v>
      </c>
      <c r="P26" s="64">
        <v>91</v>
      </c>
      <c r="Q26" s="64">
        <v>85</v>
      </c>
      <c r="R26" s="64">
        <v>105</v>
      </c>
      <c r="S26" s="64">
        <v>128</v>
      </c>
      <c r="T26" s="64">
        <v>136</v>
      </c>
      <c r="U26" s="64">
        <v>130</v>
      </c>
      <c r="V26" s="64">
        <v>100</v>
      </c>
      <c r="W26" s="64">
        <v>99</v>
      </c>
      <c r="X26" s="64">
        <v>100</v>
      </c>
      <c r="Y26" s="64">
        <v>105</v>
      </c>
      <c r="Z26" s="64">
        <v>105</v>
      </c>
      <c r="AA26" s="64">
        <v>138</v>
      </c>
      <c r="AB26" s="64">
        <v>125</v>
      </c>
      <c r="AC26" s="64">
        <v>88</v>
      </c>
      <c r="AD26" s="64">
        <v>65</v>
      </c>
      <c r="AE26" s="64">
        <v>7</v>
      </c>
      <c r="AF26" s="64">
        <v>130</v>
      </c>
      <c r="AG26" s="64">
        <v>94</v>
      </c>
      <c r="AH26" s="64">
        <v>86</v>
      </c>
      <c r="AI26" s="64">
        <v>108</v>
      </c>
      <c r="AJ26" s="64">
        <v>130</v>
      </c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73"/>
      <c r="AW26" s="64"/>
      <c r="AX26" s="64"/>
      <c r="AY26" s="64"/>
      <c r="AZ26" s="64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4">
        <f t="shared" si="0"/>
        <v>2717</v>
      </c>
      <c r="BU26" s="75"/>
    </row>
    <row r="27" spans="1:73" x14ac:dyDescent="0.2">
      <c r="A27" s="67">
        <v>8</v>
      </c>
      <c r="B27" s="83" t="s">
        <v>124</v>
      </c>
      <c r="C27" s="69"/>
      <c r="D27" s="70" t="s">
        <v>118</v>
      </c>
      <c r="E27" s="64"/>
      <c r="F27" s="64"/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41</v>
      </c>
      <c r="X27" s="64">
        <v>60</v>
      </c>
      <c r="Y27" s="64">
        <v>62</v>
      </c>
      <c r="Z27" s="64">
        <v>68</v>
      </c>
      <c r="AA27" s="64">
        <v>60</v>
      </c>
      <c r="AB27" s="64">
        <v>15</v>
      </c>
      <c r="AC27" s="64">
        <v>45</v>
      </c>
      <c r="AD27" s="64">
        <v>58</v>
      </c>
      <c r="AE27" s="64">
        <v>3</v>
      </c>
      <c r="AF27" s="64">
        <v>64</v>
      </c>
      <c r="AG27" s="64">
        <v>78</v>
      </c>
      <c r="AH27" s="64">
        <v>80</v>
      </c>
      <c r="AI27" s="64">
        <v>62</v>
      </c>
      <c r="AJ27" s="64">
        <v>60</v>
      </c>
      <c r="AK27" s="64"/>
      <c r="AL27" s="64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64"/>
      <c r="AX27" s="64"/>
      <c r="AY27" s="64"/>
      <c r="AZ27" s="64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4">
        <f t="shared" si="0"/>
        <v>756</v>
      </c>
      <c r="BU27" s="75"/>
    </row>
    <row r="28" spans="1:73" x14ac:dyDescent="0.2">
      <c r="A28" s="67">
        <v>9</v>
      </c>
      <c r="B28" s="83" t="s">
        <v>125</v>
      </c>
      <c r="C28" s="69"/>
      <c r="D28" s="70" t="s">
        <v>118</v>
      </c>
      <c r="E28" s="64"/>
      <c r="F28" s="64"/>
      <c r="G28" s="64">
        <v>56</v>
      </c>
      <c r="H28" s="64">
        <v>45</v>
      </c>
      <c r="I28" s="64">
        <v>38</v>
      </c>
      <c r="J28" s="64">
        <v>60</v>
      </c>
      <c r="K28" s="64">
        <v>42</v>
      </c>
      <c r="L28" s="64">
        <v>48</v>
      </c>
      <c r="M28" s="64">
        <v>60</v>
      </c>
      <c r="N28" s="64">
        <v>36</v>
      </c>
      <c r="O28" s="64">
        <v>62</v>
      </c>
      <c r="P28" s="64">
        <v>68</v>
      </c>
      <c r="Q28" s="64">
        <v>78</v>
      </c>
      <c r="R28" s="64">
        <v>30</v>
      </c>
      <c r="S28" s="64">
        <v>20</v>
      </c>
      <c r="T28" s="64">
        <v>40</v>
      </c>
      <c r="U28" s="64">
        <v>55</v>
      </c>
      <c r="V28" s="64">
        <v>15</v>
      </c>
      <c r="W28" s="64">
        <v>9</v>
      </c>
      <c r="X28" s="64">
        <v>0</v>
      </c>
      <c r="Y28" s="64">
        <v>0</v>
      </c>
      <c r="Z28" s="64">
        <v>0</v>
      </c>
      <c r="AA28" s="64">
        <v>0</v>
      </c>
      <c r="AB28" s="64">
        <v>56</v>
      </c>
      <c r="AC28" s="64">
        <v>11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4">
        <f t="shared" si="0"/>
        <v>829</v>
      </c>
      <c r="BU28" s="75"/>
    </row>
    <row r="29" spans="1:73" x14ac:dyDescent="0.2">
      <c r="A29" s="67">
        <v>10</v>
      </c>
      <c r="B29" s="83" t="s">
        <v>126</v>
      </c>
      <c r="C29" s="87"/>
      <c r="D29" s="70" t="s">
        <v>118</v>
      </c>
      <c r="E29" s="64"/>
      <c r="F29" s="64"/>
      <c r="G29" s="64">
        <v>5</v>
      </c>
      <c r="H29" s="64">
        <v>5</v>
      </c>
      <c r="I29" s="64">
        <v>5</v>
      </c>
      <c r="J29" s="64">
        <v>5</v>
      </c>
      <c r="K29" s="64">
        <v>5</v>
      </c>
      <c r="L29" s="64">
        <v>5</v>
      </c>
      <c r="M29" s="64">
        <v>15</v>
      </c>
      <c r="N29" s="64">
        <v>5</v>
      </c>
      <c r="O29" s="64">
        <v>5</v>
      </c>
      <c r="P29" s="64">
        <v>5</v>
      </c>
      <c r="Q29" s="64">
        <v>5</v>
      </c>
      <c r="R29" s="64">
        <v>5</v>
      </c>
      <c r="S29" s="64">
        <v>5</v>
      </c>
      <c r="T29" s="64">
        <v>5</v>
      </c>
      <c r="U29" s="64">
        <v>5</v>
      </c>
      <c r="V29" s="64">
        <v>5</v>
      </c>
      <c r="W29" s="64">
        <v>5</v>
      </c>
      <c r="X29" s="64">
        <v>5</v>
      </c>
      <c r="Y29" s="64">
        <v>5</v>
      </c>
      <c r="Z29" s="64">
        <v>5</v>
      </c>
      <c r="AA29" s="64">
        <v>5</v>
      </c>
      <c r="AB29" s="64">
        <v>5</v>
      </c>
      <c r="AC29" s="64">
        <v>5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/>
      <c r="AL29" s="64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4">
        <f t="shared" si="0"/>
        <v>125</v>
      </c>
      <c r="BU29" s="75"/>
    </row>
    <row r="30" spans="1:73" x14ac:dyDescent="0.2">
      <c r="A30" s="67">
        <v>11</v>
      </c>
      <c r="B30" s="83" t="s">
        <v>127</v>
      </c>
      <c r="C30" s="69"/>
      <c r="D30" s="70" t="s">
        <v>118</v>
      </c>
      <c r="E30" s="64"/>
      <c r="F30" s="64"/>
      <c r="G30" s="64">
        <v>1</v>
      </c>
      <c r="H30" s="64">
        <v>1</v>
      </c>
      <c r="I30" s="64">
        <v>1</v>
      </c>
      <c r="J30" s="64">
        <v>1</v>
      </c>
      <c r="K30" s="64">
        <v>1</v>
      </c>
      <c r="L30" s="64">
        <v>1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1</v>
      </c>
      <c r="S30" s="64">
        <v>1</v>
      </c>
      <c r="T30" s="64">
        <v>1</v>
      </c>
      <c r="U30" s="64">
        <v>1</v>
      </c>
      <c r="V30" s="64">
        <v>1</v>
      </c>
      <c r="W30" s="64">
        <v>1</v>
      </c>
      <c r="X30" s="64">
        <v>2</v>
      </c>
      <c r="Y30" s="64">
        <v>2</v>
      </c>
      <c r="Z30" s="64">
        <v>2</v>
      </c>
      <c r="AA30" s="64">
        <v>2</v>
      </c>
      <c r="AB30" s="64">
        <v>2</v>
      </c>
      <c r="AC30" s="64">
        <v>2</v>
      </c>
      <c r="AD30" s="64">
        <v>1</v>
      </c>
      <c r="AE30" s="64">
        <v>0</v>
      </c>
      <c r="AF30" s="64">
        <v>2</v>
      </c>
      <c r="AG30" s="64">
        <v>2</v>
      </c>
      <c r="AH30" s="64">
        <v>2</v>
      </c>
      <c r="AI30" s="64">
        <v>2</v>
      </c>
      <c r="AJ30" s="64">
        <v>2</v>
      </c>
      <c r="AK30" s="64"/>
      <c r="AL30" s="64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4">
        <f t="shared" si="0"/>
        <v>35</v>
      </c>
      <c r="BU30" s="75"/>
    </row>
    <row r="31" spans="1:73" x14ac:dyDescent="0.2">
      <c r="A31" s="67">
        <v>12</v>
      </c>
      <c r="B31" s="83" t="s">
        <v>128</v>
      </c>
      <c r="C31" s="69"/>
      <c r="D31" s="70" t="s">
        <v>118</v>
      </c>
      <c r="E31" s="64"/>
      <c r="F31" s="64"/>
      <c r="G31" s="64">
        <v>1</v>
      </c>
      <c r="H31" s="64">
        <v>1</v>
      </c>
      <c r="I31" s="64">
        <v>0</v>
      </c>
      <c r="J31" s="64">
        <v>0</v>
      </c>
      <c r="K31" s="64">
        <v>0</v>
      </c>
      <c r="L31" s="64">
        <v>0</v>
      </c>
      <c r="M31" s="64">
        <v>1</v>
      </c>
      <c r="N31" s="64">
        <v>0</v>
      </c>
      <c r="O31" s="64">
        <v>0</v>
      </c>
      <c r="P31" s="64">
        <v>1</v>
      </c>
      <c r="Q31" s="64">
        <v>1</v>
      </c>
      <c r="R31" s="64">
        <v>1</v>
      </c>
      <c r="S31" s="64">
        <v>1</v>
      </c>
      <c r="T31" s="64">
        <v>1</v>
      </c>
      <c r="U31" s="85">
        <v>1</v>
      </c>
      <c r="V31" s="64">
        <v>1</v>
      </c>
      <c r="W31" s="64">
        <v>1</v>
      </c>
      <c r="X31" s="64">
        <v>1</v>
      </c>
      <c r="Y31" s="64">
        <v>1</v>
      </c>
      <c r="Z31" s="64">
        <v>1</v>
      </c>
      <c r="AA31" s="64">
        <v>1</v>
      </c>
      <c r="AB31" s="64">
        <v>1</v>
      </c>
      <c r="AC31" s="64">
        <v>1</v>
      </c>
      <c r="AD31" s="64">
        <v>0</v>
      </c>
      <c r="AE31" s="64">
        <v>0</v>
      </c>
      <c r="AF31" s="64">
        <v>1</v>
      </c>
      <c r="AG31" s="64">
        <v>1</v>
      </c>
      <c r="AH31" s="64">
        <v>0</v>
      </c>
      <c r="AI31" s="64">
        <v>1</v>
      </c>
      <c r="AJ31" s="64">
        <v>1</v>
      </c>
      <c r="AK31" s="64"/>
      <c r="AL31" s="64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4">
        <f t="shared" si="0"/>
        <v>21</v>
      </c>
      <c r="BU31" s="75"/>
    </row>
    <row r="32" spans="1:73" x14ac:dyDescent="0.2">
      <c r="A32" s="67">
        <v>13</v>
      </c>
      <c r="B32" s="83" t="s">
        <v>129</v>
      </c>
      <c r="C32" s="69"/>
      <c r="D32" s="70" t="s">
        <v>118</v>
      </c>
      <c r="E32" s="64"/>
      <c r="F32" s="64"/>
      <c r="G32" s="64">
        <v>1</v>
      </c>
      <c r="H32" s="64">
        <v>1</v>
      </c>
      <c r="I32" s="64">
        <v>0</v>
      </c>
      <c r="J32" s="64">
        <v>0</v>
      </c>
      <c r="K32" s="64">
        <v>0</v>
      </c>
      <c r="L32" s="64">
        <v>0</v>
      </c>
      <c r="M32" s="64">
        <v>1</v>
      </c>
      <c r="N32" s="64">
        <v>0</v>
      </c>
      <c r="O32" s="64">
        <v>0</v>
      </c>
      <c r="P32" s="64">
        <v>1</v>
      </c>
      <c r="Q32" s="64">
        <v>1</v>
      </c>
      <c r="R32" s="64">
        <v>1</v>
      </c>
      <c r="S32" s="64">
        <v>1</v>
      </c>
      <c r="T32" s="64">
        <v>1</v>
      </c>
      <c r="U32" s="64">
        <v>1</v>
      </c>
      <c r="V32" s="64">
        <v>1</v>
      </c>
      <c r="W32" s="64">
        <v>1</v>
      </c>
      <c r="X32" s="64">
        <v>1</v>
      </c>
      <c r="Y32" s="64">
        <v>1</v>
      </c>
      <c r="Z32" s="64">
        <v>1</v>
      </c>
      <c r="AA32" s="64">
        <v>1</v>
      </c>
      <c r="AB32" s="64">
        <v>1</v>
      </c>
      <c r="AC32" s="64">
        <v>1</v>
      </c>
      <c r="AD32" s="64">
        <v>0</v>
      </c>
      <c r="AE32" s="64">
        <v>0</v>
      </c>
      <c r="AF32" s="64">
        <v>1</v>
      </c>
      <c r="AG32" s="64">
        <v>1</v>
      </c>
      <c r="AH32" s="64">
        <v>0</v>
      </c>
      <c r="AI32" s="64">
        <v>1</v>
      </c>
      <c r="AJ32" s="64">
        <v>1</v>
      </c>
      <c r="AK32" s="64"/>
      <c r="AL32" s="64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4">
        <f t="shared" si="0"/>
        <v>21</v>
      </c>
      <c r="BU32" s="75"/>
    </row>
    <row r="33" spans="1:75" x14ac:dyDescent="0.2">
      <c r="A33" s="67">
        <v>14</v>
      </c>
      <c r="B33" s="83" t="s">
        <v>130</v>
      </c>
      <c r="C33" s="69"/>
      <c r="D33" s="70" t="s">
        <v>118</v>
      </c>
      <c r="E33" s="64"/>
      <c r="F33" s="64"/>
      <c r="G33" s="64">
        <v>0</v>
      </c>
      <c r="H33" s="85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/>
      <c r="AL33" s="64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88"/>
      <c r="BN33" s="73"/>
      <c r="BO33" s="73"/>
      <c r="BP33" s="73"/>
      <c r="BQ33" s="73"/>
      <c r="BR33" s="73"/>
      <c r="BS33" s="73"/>
      <c r="BT33" s="74">
        <f t="shared" si="0"/>
        <v>0</v>
      </c>
      <c r="BU33" s="75"/>
    </row>
    <row r="34" spans="1:75" x14ac:dyDescent="0.2">
      <c r="A34" s="67">
        <v>15</v>
      </c>
      <c r="B34" s="83" t="s">
        <v>131</v>
      </c>
      <c r="C34" s="87"/>
      <c r="D34" s="70" t="s">
        <v>118</v>
      </c>
      <c r="E34" s="64"/>
      <c r="F34" s="64"/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/>
      <c r="AL34" s="64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4">
        <f t="shared" si="0"/>
        <v>0</v>
      </c>
      <c r="BV34" s="66"/>
      <c r="BW34" s="75"/>
    </row>
    <row r="35" spans="1:75" x14ac:dyDescent="0.2">
      <c r="A35" s="67">
        <v>16</v>
      </c>
      <c r="B35" s="83" t="s">
        <v>132</v>
      </c>
      <c r="C35" s="69"/>
      <c r="D35" s="70" t="s">
        <v>118</v>
      </c>
      <c r="E35" s="64"/>
      <c r="F35" s="64"/>
      <c r="G35" s="64">
        <v>1</v>
      </c>
      <c r="H35" s="64">
        <v>1</v>
      </c>
      <c r="I35" s="64">
        <v>1</v>
      </c>
      <c r="J35" s="64">
        <v>3</v>
      </c>
      <c r="K35" s="64">
        <v>3</v>
      </c>
      <c r="L35" s="64">
        <v>3</v>
      </c>
      <c r="M35" s="64">
        <v>3</v>
      </c>
      <c r="N35" s="64">
        <v>1</v>
      </c>
      <c r="O35" s="64">
        <v>3</v>
      </c>
      <c r="P35" s="64">
        <v>3</v>
      </c>
      <c r="Q35" s="64">
        <v>3</v>
      </c>
      <c r="R35" s="64">
        <v>3</v>
      </c>
      <c r="S35" s="64">
        <v>3</v>
      </c>
      <c r="T35" s="64">
        <v>3</v>
      </c>
      <c r="U35" s="64">
        <v>3</v>
      </c>
      <c r="V35" s="64">
        <v>3</v>
      </c>
      <c r="W35" s="64">
        <v>3</v>
      </c>
      <c r="X35" s="64">
        <v>3</v>
      </c>
      <c r="Y35" s="64">
        <v>3</v>
      </c>
      <c r="Z35" s="64">
        <v>3</v>
      </c>
      <c r="AA35" s="64">
        <v>3</v>
      </c>
      <c r="AB35" s="64">
        <v>3</v>
      </c>
      <c r="AC35" s="64">
        <v>3</v>
      </c>
      <c r="AD35" s="64">
        <v>2</v>
      </c>
      <c r="AE35" s="64">
        <v>0</v>
      </c>
      <c r="AF35" s="64">
        <v>3</v>
      </c>
      <c r="AG35" s="64">
        <v>3</v>
      </c>
      <c r="AH35" s="64">
        <v>3</v>
      </c>
      <c r="AI35" s="64">
        <v>3</v>
      </c>
      <c r="AJ35" s="64">
        <v>3</v>
      </c>
      <c r="AK35" s="64"/>
      <c r="AL35" s="64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4">
        <f t="shared" si="0"/>
        <v>78</v>
      </c>
      <c r="BV35" s="66"/>
      <c r="BW35" s="75"/>
    </row>
    <row r="36" spans="1:75" x14ac:dyDescent="0.2">
      <c r="A36" s="67">
        <v>17</v>
      </c>
      <c r="B36" s="83" t="s">
        <v>133</v>
      </c>
      <c r="C36" s="69"/>
      <c r="D36" s="70" t="s">
        <v>118</v>
      </c>
      <c r="E36" s="64"/>
      <c r="F36" s="64"/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/>
      <c r="AL36" s="64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4">
        <f t="shared" si="0"/>
        <v>0</v>
      </c>
      <c r="BV36" s="66"/>
      <c r="BW36" s="75"/>
    </row>
    <row r="37" spans="1:75" x14ac:dyDescent="0.2">
      <c r="A37" s="67">
        <v>18</v>
      </c>
      <c r="B37" s="83" t="s">
        <v>134</v>
      </c>
      <c r="C37" s="69"/>
      <c r="D37" s="70" t="s">
        <v>118</v>
      </c>
      <c r="E37" s="64"/>
      <c r="F37" s="64"/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/>
      <c r="AL37" s="64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4">
        <f t="shared" si="0"/>
        <v>0</v>
      </c>
      <c r="BV37" s="66"/>
      <c r="BW37" s="75"/>
    </row>
    <row r="38" spans="1:75" x14ac:dyDescent="0.2">
      <c r="A38" s="67">
        <v>19</v>
      </c>
      <c r="B38" s="83" t="s">
        <v>135</v>
      </c>
      <c r="C38" s="87"/>
      <c r="D38" s="70" t="s">
        <v>118</v>
      </c>
      <c r="E38" s="64"/>
      <c r="F38" s="64"/>
      <c r="G38" s="64">
        <v>2</v>
      </c>
      <c r="H38" s="64">
        <v>2</v>
      </c>
      <c r="I38" s="64">
        <v>1</v>
      </c>
      <c r="J38" s="64">
        <v>2</v>
      </c>
      <c r="K38" s="64">
        <v>1</v>
      </c>
      <c r="L38" s="64">
        <v>2</v>
      </c>
      <c r="M38" s="64">
        <v>2</v>
      </c>
      <c r="N38" s="64">
        <v>2</v>
      </c>
      <c r="O38" s="64">
        <v>2</v>
      </c>
      <c r="P38" s="64">
        <v>2</v>
      </c>
      <c r="Q38" s="64">
        <v>2</v>
      </c>
      <c r="R38" s="64">
        <v>2</v>
      </c>
      <c r="S38" s="64">
        <v>2</v>
      </c>
      <c r="T38" s="64">
        <v>4</v>
      </c>
      <c r="U38" s="64">
        <v>4</v>
      </c>
      <c r="V38" s="64">
        <v>2</v>
      </c>
      <c r="W38" s="64">
        <v>2</v>
      </c>
      <c r="X38" s="64">
        <v>2</v>
      </c>
      <c r="Y38" s="64">
        <v>2</v>
      </c>
      <c r="Z38" s="64">
        <v>2</v>
      </c>
      <c r="AA38" s="64">
        <v>4</v>
      </c>
      <c r="AB38" s="64">
        <v>4</v>
      </c>
      <c r="AC38" s="64">
        <v>4</v>
      </c>
      <c r="AD38" s="64">
        <v>2</v>
      </c>
      <c r="AE38" s="64">
        <v>1</v>
      </c>
      <c r="AF38" s="64">
        <v>4</v>
      </c>
      <c r="AG38" s="64">
        <v>4</v>
      </c>
      <c r="AH38" s="64">
        <v>4</v>
      </c>
      <c r="AI38" s="64">
        <v>4</v>
      </c>
      <c r="AJ38" s="64">
        <v>4</v>
      </c>
      <c r="AK38" s="64"/>
      <c r="AL38" s="64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4">
        <f t="shared" si="0"/>
        <v>77</v>
      </c>
      <c r="BV38" s="66"/>
      <c r="BW38" s="75"/>
    </row>
    <row r="39" spans="1:75" x14ac:dyDescent="0.2">
      <c r="A39" s="67">
        <v>20</v>
      </c>
      <c r="B39" s="83" t="s">
        <v>136</v>
      </c>
      <c r="C39" s="87"/>
      <c r="D39" s="70" t="s">
        <v>118</v>
      </c>
      <c r="E39" s="64"/>
      <c r="F39" s="64"/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/>
      <c r="AL39" s="64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4">
        <f t="shared" si="0"/>
        <v>0</v>
      </c>
      <c r="BV39" s="66"/>
      <c r="BW39" s="75"/>
    </row>
    <row r="40" spans="1:75" x14ac:dyDescent="0.2">
      <c r="A40" s="67">
        <v>21</v>
      </c>
      <c r="B40" s="83" t="s">
        <v>137</v>
      </c>
      <c r="C40" s="69"/>
      <c r="D40" s="70" t="s">
        <v>118</v>
      </c>
      <c r="E40" s="64"/>
      <c r="F40" s="64"/>
      <c r="G40" s="64">
        <v>15</v>
      </c>
      <c r="H40" s="64">
        <v>15</v>
      </c>
      <c r="I40" s="64">
        <v>35</v>
      </c>
      <c r="J40" s="64">
        <v>40</v>
      </c>
      <c r="K40" s="64">
        <v>20</v>
      </c>
      <c r="L40" s="64">
        <v>20</v>
      </c>
      <c r="M40" s="64">
        <v>15</v>
      </c>
      <c r="N40" s="64">
        <v>30</v>
      </c>
      <c r="O40" s="64">
        <v>35</v>
      </c>
      <c r="P40" s="64">
        <v>30</v>
      </c>
      <c r="Q40" s="64">
        <v>25</v>
      </c>
      <c r="R40" s="64">
        <v>25</v>
      </c>
      <c r="S40" s="64">
        <v>25</v>
      </c>
      <c r="T40" s="64">
        <v>25</v>
      </c>
      <c r="U40" s="64">
        <v>25</v>
      </c>
      <c r="V40" s="64">
        <v>25</v>
      </c>
      <c r="W40" s="64">
        <v>25</v>
      </c>
      <c r="X40" s="64">
        <v>25</v>
      </c>
      <c r="Y40" s="64">
        <v>35</v>
      </c>
      <c r="Z40" s="64">
        <v>25</v>
      </c>
      <c r="AA40" s="64">
        <v>25</v>
      </c>
      <c r="AB40" s="64">
        <v>35</v>
      </c>
      <c r="AC40" s="64">
        <v>45</v>
      </c>
      <c r="AD40" s="64">
        <v>35</v>
      </c>
      <c r="AE40" s="64">
        <v>5</v>
      </c>
      <c r="AF40" s="64">
        <v>25</v>
      </c>
      <c r="AG40" s="64">
        <v>25</v>
      </c>
      <c r="AH40" s="64">
        <v>40</v>
      </c>
      <c r="AI40" s="64">
        <v>35</v>
      </c>
      <c r="AJ40" s="64">
        <v>25</v>
      </c>
      <c r="AK40" s="64"/>
      <c r="AL40" s="64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4">
        <f t="shared" si="0"/>
        <v>810</v>
      </c>
      <c r="BV40" s="89"/>
      <c r="BW40" s="75"/>
    </row>
    <row r="41" spans="1:75" x14ac:dyDescent="0.2">
      <c r="A41" s="67">
        <v>22</v>
      </c>
      <c r="B41" s="83" t="s">
        <v>138</v>
      </c>
      <c r="C41" s="69"/>
      <c r="D41" s="70" t="s">
        <v>118</v>
      </c>
      <c r="E41" s="64"/>
      <c r="F41" s="64"/>
      <c r="G41" s="64">
        <v>10</v>
      </c>
      <c r="H41" s="64">
        <v>10</v>
      </c>
      <c r="I41" s="64">
        <v>10</v>
      </c>
      <c r="J41" s="64">
        <v>10</v>
      </c>
      <c r="K41" s="64">
        <v>5</v>
      </c>
      <c r="L41" s="64">
        <v>5</v>
      </c>
      <c r="M41" s="64">
        <v>10</v>
      </c>
      <c r="N41" s="64">
        <v>5</v>
      </c>
      <c r="O41" s="64">
        <v>10</v>
      </c>
      <c r="P41" s="64">
        <v>10</v>
      </c>
      <c r="Q41" s="64">
        <v>10</v>
      </c>
      <c r="R41" s="64">
        <v>10</v>
      </c>
      <c r="S41" s="64">
        <v>10</v>
      </c>
      <c r="T41" s="64">
        <v>10</v>
      </c>
      <c r="U41" s="64">
        <v>10</v>
      </c>
      <c r="V41" s="64">
        <v>10</v>
      </c>
      <c r="W41" s="64">
        <v>10</v>
      </c>
      <c r="X41" s="64">
        <v>10</v>
      </c>
      <c r="Y41" s="64">
        <v>10</v>
      </c>
      <c r="Z41" s="64">
        <v>10</v>
      </c>
      <c r="AA41" s="64">
        <v>10</v>
      </c>
      <c r="AB41" s="64">
        <v>10</v>
      </c>
      <c r="AC41" s="64">
        <v>10</v>
      </c>
      <c r="AD41" s="64">
        <v>10</v>
      </c>
      <c r="AE41" s="64">
        <v>5</v>
      </c>
      <c r="AF41" s="64">
        <v>10</v>
      </c>
      <c r="AG41" s="64">
        <v>10</v>
      </c>
      <c r="AH41" s="64">
        <v>10</v>
      </c>
      <c r="AI41" s="64">
        <v>10</v>
      </c>
      <c r="AJ41" s="64">
        <v>10</v>
      </c>
      <c r="AK41" s="64"/>
      <c r="AL41" s="64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4">
        <f t="shared" si="0"/>
        <v>280</v>
      </c>
      <c r="BV41" s="89"/>
      <c r="BW41" s="75"/>
    </row>
    <row r="42" spans="1:75" x14ac:dyDescent="0.2">
      <c r="A42" s="67">
        <v>23</v>
      </c>
      <c r="B42" s="83" t="s">
        <v>139</v>
      </c>
      <c r="C42" s="69"/>
      <c r="D42" s="70" t="s">
        <v>118</v>
      </c>
      <c r="E42" s="64"/>
      <c r="F42" s="64"/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/>
      <c r="AL42" s="64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4">
        <f t="shared" si="0"/>
        <v>0</v>
      </c>
      <c r="BV42" s="89"/>
      <c r="BW42" s="75"/>
    </row>
    <row r="43" spans="1:75" x14ac:dyDescent="0.2">
      <c r="A43" s="67">
        <v>24</v>
      </c>
      <c r="B43" s="83" t="s">
        <v>140</v>
      </c>
      <c r="C43" s="69"/>
      <c r="D43" s="70" t="s">
        <v>118</v>
      </c>
      <c r="E43" s="64"/>
      <c r="F43" s="64"/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/>
      <c r="AL43" s="64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4">
        <f t="shared" si="0"/>
        <v>0</v>
      </c>
      <c r="BV43" s="89"/>
      <c r="BW43" s="75"/>
    </row>
    <row r="44" spans="1:75" x14ac:dyDescent="0.2">
      <c r="A44" s="67">
        <v>25</v>
      </c>
      <c r="B44" s="83" t="s">
        <v>141</v>
      </c>
      <c r="C44" s="69"/>
      <c r="D44" s="70" t="s">
        <v>118</v>
      </c>
      <c r="E44" s="64"/>
      <c r="F44" s="64"/>
      <c r="G44" s="64">
        <v>100</v>
      </c>
      <c r="H44" s="64">
        <v>60</v>
      </c>
      <c r="I44" s="64">
        <v>100</v>
      </c>
      <c r="J44" s="64">
        <v>50</v>
      </c>
      <c r="K44" s="64">
        <v>100</v>
      </c>
      <c r="L44" s="64">
        <v>100</v>
      </c>
      <c r="M44" s="64">
        <v>100</v>
      </c>
      <c r="N44" s="64">
        <v>30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100</v>
      </c>
      <c r="V44" s="64">
        <v>100</v>
      </c>
      <c r="W44" s="64">
        <v>100</v>
      </c>
      <c r="X44" s="64">
        <v>100</v>
      </c>
      <c r="Y44" s="64">
        <v>50</v>
      </c>
      <c r="Z44" s="64">
        <v>50</v>
      </c>
      <c r="AA44" s="64">
        <v>50</v>
      </c>
      <c r="AB44" s="64">
        <v>50</v>
      </c>
      <c r="AC44" s="64">
        <v>50</v>
      </c>
      <c r="AD44" s="64">
        <v>50</v>
      </c>
      <c r="AE44" s="64">
        <v>50</v>
      </c>
      <c r="AF44" s="64">
        <v>50</v>
      </c>
      <c r="AG44" s="64">
        <v>50</v>
      </c>
      <c r="AH44" s="64">
        <v>50</v>
      </c>
      <c r="AI44" s="64">
        <v>100</v>
      </c>
      <c r="AJ44" s="64">
        <v>100</v>
      </c>
      <c r="AK44" s="64"/>
      <c r="AL44" s="64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4">
        <f t="shared" si="0"/>
        <v>1740</v>
      </c>
      <c r="BV44" s="89"/>
      <c r="BW44" s="75"/>
    </row>
    <row r="45" spans="1:75" x14ac:dyDescent="0.2">
      <c r="A45" s="67">
        <v>26</v>
      </c>
      <c r="B45" s="83" t="s">
        <v>142</v>
      </c>
      <c r="C45" s="69"/>
      <c r="D45" s="70" t="s">
        <v>118</v>
      </c>
      <c r="E45" s="64"/>
      <c r="F45" s="64"/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50</v>
      </c>
      <c r="W45" s="64">
        <v>50</v>
      </c>
      <c r="X45" s="64">
        <v>50</v>
      </c>
      <c r="Y45" s="64">
        <v>20</v>
      </c>
      <c r="Z45" s="64">
        <v>20</v>
      </c>
      <c r="AA45" s="64">
        <v>20</v>
      </c>
      <c r="AB45" s="64">
        <v>20</v>
      </c>
      <c r="AC45" s="64">
        <v>20</v>
      </c>
      <c r="AD45" s="64">
        <v>20</v>
      </c>
      <c r="AE45" s="64">
        <v>20</v>
      </c>
      <c r="AF45" s="64">
        <v>20</v>
      </c>
      <c r="AG45" s="64">
        <v>20</v>
      </c>
      <c r="AH45" s="64">
        <v>20</v>
      </c>
      <c r="AI45" s="64">
        <v>20</v>
      </c>
      <c r="AJ45" s="64">
        <v>20</v>
      </c>
      <c r="AK45" s="64"/>
      <c r="AL45" s="64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4">
        <f t="shared" si="0"/>
        <v>390</v>
      </c>
      <c r="BV45" s="89"/>
      <c r="BW45" s="75"/>
    </row>
    <row r="46" spans="1:75" x14ac:dyDescent="0.2">
      <c r="A46" s="67">
        <v>27</v>
      </c>
      <c r="B46" s="83" t="s">
        <v>143</v>
      </c>
      <c r="C46" s="69"/>
      <c r="D46" s="70" t="s">
        <v>118</v>
      </c>
      <c r="E46" s="64"/>
      <c r="F46" s="64"/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/>
      <c r="AL46" s="64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4">
        <f t="shared" si="0"/>
        <v>0</v>
      </c>
      <c r="BV46" s="89"/>
      <c r="BW46" s="75"/>
    </row>
    <row r="47" spans="1:75" x14ac:dyDescent="0.2">
      <c r="A47" s="67">
        <v>28</v>
      </c>
      <c r="B47" s="83" t="s">
        <v>233</v>
      </c>
      <c r="C47" s="69"/>
      <c r="D47" s="187" t="s">
        <v>118</v>
      </c>
      <c r="E47" s="188"/>
      <c r="F47" s="188"/>
      <c r="G47" s="64">
        <v>4.7</v>
      </c>
      <c r="H47" s="64">
        <v>5.0999999999999996</v>
      </c>
      <c r="I47" s="64">
        <v>2.2000000000000002</v>
      </c>
      <c r="J47" s="64">
        <v>3.7</v>
      </c>
      <c r="K47" s="64">
        <v>2.2000000000000002</v>
      </c>
      <c r="L47" s="64">
        <v>3.4</v>
      </c>
      <c r="M47" s="64">
        <v>4.5</v>
      </c>
      <c r="N47" s="64">
        <v>2.5</v>
      </c>
      <c r="O47" s="64">
        <v>3.4</v>
      </c>
      <c r="P47" s="64">
        <v>3.1</v>
      </c>
      <c r="Q47" s="64">
        <v>3.5</v>
      </c>
      <c r="R47" s="64">
        <v>6.1</v>
      </c>
      <c r="S47" s="64">
        <v>6.7</v>
      </c>
      <c r="T47" s="202">
        <v>6</v>
      </c>
      <c r="U47" s="202">
        <v>5.7</v>
      </c>
      <c r="V47" s="202">
        <v>6.6</v>
      </c>
      <c r="W47" s="64">
        <v>5.7</v>
      </c>
      <c r="X47" s="64">
        <v>4.5</v>
      </c>
      <c r="Y47" s="202">
        <v>5.3</v>
      </c>
      <c r="Z47" s="202">
        <v>4.9000000000000004</v>
      </c>
      <c r="AA47" s="202">
        <v>5.6</v>
      </c>
      <c r="AB47" s="64">
        <v>5.8</v>
      </c>
      <c r="AC47" s="202">
        <v>4.7</v>
      </c>
      <c r="AD47" s="202">
        <v>3.3</v>
      </c>
      <c r="AE47" s="202">
        <v>0.8</v>
      </c>
      <c r="AF47" s="64">
        <v>5.8</v>
      </c>
      <c r="AG47" s="64">
        <v>4.5</v>
      </c>
      <c r="AH47" s="202">
        <v>5.2</v>
      </c>
      <c r="AI47" s="64">
        <v>5.9</v>
      </c>
      <c r="AJ47" s="64">
        <v>6.2</v>
      </c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189">
        <f>SUM(G47:AJ47)</f>
        <v>137.6</v>
      </c>
      <c r="BV47" s="89"/>
      <c r="BW47" s="75"/>
    </row>
    <row r="48" spans="1:75" x14ac:dyDescent="0.2">
      <c r="A48" s="67">
        <v>29</v>
      </c>
      <c r="B48" s="83" t="s">
        <v>236</v>
      </c>
      <c r="C48" s="69"/>
      <c r="D48" s="187" t="s">
        <v>118</v>
      </c>
      <c r="E48" s="188"/>
      <c r="F48" s="188"/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189">
        <f>SUM(G48:AJ48)</f>
        <v>0</v>
      </c>
      <c r="BV48" s="89"/>
      <c r="BW48" s="75"/>
    </row>
    <row r="49" spans="1:75" x14ac:dyDescent="0.2">
      <c r="A49" s="67">
        <v>30</v>
      </c>
      <c r="B49" s="83" t="s">
        <v>238</v>
      </c>
      <c r="C49" s="69"/>
      <c r="D49" s="187" t="s">
        <v>118</v>
      </c>
      <c r="E49" s="188"/>
      <c r="F49" s="188"/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189">
        <v>0</v>
      </c>
      <c r="BV49" s="89"/>
      <c r="BW49" s="75"/>
    </row>
    <row r="50" spans="1:75" x14ac:dyDescent="0.2">
      <c r="A50" s="67"/>
      <c r="B50" s="164" t="s">
        <v>224</v>
      </c>
      <c r="C50" s="69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8"/>
      <c r="BA50" s="228"/>
      <c r="BB50" s="228"/>
      <c r="BC50" s="228"/>
      <c r="BD50" s="228"/>
      <c r="BE50" s="228"/>
      <c r="BF50" s="228"/>
      <c r="BG50" s="228"/>
      <c r="BH50" s="228"/>
      <c r="BI50" s="228"/>
      <c r="BJ50" s="228"/>
      <c r="BK50" s="228"/>
      <c r="BL50" s="228"/>
      <c r="BM50" s="228"/>
      <c r="BN50" s="228"/>
      <c r="BO50" s="228"/>
      <c r="BP50" s="228"/>
      <c r="BQ50" s="228"/>
      <c r="BR50" s="228"/>
      <c r="BS50" s="228"/>
      <c r="BT50" s="228"/>
      <c r="BV50" s="89"/>
      <c r="BW50" s="75"/>
    </row>
    <row r="51" spans="1:75" x14ac:dyDescent="0.2">
      <c r="A51" s="67">
        <v>28</v>
      </c>
      <c r="B51" s="83" t="s">
        <v>225</v>
      </c>
      <c r="C51" s="69"/>
      <c r="D51" s="70" t="s">
        <v>228</v>
      </c>
      <c r="E51" s="64"/>
      <c r="F51" s="64"/>
      <c r="G51" s="64">
        <v>855</v>
      </c>
      <c r="H51" s="64">
        <v>1057.5</v>
      </c>
      <c r="I51" s="64">
        <v>525</v>
      </c>
      <c r="J51" s="64">
        <v>937.5</v>
      </c>
      <c r="K51" s="64">
        <v>540</v>
      </c>
      <c r="L51" s="64">
        <v>570</v>
      </c>
      <c r="M51" s="64">
        <v>840</v>
      </c>
      <c r="N51" s="64">
        <v>487.5</v>
      </c>
      <c r="O51" s="64">
        <v>1057.5</v>
      </c>
      <c r="P51" s="64">
        <v>960</v>
      </c>
      <c r="Q51" s="64">
        <v>922.5</v>
      </c>
      <c r="R51" s="64">
        <v>930</v>
      </c>
      <c r="S51" s="64">
        <v>1065</v>
      </c>
      <c r="T51" s="64">
        <v>1035</v>
      </c>
      <c r="U51" s="64">
        <v>1027.5</v>
      </c>
      <c r="V51" s="64">
        <v>1170</v>
      </c>
      <c r="W51" s="64">
        <v>817.5</v>
      </c>
      <c r="X51" s="64">
        <v>1050</v>
      </c>
      <c r="Y51" s="64">
        <v>900</v>
      </c>
      <c r="Z51" s="64">
        <v>1267.5</v>
      </c>
      <c r="AA51" s="64">
        <v>1492</v>
      </c>
      <c r="AB51" s="64">
        <v>1517</v>
      </c>
      <c r="AC51" s="64">
        <v>1484.2</v>
      </c>
      <c r="AD51" s="64">
        <v>1197.2</v>
      </c>
      <c r="AE51" s="64">
        <v>0</v>
      </c>
      <c r="AF51" s="64">
        <v>1115.2</v>
      </c>
      <c r="AG51" s="64">
        <v>852.8</v>
      </c>
      <c r="AH51" s="64">
        <v>1443.2</v>
      </c>
      <c r="AI51" s="64">
        <v>1066</v>
      </c>
      <c r="AJ51" s="64">
        <v>1205.4000000000001</v>
      </c>
      <c r="AK51" s="64"/>
      <c r="AL51" s="64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4">
        <f>SUM(G51:BF51)</f>
        <v>29388.000000000004</v>
      </c>
      <c r="BV51" s="89"/>
      <c r="BW51" s="75"/>
    </row>
    <row r="52" spans="1:75" x14ac:dyDescent="0.2">
      <c r="A52" s="67">
        <v>29</v>
      </c>
      <c r="B52" s="83" t="s">
        <v>226</v>
      </c>
      <c r="C52" s="69"/>
      <c r="D52" s="70" t="s">
        <v>229</v>
      </c>
      <c r="E52" s="64"/>
      <c r="F52" s="64"/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20</v>
      </c>
      <c r="M52" s="64">
        <v>108</v>
      </c>
      <c r="N52" s="64">
        <v>0</v>
      </c>
      <c r="O52" s="64">
        <v>168</v>
      </c>
      <c r="P52" s="64">
        <v>46</v>
      </c>
      <c r="Q52" s="64">
        <v>0</v>
      </c>
      <c r="R52" s="64">
        <v>32</v>
      </c>
      <c r="S52" s="64">
        <v>48</v>
      </c>
      <c r="T52" s="64">
        <v>367</v>
      </c>
      <c r="U52" s="64">
        <v>684</v>
      </c>
      <c r="V52" s="64">
        <v>0</v>
      </c>
      <c r="W52" s="64">
        <v>132</v>
      </c>
      <c r="X52" s="64">
        <v>30</v>
      </c>
      <c r="Y52" s="64">
        <v>0</v>
      </c>
      <c r="Z52" s="64">
        <v>0</v>
      </c>
      <c r="AA52" s="64">
        <v>128</v>
      </c>
      <c r="AB52" s="64">
        <v>78</v>
      </c>
      <c r="AC52" s="64">
        <v>250</v>
      </c>
      <c r="AD52" s="64">
        <v>246</v>
      </c>
      <c r="AE52" s="64">
        <v>0</v>
      </c>
      <c r="AF52" s="64">
        <v>238</v>
      </c>
      <c r="AG52" s="64">
        <v>0</v>
      </c>
      <c r="AH52" s="64">
        <v>120</v>
      </c>
      <c r="AI52" s="64">
        <v>20</v>
      </c>
      <c r="AJ52" s="64">
        <v>338</v>
      </c>
      <c r="AK52" s="64"/>
      <c r="AL52" s="64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4">
        <f>SUM(G52:BF52)</f>
        <v>3053</v>
      </c>
      <c r="BV52" s="89"/>
      <c r="BW52" s="75"/>
    </row>
    <row r="53" spans="1:75" x14ac:dyDescent="0.2">
      <c r="A53" s="67">
        <v>30</v>
      </c>
      <c r="B53" s="83" t="s">
        <v>227</v>
      </c>
      <c r="C53" s="69"/>
      <c r="D53" s="70" t="s">
        <v>228</v>
      </c>
      <c r="E53" s="64"/>
      <c r="F53" s="64"/>
      <c r="G53" s="64">
        <v>210</v>
      </c>
      <c r="H53" s="64">
        <v>195</v>
      </c>
      <c r="I53" s="64">
        <v>195</v>
      </c>
      <c r="J53" s="64">
        <v>210</v>
      </c>
      <c r="K53" s="64">
        <v>105</v>
      </c>
      <c r="L53" s="64">
        <v>120</v>
      </c>
      <c r="M53" s="64">
        <v>225</v>
      </c>
      <c r="N53" s="64">
        <v>165</v>
      </c>
      <c r="O53" s="64">
        <v>225</v>
      </c>
      <c r="P53" s="64">
        <v>210</v>
      </c>
      <c r="Q53" s="64">
        <v>225</v>
      </c>
      <c r="R53" s="64">
        <v>300</v>
      </c>
      <c r="S53" s="64">
        <v>315</v>
      </c>
      <c r="T53" s="64">
        <v>330</v>
      </c>
      <c r="U53" s="64">
        <v>315</v>
      </c>
      <c r="V53" s="64">
        <v>285</v>
      </c>
      <c r="W53" s="64">
        <v>300</v>
      </c>
      <c r="X53" s="64">
        <v>240</v>
      </c>
      <c r="Y53" s="64">
        <v>210</v>
      </c>
      <c r="Z53" s="64">
        <v>285</v>
      </c>
      <c r="AA53" s="64">
        <v>285</v>
      </c>
      <c r="AB53" s="64">
        <v>315</v>
      </c>
      <c r="AC53" s="64">
        <v>270</v>
      </c>
      <c r="AD53" s="64">
        <v>210</v>
      </c>
      <c r="AE53" s="64">
        <v>0</v>
      </c>
      <c r="AF53" s="64">
        <v>300</v>
      </c>
      <c r="AG53" s="64">
        <v>240</v>
      </c>
      <c r="AH53" s="64">
        <v>285</v>
      </c>
      <c r="AI53" s="64">
        <v>270</v>
      </c>
      <c r="AJ53" s="64">
        <v>285</v>
      </c>
      <c r="AK53" s="64"/>
      <c r="AL53" s="64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4">
        <f>SUM(G53:BF53)</f>
        <v>7125</v>
      </c>
      <c r="BV53" s="89"/>
      <c r="BW53" s="75"/>
    </row>
    <row r="54" spans="1:75" x14ac:dyDescent="0.2">
      <c r="A54" s="205">
        <v>31</v>
      </c>
      <c r="B54" s="83" t="s">
        <v>258</v>
      </c>
      <c r="C54" s="69"/>
      <c r="D54" s="70" t="s">
        <v>229</v>
      </c>
      <c r="E54" s="64"/>
      <c r="F54" s="64"/>
      <c r="G54" s="64">
        <v>288</v>
      </c>
      <c r="H54" s="64">
        <v>367</v>
      </c>
      <c r="I54" s="64">
        <v>200</v>
      </c>
      <c r="J54" s="64">
        <v>200</v>
      </c>
      <c r="K54" s="64">
        <v>126</v>
      </c>
      <c r="L54" s="64">
        <v>268</v>
      </c>
      <c r="M54" s="64">
        <v>408</v>
      </c>
      <c r="N54" s="64">
        <v>304</v>
      </c>
      <c r="O54" s="64">
        <v>315</v>
      </c>
      <c r="P54" s="64">
        <v>336</v>
      </c>
      <c r="Q54" s="64">
        <v>455</v>
      </c>
      <c r="R54" s="64">
        <v>571</v>
      </c>
      <c r="S54" s="64">
        <v>573</v>
      </c>
      <c r="T54" s="64">
        <v>593</v>
      </c>
      <c r="U54" s="64">
        <v>720</v>
      </c>
      <c r="V54" s="64">
        <v>485</v>
      </c>
      <c r="W54" s="64">
        <v>265</v>
      </c>
      <c r="X54" s="64">
        <v>547</v>
      </c>
      <c r="Y54" s="64">
        <v>342</v>
      </c>
      <c r="Z54" s="64">
        <v>716</v>
      </c>
      <c r="AA54" s="64">
        <v>535</v>
      </c>
      <c r="AB54" s="64">
        <v>589</v>
      </c>
      <c r="AC54" s="64">
        <v>319</v>
      </c>
      <c r="AD54" s="64">
        <v>254</v>
      </c>
      <c r="AE54" s="64">
        <v>0</v>
      </c>
      <c r="AF54" s="64">
        <v>596</v>
      </c>
      <c r="AG54" s="64">
        <v>193</v>
      </c>
      <c r="AH54" s="64">
        <v>444</v>
      </c>
      <c r="AI54" s="64">
        <v>503</v>
      </c>
      <c r="AJ54" s="64">
        <v>185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74">
        <f>SUM(G54:BF54)</f>
        <v>11697</v>
      </c>
      <c r="BV54" s="89"/>
      <c r="BW54" s="75"/>
    </row>
    <row r="55" spans="1:75" x14ac:dyDescent="0.2">
      <c r="A55" s="229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1"/>
      <c r="BK55" s="211"/>
      <c r="BL55" s="211"/>
      <c r="BM55" s="211"/>
      <c r="BN55" s="211"/>
      <c r="BO55" s="211"/>
      <c r="BP55" s="211"/>
      <c r="BQ55" s="211"/>
      <c r="BR55" s="211"/>
      <c r="BS55" s="211"/>
      <c r="BT55" s="230"/>
      <c r="BV55" s="89"/>
      <c r="BW55" s="75"/>
    </row>
    <row r="56" spans="1:75" x14ac:dyDescent="0.2">
      <c r="A56" s="67" t="s">
        <v>144</v>
      </c>
      <c r="B56" s="76" t="s">
        <v>145</v>
      </c>
      <c r="C56" s="77"/>
      <c r="D56" s="78" t="s">
        <v>16</v>
      </c>
      <c r="E56" s="90">
        <v>0</v>
      </c>
      <c r="F56" s="90">
        <v>0</v>
      </c>
      <c r="G56" s="90">
        <v>70</v>
      </c>
      <c r="H56" s="90">
        <v>76</v>
      </c>
      <c r="I56" s="90">
        <v>40</v>
      </c>
      <c r="J56" s="90">
        <v>59</v>
      </c>
      <c r="K56" s="90">
        <v>25</v>
      </c>
      <c r="L56" s="90">
        <v>45</v>
      </c>
      <c r="M56" s="90">
        <v>61</v>
      </c>
      <c r="N56" s="90">
        <v>42</v>
      </c>
      <c r="O56" s="90">
        <v>68</v>
      </c>
      <c r="P56" s="90">
        <v>69</v>
      </c>
      <c r="Q56" s="90">
        <v>71</v>
      </c>
      <c r="R56" s="90">
        <v>87</v>
      </c>
      <c r="S56" s="90">
        <v>93</v>
      </c>
      <c r="T56" s="90">
        <v>91</v>
      </c>
      <c r="U56" s="90">
        <v>90</v>
      </c>
      <c r="V56" s="90">
        <v>101</v>
      </c>
      <c r="W56" s="90">
        <v>83</v>
      </c>
      <c r="X56" s="90">
        <v>67</v>
      </c>
      <c r="Y56" s="90">
        <v>77</v>
      </c>
      <c r="Z56" s="90">
        <v>78</v>
      </c>
      <c r="AA56" s="90">
        <v>94</v>
      </c>
      <c r="AB56" s="90">
        <v>85</v>
      </c>
      <c r="AC56" s="90">
        <v>72</v>
      </c>
      <c r="AD56" s="90">
        <v>59</v>
      </c>
      <c r="AE56" s="90">
        <v>5</v>
      </c>
      <c r="AF56" s="90">
        <v>92</v>
      </c>
      <c r="AG56" s="90">
        <v>76</v>
      </c>
      <c r="AH56" s="90">
        <v>86</v>
      </c>
      <c r="AI56" s="90">
        <v>92</v>
      </c>
      <c r="AJ56" s="90">
        <v>96</v>
      </c>
      <c r="AK56" s="90"/>
      <c r="AL56" s="90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74">
        <f>SUM(G56:BF56)</f>
        <v>2150</v>
      </c>
      <c r="BV56" s="66"/>
      <c r="BW56" s="75"/>
    </row>
    <row r="57" spans="1:75" ht="21" thickBot="1" x14ac:dyDescent="0.25">
      <c r="A57" s="167" t="s">
        <v>146</v>
      </c>
      <c r="B57" s="168" t="s">
        <v>147</v>
      </c>
      <c r="C57" s="169"/>
      <c r="D57" s="170" t="s">
        <v>16</v>
      </c>
      <c r="E57" s="171">
        <f>E56*0.935</f>
        <v>0</v>
      </c>
      <c r="F57" s="171">
        <f t="shared" ref="F57" si="11">F56*0.935</f>
        <v>0</v>
      </c>
      <c r="G57" s="172">
        <v>53.313000000000002</v>
      </c>
      <c r="H57" s="172">
        <v>77.326999999999998</v>
      </c>
      <c r="I57" s="172">
        <v>32.850999999999999</v>
      </c>
      <c r="J57" s="172">
        <v>43.529000000000003</v>
      </c>
      <c r="K57" s="172">
        <v>29.658999999999999</v>
      </c>
      <c r="L57" s="172">
        <v>40.567999999999998</v>
      </c>
      <c r="M57" s="172">
        <v>49.429000000000002</v>
      </c>
      <c r="N57" s="172">
        <v>38.087000000000003</v>
      </c>
      <c r="O57" s="172">
        <v>68.792000000000002</v>
      </c>
      <c r="P57" s="172">
        <v>57.365000000000002</v>
      </c>
      <c r="Q57" s="172">
        <v>62.65</v>
      </c>
      <c r="R57" s="172">
        <v>75.89</v>
      </c>
      <c r="S57" s="172">
        <v>88.828999999999994</v>
      </c>
      <c r="T57" s="172">
        <v>78.174999999999997</v>
      </c>
      <c r="U57" s="172">
        <v>113.06100000000001</v>
      </c>
      <c r="V57" s="172">
        <v>105.71899999999999</v>
      </c>
      <c r="W57" s="172">
        <v>72.224000000000004</v>
      </c>
      <c r="X57" s="172">
        <v>77.545000000000002</v>
      </c>
      <c r="Y57" s="172">
        <v>54.209000000000003</v>
      </c>
      <c r="Z57" s="172">
        <v>79.097999999999999</v>
      </c>
      <c r="AA57" s="172">
        <v>99.748000000000005</v>
      </c>
      <c r="AB57" s="172">
        <v>77.391000000000005</v>
      </c>
      <c r="AC57" s="172">
        <v>67.825000000000003</v>
      </c>
      <c r="AD57" s="172">
        <v>68.018000000000001</v>
      </c>
      <c r="AE57" s="172">
        <v>0</v>
      </c>
      <c r="AF57" s="172">
        <v>73.706000000000003</v>
      </c>
      <c r="AG57" s="172">
        <v>68.83</v>
      </c>
      <c r="AH57" s="172">
        <v>89.292000000000002</v>
      </c>
      <c r="AI57" s="172">
        <v>74.266999999999996</v>
      </c>
      <c r="AJ57" s="172">
        <v>87.795000000000002</v>
      </c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1">
        <f t="shared" ref="BG57:BQ57" si="12">BG56*0.94</f>
        <v>0</v>
      </c>
      <c r="BH57" s="171">
        <f t="shared" si="12"/>
        <v>0</v>
      </c>
      <c r="BI57" s="171">
        <f t="shared" si="12"/>
        <v>0</v>
      </c>
      <c r="BJ57" s="171">
        <f t="shared" si="12"/>
        <v>0</v>
      </c>
      <c r="BK57" s="171">
        <f t="shared" si="12"/>
        <v>0</v>
      </c>
      <c r="BL57" s="171">
        <f t="shared" si="12"/>
        <v>0</v>
      </c>
      <c r="BM57" s="171">
        <f t="shared" si="12"/>
        <v>0</v>
      </c>
      <c r="BN57" s="171">
        <f t="shared" si="12"/>
        <v>0</v>
      </c>
      <c r="BO57" s="171">
        <f t="shared" si="12"/>
        <v>0</v>
      </c>
      <c r="BP57" s="171">
        <f t="shared" si="12"/>
        <v>0</v>
      </c>
      <c r="BQ57" s="171">
        <f t="shared" si="12"/>
        <v>0</v>
      </c>
      <c r="BR57" s="173">
        <v>0</v>
      </c>
      <c r="BS57" s="173">
        <v>0</v>
      </c>
      <c r="BT57" s="174">
        <f>SUM(G57:BF57)</f>
        <v>2005.192</v>
      </c>
      <c r="BV57" s="66"/>
      <c r="BW57" s="75"/>
    </row>
    <row r="58" spans="1:75" hidden="1" x14ac:dyDescent="0.2">
      <c r="A58" s="165"/>
      <c r="B58" s="166"/>
      <c r="C58" s="219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  <c r="BB58" s="220"/>
      <c r="BC58" s="220"/>
      <c r="BD58" s="220"/>
      <c r="BE58" s="220"/>
      <c r="BF58" s="220"/>
      <c r="BG58" s="220"/>
      <c r="BH58" s="220"/>
      <c r="BI58" s="220"/>
      <c r="BJ58" s="220"/>
      <c r="BK58" s="220"/>
      <c r="BL58" s="220"/>
      <c r="BM58" s="220"/>
      <c r="BN58" s="220"/>
      <c r="BO58" s="220"/>
      <c r="BP58" s="220"/>
      <c r="BQ58" s="220"/>
      <c r="BR58" s="220"/>
      <c r="BS58" s="220"/>
      <c r="BT58" s="221"/>
      <c r="BV58" s="66"/>
      <c r="BW58" s="75"/>
    </row>
    <row r="59" spans="1:75" ht="23.25" hidden="1" customHeight="1" x14ac:dyDescent="0.25">
      <c r="A59" s="94" t="s">
        <v>148</v>
      </c>
      <c r="B59" s="95" t="s">
        <v>149</v>
      </c>
      <c r="C59" s="222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  <c r="AA59" s="223"/>
      <c r="AB59" s="223"/>
      <c r="AC59" s="223"/>
      <c r="AD59" s="223"/>
      <c r="AE59" s="223"/>
      <c r="AF59" s="223"/>
      <c r="AG59" s="223"/>
      <c r="AH59" s="223"/>
      <c r="AI59" s="223"/>
      <c r="AJ59" s="223"/>
      <c r="AK59" s="223"/>
      <c r="AL59" s="223"/>
      <c r="AM59" s="223"/>
      <c r="AN59" s="223"/>
      <c r="AO59" s="223"/>
      <c r="AP59" s="223"/>
      <c r="AQ59" s="223"/>
      <c r="AR59" s="223"/>
      <c r="AS59" s="223"/>
      <c r="AT59" s="223"/>
      <c r="AU59" s="223"/>
      <c r="AV59" s="223"/>
      <c r="AW59" s="223"/>
      <c r="AX59" s="223"/>
      <c r="AY59" s="223"/>
      <c r="AZ59" s="223"/>
      <c r="BA59" s="223"/>
      <c r="BB59" s="223"/>
      <c r="BC59" s="223"/>
      <c r="BD59" s="223"/>
      <c r="BE59" s="223"/>
      <c r="BF59" s="223"/>
      <c r="BG59" s="223"/>
      <c r="BH59" s="223"/>
      <c r="BI59" s="223"/>
      <c r="BJ59" s="223"/>
      <c r="BK59" s="223"/>
      <c r="BL59" s="223"/>
      <c r="BM59" s="223"/>
      <c r="BN59" s="223"/>
      <c r="BO59" s="223"/>
      <c r="BP59" s="223"/>
      <c r="BQ59" s="223"/>
      <c r="BR59" s="223"/>
      <c r="BS59" s="223"/>
      <c r="BT59" s="224"/>
    </row>
    <row r="60" spans="1:75" hidden="1" x14ac:dyDescent="0.2">
      <c r="A60" s="94">
        <v>1</v>
      </c>
      <c r="B60" s="93" t="s">
        <v>150</v>
      </c>
      <c r="C60" s="96"/>
      <c r="D60" s="97" t="s">
        <v>16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98">
        <f>SUM(E60:AK60)</f>
        <v>0</v>
      </c>
      <c r="BV60" s="66"/>
      <c r="BW60" s="75"/>
    </row>
    <row r="61" spans="1:75" ht="15.75" hidden="1" customHeight="1" x14ac:dyDescent="0.2">
      <c r="A61" s="94">
        <v>2</v>
      </c>
      <c r="B61" s="93" t="s">
        <v>151</v>
      </c>
      <c r="C61" s="96"/>
      <c r="D61" s="97" t="s">
        <v>16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98">
        <f>SUM(E61:AK61)</f>
        <v>0</v>
      </c>
      <c r="BV61" s="99"/>
      <c r="BW61" s="75"/>
    </row>
    <row r="62" spans="1:75" ht="17.25" hidden="1" customHeight="1" x14ac:dyDescent="0.2">
      <c r="A62" s="94">
        <v>3</v>
      </c>
      <c r="B62" s="93" t="s">
        <v>152</v>
      </c>
      <c r="C62" s="96"/>
      <c r="D62" s="97" t="s">
        <v>153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86"/>
      <c r="BN62" s="86"/>
      <c r="BO62" s="86"/>
      <c r="BP62" s="86"/>
      <c r="BQ62" s="86"/>
      <c r="BR62" s="86"/>
      <c r="BS62" s="86"/>
      <c r="BT62" s="98">
        <f>SUM(E62:AK62)</f>
        <v>0</v>
      </c>
      <c r="BW62" s="100"/>
    </row>
    <row r="63" spans="1:75" ht="19.5" hidden="1" customHeight="1" x14ac:dyDescent="0.2">
      <c r="A63" s="92">
        <v>4</v>
      </c>
      <c r="B63" s="101" t="s">
        <v>154</v>
      </c>
      <c r="C63" s="102"/>
      <c r="D63" s="103" t="s">
        <v>29</v>
      </c>
      <c r="E63" s="104"/>
      <c r="F63" s="104"/>
      <c r="G63" s="104"/>
      <c r="H63" s="104"/>
      <c r="I63" s="104" t="e">
        <f>#REF!</f>
        <v>#REF!</v>
      </c>
      <c r="J63" s="104" t="e">
        <f>#REF!</f>
        <v>#REF!</v>
      </c>
      <c r="K63" s="104" t="e">
        <f>#REF!</f>
        <v>#REF!</v>
      </c>
      <c r="L63" s="104" t="e">
        <f>#REF!</f>
        <v>#REF!</v>
      </c>
      <c r="M63" s="104" t="e">
        <f>#REF!</f>
        <v>#REF!</v>
      </c>
      <c r="N63" s="104" t="e">
        <f>#REF!</f>
        <v>#REF!</v>
      </c>
      <c r="O63" s="104" t="e">
        <f>#REF!</f>
        <v>#REF!</v>
      </c>
      <c r="P63" s="104" t="e">
        <f>#REF!</f>
        <v>#REF!</v>
      </c>
      <c r="Q63" s="104" t="e">
        <f>#REF!</f>
        <v>#REF!</v>
      </c>
      <c r="R63" s="104" t="e">
        <f>#REF!</f>
        <v>#REF!</v>
      </c>
      <c r="S63" s="104" t="e">
        <f>#REF!</f>
        <v>#REF!</v>
      </c>
      <c r="T63" s="104" t="e">
        <f>#REF!</f>
        <v>#REF!</v>
      </c>
      <c r="U63" s="104" t="e">
        <f>#REF!</f>
        <v>#REF!</v>
      </c>
      <c r="V63" s="104" t="e">
        <f>#REF!</f>
        <v>#REF!</v>
      </c>
      <c r="W63" s="104" t="e">
        <f>#REF!</f>
        <v>#REF!</v>
      </c>
      <c r="X63" s="104" t="e">
        <f>#REF!</f>
        <v>#REF!</v>
      </c>
      <c r="Y63" s="104" t="e">
        <f>#REF!</f>
        <v>#REF!</v>
      </c>
      <c r="Z63" s="104" t="e">
        <f>#REF!</f>
        <v>#REF!</v>
      </c>
      <c r="AA63" s="104" t="e">
        <f>#REF!</f>
        <v>#REF!</v>
      </c>
      <c r="AB63" s="104" t="e">
        <f>#REF!</f>
        <v>#REF!</v>
      </c>
      <c r="AC63" s="104" t="e">
        <f>#REF!</f>
        <v>#REF!</v>
      </c>
      <c r="AD63" s="104" t="e">
        <f>#REF!</f>
        <v>#REF!</v>
      </c>
      <c r="AE63" s="104" t="e">
        <f>#REF!</f>
        <v>#REF!</v>
      </c>
      <c r="AF63" s="104" t="e">
        <f>#REF!</f>
        <v>#REF!</v>
      </c>
      <c r="AG63" s="104" t="e">
        <f>#REF!</f>
        <v>#REF!</v>
      </c>
      <c r="AH63" s="104" t="e">
        <f>#REF!</f>
        <v>#REF!</v>
      </c>
      <c r="AI63" s="104" t="e">
        <f>#REF!</f>
        <v>#REF!</v>
      </c>
      <c r="AJ63" s="104" t="e">
        <f>#REF!</f>
        <v>#REF!</v>
      </c>
      <c r="AK63" s="104" t="e">
        <f>#REF!</f>
        <v>#REF!</v>
      </c>
      <c r="AL63" s="104" t="e">
        <f>#REF!</f>
        <v>#REF!</v>
      </c>
      <c r="AM63" s="105" t="e">
        <f>#REF!</f>
        <v>#REF!</v>
      </c>
      <c r="AN63" s="105" t="e">
        <f>#REF!</f>
        <v>#REF!</v>
      </c>
      <c r="AO63" s="105" t="e">
        <f>#REF!</f>
        <v>#REF!</v>
      </c>
      <c r="AP63" s="105" t="e">
        <f>#REF!</f>
        <v>#REF!</v>
      </c>
      <c r="AQ63" s="105" t="e">
        <f>#REF!</f>
        <v>#REF!</v>
      </c>
      <c r="AR63" s="105" t="e">
        <f>#REF!</f>
        <v>#REF!</v>
      </c>
      <c r="AS63" s="105" t="e">
        <f>#REF!</f>
        <v>#REF!</v>
      </c>
      <c r="AT63" s="105" t="e">
        <f>#REF!</f>
        <v>#REF!</v>
      </c>
      <c r="AU63" s="105" t="e">
        <f>#REF!</f>
        <v>#REF!</v>
      </c>
      <c r="AV63" s="105" t="e">
        <f>#REF!</f>
        <v>#REF!</v>
      </c>
      <c r="AW63" s="105" t="e">
        <f>#REF!</f>
        <v>#REF!</v>
      </c>
      <c r="AX63" s="105" t="e">
        <f>#REF!</f>
        <v>#REF!</v>
      </c>
      <c r="AY63" s="105" t="e">
        <f>#REF!</f>
        <v>#REF!</v>
      </c>
      <c r="AZ63" s="105" t="e">
        <f>#REF!</f>
        <v>#REF!</v>
      </c>
      <c r="BA63" s="105" t="e">
        <f>#REF!</f>
        <v>#REF!</v>
      </c>
      <c r="BB63" s="105" t="e">
        <f>#REF!</f>
        <v>#REF!</v>
      </c>
      <c r="BC63" s="105" t="e">
        <f>#REF!</f>
        <v>#REF!</v>
      </c>
      <c r="BD63" s="105" t="e">
        <f>#REF!</f>
        <v>#REF!</v>
      </c>
      <c r="BE63" s="105" t="e">
        <f>#REF!</f>
        <v>#REF!</v>
      </c>
      <c r="BF63" s="105" t="e">
        <f>#REF!</f>
        <v>#REF!</v>
      </c>
      <c r="BG63" s="105" t="e">
        <f>#REF!</f>
        <v>#REF!</v>
      </c>
      <c r="BH63" s="105" t="e">
        <f>#REF!</f>
        <v>#REF!</v>
      </c>
      <c r="BI63" s="105">
        <v>2</v>
      </c>
      <c r="BJ63" s="105">
        <v>2</v>
      </c>
      <c r="BK63" s="105">
        <v>2</v>
      </c>
      <c r="BL63" s="105">
        <v>2</v>
      </c>
      <c r="BM63" s="105">
        <v>2</v>
      </c>
      <c r="BN63" s="105">
        <v>2</v>
      </c>
      <c r="BO63" s="105">
        <v>2</v>
      </c>
      <c r="BP63" s="105">
        <v>2</v>
      </c>
      <c r="BQ63" s="105">
        <v>2</v>
      </c>
      <c r="BR63" s="105"/>
      <c r="BS63" s="105"/>
      <c r="BT63" s="98" t="e">
        <f>SUM(I63:BR63)</f>
        <v>#REF!</v>
      </c>
      <c r="BW63" s="100"/>
    </row>
    <row r="64" spans="1:75" ht="23.25" hidden="1" customHeight="1" x14ac:dyDescent="0.2">
      <c r="A64" s="94">
        <v>5</v>
      </c>
      <c r="B64" s="93" t="s">
        <v>155</v>
      </c>
      <c r="C64" s="96"/>
      <c r="D64" s="93" t="s">
        <v>156</v>
      </c>
      <c r="E64" s="106"/>
      <c r="F64" s="106"/>
      <c r="G64" s="106"/>
      <c r="H64" s="106"/>
      <c r="I64" s="106">
        <f t="shared" ref="I64:BQ64" si="13">I18/I57</f>
        <v>1.0445952939027732</v>
      </c>
      <c r="J64" s="106">
        <f t="shared" si="13"/>
        <v>1.2985825541592959</v>
      </c>
      <c r="K64" s="106">
        <f t="shared" si="13"/>
        <v>0.97960147004282017</v>
      </c>
      <c r="L64" s="106">
        <f t="shared" ref="L64:AI64" si="14">L18/L57</f>
        <v>1.1874876750147902</v>
      </c>
      <c r="M64" s="106">
        <f t="shared" si="14"/>
        <v>1.3320924963078353</v>
      </c>
      <c r="N64" s="106">
        <f t="shared" si="14"/>
        <v>1.0484942368787249</v>
      </c>
      <c r="O64" s="106">
        <f t="shared" si="14"/>
        <v>0.95883242237469457</v>
      </c>
      <c r="P64" s="106">
        <f t="shared" si="14"/>
        <v>1.0406345332519831</v>
      </c>
      <c r="Q64" s="106">
        <f t="shared" si="14"/>
        <v>1.0771268954509179</v>
      </c>
      <c r="R64" s="106">
        <f t="shared" si="14"/>
        <v>1.1923837132692054</v>
      </c>
      <c r="S64" s="106">
        <f t="shared" si="14"/>
        <v>1.1031082191626609</v>
      </c>
      <c r="T64" s="106">
        <f t="shared" si="14"/>
        <v>1.2176015350175888</v>
      </c>
      <c r="U64" s="106">
        <f t="shared" si="14"/>
        <v>0.78893694554267169</v>
      </c>
      <c r="V64" s="106">
        <f t="shared" si="14"/>
        <v>0.90640282257683102</v>
      </c>
      <c r="W64" s="106">
        <f t="shared" si="14"/>
        <v>1.2074379707576428</v>
      </c>
      <c r="X64" s="106">
        <f t="shared" si="14"/>
        <v>0.84428396414984841</v>
      </c>
      <c r="Y64" s="106">
        <f t="shared" si="14"/>
        <v>1.4929624232138574</v>
      </c>
      <c r="Z64" s="106">
        <f t="shared" si="14"/>
        <v>0.97568838655844647</v>
      </c>
      <c r="AA64" s="106">
        <f t="shared" si="14"/>
        <v>0.94332718450495245</v>
      </c>
      <c r="AB64" s="106">
        <f t="shared" si="14"/>
        <v>1.1419932550296548</v>
      </c>
      <c r="AC64" s="106">
        <f t="shared" si="14"/>
        <v>1.0980464430519719</v>
      </c>
      <c r="AD64" s="106">
        <f t="shared" si="14"/>
        <v>0.73370284336499159</v>
      </c>
      <c r="AE64" s="106" t="e">
        <f t="shared" si="14"/>
        <v>#DIV/0!</v>
      </c>
      <c r="AF64" s="106">
        <f t="shared" si="14"/>
        <v>1.2010962472525981</v>
      </c>
      <c r="AG64" s="106">
        <f t="shared" si="14"/>
        <v>1.0903530437309314</v>
      </c>
      <c r="AH64" s="106">
        <f t="shared" si="14"/>
        <v>0.99337006674730099</v>
      </c>
      <c r="AI64" s="106">
        <f t="shared" si="14"/>
        <v>1.1870009560100718</v>
      </c>
      <c r="AJ64" s="106">
        <f t="shared" ref="AJ64" si="15">AJ18/AJ57</f>
        <v>1.0717580727831881</v>
      </c>
      <c r="AK64" s="106" t="e">
        <f t="shared" si="13"/>
        <v>#DIV/0!</v>
      </c>
      <c r="AL64" s="106" t="e">
        <f t="shared" si="13"/>
        <v>#DIV/0!</v>
      </c>
      <c r="AM64" s="106" t="e">
        <f t="shared" si="13"/>
        <v>#DIV/0!</v>
      </c>
      <c r="AN64" s="106" t="e">
        <f t="shared" si="13"/>
        <v>#DIV/0!</v>
      </c>
      <c r="AO64" s="106" t="e">
        <f t="shared" si="13"/>
        <v>#DIV/0!</v>
      </c>
      <c r="AP64" s="106" t="e">
        <f t="shared" si="13"/>
        <v>#DIV/0!</v>
      </c>
      <c r="AQ64" s="106" t="e">
        <f t="shared" si="13"/>
        <v>#DIV/0!</v>
      </c>
      <c r="AR64" s="106" t="e">
        <f t="shared" si="13"/>
        <v>#DIV/0!</v>
      </c>
      <c r="AS64" s="106" t="e">
        <f t="shared" si="13"/>
        <v>#DIV/0!</v>
      </c>
      <c r="AT64" s="106" t="e">
        <f t="shared" si="13"/>
        <v>#DIV/0!</v>
      </c>
      <c r="AU64" s="106" t="e">
        <f t="shared" si="13"/>
        <v>#DIV/0!</v>
      </c>
      <c r="AV64" s="106" t="e">
        <f t="shared" si="13"/>
        <v>#DIV/0!</v>
      </c>
      <c r="AW64" s="106" t="e">
        <f t="shared" si="13"/>
        <v>#DIV/0!</v>
      </c>
      <c r="AX64" s="106" t="e">
        <f t="shared" si="13"/>
        <v>#DIV/0!</v>
      </c>
      <c r="AY64" s="106" t="e">
        <f t="shared" si="13"/>
        <v>#DIV/0!</v>
      </c>
      <c r="AZ64" s="106" t="e">
        <f t="shared" si="13"/>
        <v>#DIV/0!</v>
      </c>
      <c r="BA64" s="106" t="e">
        <f t="shared" si="13"/>
        <v>#DIV/0!</v>
      </c>
      <c r="BB64" s="106" t="e">
        <f t="shared" si="13"/>
        <v>#DIV/0!</v>
      </c>
      <c r="BC64" s="106" t="e">
        <f t="shared" si="13"/>
        <v>#DIV/0!</v>
      </c>
      <c r="BD64" s="106" t="e">
        <f t="shared" si="13"/>
        <v>#DIV/0!</v>
      </c>
      <c r="BE64" s="106" t="e">
        <f t="shared" si="13"/>
        <v>#DIV/0!</v>
      </c>
      <c r="BF64" s="106" t="e">
        <f t="shared" si="13"/>
        <v>#DIV/0!</v>
      </c>
      <c r="BG64" s="106" t="e">
        <f t="shared" si="13"/>
        <v>#DIV/0!</v>
      </c>
      <c r="BH64" s="106" t="e">
        <f t="shared" si="13"/>
        <v>#DIV/0!</v>
      </c>
      <c r="BI64" s="106" t="e">
        <f t="shared" si="13"/>
        <v>#DIV/0!</v>
      </c>
      <c r="BJ64" s="106" t="e">
        <f t="shared" si="13"/>
        <v>#DIV/0!</v>
      </c>
      <c r="BK64" s="106" t="e">
        <f t="shared" si="13"/>
        <v>#DIV/0!</v>
      </c>
      <c r="BL64" s="106" t="e">
        <f t="shared" si="13"/>
        <v>#DIV/0!</v>
      </c>
      <c r="BM64" s="106" t="e">
        <f t="shared" si="13"/>
        <v>#DIV/0!</v>
      </c>
      <c r="BN64" s="106" t="e">
        <f t="shared" si="13"/>
        <v>#DIV/0!</v>
      </c>
      <c r="BO64" s="106" t="e">
        <f t="shared" si="13"/>
        <v>#DIV/0!</v>
      </c>
      <c r="BP64" s="106" t="e">
        <f t="shared" si="13"/>
        <v>#DIV/0!</v>
      </c>
      <c r="BQ64" s="106" t="e">
        <f t="shared" si="13"/>
        <v>#DIV/0!</v>
      </c>
      <c r="BR64" s="107"/>
      <c r="BS64" s="107"/>
      <c r="BT64" s="108" t="e">
        <f xml:space="preserve"> AVERAGE(E64:BR64)</f>
        <v>#DIV/0!</v>
      </c>
    </row>
    <row r="65" spans="1:75" ht="23.25" hidden="1" customHeight="1" x14ac:dyDescent="0.2">
      <c r="A65" s="94"/>
      <c r="B65" s="93"/>
      <c r="C65" s="225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  <c r="AM65" s="226"/>
      <c r="AN65" s="226"/>
      <c r="AO65" s="226"/>
      <c r="AP65" s="226"/>
      <c r="AQ65" s="226"/>
      <c r="AR65" s="226"/>
      <c r="AS65" s="226"/>
      <c r="AT65" s="226"/>
      <c r="AU65" s="226"/>
      <c r="AV65" s="226"/>
      <c r="AW65" s="226"/>
      <c r="AX65" s="226"/>
      <c r="AY65" s="226"/>
      <c r="AZ65" s="226"/>
      <c r="BA65" s="226"/>
      <c r="BB65" s="226"/>
      <c r="BC65" s="226"/>
      <c r="BD65" s="226"/>
      <c r="BE65" s="226"/>
      <c r="BF65" s="226"/>
      <c r="BG65" s="226"/>
      <c r="BH65" s="226"/>
      <c r="BI65" s="226"/>
      <c r="BJ65" s="226"/>
      <c r="BK65" s="226"/>
      <c r="BL65" s="226"/>
      <c r="BM65" s="226"/>
      <c r="BN65" s="226"/>
      <c r="BO65" s="226"/>
      <c r="BP65" s="226"/>
      <c r="BQ65" s="226"/>
      <c r="BR65" s="226"/>
      <c r="BS65" s="226"/>
      <c r="BT65" s="227"/>
    </row>
    <row r="66" spans="1:75" hidden="1" x14ac:dyDescent="0.2">
      <c r="A66" s="94" t="s">
        <v>157</v>
      </c>
      <c r="B66" s="93" t="s">
        <v>158</v>
      </c>
      <c r="C66" s="96"/>
      <c r="D66" s="97" t="s">
        <v>159</v>
      </c>
      <c r="E66" s="104" t="e">
        <f>E60/E57</f>
        <v>#DIV/0!</v>
      </c>
      <c r="F66" s="104" t="e">
        <f>F60/F57</f>
        <v>#DIV/0!</v>
      </c>
      <c r="G66" s="104">
        <f>G60/G57</f>
        <v>0</v>
      </c>
      <c r="H66" s="104"/>
      <c r="I66" s="104">
        <f t="shared" ref="I66:AP66" si="16">I60/I57</f>
        <v>0</v>
      </c>
      <c r="J66" s="104">
        <f t="shared" si="16"/>
        <v>0</v>
      </c>
      <c r="K66" s="104">
        <f t="shared" si="16"/>
        <v>0</v>
      </c>
      <c r="L66" s="104">
        <f t="shared" ref="L66:AI66" si="17">L60/L57</f>
        <v>0</v>
      </c>
      <c r="M66" s="104">
        <f t="shared" si="17"/>
        <v>0</v>
      </c>
      <c r="N66" s="104">
        <f t="shared" si="17"/>
        <v>0</v>
      </c>
      <c r="O66" s="104">
        <f t="shared" si="17"/>
        <v>0</v>
      </c>
      <c r="P66" s="104">
        <f t="shared" si="17"/>
        <v>0</v>
      </c>
      <c r="Q66" s="104">
        <f t="shared" si="17"/>
        <v>0</v>
      </c>
      <c r="R66" s="104">
        <f t="shared" si="17"/>
        <v>0</v>
      </c>
      <c r="S66" s="104">
        <f t="shared" si="17"/>
        <v>0</v>
      </c>
      <c r="T66" s="104">
        <f t="shared" si="17"/>
        <v>0</v>
      </c>
      <c r="U66" s="104">
        <f t="shared" si="17"/>
        <v>0</v>
      </c>
      <c r="V66" s="104">
        <f t="shared" si="17"/>
        <v>0</v>
      </c>
      <c r="W66" s="104">
        <f t="shared" si="17"/>
        <v>0</v>
      </c>
      <c r="X66" s="104">
        <f t="shared" si="17"/>
        <v>0</v>
      </c>
      <c r="Y66" s="104">
        <f t="shared" si="17"/>
        <v>0</v>
      </c>
      <c r="Z66" s="104">
        <f t="shared" si="17"/>
        <v>0</v>
      </c>
      <c r="AA66" s="104">
        <f t="shared" si="17"/>
        <v>0</v>
      </c>
      <c r="AB66" s="104">
        <f t="shared" si="17"/>
        <v>0</v>
      </c>
      <c r="AC66" s="104">
        <f t="shared" si="17"/>
        <v>0</v>
      </c>
      <c r="AD66" s="104">
        <f t="shared" si="17"/>
        <v>0</v>
      </c>
      <c r="AE66" s="104" t="e">
        <f t="shared" si="17"/>
        <v>#DIV/0!</v>
      </c>
      <c r="AF66" s="104">
        <f t="shared" si="17"/>
        <v>0</v>
      </c>
      <c r="AG66" s="104">
        <f t="shared" si="17"/>
        <v>0</v>
      </c>
      <c r="AH66" s="104">
        <f t="shared" si="17"/>
        <v>0</v>
      </c>
      <c r="AI66" s="104">
        <f t="shared" si="17"/>
        <v>0</v>
      </c>
      <c r="AJ66" s="104">
        <f t="shared" ref="AJ66" si="18">AJ60/AJ57</f>
        <v>0</v>
      </c>
      <c r="AK66" s="104" t="e">
        <f t="shared" si="16"/>
        <v>#DIV/0!</v>
      </c>
      <c r="AL66" s="104" t="e">
        <f t="shared" si="16"/>
        <v>#DIV/0!</v>
      </c>
      <c r="AM66" s="104" t="e">
        <f t="shared" si="16"/>
        <v>#DIV/0!</v>
      </c>
      <c r="AN66" s="104" t="e">
        <f t="shared" si="16"/>
        <v>#DIV/0!</v>
      </c>
      <c r="AO66" s="104" t="e">
        <f t="shared" si="16"/>
        <v>#DIV/0!</v>
      </c>
      <c r="AP66" s="104" t="e">
        <f t="shared" si="16"/>
        <v>#DIV/0!</v>
      </c>
      <c r="AQ66" s="105">
        <v>0</v>
      </c>
      <c r="AR66" s="105">
        <v>0</v>
      </c>
      <c r="AS66" s="105">
        <v>0</v>
      </c>
      <c r="AT66" s="105">
        <v>0</v>
      </c>
      <c r="AU66" s="105">
        <v>0</v>
      </c>
      <c r="AV66" s="105">
        <v>0</v>
      </c>
      <c r="AW66" s="105">
        <v>0</v>
      </c>
      <c r="AX66" s="105">
        <v>0</v>
      </c>
      <c r="AY66" s="105">
        <v>0</v>
      </c>
      <c r="AZ66" s="105">
        <v>0</v>
      </c>
      <c r="BA66" s="105">
        <v>0</v>
      </c>
      <c r="BB66" s="105">
        <v>0</v>
      </c>
      <c r="BC66" s="105">
        <v>0</v>
      </c>
      <c r="BD66" s="105">
        <v>0</v>
      </c>
      <c r="BE66" s="105">
        <v>0</v>
      </c>
      <c r="BF66" s="105">
        <v>0</v>
      </c>
      <c r="BG66" s="105">
        <v>0</v>
      </c>
      <c r="BH66" s="105">
        <v>0</v>
      </c>
      <c r="BI66" s="105">
        <v>0</v>
      </c>
      <c r="BJ66" s="105">
        <v>0</v>
      </c>
      <c r="BK66" s="105">
        <v>0</v>
      </c>
      <c r="BL66" s="105">
        <v>0</v>
      </c>
      <c r="BM66" s="105">
        <v>0</v>
      </c>
      <c r="BN66" s="105">
        <v>0</v>
      </c>
      <c r="BO66" s="105">
        <v>0</v>
      </c>
      <c r="BP66" s="105">
        <v>0</v>
      </c>
      <c r="BQ66" s="105">
        <v>0</v>
      </c>
      <c r="BR66" s="105"/>
      <c r="BS66" s="105"/>
      <c r="BT66" s="98">
        <f>BT60/BT57</f>
        <v>0</v>
      </c>
      <c r="BW66" s="100"/>
    </row>
    <row r="67" spans="1:75" hidden="1" x14ac:dyDescent="0.2">
      <c r="A67" s="94" t="s">
        <v>160</v>
      </c>
      <c r="B67" s="93" t="s">
        <v>161</v>
      </c>
      <c r="C67" s="96"/>
      <c r="D67" s="97" t="s">
        <v>162</v>
      </c>
      <c r="E67" s="85" t="e">
        <f>E61*1000/E57</f>
        <v>#DIV/0!</v>
      </c>
      <c r="F67" s="85" t="e">
        <f>F61*1000/F57</f>
        <v>#DIV/0!</v>
      </c>
      <c r="G67" s="85">
        <f>G61*1000/G57</f>
        <v>0</v>
      </c>
      <c r="H67" s="85"/>
      <c r="I67" s="85">
        <f t="shared" ref="I67:AP67" si="19">I61*1000/I57</f>
        <v>0</v>
      </c>
      <c r="J67" s="85">
        <f t="shared" si="19"/>
        <v>0</v>
      </c>
      <c r="K67" s="85">
        <f t="shared" si="19"/>
        <v>0</v>
      </c>
      <c r="L67" s="85">
        <f t="shared" ref="L67:AI67" si="20">L61*1000/L57</f>
        <v>0</v>
      </c>
      <c r="M67" s="85">
        <f t="shared" si="20"/>
        <v>0</v>
      </c>
      <c r="N67" s="85">
        <f t="shared" si="20"/>
        <v>0</v>
      </c>
      <c r="O67" s="85">
        <f t="shared" si="20"/>
        <v>0</v>
      </c>
      <c r="P67" s="85">
        <f t="shared" si="20"/>
        <v>0</v>
      </c>
      <c r="Q67" s="85">
        <f t="shared" si="20"/>
        <v>0</v>
      </c>
      <c r="R67" s="85">
        <f t="shared" si="20"/>
        <v>0</v>
      </c>
      <c r="S67" s="85">
        <f t="shared" si="20"/>
        <v>0</v>
      </c>
      <c r="T67" s="85">
        <f t="shared" si="20"/>
        <v>0</v>
      </c>
      <c r="U67" s="85">
        <f t="shared" si="20"/>
        <v>0</v>
      </c>
      <c r="V67" s="85">
        <f t="shared" si="20"/>
        <v>0</v>
      </c>
      <c r="W67" s="85">
        <f t="shared" si="20"/>
        <v>0</v>
      </c>
      <c r="X67" s="85">
        <f t="shared" si="20"/>
        <v>0</v>
      </c>
      <c r="Y67" s="85">
        <f t="shared" si="20"/>
        <v>0</v>
      </c>
      <c r="Z67" s="85">
        <f t="shared" si="20"/>
        <v>0</v>
      </c>
      <c r="AA67" s="85">
        <f t="shared" si="20"/>
        <v>0</v>
      </c>
      <c r="AB67" s="85">
        <f t="shared" si="20"/>
        <v>0</v>
      </c>
      <c r="AC67" s="85">
        <f t="shared" si="20"/>
        <v>0</v>
      </c>
      <c r="AD67" s="85">
        <f t="shared" si="20"/>
        <v>0</v>
      </c>
      <c r="AE67" s="85" t="e">
        <f t="shared" si="20"/>
        <v>#DIV/0!</v>
      </c>
      <c r="AF67" s="85">
        <f t="shared" si="20"/>
        <v>0</v>
      </c>
      <c r="AG67" s="85">
        <f t="shared" si="20"/>
        <v>0</v>
      </c>
      <c r="AH67" s="85">
        <f t="shared" si="20"/>
        <v>0</v>
      </c>
      <c r="AI67" s="85">
        <f t="shared" si="20"/>
        <v>0</v>
      </c>
      <c r="AJ67" s="85">
        <f t="shared" ref="AJ67" si="21">AJ61*1000/AJ57</f>
        <v>0</v>
      </c>
      <c r="AK67" s="85" t="e">
        <f t="shared" si="19"/>
        <v>#DIV/0!</v>
      </c>
      <c r="AL67" s="85" t="e">
        <f t="shared" si="19"/>
        <v>#DIV/0!</v>
      </c>
      <c r="AM67" s="85" t="e">
        <f t="shared" si="19"/>
        <v>#DIV/0!</v>
      </c>
      <c r="AN67" s="85" t="e">
        <f t="shared" si="19"/>
        <v>#DIV/0!</v>
      </c>
      <c r="AO67" s="85" t="e">
        <f t="shared" si="19"/>
        <v>#DIV/0!</v>
      </c>
      <c r="AP67" s="85" t="e">
        <f t="shared" si="19"/>
        <v>#DIV/0!</v>
      </c>
      <c r="AQ67" s="86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6">
        <v>0</v>
      </c>
      <c r="BC67" s="86">
        <v>0</v>
      </c>
      <c r="BD67" s="86">
        <v>0</v>
      </c>
      <c r="BE67" s="86">
        <v>0</v>
      </c>
      <c r="BF67" s="86">
        <v>0</v>
      </c>
      <c r="BG67" s="86">
        <v>0</v>
      </c>
      <c r="BH67" s="86">
        <v>0</v>
      </c>
      <c r="BI67" s="86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/>
      <c r="BS67" s="86"/>
      <c r="BT67" s="98">
        <f>BT61*1000/BT57</f>
        <v>0</v>
      </c>
      <c r="BW67" s="100"/>
    </row>
    <row r="68" spans="1:75" hidden="1" x14ac:dyDescent="0.2">
      <c r="A68" s="94" t="s">
        <v>163</v>
      </c>
      <c r="B68" s="93" t="s">
        <v>164</v>
      </c>
      <c r="C68" s="96"/>
      <c r="D68" s="97" t="s">
        <v>165</v>
      </c>
      <c r="E68" s="104" t="e">
        <f>E62/E57</f>
        <v>#DIV/0!</v>
      </c>
      <c r="F68" s="104" t="e">
        <f>F62/F57</f>
        <v>#DIV/0!</v>
      </c>
      <c r="G68" s="104">
        <f>G62/G57</f>
        <v>0</v>
      </c>
      <c r="H68" s="104"/>
      <c r="I68" s="104">
        <f t="shared" ref="I68:AP68" si="22">I62/I57</f>
        <v>0</v>
      </c>
      <c r="J68" s="104">
        <f t="shared" si="22"/>
        <v>0</v>
      </c>
      <c r="K68" s="104">
        <f t="shared" si="22"/>
        <v>0</v>
      </c>
      <c r="L68" s="104">
        <f t="shared" ref="L68:AI68" si="23">L62/L57</f>
        <v>0</v>
      </c>
      <c r="M68" s="104">
        <f t="shared" si="23"/>
        <v>0</v>
      </c>
      <c r="N68" s="104">
        <f t="shared" si="23"/>
        <v>0</v>
      </c>
      <c r="O68" s="104">
        <f t="shared" si="23"/>
        <v>0</v>
      </c>
      <c r="P68" s="104">
        <f t="shared" si="23"/>
        <v>0</v>
      </c>
      <c r="Q68" s="104">
        <f t="shared" si="23"/>
        <v>0</v>
      </c>
      <c r="R68" s="104">
        <f t="shared" si="23"/>
        <v>0</v>
      </c>
      <c r="S68" s="104">
        <f t="shared" si="23"/>
        <v>0</v>
      </c>
      <c r="T68" s="104">
        <f t="shared" si="23"/>
        <v>0</v>
      </c>
      <c r="U68" s="104">
        <f t="shared" si="23"/>
        <v>0</v>
      </c>
      <c r="V68" s="104">
        <f t="shared" si="23"/>
        <v>0</v>
      </c>
      <c r="W68" s="104">
        <f t="shared" si="23"/>
        <v>0</v>
      </c>
      <c r="X68" s="104">
        <f t="shared" si="23"/>
        <v>0</v>
      </c>
      <c r="Y68" s="104">
        <f t="shared" si="23"/>
        <v>0</v>
      </c>
      <c r="Z68" s="104">
        <f t="shared" si="23"/>
        <v>0</v>
      </c>
      <c r="AA68" s="104">
        <f t="shared" si="23"/>
        <v>0</v>
      </c>
      <c r="AB68" s="104">
        <f t="shared" si="23"/>
        <v>0</v>
      </c>
      <c r="AC68" s="104">
        <f t="shared" si="23"/>
        <v>0</v>
      </c>
      <c r="AD68" s="104">
        <f t="shared" si="23"/>
        <v>0</v>
      </c>
      <c r="AE68" s="104" t="e">
        <f t="shared" si="23"/>
        <v>#DIV/0!</v>
      </c>
      <c r="AF68" s="104">
        <f t="shared" si="23"/>
        <v>0</v>
      </c>
      <c r="AG68" s="104">
        <f t="shared" si="23"/>
        <v>0</v>
      </c>
      <c r="AH68" s="104">
        <f t="shared" si="23"/>
        <v>0</v>
      </c>
      <c r="AI68" s="104">
        <f t="shared" si="23"/>
        <v>0</v>
      </c>
      <c r="AJ68" s="104">
        <f t="shared" ref="AJ68" si="24">AJ62/AJ57</f>
        <v>0</v>
      </c>
      <c r="AK68" s="104" t="e">
        <f t="shared" si="22"/>
        <v>#DIV/0!</v>
      </c>
      <c r="AL68" s="104" t="e">
        <f t="shared" si="22"/>
        <v>#DIV/0!</v>
      </c>
      <c r="AM68" s="104" t="e">
        <f t="shared" si="22"/>
        <v>#DIV/0!</v>
      </c>
      <c r="AN68" s="104" t="e">
        <f t="shared" si="22"/>
        <v>#DIV/0!</v>
      </c>
      <c r="AO68" s="104" t="e">
        <f t="shared" si="22"/>
        <v>#DIV/0!</v>
      </c>
      <c r="AP68" s="104" t="e">
        <f t="shared" si="22"/>
        <v>#DIV/0!</v>
      </c>
      <c r="AQ68" s="105">
        <v>0</v>
      </c>
      <c r="AR68" s="105">
        <v>0</v>
      </c>
      <c r="AS68" s="105">
        <v>0</v>
      </c>
      <c r="AT68" s="105">
        <v>0</v>
      </c>
      <c r="AU68" s="105">
        <v>0</v>
      </c>
      <c r="AV68" s="105">
        <v>0</v>
      </c>
      <c r="AW68" s="105">
        <v>0</v>
      </c>
      <c r="AX68" s="105">
        <v>0</v>
      </c>
      <c r="AY68" s="105">
        <v>0</v>
      </c>
      <c r="AZ68" s="105">
        <v>0</v>
      </c>
      <c r="BA68" s="105">
        <v>0</v>
      </c>
      <c r="BB68" s="105">
        <v>0</v>
      </c>
      <c r="BC68" s="105">
        <v>0</v>
      </c>
      <c r="BD68" s="105">
        <v>0</v>
      </c>
      <c r="BE68" s="105">
        <v>0</v>
      </c>
      <c r="BF68" s="105">
        <v>0</v>
      </c>
      <c r="BG68" s="105">
        <v>0</v>
      </c>
      <c r="BH68" s="105">
        <v>0</v>
      </c>
      <c r="BI68" s="105">
        <v>0</v>
      </c>
      <c r="BJ68" s="105">
        <v>0</v>
      </c>
      <c r="BK68" s="105">
        <v>0</v>
      </c>
      <c r="BL68" s="105">
        <v>0</v>
      </c>
      <c r="BM68" s="105">
        <v>0</v>
      </c>
      <c r="BN68" s="105">
        <v>0</v>
      </c>
      <c r="BO68" s="105">
        <v>0</v>
      </c>
      <c r="BP68" s="105">
        <v>0</v>
      </c>
      <c r="BQ68" s="105">
        <v>0</v>
      </c>
      <c r="BR68" s="105"/>
      <c r="BS68" s="105"/>
      <c r="BT68" s="98">
        <f>BT62/BT57</f>
        <v>0</v>
      </c>
      <c r="BW68" s="100"/>
    </row>
    <row r="69" spans="1:75" hidden="1" x14ac:dyDescent="0.2">
      <c r="A69" s="94" t="s">
        <v>166</v>
      </c>
      <c r="B69" s="93" t="s">
        <v>167</v>
      </c>
      <c r="C69" s="96"/>
      <c r="D69" s="97" t="s">
        <v>168</v>
      </c>
      <c r="E69" s="109"/>
      <c r="F69" s="109"/>
      <c r="G69" s="109"/>
      <c r="H69" s="109"/>
      <c r="I69" s="109">
        <v>0</v>
      </c>
      <c r="J69" s="109">
        <v>0</v>
      </c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  <c r="BG69" s="110"/>
      <c r="BH69" s="110"/>
      <c r="BI69" s="110"/>
      <c r="BJ69" s="110"/>
      <c r="BK69" s="110"/>
      <c r="BL69" s="110"/>
      <c r="BM69" s="110"/>
      <c r="BN69" s="110"/>
      <c r="BO69" s="110"/>
      <c r="BP69" s="110"/>
      <c r="BQ69" s="110"/>
      <c r="BR69" s="110"/>
      <c r="BS69" s="110"/>
      <c r="BT69" s="111" t="e">
        <f>+#REF!</f>
        <v>#REF!</v>
      </c>
      <c r="BU69" s="100"/>
    </row>
    <row r="70" spans="1:75" hidden="1" x14ac:dyDescent="0.2">
      <c r="A70" s="94" t="s">
        <v>169</v>
      </c>
      <c r="B70" s="93" t="s">
        <v>170</v>
      </c>
      <c r="C70" s="96"/>
      <c r="D70" s="97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112" t="s">
        <v>171</v>
      </c>
      <c r="BU70" s="100"/>
    </row>
    <row r="71" spans="1:75" hidden="1" x14ac:dyDescent="0.2">
      <c r="A71" s="94" t="s">
        <v>157</v>
      </c>
      <c r="B71" s="93" t="s">
        <v>172</v>
      </c>
      <c r="C71" s="96"/>
      <c r="D71" s="97" t="s">
        <v>173</v>
      </c>
      <c r="E71" s="85" t="e">
        <f>E57*100/#REF!</f>
        <v>#REF!</v>
      </c>
      <c r="F71" s="85" t="e">
        <f>F57*100/#REF!</f>
        <v>#REF!</v>
      </c>
      <c r="G71" s="85" t="e">
        <f>G57*100/#REF!</f>
        <v>#REF!</v>
      </c>
      <c r="H71" s="85" t="e">
        <f>H57*100/#REF!</f>
        <v>#REF!</v>
      </c>
      <c r="I71" s="85" t="e">
        <f>I57*100/#REF!</f>
        <v>#REF!</v>
      </c>
      <c r="J71" s="85" t="e">
        <f>J57*100/#REF!</f>
        <v>#REF!</v>
      </c>
      <c r="K71" s="85" t="e">
        <f>K57*100/#REF!</f>
        <v>#REF!</v>
      </c>
      <c r="L71" s="85" t="e">
        <f>L57*100/#REF!</f>
        <v>#REF!</v>
      </c>
      <c r="M71" s="85" t="e">
        <f>M57*100/#REF!</f>
        <v>#REF!</v>
      </c>
      <c r="N71" s="85" t="e">
        <f>N57*100/#REF!</f>
        <v>#REF!</v>
      </c>
      <c r="O71" s="85" t="e">
        <f>O57*100/#REF!</f>
        <v>#REF!</v>
      </c>
      <c r="P71" s="85" t="e">
        <f>P57*100/#REF!</f>
        <v>#REF!</v>
      </c>
      <c r="Q71" s="85" t="e">
        <f>Q57*100/#REF!</f>
        <v>#REF!</v>
      </c>
      <c r="R71" s="85" t="e">
        <f>R57*100/#REF!</f>
        <v>#REF!</v>
      </c>
      <c r="S71" s="85" t="e">
        <f>S57*100/#REF!</f>
        <v>#REF!</v>
      </c>
      <c r="T71" s="85" t="e">
        <f>T57*100/#REF!</f>
        <v>#REF!</v>
      </c>
      <c r="U71" s="85" t="e">
        <f>U57*100/#REF!</f>
        <v>#REF!</v>
      </c>
      <c r="V71" s="85" t="e">
        <f>V57*100/#REF!</f>
        <v>#REF!</v>
      </c>
      <c r="W71" s="85" t="e">
        <f>W57*100/#REF!</f>
        <v>#REF!</v>
      </c>
      <c r="X71" s="85" t="e">
        <f>X57*100/#REF!</f>
        <v>#REF!</v>
      </c>
      <c r="Y71" s="85" t="e">
        <f>Y57*100/#REF!</f>
        <v>#REF!</v>
      </c>
      <c r="Z71" s="85" t="e">
        <f>Z57*100/#REF!</f>
        <v>#REF!</v>
      </c>
      <c r="AA71" s="85" t="e">
        <f>AA57*100/#REF!</f>
        <v>#REF!</v>
      </c>
      <c r="AB71" s="85" t="e">
        <f>AB57*100/#REF!</f>
        <v>#REF!</v>
      </c>
      <c r="AC71" s="85" t="e">
        <f>AC57*100/#REF!</f>
        <v>#REF!</v>
      </c>
      <c r="AD71" s="85" t="e">
        <f>AD57*100/#REF!</f>
        <v>#REF!</v>
      </c>
      <c r="AE71" s="85" t="e">
        <f>AE57*100/#REF!</f>
        <v>#REF!</v>
      </c>
      <c r="AF71" s="85" t="e">
        <f>AF57*100/#REF!</f>
        <v>#REF!</v>
      </c>
      <c r="AG71" s="85" t="e">
        <f>AG57*100/#REF!</f>
        <v>#REF!</v>
      </c>
      <c r="AH71" s="85" t="e">
        <f>AH57*100/#REF!</f>
        <v>#REF!</v>
      </c>
      <c r="AI71" s="85" t="e">
        <f>AI57*100/#REF!</f>
        <v>#REF!</v>
      </c>
      <c r="AJ71" s="85" t="e">
        <f>AJ57*100/#REF!</f>
        <v>#REF!</v>
      </c>
      <c r="AK71" s="85" t="e">
        <f>AK57*100/#REF!</f>
        <v>#REF!</v>
      </c>
      <c r="AL71" s="85" t="e">
        <f>AL57*100/#REF!</f>
        <v>#REF!</v>
      </c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112" t="s">
        <v>174</v>
      </c>
      <c r="BU71" s="100"/>
    </row>
    <row r="72" spans="1:75" hidden="1" x14ac:dyDescent="0.2">
      <c r="A72" s="94" t="s">
        <v>160</v>
      </c>
      <c r="B72" s="93" t="s">
        <v>175</v>
      </c>
      <c r="C72" s="96"/>
      <c r="D72" s="97" t="s">
        <v>176</v>
      </c>
      <c r="E72" s="85" t="e">
        <f>#REF!*E66</f>
        <v>#REF!</v>
      </c>
      <c r="F72" s="109" t="e">
        <f>#REF!*F66</f>
        <v>#REF!</v>
      </c>
      <c r="G72" s="109" t="e">
        <f>#REF!*G66</f>
        <v>#REF!</v>
      </c>
      <c r="H72" s="109" t="e">
        <f>#REF!*H66</f>
        <v>#REF!</v>
      </c>
      <c r="I72" s="109" t="e">
        <f>#REF!*I66</f>
        <v>#REF!</v>
      </c>
      <c r="J72" s="109" t="e">
        <f>#REF!*J66</f>
        <v>#REF!</v>
      </c>
      <c r="K72" s="109" t="e">
        <f>#REF!*K66</f>
        <v>#REF!</v>
      </c>
      <c r="L72" s="109" t="e">
        <f>#REF!*L66</f>
        <v>#REF!</v>
      </c>
      <c r="M72" s="109" t="e">
        <f>#REF!*M66</f>
        <v>#REF!</v>
      </c>
      <c r="N72" s="109" t="e">
        <f>#REF!*N66</f>
        <v>#REF!</v>
      </c>
      <c r="O72" s="109" t="e">
        <f>#REF!*O66</f>
        <v>#REF!</v>
      </c>
      <c r="P72" s="109" t="e">
        <f>#REF!*P66</f>
        <v>#REF!</v>
      </c>
      <c r="Q72" s="109" t="e">
        <f>#REF!*Q66</f>
        <v>#REF!</v>
      </c>
      <c r="R72" s="109" t="e">
        <f>#REF!*R66</f>
        <v>#REF!</v>
      </c>
      <c r="S72" s="109" t="e">
        <f>#REF!*S66</f>
        <v>#REF!</v>
      </c>
      <c r="T72" s="109" t="e">
        <f>#REF!*T66</f>
        <v>#REF!</v>
      </c>
      <c r="U72" s="109" t="e">
        <f>#REF!*U66</f>
        <v>#REF!</v>
      </c>
      <c r="V72" s="109" t="e">
        <f>#REF!*V66</f>
        <v>#REF!</v>
      </c>
      <c r="W72" s="109" t="e">
        <f>#REF!*W66</f>
        <v>#REF!</v>
      </c>
      <c r="X72" s="109" t="e">
        <f>#REF!*X66</f>
        <v>#REF!</v>
      </c>
      <c r="Y72" s="109" t="e">
        <f>#REF!*Y66</f>
        <v>#REF!</v>
      </c>
      <c r="Z72" s="109" t="e">
        <f>#REF!*Z66</f>
        <v>#REF!</v>
      </c>
      <c r="AA72" s="109" t="e">
        <f>#REF!*AA66</f>
        <v>#REF!</v>
      </c>
      <c r="AB72" s="109" t="e">
        <f>#REF!*AB66</f>
        <v>#REF!</v>
      </c>
      <c r="AC72" s="109" t="e">
        <f>#REF!*AC66</f>
        <v>#REF!</v>
      </c>
      <c r="AD72" s="109" t="e">
        <f>#REF!*AD66</f>
        <v>#REF!</v>
      </c>
      <c r="AE72" s="109" t="e">
        <f>#REF!*AE66</f>
        <v>#REF!</v>
      </c>
      <c r="AF72" s="109" t="e">
        <f>#REF!*AF66</f>
        <v>#REF!</v>
      </c>
      <c r="AG72" s="109" t="e">
        <f>#REF!*AG66</f>
        <v>#REF!</v>
      </c>
      <c r="AH72" s="109" t="e">
        <f>#REF!*AH66</f>
        <v>#REF!</v>
      </c>
      <c r="AI72" s="109" t="e">
        <f>#REF!*AI66</f>
        <v>#REF!</v>
      </c>
      <c r="AJ72" s="109" t="e">
        <f>#REF!*AJ66</f>
        <v>#REF!</v>
      </c>
      <c r="AK72" s="109" t="e">
        <f>#REF!*AK66</f>
        <v>#REF!</v>
      </c>
      <c r="AL72" s="109" t="e">
        <f>#REF!*AL66</f>
        <v>#REF!</v>
      </c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  <c r="BS72" s="110"/>
      <c r="BT72" s="113" t="e">
        <f>BT66*#REF!</f>
        <v>#REF!</v>
      </c>
      <c r="BU72" s="100"/>
    </row>
    <row r="73" spans="1:75" hidden="1" x14ac:dyDescent="0.2">
      <c r="A73" s="94" t="s">
        <v>163</v>
      </c>
      <c r="B73" s="93" t="s">
        <v>177</v>
      </c>
      <c r="C73" s="96"/>
      <c r="D73" s="97" t="s">
        <v>176</v>
      </c>
      <c r="E73" s="85" t="e">
        <f>#REF!*E67</f>
        <v>#REF!</v>
      </c>
      <c r="F73" s="109" t="e">
        <f>#REF!*F67</f>
        <v>#REF!</v>
      </c>
      <c r="G73" s="109" t="e">
        <f>#REF!*G67</f>
        <v>#REF!</v>
      </c>
      <c r="H73" s="109" t="e">
        <f>#REF!*H67</f>
        <v>#REF!</v>
      </c>
      <c r="I73" s="109" t="e">
        <f>#REF!*I67</f>
        <v>#REF!</v>
      </c>
      <c r="J73" s="109" t="e">
        <f>#REF!*J67</f>
        <v>#REF!</v>
      </c>
      <c r="K73" s="109" t="e">
        <f>#REF!*K67</f>
        <v>#REF!</v>
      </c>
      <c r="L73" s="109" t="e">
        <f>#REF!*L67</f>
        <v>#REF!</v>
      </c>
      <c r="M73" s="109" t="e">
        <f>#REF!*M67</f>
        <v>#REF!</v>
      </c>
      <c r="N73" s="109" t="e">
        <f>#REF!*N67</f>
        <v>#REF!</v>
      </c>
      <c r="O73" s="109" t="e">
        <f>#REF!*O67</f>
        <v>#REF!</v>
      </c>
      <c r="P73" s="109" t="e">
        <f>#REF!*P67</f>
        <v>#REF!</v>
      </c>
      <c r="Q73" s="109" t="e">
        <f>#REF!*Q67</f>
        <v>#REF!</v>
      </c>
      <c r="R73" s="109" t="e">
        <f>#REF!*R67</f>
        <v>#REF!</v>
      </c>
      <c r="S73" s="109" t="e">
        <f>#REF!*S67</f>
        <v>#REF!</v>
      </c>
      <c r="T73" s="109" t="e">
        <f>#REF!*T67</f>
        <v>#REF!</v>
      </c>
      <c r="U73" s="109" t="e">
        <f>#REF!*U67</f>
        <v>#REF!</v>
      </c>
      <c r="V73" s="109" t="e">
        <f>#REF!*V67</f>
        <v>#REF!</v>
      </c>
      <c r="W73" s="109" t="e">
        <f>#REF!*W67</f>
        <v>#REF!</v>
      </c>
      <c r="X73" s="109" t="e">
        <f>#REF!*X67</f>
        <v>#REF!</v>
      </c>
      <c r="Y73" s="109" t="e">
        <f>#REF!*Y67</f>
        <v>#REF!</v>
      </c>
      <c r="Z73" s="109" t="e">
        <f>#REF!*Z67</f>
        <v>#REF!</v>
      </c>
      <c r="AA73" s="109" t="e">
        <f>#REF!*AA67</f>
        <v>#REF!</v>
      </c>
      <c r="AB73" s="109" t="e">
        <f>#REF!*AB67</f>
        <v>#REF!</v>
      </c>
      <c r="AC73" s="109" t="e">
        <f>#REF!*AC67</f>
        <v>#REF!</v>
      </c>
      <c r="AD73" s="109" t="e">
        <f>#REF!*AD67</f>
        <v>#REF!</v>
      </c>
      <c r="AE73" s="109" t="e">
        <f>#REF!*AE67</f>
        <v>#REF!</v>
      </c>
      <c r="AF73" s="109" t="e">
        <f>#REF!*AF67</f>
        <v>#REF!</v>
      </c>
      <c r="AG73" s="109" t="e">
        <f>#REF!*AG67</f>
        <v>#REF!</v>
      </c>
      <c r="AH73" s="109" t="e">
        <f>#REF!*AH67</f>
        <v>#REF!</v>
      </c>
      <c r="AI73" s="109" t="e">
        <f>#REF!*AI67</f>
        <v>#REF!</v>
      </c>
      <c r="AJ73" s="109" t="e">
        <f>#REF!*AJ67</f>
        <v>#REF!</v>
      </c>
      <c r="AK73" s="109" t="e">
        <f>#REF!*AK67</f>
        <v>#REF!</v>
      </c>
      <c r="AL73" s="109" t="e">
        <f>#REF!*AL67</f>
        <v>#REF!</v>
      </c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  <c r="BS73" s="110"/>
      <c r="BT73" s="113" t="e">
        <f>BT67*#REF!</f>
        <v>#REF!</v>
      </c>
      <c r="BU73" s="100"/>
    </row>
    <row r="74" spans="1:75" hidden="1" x14ac:dyDescent="0.2">
      <c r="A74" s="94" t="s">
        <v>166</v>
      </c>
      <c r="B74" s="93" t="s">
        <v>178</v>
      </c>
      <c r="C74" s="96"/>
      <c r="D74" s="97" t="s">
        <v>176</v>
      </c>
      <c r="E74" s="85" t="e">
        <f>#REF!*E68</f>
        <v>#REF!</v>
      </c>
      <c r="F74" s="109" t="e">
        <f>#REF!*F68</f>
        <v>#REF!</v>
      </c>
      <c r="G74" s="109" t="e">
        <f>#REF!*G68</f>
        <v>#REF!</v>
      </c>
      <c r="H74" s="109" t="e">
        <f>#REF!*H68</f>
        <v>#REF!</v>
      </c>
      <c r="I74" s="109" t="e">
        <f>#REF!*I68</f>
        <v>#REF!</v>
      </c>
      <c r="J74" s="109" t="e">
        <f>#REF!*J68</f>
        <v>#REF!</v>
      </c>
      <c r="K74" s="109" t="e">
        <f>#REF!*K68</f>
        <v>#REF!</v>
      </c>
      <c r="L74" s="109" t="e">
        <f>#REF!*L68</f>
        <v>#REF!</v>
      </c>
      <c r="M74" s="109" t="e">
        <f>#REF!*M68</f>
        <v>#REF!</v>
      </c>
      <c r="N74" s="109" t="e">
        <f>#REF!*N68</f>
        <v>#REF!</v>
      </c>
      <c r="O74" s="109" t="e">
        <f>#REF!*O68</f>
        <v>#REF!</v>
      </c>
      <c r="P74" s="109" t="e">
        <f>#REF!*P68</f>
        <v>#REF!</v>
      </c>
      <c r="Q74" s="109" t="e">
        <f>#REF!*Q68</f>
        <v>#REF!</v>
      </c>
      <c r="R74" s="109" t="e">
        <f>#REF!*R68</f>
        <v>#REF!</v>
      </c>
      <c r="S74" s="109" t="e">
        <f>#REF!*S68</f>
        <v>#REF!</v>
      </c>
      <c r="T74" s="109" t="e">
        <f>#REF!*T68</f>
        <v>#REF!</v>
      </c>
      <c r="U74" s="109" t="e">
        <f>#REF!*U68</f>
        <v>#REF!</v>
      </c>
      <c r="V74" s="109" t="e">
        <f>#REF!*V68</f>
        <v>#REF!</v>
      </c>
      <c r="W74" s="109" t="e">
        <f>#REF!*W68</f>
        <v>#REF!</v>
      </c>
      <c r="X74" s="109" t="e">
        <f>#REF!*X68</f>
        <v>#REF!</v>
      </c>
      <c r="Y74" s="109" t="e">
        <f>#REF!*Y68</f>
        <v>#REF!</v>
      </c>
      <c r="Z74" s="109" t="e">
        <f>#REF!*Z68</f>
        <v>#REF!</v>
      </c>
      <c r="AA74" s="109" t="e">
        <f>#REF!*AA68</f>
        <v>#REF!</v>
      </c>
      <c r="AB74" s="109" t="e">
        <f>#REF!*AB68</f>
        <v>#REF!</v>
      </c>
      <c r="AC74" s="109" t="e">
        <f>#REF!*AC68</f>
        <v>#REF!</v>
      </c>
      <c r="AD74" s="109" t="e">
        <f>#REF!*AD68</f>
        <v>#REF!</v>
      </c>
      <c r="AE74" s="109" t="e">
        <f>#REF!*AE68</f>
        <v>#REF!</v>
      </c>
      <c r="AF74" s="109" t="e">
        <f>#REF!*AF68</f>
        <v>#REF!</v>
      </c>
      <c r="AG74" s="109" t="e">
        <f>#REF!*AG68</f>
        <v>#REF!</v>
      </c>
      <c r="AH74" s="109" t="e">
        <f>#REF!*AH68</f>
        <v>#REF!</v>
      </c>
      <c r="AI74" s="109" t="e">
        <f>#REF!*AI68</f>
        <v>#REF!</v>
      </c>
      <c r="AJ74" s="109" t="e">
        <f>#REF!*AJ68</f>
        <v>#REF!</v>
      </c>
      <c r="AK74" s="109" t="e">
        <f>#REF!*AK68</f>
        <v>#REF!</v>
      </c>
      <c r="AL74" s="109" t="e">
        <f>#REF!*AL68</f>
        <v>#REF!</v>
      </c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3" t="e">
        <f>BT68*#REF!</f>
        <v>#REF!</v>
      </c>
      <c r="BU74" s="100"/>
    </row>
    <row r="75" spans="1:75" hidden="1" x14ac:dyDescent="0.2">
      <c r="A75" s="94" t="s">
        <v>179</v>
      </c>
      <c r="B75" s="93" t="s">
        <v>180</v>
      </c>
      <c r="C75" s="96"/>
      <c r="D75" s="97" t="s">
        <v>176</v>
      </c>
      <c r="E75" s="85" t="e">
        <f>#REF!*E69</f>
        <v>#REF!</v>
      </c>
      <c r="F75" s="109" t="e">
        <f>#REF!*F69</f>
        <v>#REF!</v>
      </c>
      <c r="G75" s="109" t="e">
        <f>#REF!*G69</f>
        <v>#REF!</v>
      </c>
      <c r="H75" s="109" t="e">
        <f>#REF!*H69</f>
        <v>#REF!</v>
      </c>
      <c r="I75" s="109" t="e">
        <f>#REF!*I69</f>
        <v>#REF!</v>
      </c>
      <c r="J75" s="109" t="e">
        <f>#REF!*J69</f>
        <v>#REF!</v>
      </c>
      <c r="K75" s="109" t="e">
        <f>#REF!*K69</f>
        <v>#REF!</v>
      </c>
      <c r="L75" s="109" t="e">
        <f>#REF!*L69</f>
        <v>#REF!</v>
      </c>
      <c r="M75" s="109" t="e">
        <f>#REF!*M69</f>
        <v>#REF!</v>
      </c>
      <c r="N75" s="109" t="e">
        <f>#REF!*N69</f>
        <v>#REF!</v>
      </c>
      <c r="O75" s="109" t="e">
        <f>#REF!*O69</f>
        <v>#REF!</v>
      </c>
      <c r="P75" s="109" t="e">
        <f>#REF!*P69</f>
        <v>#REF!</v>
      </c>
      <c r="Q75" s="109" t="e">
        <f>#REF!*Q69</f>
        <v>#REF!</v>
      </c>
      <c r="R75" s="109" t="e">
        <f>#REF!*R69</f>
        <v>#REF!</v>
      </c>
      <c r="S75" s="109" t="e">
        <f>#REF!*S69</f>
        <v>#REF!</v>
      </c>
      <c r="T75" s="109" t="e">
        <f>#REF!*T69</f>
        <v>#REF!</v>
      </c>
      <c r="U75" s="109" t="e">
        <f>#REF!*U69</f>
        <v>#REF!</v>
      </c>
      <c r="V75" s="109" t="e">
        <f>#REF!*V69</f>
        <v>#REF!</v>
      </c>
      <c r="W75" s="109" t="e">
        <f>#REF!*W69</f>
        <v>#REF!</v>
      </c>
      <c r="X75" s="109" t="e">
        <f>#REF!*X69</f>
        <v>#REF!</v>
      </c>
      <c r="Y75" s="109" t="e">
        <f>#REF!*Y69</f>
        <v>#REF!</v>
      </c>
      <c r="Z75" s="109" t="e">
        <f>#REF!*Z69</f>
        <v>#REF!</v>
      </c>
      <c r="AA75" s="109" t="e">
        <f>#REF!*AA69</f>
        <v>#REF!</v>
      </c>
      <c r="AB75" s="109" t="e">
        <f>#REF!*AB69</f>
        <v>#REF!</v>
      </c>
      <c r="AC75" s="109" t="e">
        <f>#REF!*AC69</f>
        <v>#REF!</v>
      </c>
      <c r="AD75" s="109" t="e">
        <f>#REF!*AD69</f>
        <v>#REF!</v>
      </c>
      <c r="AE75" s="109" t="e">
        <f>#REF!*AE69</f>
        <v>#REF!</v>
      </c>
      <c r="AF75" s="109" t="e">
        <f>#REF!*AF69</f>
        <v>#REF!</v>
      </c>
      <c r="AG75" s="109" t="e">
        <f>#REF!*AG69</f>
        <v>#REF!</v>
      </c>
      <c r="AH75" s="109" t="e">
        <f>#REF!*AH69</f>
        <v>#REF!</v>
      </c>
      <c r="AI75" s="109" t="e">
        <f>#REF!*AI69</f>
        <v>#REF!</v>
      </c>
      <c r="AJ75" s="109" t="e">
        <f>#REF!*AJ69</f>
        <v>#REF!</v>
      </c>
      <c r="AK75" s="109" t="e">
        <f>#REF!*AK69</f>
        <v>#REF!</v>
      </c>
      <c r="AL75" s="109" t="e">
        <f>#REF!*AL69</f>
        <v>#REF!</v>
      </c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  <c r="BS75" s="110"/>
      <c r="BT75" s="113" t="e">
        <f>BT69*#REF!</f>
        <v>#REF!</v>
      </c>
      <c r="BU75" s="100"/>
    </row>
    <row r="76" spans="1:75" hidden="1" x14ac:dyDescent="0.2">
      <c r="A76" s="94" t="s">
        <v>181</v>
      </c>
      <c r="B76" s="93" t="s">
        <v>182</v>
      </c>
      <c r="C76" s="96"/>
      <c r="D76" s="97" t="s">
        <v>176</v>
      </c>
      <c r="E76" s="85" t="e">
        <f>#REF!/E57</f>
        <v>#REF!</v>
      </c>
      <c r="F76" s="109" t="e">
        <f>#REF!/F57</f>
        <v>#REF!</v>
      </c>
      <c r="G76" s="109" t="e">
        <f>#REF!/G57</f>
        <v>#REF!</v>
      </c>
      <c r="H76" s="109" t="e">
        <f>#REF!/H57</f>
        <v>#REF!</v>
      </c>
      <c r="I76" s="109" t="e">
        <f>#REF!/I57</f>
        <v>#REF!</v>
      </c>
      <c r="J76" s="109" t="e">
        <f>#REF!/J57</f>
        <v>#REF!</v>
      </c>
      <c r="K76" s="109" t="e">
        <f>#REF!/K57</f>
        <v>#REF!</v>
      </c>
      <c r="L76" s="109" t="e">
        <f>#REF!/L57</f>
        <v>#REF!</v>
      </c>
      <c r="M76" s="109" t="e">
        <f>#REF!/M57</f>
        <v>#REF!</v>
      </c>
      <c r="N76" s="109" t="e">
        <f>#REF!/N57</f>
        <v>#REF!</v>
      </c>
      <c r="O76" s="109" t="e">
        <f>#REF!/O57</f>
        <v>#REF!</v>
      </c>
      <c r="P76" s="109" t="e">
        <f>#REF!/P57</f>
        <v>#REF!</v>
      </c>
      <c r="Q76" s="109" t="e">
        <f>#REF!/Q57</f>
        <v>#REF!</v>
      </c>
      <c r="R76" s="109" t="e">
        <f>#REF!/R57</f>
        <v>#REF!</v>
      </c>
      <c r="S76" s="109" t="e">
        <f>#REF!/S57</f>
        <v>#REF!</v>
      </c>
      <c r="T76" s="109" t="e">
        <f>#REF!/T57</f>
        <v>#REF!</v>
      </c>
      <c r="U76" s="109" t="e">
        <f>#REF!/U57</f>
        <v>#REF!</v>
      </c>
      <c r="V76" s="109" t="e">
        <f>#REF!/V57</f>
        <v>#REF!</v>
      </c>
      <c r="W76" s="109" t="e">
        <f>#REF!/W57</f>
        <v>#REF!</v>
      </c>
      <c r="X76" s="109" t="e">
        <f>#REF!/X57</f>
        <v>#REF!</v>
      </c>
      <c r="Y76" s="109" t="e">
        <f>#REF!/Y57</f>
        <v>#REF!</v>
      </c>
      <c r="Z76" s="109" t="e">
        <f>#REF!/Z57</f>
        <v>#REF!</v>
      </c>
      <c r="AA76" s="109" t="e">
        <f>#REF!/AA57</f>
        <v>#REF!</v>
      </c>
      <c r="AB76" s="109" t="e">
        <f>#REF!/AB57</f>
        <v>#REF!</v>
      </c>
      <c r="AC76" s="109" t="e">
        <f>#REF!/AC57</f>
        <v>#REF!</v>
      </c>
      <c r="AD76" s="109" t="e">
        <f>#REF!/AD57</f>
        <v>#REF!</v>
      </c>
      <c r="AE76" s="109" t="e">
        <f>#REF!/AE57</f>
        <v>#REF!</v>
      </c>
      <c r="AF76" s="109" t="e">
        <f>#REF!/AF57</f>
        <v>#REF!</v>
      </c>
      <c r="AG76" s="109" t="e">
        <f>#REF!/AG57</f>
        <v>#REF!</v>
      </c>
      <c r="AH76" s="109" t="e">
        <f>#REF!/AH57</f>
        <v>#REF!</v>
      </c>
      <c r="AI76" s="109" t="e">
        <f>#REF!/AI57</f>
        <v>#REF!</v>
      </c>
      <c r="AJ76" s="109" t="e">
        <f>#REF!/AJ57</f>
        <v>#REF!</v>
      </c>
      <c r="AK76" s="109" t="e">
        <f>#REF!/AK57</f>
        <v>#REF!</v>
      </c>
      <c r="AL76" s="109" t="e">
        <f>#REF!/AL57</f>
        <v>#REF!</v>
      </c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  <c r="BS76" s="110"/>
      <c r="BT76" s="113" t="e">
        <f>#REF!/BT57</f>
        <v>#REF!</v>
      </c>
      <c r="BU76" s="100"/>
    </row>
    <row r="77" spans="1:75" hidden="1" x14ac:dyDescent="0.2">
      <c r="A77" s="94" t="s">
        <v>183</v>
      </c>
      <c r="B77" s="93" t="s">
        <v>184</v>
      </c>
      <c r="C77" s="96"/>
      <c r="D77" s="97" t="s">
        <v>176</v>
      </c>
      <c r="E77" s="109">
        <v>291</v>
      </c>
      <c r="F77" s="109">
        <v>291</v>
      </c>
      <c r="G77" s="109">
        <v>291</v>
      </c>
      <c r="H77" s="109">
        <v>291</v>
      </c>
      <c r="I77" s="109">
        <v>291</v>
      </c>
      <c r="J77" s="109">
        <v>291</v>
      </c>
      <c r="K77" s="109">
        <v>291</v>
      </c>
      <c r="L77" s="109">
        <v>291</v>
      </c>
      <c r="M77" s="109">
        <v>291</v>
      </c>
      <c r="N77" s="109">
        <v>291</v>
      </c>
      <c r="O77" s="109">
        <v>291</v>
      </c>
      <c r="P77" s="109">
        <v>291</v>
      </c>
      <c r="Q77" s="109">
        <v>291</v>
      </c>
      <c r="R77" s="109">
        <v>291</v>
      </c>
      <c r="S77" s="109">
        <v>291</v>
      </c>
      <c r="T77" s="109">
        <v>291</v>
      </c>
      <c r="U77" s="109">
        <v>291</v>
      </c>
      <c r="V77" s="109">
        <v>291</v>
      </c>
      <c r="W77" s="109">
        <v>291</v>
      </c>
      <c r="X77" s="109">
        <v>291</v>
      </c>
      <c r="Y77" s="109">
        <v>291</v>
      </c>
      <c r="Z77" s="109">
        <v>291</v>
      </c>
      <c r="AA77" s="109">
        <v>291</v>
      </c>
      <c r="AB77" s="109">
        <v>291</v>
      </c>
      <c r="AC77" s="109">
        <v>291</v>
      </c>
      <c r="AD77" s="109">
        <v>291</v>
      </c>
      <c r="AE77" s="109">
        <v>291</v>
      </c>
      <c r="AF77" s="109">
        <v>291</v>
      </c>
      <c r="AG77" s="109">
        <v>291</v>
      </c>
      <c r="AH77" s="109">
        <v>291</v>
      </c>
      <c r="AI77" s="109">
        <v>291</v>
      </c>
      <c r="AJ77" s="109">
        <v>291</v>
      </c>
      <c r="AK77" s="109">
        <v>291</v>
      </c>
      <c r="AL77" s="109">
        <v>291</v>
      </c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3">
        <f>AVERAGE(E77:AK77)</f>
        <v>291</v>
      </c>
      <c r="BU77" s="100"/>
    </row>
    <row r="78" spans="1:75" ht="20.25" hidden="1" customHeight="1" x14ac:dyDescent="0.2">
      <c r="A78" s="94"/>
      <c r="B78" s="93"/>
      <c r="C78" s="96"/>
      <c r="D78" s="225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  <c r="AM78" s="226"/>
      <c r="AN78" s="226"/>
      <c r="AO78" s="226"/>
      <c r="AP78" s="226"/>
      <c r="AQ78" s="226"/>
      <c r="AR78" s="226"/>
      <c r="AS78" s="226"/>
      <c r="AT78" s="226"/>
      <c r="AU78" s="226"/>
      <c r="AV78" s="226"/>
      <c r="AW78" s="226"/>
      <c r="AX78" s="226"/>
      <c r="AY78" s="226"/>
      <c r="AZ78" s="226"/>
      <c r="BA78" s="226"/>
      <c r="BB78" s="226"/>
      <c r="BC78" s="226"/>
      <c r="BD78" s="226"/>
      <c r="BE78" s="226"/>
      <c r="BF78" s="226"/>
      <c r="BG78" s="226"/>
      <c r="BH78" s="226"/>
      <c r="BI78" s="226"/>
      <c r="BJ78" s="226"/>
      <c r="BK78" s="226"/>
      <c r="BL78" s="226"/>
      <c r="BM78" s="226"/>
      <c r="BN78" s="226"/>
      <c r="BO78" s="226"/>
      <c r="BP78" s="226"/>
      <c r="BQ78" s="226"/>
      <c r="BR78" s="226"/>
      <c r="BS78" s="226"/>
      <c r="BT78" s="227"/>
      <c r="BU78" s="100"/>
    </row>
    <row r="79" spans="1:75" hidden="1" x14ac:dyDescent="0.2">
      <c r="A79" s="94" t="s">
        <v>179</v>
      </c>
      <c r="B79" s="93" t="s">
        <v>185</v>
      </c>
      <c r="C79" s="96"/>
      <c r="D79" s="97"/>
      <c r="E79" s="114"/>
      <c r="F79" s="115"/>
      <c r="G79" s="115"/>
      <c r="H79" s="115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  <c r="BG79" s="11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117"/>
      <c r="BS79" s="117"/>
      <c r="BT79" s="98" t="s">
        <v>186</v>
      </c>
      <c r="BU79" s="100"/>
    </row>
    <row r="80" spans="1:75" hidden="1" x14ac:dyDescent="0.2">
      <c r="A80" s="94"/>
      <c r="B80" s="118" t="s">
        <v>187</v>
      </c>
      <c r="C80" s="119"/>
      <c r="D80" s="97"/>
      <c r="E80" s="114"/>
      <c r="F80" s="115"/>
      <c r="G80" s="115"/>
      <c r="H80" s="120"/>
      <c r="I80" s="210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  <c r="AJ80" s="211"/>
      <c r="AK80" s="212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2" t="s">
        <v>187</v>
      </c>
      <c r="BU80" s="100"/>
    </row>
    <row r="81" spans="1:73" hidden="1" x14ac:dyDescent="0.2">
      <c r="A81" s="123" t="s">
        <v>157</v>
      </c>
      <c r="B81" s="93" t="s">
        <v>188</v>
      </c>
      <c r="C81" s="96"/>
      <c r="D81" s="97" t="s">
        <v>16</v>
      </c>
      <c r="E81" s="85"/>
      <c r="F81" s="85"/>
      <c r="G81" s="85"/>
      <c r="H81" s="85"/>
      <c r="I81" s="124">
        <v>1.6</v>
      </c>
      <c r="J81" s="124">
        <v>3.5</v>
      </c>
      <c r="K81" s="124">
        <v>12</v>
      </c>
      <c r="L81" s="124">
        <v>26.5</v>
      </c>
      <c r="M81" s="124">
        <v>26.5</v>
      </c>
      <c r="N81" s="124">
        <v>26.5</v>
      </c>
      <c r="O81" s="124">
        <v>26.5</v>
      </c>
      <c r="P81" s="124">
        <v>26.5</v>
      </c>
      <c r="Q81" s="124">
        <v>26.5</v>
      </c>
      <c r="R81" s="124">
        <v>26.5</v>
      </c>
      <c r="S81" s="124">
        <v>26.5</v>
      </c>
      <c r="T81" s="124">
        <v>26.5</v>
      </c>
      <c r="U81" s="124">
        <v>26.5</v>
      </c>
      <c r="V81" s="124">
        <v>26.5</v>
      </c>
      <c r="W81" s="124">
        <v>26.5</v>
      </c>
      <c r="X81" s="124">
        <v>26.5</v>
      </c>
      <c r="Y81" s="124">
        <v>26.5</v>
      </c>
      <c r="Z81" s="124">
        <v>26.5</v>
      </c>
      <c r="AA81" s="124">
        <v>26.5</v>
      </c>
      <c r="AB81" s="124">
        <v>26.5</v>
      </c>
      <c r="AC81" s="124">
        <v>26.5</v>
      </c>
      <c r="AD81" s="124">
        <v>26.5</v>
      </c>
      <c r="AE81" s="124">
        <v>26.5</v>
      </c>
      <c r="AF81" s="124">
        <v>26.5</v>
      </c>
      <c r="AG81" s="124">
        <v>26.5</v>
      </c>
      <c r="AH81" s="124">
        <v>26.5</v>
      </c>
      <c r="AI81" s="124">
        <v>26.5</v>
      </c>
      <c r="AJ81" s="124">
        <v>26.5</v>
      </c>
      <c r="AK81" s="124">
        <v>12</v>
      </c>
      <c r="AL81" s="124">
        <v>17.5</v>
      </c>
      <c r="AM81" s="125">
        <v>26</v>
      </c>
      <c r="AN81" s="125">
        <v>2.5</v>
      </c>
      <c r="AO81" s="125">
        <v>0</v>
      </c>
      <c r="AP81" s="125">
        <v>0</v>
      </c>
      <c r="AQ81" s="125">
        <v>23.5</v>
      </c>
      <c r="AR81" s="125">
        <v>2.5</v>
      </c>
      <c r="AS81" s="125">
        <v>2.5</v>
      </c>
      <c r="AT81" s="125">
        <v>2.5</v>
      </c>
      <c r="AU81" s="125">
        <v>2.5</v>
      </c>
      <c r="AV81" s="125">
        <v>2.5</v>
      </c>
      <c r="AW81" s="125">
        <v>2.5</v>
      </c>
      <c r="AX81" s="125">
        <v>2.5</v>
      </c>
      <c r="AY81" s="125">
        <v>2.5</v>
      </c>
      <c r="AZ81" s="125">
        <v>2.5</v>
      </c>
      <c r="BA81" s="125">
        <v>2.5</v>
      </c>
      <c r="BB81" s="125">
        <v>2.5</v>
      </c>
      <c r="BC81" s="125">
        <v>2.5</v>
      </c>
      <c r="BD81" s="125">
        <v>2.5</v>
      </c>
      <c r="BE81" s="125">
        <v>2.5</v>
      </c>
      <c r="BF81" s="125">
        <v>2.5</v>
      </c>
      <c r="BG81" s="125">
        <v>2.5</v>
      </c>
      <c r="BH81" s="125">
        <v>2.5</v>
      </c>
      <c r="BI81" s="125">
        <v>2.5</v>
      </c>
      <c r="BJ81" s="125">
        <v>2.5</v>
      </c>
      <c r="BK81" s="125">
        <v>2.5</v>
      </c>
      <c r="BL81" s="125">
        <v>2.5</v>
      </c>
      <c r="BM81" s="125">
        <v>2.5</v>
      </c>
      <c r="BN81" s="125">
        <v>2.5</v>
      </c>
      <c r="BO81" s="125">
        <v>2.5</v>
      </c>
      <c r="BP81" s="125">
        <v>2.5</v>
      </c>
      <c r="BQ81" s="125">
        <v>2.5</v>
      </c>
      <c r="BR81" s="125"/>
      <c r="BS81" s="125"/>
      <c r="BT81" s="98">
        <f>SUM(I81:BR81)</f>
        <v>826.1</v>
      </c>
      <c r="BU81" s="100"/>
    </row>
    <row r="82" spans="1:73" hidden="1" x14ac:dyDescent="0.2">
      <c r="A82" s="123" t="s">
        <v>160</v>
      </c>
      <c r="B82" s="93" t="s">
        <v>189</v>
      </c>
      <c r="C82" s="96"/>
      <c r="D82" s="97" t="s">
        <v>16</v>
      </c>
      <c r="E82" s="85"/>
      <c r="F82" s="85"/>
      <c r="G82" s="85"/>
      <c r="H82" s="85"/>
      <c r="I82" s="85">
        <v>0</v>
      </c>
      <c r="J82" s="85">
        <v>0</v>
      </c>
      <c r="K82" s="85">
        <v>0</v>
      </c>
      <c r="L82" s="85">
        <v>0</v>
      </c>
      <c r="M82" s="85">
        <v>0</v>
      </c>
      <c r="N82" s="85">
        <v>0</v>
      </c>
      <c r="O82" s="85">
        <v>0</v>
      </c>
      <c r="P82" s="85">
        <v>0</v>
      </c>
      <c r="Q82" s="85">
        <v>0</v>
      </c>
      <c r="R82" s="85">
        <v>0</v>
      </c>
      <c r="S82" s="85">
        <v>0</v>
      </c>
      <c r="T82" s="85">
        <v>0</v>
      </c>
      <c r="U82" s="85">
        <v>0</v>
      </c>
      <c r="V82" s="85">
        <v>0</v>
      </c>
      <c r="W82" s="85">
        <v>0</v>
      </c>
      <c r="X82" s="85">
        <v>0</v>
      </c>
      <c r="Y82" s="85">
        <v>0</v>
      </c>
      <c r="Z82" s="85">
        <v>0</v>
      </c>
      <c r="AA82" s="85">
        <v>0</v>
      </c>
      <c r="AB82" s="85">
        <v>0</v>
      </c>
      <c r="AC82" s="85">
        <v>0</v>
      </c>
      <c r="AD82" s="85">
        <v>0</v>
      </c>
      <c r="AE82" s="85">
        <v>0</v>
      </c>
      <c r="AF82" s="85">
        <v>0</v>
      </c>
      <c r="AG82" s="85">
        <v>0</v>
      </c>
      <c r="AH82" s="85">
        <v>0</v>
      </c>
      <c r="AI82" s="85">
        <v>0</v>
      </c>
      <c r="AJ82" s="85">
        <v>0</v>
      </c>
      <c r="AK82" s="85">
        <v>0</v>
      </c>
      <c r="AL82" s="85">
        <v>0</v>
      </c>
      <c r="AM82" s="86">
        <v>0</v>
      </c>
      <c r="AN82" s="86">
        <v>0</v>
      </c>
      <c r="AO82" s="86">
        <v>15</v>
      </c>
      <c r="AP82" s="86">
        <v>0</v>
      </c>
      <c r="AQ82" s="86">
        <v>0</v>
      </c>
      <c r="AR82" s="86">
        <v>12.5</v>
      </c>
      <c r="AS82" s="86">
        <v>12.5</v>
      </c>
      <c r="AT82" s="86">
        <v>12.5</v>
      </c>
      <c r="AU82" s="86">
        <v>12.5</v>
      </c>
      <c r="AV82" s="86">
        <v>12.5</v>
      </c>
      <c r="AW82" s="86">
        <v>12.5</v>
      </c>
      <c r="AX82" s="86">
        <v>12.5</v>
      </c>
      <c r="AY82" s="86">
        <v>12.5</v>
      </c>
      <c r="AZ82" s="86">
        <v>12.5</v>
      </c>
      <c r="BA82" s="86">
        <v>12.5</v>
      </c>
      <c r="BB82" s="86">
        <v>12.5</v>
      </c>
      <c r="BC82" s="86">
        <v>12.5</v>
      </c>
      <c r="BD82" s="86">
        <v>12.5</v>
      </c>
      <c r="BE82" s="86">
        <v>12.5</v>
      </c>
      <c r="BF82" s="86">
        <v>12.5</v>
      </c>
      <c r="BG82" s="86">
        <v>12.5</v>
      </c>
      <c r="BH82" s="86">
        <v>12.5</v>
      </c>
      <c r="BI82" s="86">
        <v>12.5</v>
      </c>
      <c r="BJ82" s="86">
        <v>12.5</v>
      </c>
      <c r="BK82" s="86">
        <v>12.5</v>
      </c>
      <c r="BL82" s="86">
        <v>12.5</v>
      </c>
      <c r="BM82" s="86">
        <v>12.5</v>
      </c>
      <c r="BN82" s="86">
        <v>12.5</v>
      </c>
      <c r="BO82" s="86">
        <v>12.5</v>
      </c>
      <c r="BP82" s="86">
        <v>12.5</v>
      </c>
      <c r="BQ82" s="86">
        <v>12.5</v>
      </c>
      <c r="BR82" s="86"/>
      <c r="BS82" s="86"/>
      <c r="BT82" s="98">
        <f>SUM(I82:BR82)</f>
        <v>340</v>
      </c>
      <c r="BU82" s="100"/>
    </row>
    <row r="83" spans="1:73" hidden="1" x14ac:dyDescent="0.2">
      <c r="A83" s="123" t="s">
        <v>163</v>
      </c>
      <c r="B83" s="93" t="s">
        <v>190</v>
      </c>
      <c r="C83" s="96"/>
      <c r="D83" s="97" t="s">
        <v>16</v>
      </c>
      <c r="E83" s="85"/>
      <c r="F83" s="85"/>
      <c r="G83" s="85"/>
      <c r="H83" s="85"/>
      <c r="I83" s="85">
        <v>0</v>
      </c>
      <c r="J83" s="85">
        <v>0</v>
      </c>
      <c r="K83" s="85">
        <v>0</v>
      </c>
      <c r="L83" s="85">
        <v>0</v>
      </c>
      <c r="M83" s="85">
        <v>0</v>
      </c>
      <c r="N83" s="85">
        <v>0</v>
      </c>
      <c r="O83" s="85">
        <v>0</v>
      </c>
      <c r="P83" s="85">
        <v>0</v>
      </c>
      <c r="Q83" s="85">
        <v>0</v>
      </c>
      <c r="R83" s="85">
        <v>0</v>
      </c>
      <c r="S83" s="85">
        <v>0</v>
      </c>
      <c r="T83" s="85">
        <v>0</v>
      </c>
      <c r="U83" s="85">
        <v>0</v>
      </c>
      <c r="V83" s="85">
        <v>0</v>
      </c>
      <c r="W83" s="85">
        <v>0</v>
      </c>
      <c r="X83" s="85">
        <v>0</v>
      </c>
      <c r="Y83" s="85">
        <v>0</v>
      </c>
      <c r="Z83" s="85">
        <v>0</v>
      </c>
      <c r="AA83" s="85">
        <v>0</v>
      </c>
      <c r="AB83" s="85">
        <v>0</v>
      </c>
      <c r="AC83" s="85">
        <v>0</v>
      </c>
      <c r="AD83" s="85">
        <v>0</v>
      </c>
      <c r="AE83" s="85">
        <v>0</v>
      </c>
      <c r="AF83" s="85">
        <v>0</v>
      </c>
      <c r="AG83" s="85">
        <v>0</v>
      </c>
      <c r="AH83" s="85">
        <v>0</v>
      </c>
      <c r="AI83" s="85">
        <v>0</v>
      </c>
      <c r="AJ83" s="85">
        <v>0</v>
      </c>
      <c r="AK83" s="85">
        <v>0</v>
      </c>
      <c r="AL83" s="85">
        <v>0</v>
      </c>
      <c r="AM83" s="86">
        <v>0</v>
      </c>
      <c r="AN83" s="86">
        <v>32.5</v>
      </c>
      <c r="AO83" s="86">
        <v>5.5</v>
      </c>
      <c r="AP83" s="86">
        <v>32.5</v>
      </c>
      <c r="AQ83" s="86">
        <v>23.5</v>
      </c>
      <c r="AR83" s="86">
        <v>38</v>
      </c>
      <c r="AS83" s="86">
        <v>38</v>
      </c>
      <c r="AT83" s="86">
        <v>38</v>
      </c>
      <c r="AU83" s="86">
        <v>38</v>
      </c>
      <c r="AV83" s="86">
        <v>38</v>
      </c>
      <c r="AW83" s="86">
        <v>38</v>
      </c>
      <c r="AX83" s="86">
        <v>38</v>
      </c>
      <c r="AY83" s="86">
        <v>38</v>
      </c>
      <c r="AZ83" s="86">
        <v>38</v>
      </c>
      <c r="BA83" s="86">
        <v>38</v>
      </c>
      <c r="BB83" s="86">
        <v>38</v>
      </c>
      <c r="BC83" s="86">
        <v>38</v>
      </c>
      <c r="BD83" s="86">
        <v>38</v>
      </c>
      <c r="BE83" s="86">
        <v>38</v>
      </c>
      <c r="BF83" s="86">
        <v>38</v>
      </c>
      <c r="BG83" s="86">
        <v>38</v>
      </c>
      <c r="BH83" s="86">
        <v>38</v>
      </c>
      <c r="BI83" s="86">
        <v>38</v>
      </c>
      <c r="BJ83" s="86">
        <v>38</v>
      </c>
      <c r="BK83" s="86">
        <v>38</v>
      </c>
      <c r="BL83" s="86">
        <v>38</v>
      </c>
      <c r="BM83" s="86">
        <v>38</v>
      </c>
      <c r="BN83" s="86">
        <v>38</v>
      </c>
      <c r="BO83" s="86">
        <v>38</v>
      </c>
      <c r="BP83" s="86">
        <v>38</v>
      </c>
      <c r="BQ83" s="86">
        <v>38</v>
      </c>
      <c r="BR83" s="86"/>
      <c r="BS83" s="86"/>
      <c r="BT83" s="98">
        <f>SUM(I83:BR83)</f>
        <v>1082</v>
      </c>
      <c r="BU83" s="100"/>
    </row>
    <row r="84" spans="1:73" hidden="1" x14ac:dyDescent="0.2">
      <c r="A84" s="123" t="s">
        <v>166</v>
      </c>
      <c r="B84" s="93" t="s">
        <v>191</v>
      </c>
      <c r="C84" s="96"/>
      <c r="D84" s="97" t="s">
        <v>16</v>
      </c>
      <c r="E84" s="85"/>
      <c r="F84" s="85"/>
      <c r="G84" s="85"/>
      <c r="H84" s="85"/>
      <c r="I84" s="85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5">
        <v>0</v>
      </c>
      <c r="T84" s="85">
        <v>0</v>
      </c>
      <c r="U84" s="85">
        <v>0</v>
      </c>
      <c r="V84" s="85">
        <v>0</v>
      </c>
      <c r="W84" s="85">
        <v>0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85">
        <v>0</v>
      </c>
      <c r="AH84" s="85">
        <v>0</v>
      </c>
      <c r="AI84" s="85">
        <v>0</v>
      </c>
      <c r="AJ84" s="85">
        <v>0</v>
      </c>
      <c r="AK84" s="85">
        <v>0</v>
      </c>
      <c r="AL84" s="85">
        <v>0</v>
      </c>
      <c r="AM84" s="86">
        <v>0</v>
      </c>
      <c r="AN84" s="86">
        <v>0</v>
      </c>
      <c r="AO84" s="86">
        <v>0</v>
      </c>
      <c r="AP84" s="86">
        <v>0</v>
      </c>
      <c r="AQ84" s="86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6">
        <v>0</v>
      </c>
      <c r="BC84" s="86">
        <v>0</v>
      </c>
      <c r="BD84" s="86">
        <v>0</v>
      </c>
      <c r="BE84" s="86">
        <v>0</v>
      </c>
      <c r="BF84" s="86">
        <v>0</v>
      </c>
      <c r="BG84" s="86">
        <v>0</v>
      </c>
      <c r="BH84" s="86">
        <v>0</v>
      </c>
      <c r="BI84" s="86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/>
      <c r="BS84" s="86"/>
      <c r="BT84" s="98">
        <f>SUM(I84:BR84)</f>
        <v>0</v>
      </c>
      <c r="BU84" s="100"/>
    </row>
    <row r="85" spans="1:73" hidden="1" x14ac:dyDescent="0.2">
      <c r="A85" s="126"/>
      <c r="B85" s="93" t="s">
        <v>192</v>
      </c>
      <c r="C85" s="96"/>
      <c r="D85" s="97" t="s">
        <v>16</v>
      </c>
      <c r="E85" s="127">
        <f t="shared" ref="E85:BT85" si="25">SUM(E81:E84)</f>
        <v>0</v>
      </c>
      <c r="F85" s="127">
        <f t="shared" si="25"/>
        <v>0</v>
      </c>
      <c r="G85" s="127">
        <f t="shared" si="25"/>
        <v>0</v>
      </c>
      <c r="H85" s="127">
        <f t="shared" si="25"/>
        <v>0</v>
      </c>
      <c r="I85" s="127">
        <f t="shared" si="25"/>
        <v>1.6</v>
      </c>
      <c r="J85" s="127">
        <f t="shared" si="25"/>
        <v>3.5</v>
      </c>
      <c r="K85" s="127">
        <f t="shared" si="25"/>
        <v>12</v>
      </c>
      <c r="L85" s="127">
        <f t="shared" ref="L85:AI85" si="26">SUM(L81:L84)</f>
        <v>26.5</v>
      </c>
      <c r="M85" s="127">
        <f t="shared" si="26"/>
        <v>26.5</v>
      </c>
      <c r="N85" s="127">
        <f t="shared" si="26"/>
        <v>26.5</v>
      </c>
      <c r="O85" s="127">
        <f t="shared" si="26"/>
        <v>26.5</v>
      </c>
      <c r="P85" s="127">
        <f t="shared" si="26"/>
        <v>26.5</v>
      </c>
      <c r="Q85" s="127">
        <f t="shared" si="26"/>
        <v>26.5</v>
      </c>
      <c r="R85" s="127">
        <f t="shared" si="26"/>
        <v>26.5</v>
      </c>
      <c r="S85" s="127">
        <f t="shared" si="26"/>
        <v>26.5</v>
      </c>
      <c r="T85" s="127">
        <f t="shared" si="26"/>
        <v>26.5</v>
      </c>
      <c r="U85" s="127">
        <f t="shared" si="26"/>
        <v>26.5</v>
      </c>
      <c r="V85" s="127">
        <f t="shared" si="26"/>
        <v>26.5</v>
      </c>
      <c r="W85" s="127">
        <f t="shared" si="26"/>
        <v>26.5</v>
      </c>
      <c r="X85" s="127">
        <f t="shared" si="26"/>
        <v>26.5</v>
      </c>
      <c r="Y85" s="127">
        <f t="shared" si="26"/>
        <v>26.5</v>
      </c>
      <c r="Z85" s="127">
        <f t="shared" si="26"/>
        <v>26.5</v>
      </c>
      <c r="AA85" s="127">
        <f t="shared" si="26"/>
        <v>26.5</v>
      </c>
      <c r="AB85" s="127">
        <f t="shared" si="26"/>
        <v>26.5</v>
      </c>
      <c r="AC85" s="127">
        <f t="shared" si="26"/>
        <v>26.5</v>
      </c>
      <c r="AD85" s="127">
        <f t="shared" si="26"/>
        <v>26.5</v>
      </c>
      <c r="AE85" s="127">
        <f t="shared" si="26"/>
        <v>26.5</v>
      </c>
      <c r="AF85" s="127">
        <f t="shared" si="26"/>
        <v>26.5</v>
      </c>
      <c r="AG85" s="127">
        <f t="shared" si="26"/>
        <v>26.5</v>
      </c>
      <c r="AH85" s="127">
        <f t="shared" si="26"/>
        <v>26.5</v>
      </c>
      <c r="AI85" s="127">
        <f t="shared" si="26"/>
        <v>26.5</v>
      </c>
      <c r="AJ85" s="127">
        <f t="shared" ref="AJ85" si="27">SUM(AJ81:AJ84)</f>
        <v>26.5</v>
      </c>
      <c r="AK85" s="127">
        <f t="shared" si="25"/>
        <v>12</v>
      </c>
      <c r="AL85" s="127">
        <f t="shared" si="25"/>
        <v>17.5</v>
      </c>
      <c r="AM85" s="127">
        <f t="shared" si="25"/>
        <v>26</v>
      </c>
      <c r="AN85" s="127">
        <f t="shared" si="25"/>
        <v>35</v>
      </c>
      <c r="AO85" s="127">
        <f t="shared" si="25"/>
        <v>20.5</v>
      </c>
      <c r="AP85" s="127">
        <f t="shared" si="25"/>
        <v>32.5</v>
      </c>
      <c r="AQ85" s="127">
        <f t="shared" si="25"/>
        <v>47</v>
      </c>
      <c r="AR85" s="127">
        <f t="shared" si="25"/>
        <v>53</v>
      </c>
      <c r="AS85" s="127">
        <f t="shared" si="25"/>
        <v>53</v>
      </c>
      <c r="AT85" s="127">
        <f t="shared" si="25"/>
        <v>53</v>
      </c>
      <c r="AU85" s="127">
        <f t="shared" si="25"/>
        <v>53</v>
      </c>
      <c r="AV85" s="127">
        <f t="shared" si="25"/>
        <v>53</v>
      </c>
      <c r="AW85" s="127">
        <f t="shared" si="25"/>
        <v>53</v>
      </c>
      <c r="AX85" s="127">
        <f t="shared" si="25"/>
        <v>53</v>
      </c>
      <c r="AY85" s="127">
        <f t="shared" si="25"/>
        <v>53</v>
      </c>
      <c r="AZ85" s="127">
        <f t="shared" si="25"/>
        <v>53</v>
      </c>
      <c r="BA85" s="127">
        <f t="shared" si="25"/>
        <v>53</v>
      </c>
      <c r="BB85" s="127">
        <f t="shared" si="25"/>
        <v>53</v>
      </c>
      <c r="BC85" s="127">
        <f t="shared" si="25"/>
        <v>53</v>
      </c>
      <c r="BD85" s="127">
        <f t="shared" si="25"/>
        <v>53</v>
      </c>
      <c r="BE85" s="127">
        <f t="shared" si="25"/>
        <v>53</v>
      </c>
      <c r="BF85" s="127">
        <f t="shared" si="25"/>
        <v>53</v>
      </c>
      <c r="BG85" s="127">
        <f t="shared" si="25"/>
        <v>53</v>
      </c>
      <c r="BH85" s="127">
        <f t="shared" si="25"/>
        <v>53</v>
      </c>
      <c r="BI85" s="127">
        <f t="shared" si="25"/>
        <v>53</v>
      </c>
      <c r="BJ85" s="127">
        <f t="shared" si="25"/>
        <v>53</v>
      </c>
      <c r="BK85" s="127">
        <f t="shared" si="25"/>
        <v>53</v>
      </c>
      <c r="BL85" s="127">
        <f t="shared" si="25"/>
        <v>53</v>
      </c>
      <c r="BM85" s="127">
        <f t="shared" si="25"/>
        <v>53</v>
      </c>
      <c r="BN85" s="127">
        <f t="shared" si="25"/>
        <v>53</v>
      </c>
      <c r="BO85" s="127">
        <f t="shared" si="25"/>
        <v>53</v>
      </c>
      <c r="BP85" s="127">
        <f t="shared" si="25"/>
        <v>53</v>
      </c>
      <c r="BQ85" s="127">
        <f t="shared" si="25"/>
        <v>53</v>
      </c>
      <c r="BR85" s="128"/>
      <c r="BS85" s="128"/>
      <c r="BT85" s="112">
        <f t="shared" si="25"/>
        <v>2248.1</v>
      </c>
      <c r="BU85" s="100"/>
    </row>
    <row r="86" spans="1:73" hidden="1" x14ac:dyDescent="0.2">
      <c r="A86" s="126"/>
      <c r="B86" s="118" t="s">
        <v>193</v>
      </c>
      <c r="C86" s="119"/>
      <c r="D86" s="115"/>
      <c r="E86" s="115"/>
      <c r="F86" s="115"/>
      <c r="G86" s="115"/>
      <c r="H86" s="115"/>
      <c r="I86" s="210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11"/>
      <c r="AG86" s="211"/>
      <c r="AH86" s="211"/>
      <c r="AI86" s="211"/>
      <c r="AJ86" s="211"/>
      <c r="AK86" s="212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9" t="s">
        <v>193</v>
      </c>
      <c r="BU86" s="100"/>
    </row>
    <row r="87" spans="1:73" hidden="1" x14ac:dyDescent="0.2">
      <c r="A87" s="123" t="s">
        <v>157</v>
      </c>
      <c r="B87" s="93" t="s">
        <v>188</v>
      </c>
      <c r="C87" s="96"/>
      <c r="D87" s="97" t="s">
        <v>16</v>
      </c>
      <c r="E87" s="85"/>
      <c r="F87" s="85"/>
      <c r="G87" s="85"/>
      <c r="H87" s="85"/>
      <c r="I87" s="85">
        <v>0</v>
      </c>
      <c r="J87" s="85">
        <v>0</v>
      </c>
      <c r="K87" s="85">
        <v>0</v>
      </c>
      <c r="L87" s="85">
        <v>0</v>
      </c>
      <c r="M87" s="85">
        <v>0</v>
      </c>
      <c r="N87" s="85">
        <v>0</v>
      </c>
      <c r="O87" s="85">
        <v>0</v>
      </c>
      <c r="P87" s="85">
        <v>0</v>
      </c>
      <c r="Q87" s="85">
        <v>0</v>
      </c>
      <c r="R87" s="85">
        <v>0</v>
      </c>
      <c r="S87" s="85">
        <v>0</v>
      </c>
      <c r="T87" s="85">
        <v>0</v>
      </c>
      <c r="U87" s="85">
        <v>0</v>
      </c>
      <c r="V87" s="85">
        <v>0</v>
      </c>
      <c r="W87" s="85">
        <v>0</v>
      </c>
      <c r="X87" s="85">
        <v>0</v>
      </c>
      <c r="Y87" s="85">
        <v>0</v>
      </c>
      <c r="Z87" s="85">
        <v>0</v>
      </c>
      <c r="AA87" s="85">
        <v>0</v>
      </c>
      <c r="AB87" s="85">
        <v>0</v>
      </c>
      <c r="AC87" s="85">
        <v>0</v>
      </c>
      <c r="AD87" s="85">
        <v>0</v>
      </c>
      <c r="AE87" s="85">
        <v>0</v>
      </c>
      <c r="AF87" s="85">
        <v>0</v>
      </c>
      <c r="AG87" s="85">
        <v>0</v>
      </c>
      <c r="AH87" s="85">
        <v>0</v>
      </c>
      <c r="AI87" s="85">
        <v>0</v>
      </c>
      <c r="AJ87" s="85">
        <v>0</v>
      </c>
      <c r="AK87" s="85">
        <v>0</v>
      </c>
      <c r="AL87" s="85">
        <v>0</v>
      </c>
      <c r="AM87" s="86">
        <v>0</v>
      </c>
      <c r="AN87" s="86">
        <v>0</v>
      </c>
      <c r="AO87" s="86">
        <v>0</v>
      </c>
      <c r="AP87" s="86">
        <v>0</v>
      </c>
      <c r="AQ87" s="86">
        <v>0</v>
      </c>
      <c r="AR87" s="86">
        <v>0</v>
      </c>
      <c r="AS87" s="86">
        <v>0</v>
      </c>
      <c r="AT87" s="86">
        <v>0</v>
      </c>
      <c r="AU87" s="86">
        <v>0</v>
      </c>
      <c r="AV87" s="86">
        <v>0</v>
      </c>
      <c r="AW87" s="86">
        <v>0</v>
      </c>
      <c r="AX87" s="86">
        <v>0</v>
      </c>
      <c r="AY87" s="86">
        <v>0</v>
      </c>
      <c r="AZ87" s="86">
        <v>0</v>
      </c>
      <c r="BA87" s="86">
        <v>0</v>
      </c>
      <c r="BB87" s="86">
        <v>0</v>
      </c>
      <c r="BC87" s="86">
        <v>0</v>
      </c>
      <c r="BD87" s="86">
        <v>0</v>
      </c>
      <c r="BE87" s="86">
        <v>0</v>
      </c>
      <c r="BF87" s="86">
        <v>0</v>
      </c>
      <c r="BG87" s="86">
        <v>0</v>
      </c>
      <c r="BH87" s="86">
        <v>0</v>
      </c>
      <c r="BI87" s="86">
        <v>0</v>
      </c>
      <c r="BJ87" s="86">
        <v>0</v>
      </c>
      <c r="BK87" s="86">
        <v>0</v>
      </c>
      <c r="BL87" s="86">
        <v>0</v>
      </c>
      <c r="BM87" s="86">
        <v>0</v>
      </c>
      <c r="BN87" s="86">
        <v>0</v>
      </c>
      <c r="BO87" s="86">
        <v>0</v>
      </c>
      <c r="BP87" s="86">
        <v>0</v>
      </c>
      <c r="BQ87" s="86">
        <v>0</v>
      </c>
      <c r="BR87" s="86"/>
      <c r="BS87" s="86"/>
      <c r="BT87" s="98">
        <f>SUM(E87:AK87)</f>
        <v>0</v>
      </c>
      <c r="BU87" s="100"/>
    </row>
    <row r="88" spans="1:73" hidden="1" x14ac:dyDescent="0.2">
      <c r="A88" s="123" t="s">
        <v>160</v>
      </c>
      <c r="B88" s="93" t="s">
        <v>189</v>
      </c>
      <c r="C88" s="96"/>
      <c r="D88" s="97" t="s">
        <v>16</v>
      </c>
      <c r="E88" s="85"/>
      <c r="F88" s="85"/>
      <c r="G88" s="85"/>
      <c r="H88" s="85"/>
      <c r="I88" s="85">
        <v>0</v>
      </c>
      <c r="J88" s="85">
        <v>0</v>
      </c>
      <c r="K88" s="85">
        <v>0</v>
      </c>
      <c r="L88" s="85">
        <v>0</v>
      </c>
      <c r="M88" s="85">
        <v>0</v>
      </c>
      <c r="N88" s="85">
        <v>0</v>
      </c>
      <c r="O88" s="85">
        <v>0</v>
      </c>
      <c r="P88" s="85">
        <v>0</v>
      </c>
      <c r="Q88" s="85">
        <v>0</v>
      </c>
      <c r="R88" s="85">
        <v>0</v>
      </c>
      <c r="S88" s="85">
        <v>0</v>
      </c>
      <c r="T88" s="85">
        <v>0</v>
      </c>
      <c r="U88" s="85">
        <v>0</v>
      </c>
      <c r="V88" s="85">
        <v>0</v>
      </c>
      <c r="W88" s="85">
        <v>0</v>
      </c>
      <c r="X88" s="85">
        <v>0</v>
      </c>
      <c r="Y88" s="85">
        <v>0</v>
      </c>
      <c r="Z88" s="85">
        <v>0</v>
      </c>
      <c r="AA88" s="85">
        <v>0</v>
      </c>
      <c r="AB88" s="85">
        <v>0</v>
      </c>
      <c r="AC88" s="85">
        <v>0</v>
      </c>
      <c r="AD88" s="85">
        <v>0</v>
      </c>
      <c r="AE88" s="85">
        <v>0</v>
      </c>
      <c r="AF88" s="85">
        <v>0</v>
      </c>
      <c r="AG88" s="85">
        <v>0</v>
      </c>
      <c r="AH88" s="85">
        <v>0</v>
      </c>
      <c r="AI88" s="85">
        <v>0</v>
      </c>
      <c r="AJ88" s="85">
        <v>0</v>
      </c>
      <c r="AK88" s="85">
        <v>0</v>
      </c>
      <c r="AL88" s="85">
        <v>0</v>
      </c>
      <c r="AM88" s="86">
        <v>0</v>
      </c>
      <c r="AN88" s="86">
        <v>0</v>
      </c>
      <c r="AO88" s="86">
        <v>0</v>
      </c>
      <c r="AP88" s="86">
        <v>0</v>
      </c>
      <c r="AQ88" s="86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6">
        <v>0</v>
      </c>
      <c r="BC88" s="86">
        <v>0</v>
      </c>
      <c r="BD88" s="86">
        <v>0</v>
      </c>
      <c r="BE88" s="86">
        <v>0</v>
      </c>
      <c r="BF88" s="86">
        <v>0</v>
      </c>
      <c r="BG88" s="86">
        <v>0</v>
      </c>
      <c r="BH88" s="86">
        <v>0</v>
      </c>
      <c r="BI88" s="86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/>
      <c r="BS88" s="86"/>
      <c r="BT88" s="98">
        <f>SUM(E88:AK88)</f>
        <v>0</v>
      </c>
      <c r="BU88" s="100"/>
    </row>
    <row r="89" spans="1:73" hidden="1" x14ac:dyDescent="0.2">
      <c r="A89" s="123" t="s">
        <v>163</v>
      </c>
      <c r="B89" s="93" t="s">
        <v>190</v>
      </c>
      <c r="C89" s="96"/>
      <c r="D89" s="97" t="s">
        <v>16</v>
      </c>
      <c r="E89" s="85"/>
      <c r="F89" s="85"/>
      <c r="G89" s="85"/>
      <c r="H89" s="85"/>
      <c r="I89" s="85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5">
        <v>0</v>
      </c>
      <c r="T89" s="85">
        <v>0</v>
      </c>
      <c r="U89" s="85">
        <v>0</v>
      </c>
      <c r="V89" s="85">
        <v>0</v>
      </c>
      <c r="W89" s="85">
        <v>0</v>
      </c>
      <c r="X89" s="85">
        <v>0</v>
      </c>
      <c r="Y89" s="85">
        <v>0</v>
      </c>
      <c r="Z89" s="85">
        <v>0</v>
      </c>
      <c r="AA89" s="85">
        <v>0</v>
      </c>
      <c r="AB89" s="85">
        <v>0</v>
      </c>
      <c r="AC89" s="85">
        <v>0</v>
      </c>
      <c r="AD89" s="85">
        <v>0</v>
      </c>
      <c r="AE89" s="85">
        <v>0</v>
      </c>
      <c r="AF89" s="85">
        <v>0</v>
      </c>
      <c r="AG89" s="85">
        <v>0</v>
      </c>
      <c r="AH89" s="85">
        <v>0</v>
      </c>
      <c r="AI89" s="85">
        <v>0</v>
      </c>
      <c r="AJ89" s="85">
        <v>0</v>
      </c>
      <c r="AK89" s="85">
        <v>0</v>
      </c>
      <c r="AL89" s="85">
        <v>0</v>
      </c>
      <c r="AM89" s="86">
        <v>0</v>
      </c>
      <c r="AN89" s="86">
        <v>0</v>
      </c>
      <c r="AO89" s="86">
        <v>0</v>
      </c>
      <c r="AP89" s="86">
        <v>0</v>
      </c>
      <c r="AQ89" s="86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6">
        <v>0</v>
      </c>
      <c r="BC89" s="86">
        <v>0</v>
      </c>
      <c r="BD89" s="86">
        <v>0</v>
      </c>
      <c r="BE89" s="86">
        <v>0</v>
      </c>
      <c r="BF89" s="86">
        <v>0</v>
      </c>
      <c r="BG89" s="86">
        <v>0</v>
      </c>
      <c r="BH89" s="86">
        <v>0</v>
      </c>
      <c r="BI89" s="86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/>
      <c r="BS89" s="86"/>
      <c r="BT89" s="98">
        <f>SUM(E89:AK89)</f>
        <v>0</v>
      </c>
      <c r="BU89" s="100"/>
    </row>
    <row r="90" spans="1:73" hidden="1" x14ac:dyDescent="0.2">
      <c r="A90" s="123" t="s">
        <v>166</v>
      </c>
      <c r="B90" s="93" t="s">
        <v>191</v>
      </c>
      <c r="C90" s="96"/>
      <c r="D90" s="97" t="s">
        <v>16</v>
      </c>
      <c r="E90" s="85"/>
      <c r="F90" s="85"/>
      <c r="G90" s="85"/>
      <c r="H90" s="85"/>
      <c r="I90" s="85">
        <v>0</v>
      </c>
      <c r="J90" s="85">
        <v>0</v>
      </c>
      <c r="K90" s="85">
        <v>0</v>
      </c>
      <c r="L90" s="85">
        <v>0</v>
      </c>
      <c r="M90" s="85">
        <v>0</v>
      </c>
      <c r="N90" s="85">
        <v>0</v>
      </c>
      <c r="O90" s="85">
        <v>0</v>
      </c>
      <c r="P90" s="85">
        <v>0</v>
      </c>
      <c r="Q90" s="85">
        <v>0</v>
      </c>
      <c r="R90" s="85">
        <v>0</v>
      </c>
      <c r="S90" s="85">
        <v>0</v>
      </c>
      <c r="T90" s="85">
        <v>0</v>
      </c>
      <c r="U90" s="85">
        <v>0</v>
      </c>
      <c r="V90" s="85">
        <v>0</v>
      </c>
      <c r="W90" s="85">
        <v>0</v>
      </c>
      <c r="X90" s="85">
        <v>0</v>
      </c>
      <c r="Y90" s="85">
        <v>0</v>
      </c>
      <c r="Z90" s="85">
        <v>0</v>
      </c>
      <c r="AA90" s="85">
        <v>0</v>
      </c>
      <c r="AB90" s="85">
        <v>0</v>
      </c>
      <c r="AC90" s="85">
        <v>0</v>
      </c>
      <c r="AD90" s="85">
        <v>0</v>
      </c>
      <c r="AE90" s="85">
        <v>0</v>
      </c>
      <c r="AF90" s="85">
        <v>0</v>
      </c>
      <c r="AG90" s="85">
        <v>0</v>
      </c>
      <c r="AH90" s="85">
        <v>0</v>
      </c>
      <c r="AI90" s="85">
        <v>0</v>
      </c>
      <c r="AJ90" s="85">
        <v>0</v>
      </c>
      <c r="AK90" s="85">
        <v>0</v>
      </c>
      <c r="AL90" s="85">
        <v>0</v>
      </c>
      <c r="AM90" s="86">
        <v>0</v>
      </c>
      <c r="AN90" s="86">
        <v>0</v>
      </c>
      <c r="AO90" s="86">
        <v>0</v>
      </c>
      <c r="AP90" s="86">
        <v>0</v>
      </c>
      <c r="AQ90" s="86">
        <v>0</v>
      </c>
      <c r="AR90" s="86">
        <v>0</v>
      </c>
      <c r="AS90" s="86">
        <v>0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6">
        <v>0</v>
      </c>
      <c r="BC90" s="86">
        <v>0</v>
      </c>
      <c r="BD90" s="86">
        <v>0</v>
      </c>
      <c r="BE90" s="86">
        <v>0</v>
      </c>
      <c r="BF90" s="86">
        <v>0</v>
      </c>
      <c r="BG90" s="86">
        <v>0</v>
      </c>
      <c r="BH90" s="86">
        <v>0</v>
      </c>
      <c r="BI90" s="86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0</v>
      </c>
      <c r="BP90" s="86">
        <v>0</v>
      </c>
      <c r="BQ90" s="86">
        <v>0</v>
      </c>
      <c r="BR90" s="86"/>
      <c r="BS90" s="86"/>
      <c r="BT90" s="98">
        <f>SUM(E90:AK90)</f>
        <v>0</v>
      </c>
      <c r="BU90" s="100"/>
    </row>
    <row r="91" spans="1:73" hidden="1" x14ac:dyDescent="0.2">
      <c r="A91" s="123" t="s">
        <v>179</v>
      </c>
      <c r="B91" s="93" t="s">
        <v>194</v>
      </c>
      <c r="C91" s="96"/>
      <c r="D91" s="97" t="s">
        <v>16</v>
      </c>
      <c r="E91" s="85"/>
      <c r="F91" s="85"/>
      <c r="G91" s="85"/>
      <c r="H91" s="85"/>
      <c r="I91" s="85">
        <v>0</v>
      </c>
      <c r="J91" s="85">
        <v>0</v>
      </c>
      <c r="K91" s="85">
        <v>0</v>
      </c>
      <c r="L91" s="85">
        <v>0</v>
      </c>
      <c r="M91" s="85">
        <v>0</v>
      </c>
      <c r="N91" s="85">
        <v>0</v>
      </c>
      <c r="O91" s="85">
        <v>0</v>
      </c>
      <c r="P91" s="85">
        <v>0</v>
      </c>
      <c r="Q91" s="85">
        <v>0</v>
      </c>
      <c r="R91" s="85">
        <v>0</v>
      </c>
      <c r="S91" s="85">
        <v>0</v>
      </c>
      <c r="T91" s="85">
        <v>0</v>
      </c>
      <c r="U91" s="85">
        <v>0</v>
      </c>
      <c r="V91" s="85">
        <v>0</v>
      </c>
      <c r="W91" s="85">
        <v>0</v>
      </c>
      <c r="X91" s="85">
        <v>0</v>
      </c>
      <c r="Y91" s="85">
        <v>0</v>
      </c>
      <c r="Z91" s="85">
        <v>0</v>
      </c>
      <c r="AA91" s="85">
        <v>0</v>
      </c>
      <c r="AB91" s="85">
        <v>0</v>
      </c>
      <c r="AC91" s="85">
        <v>0</v>
      </c>
      <c r="AD91" s="85">
        <v>0</v>
      </c>
      <c r="AE91" s="85">
        <v>0</v>
      </c>
      <c r="AF91" s="85">
        <v>0</v>
      </c>
      <c r="AG91" s="85">
        <v>0</v>
      </c>
      <c r="AH91" s="85">
        <v>0</v>
      </c>
      <c r="AI91" s="85">
        <v>0</v>
      </c>
      <c r="AJ91" s="85">
        <v>0</v>
      </c>
      <c r="AK91" s="85">
        <v>0</v>
      </c>
      <c r="AL91" s="85">
        <v>0</v>
      </c>
      <c r="AM91" s="86">
        <v>0</v>
      </c>
      <c r="AN91" s="86">
        <v>0</v>
      </c>
      <c r="AO91" s="86">
        <v>0</v>
      </c>
      <c r="AP91" s="86">
        <v>0</v>
      </c>
      <c r="AQ91" s="86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6">
        <v>0</v>
      </c>
      <c r="BC91" s="86">
        <v>0</v>
      </c>
      <c r="BD91" s="86">
        <v>0</v>
      </c>
      <c r="BE91" s="86">
        <v>0</v>
      </c>
      <c r="BF91" s="86">
        <v>0</v>
      </c>
      <c r="BG91" s="86">
        <v>0</v>
      </c>
      <c r="BH91" s="86">
        <v>0</v>
      </c>
      <c r="BI91" s="86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/>
      <c r="BS91" s="86"/>
      <c r="BT91" s="98">
        <f>SUM(E91:AK91)</f>
        <v>0</v>
      </c>
      <c r="BU91" s="100"/>
    </row>
    <row r="92" spans="1:73" hidden="1" x14ac:dyDescent="0.2">
      <c r="A92" s="126"/>
      <c r="B92" s="93" t="s">
        <v>192</v>
      </c>
      <c r="C92" s="96"/>
      <c r="D92" s="97" t="s">
        <v>16</v>
      </c>
      <c r="E92" s="127">
        <f t="shared" ref="E92:BT92" si="28">SUM(E87:E91)</f>
        <v>0</v>
      </c>
      <c r="F92" s="127">
        <f t="shared" si="28"/>
        <v>0</v>
      </c>
      <c r="G92" s="127">
        <f t="shared" si="28"/>
        <v>0</v>
      </c>
      <c r="H92" s="127">
        <f t="shared" si="28"/>
        <v>0</v>
      </c>
      <c r="I92" s="127">
        <f t="shared" si="28"/>
        <v>0</v>
      </c>
      <c r="J92" s="127">
        <f t="shared" si="28"/>
        <v>0</v>
      </c>
      <c r="K92" s="127">
        <f t="shared" si="28"/>
        <v>0</v>
      </c>
      <c r="L92" s="127">
        <f t="shared" ref="L92:AI92" si="29">SUM(L87:L91)</f>
        <v>0</v>
      </c>
      <c r="M92" s="127">
        <f t="shared" si="29"/>
        <v>0</v>
      </c>
      <c r="N92" s="127">
        <f t="shared" si="29"/>
        <v>0</v>
      </c>
      <c r="O92" s="127">
        <f t="shared" si="29"/>
        <v>0</v>
      </c>
      <c r="P92" s="127">
        <f t="shared" si="29"/>
        <v>0</v>
      </c>
      <c r="Q92" s="127">
        <f t="shared" si="29"/>
        <v>0</v>
      </c>
      <c r="R92" s="127">
        <f t="shared" si="29"/>
        <v>0</v>
      </c>
      <c r="S92" s="127">
        <f t="shared" si="29"/>
        <v>0</v>
      </c>
      <c r="T92" s="127">
        <f t="shared" si="29"/>
        <v>0</v>
      </c>
      <c r="U92" s="127">
        <f t="shared" si="29"/>
        <v>0</v>
      </c>
      <c r="V92" s="127">
        <f t="shared" si="29"/>
        <v>0</v>
      </c>
      <c r="W92" s="127">
        <f t="shared" si="29"/>
        <v>0</v>
      </c>
      <c r="X92" s="127">
        <f t="shared" si="29"/>
        <v>0</v>
      </c>
      <c r="Y92" s="127">
        <f t="shared" si="29"/>
        <v>0</v>
      </c>
      <c r="Z92" s="127">
        <f t="shared" si="29"/>
        <v>0</v>
      </c>
      <c r="AA92" s="127">
        <f t="shared" si="29"/>
        <v>0</v>
      </c>
      <c r="AB92" s="127">
        <f t="shared" si="29"/>
        <v>0</v>
      </c>
      <c r="AC92" s="127">
        <f t="shared" si="29"/>
        <v>0</v>
      </c>
      <c r="AD92" s="127">
        <f t="shared" si="29"/>
        <v>0</v>
      </c>
      <c r="AE92" s="127">
        <f t="shared" si="29"/>
        <v>0</v>
      </c>
      <c r="AF92" s="127">
        <f t="shared" si="29"/>
        <v>0</v>
      </c>
      <c r="AG92" s="127">
        <f t="shared" si="29"/>
        <v>0</v>
      </c>
      <c r="AH92" s="127">
        <f t="shared" si="29"/>
        <v>0</v>
      </c>
      <c r="AI92" s="127">
        <f t="shared" si="29"/>
        <v>0</v>
      </c>
      <c r="AJ92" s="127">
        <f t="shared" ref="AJ92" si="30">SUM(AJ87:AJ91)</f>
        <v>0</v>
      </c>
      <c r="AK92" s="127">
        <f t="shared" si="28"/>
        <v>0</v>
      </c>
      <c r="AL92" s="127">
        <f t="shared" si="28"/>
        <v>0</v>
      </c>
      <c r="AM92" s="127">
        <f t="shared" si="28"/>
        <v>0</v>
      </c>
      <c r="AN92" s="128">
        <v>0</v>
      </c>
      <c r="AO92" s="128">
        <v>0</v>
      </c>
      <c r="AP92" s="128">
        <v>0</v>
      </c>
      <c r="AQ92" s="128">
        <v>0</v>
      </c>
      <c r="AR92" s="128">
        <v>0</v>
      </c>
      <c r="AS92" s="128">
        <v>0</v>
      </c>
      <c r="AT92" s="128">
        <v>0</v>
      </c>
      <c r="AU92" s="128">
        <v>0</v>
      </c>
      <c r="AV92" s="128">
        <v>0</v>
      </c>
      <c r="AW92" s="128">
        <v>0</v>
      </c>
      <c r="AX92" s="128">
        <v>0</v>
      </c>
      <c r="AY92" s="128">
        <v>0</v>
      </c>
      <c r="AZ92" s="128">
        <v>0</v>
      </c>
      <c r="BA92" s="128">
        <v>0</v>
      </c>
      <c r="BB92" s="128">
        <v>0</v>
      </c>
      <c r="BC92" s="128">
        <v>0</v>
      </c>
      <c r="BD92" s="128">
        <v>0</v>
      </c>
      <c r="BE92" s="128">
        <v>0</v>
      </c>
      <c r="BF92" s="128">
        <v>0</v>
      </c>
      <c r="BG92" s="128">
        <v>0</v>
      </c>
      <c r="BH92" s="128">
        <v>0</v>
      </c>
      <c r="BI92" s="128">
        <v>0</v>
      </c>
      <c r="BJ92" s="128">
        <v>0</v>
      </c>
      <c r="BK92" s="128">
        <v>0</v>
      </c>
      <c r="BL92" s="128">
        <v>0</v>
      </c>
      <c r="BM92" s="128">
        <v>0</v>
      </c>
      <c r="BN92" s="128">
        <v>0</v>
      </c>
      <c r="BO92" s="128">
        <v>0</v>
      </c>
      <c r="BP92" s="128">
        <v>0</v>
      </c>
      <c r="BQ92" s="128">
        <v>0</v>
      </c>
      <c r="BR92" s="128"/>
      <c r="BS92" s="128"/>
      <c r="BT92" s="98">
        <f t="shared" si="28"/>
        <v>0</v>
      </c>
    </row>
    <row r="93" spans="1:73" hidden="1" x14ac:dyDescent="0.2">
      <c r="A93" s="126"/>
      <c r="B93" s="93" t="s">
        <v>195</v>
      </c>
      <c r="C93" s="96"/>
      <c r="D93" s="97" t="s">
        <v>16</v>
      </c>
      <c r="E93" s="127">
        <f t="shared" ref="E93:BT93" si="31">E85+E92</f>
        <v>0</v>
      </c>
      <c r="F93" s="127">
        <f t="shared" si="31"/>
        <v>0</v>
      </c>
      <c r="G93" s="127">
        <f t="shared" si="31"/>
        <v>0</v>
      </c>
      <c r="H93" s="127">
        <f t="shared" si="31"/>
        <v>0</v>
      </c>
      <c r="I93" s="127">
        <f t="shared" si="31"/>
        <v>1.6</v>
      </c>
      <c r="J93" s="127">
        <f t="shared" si="31"/>
        <v>3.5</v>
      </c>
      <c r="K93" s="127">
        <f t="shared" si="31"/>
        <v>12</v>
      </c>
      <c r="L93" s="127">
        <f t="shared" ref="L93:AI93" si="32">L85+L92</f>
        <v>26.5</v>
      </c>
      <c r="M93" s="127">
        <f t="shared" si="32"/>
        <v>26.5</v>
      </c>
      <c r="N93" s="127">
        <f t="shared" si="32"/>
        <v>26.5</v>
      </c>
      <c r="O93" s="127">
        <f t="shared" si="32"/>
        <v>26.5</v>
      </c>
      <c r="P93" s="127">
        <f t="shared" si="32"/>
        <v>26.5</v>
      </c>
      <c r="Q93" s="127">
        <f t="shared" si="32"/>
        <v>26.5</v>
      </c>
      <c r="R93" s="127">
        <f t="shared" si="32"/>
        <v>26.5</v>
      </c>
      <c r="S93" s="127">
        <f t="shared" si="32"/>
        <v>26.5</v>
      </c>
      <c r="T93" s="127">
        <f t="shared" si="32"/>
        <v>26.5</v>
      </c>
      <c r="U93" s="127">
        <f t="shared" si="32"/>
        <v>26.5</v>
      </c>
      <c r="V93" s="127">
        <f t="shared" si="32"/>
        <v>26.5</v>
      </c>
      <c r="W93" s="127">
        <f t="shared" si="32"/>
        <v>26.5</v>
      </c>
      <c r="X93" s="127">
        <f t="shared" si="32"/>
        <v>26.5</v>
      </c>
      <c r="Y93" s="127">
        <f t="shared" si="32"/>
        <v>26.5</v>
      </c>
      <c r="Z93" s="127">
        <f t="shared" si="32"/>
        <v>26.5</v>
      </c>
      <c r="AA93" s="127">
        <f t="shared" si="32"/>
        <v>26.5</v>
      </c>
      <c r="AB93" s="127">
        <f t="shared" si="32"/>
        <v>26.5</v>
      </c>
      <c r="AC93" s="127">
        <f t="shared" si="32"/>
        <v>26.5</v>
      </c>
      <c r="AD93" s="127">
        <f t="shared" si="32"/>
        <v>26.5</v>
      </c>
      <c r="AE93" s="127">
        <f t="shared" si="32"/>
        <v>26.5</v>
      </c>
      <c r="AF93" s="127">
        <f t="shared" si="32"/>
        <v>26.5</v>
      </c>
      <c r="AG93" s="127">
        <f t="shared" si="32"/>
        <v>26.5</v>
      </c>
      <c r="AH93" s="127">
        <f t="shared" si="32"/>
        <v>26.5</v>
      </c>
      <c r="AI93" s="127">
        <f t="shared" si="32"/>
        <v>26.5</v>
      </c>
      <c r="AJ93" s="127">
        <f t="shared" ref="AJ93" si="33">AJ85+AJ92</f>
        <v>26.5</v>
      </c>
      <c r="AK93" s="127">
        <f t="shared" si="31"/>
        <v>12</v>
      </c>
      <c r="AL93" s="127">
        <f t="shared" si="31"/>
        <v>17.5</v>
      </c>
      <c r="AM93" s="127">
        <f t="shared" si="31"/>
        <v>26</v>
      </c>
      <c r="AN93" s="127">
        <f t="shared" si="31"/>
        <v>35</v>
      </c>
      <c r="AO93" s="127">
        <f t="shared" si="31"/>
        <v>20.5</v>
      </c>
      <c r="AP93" s="127">
        <f t="shared" si="31"/>
        <v>32.5</v>
      </c>
      <c r="AQ93" s="127">
        <f t="shared" si="31"/>
        <v>47</v>
      </c>
      <c r="AR93" s="127">
        <f t="shared" si="31"/>
        <v>53</v>
      </c>
      <c r="AS93" s="127">
        <f t="shared" si="31"/>
        <v>53</v>
      </c>
      <c r="AT93" s="127">
        <f t="shared" si="31"/>
        <v>53</v>
      </c>
      <c r="AU93" s="127">
        <f t="shared" si="31"/>
        <v>53</v>
      </c>
      <c r="AV93" s="127">
        <f t="shared" si="31"/>
        <v>53</v>
      </c>
      <c r="AW93" s="127">
        <f t="shared" si="31"/>
        <v>53</v>
      </c>
      <c r="AX93" s="127">
        <f t="shared" si="31"/>
        <v>53</v>
      </c>
      <c r="AY93" s="127">
        <f t="shared" si="31"/>
        <v>53</v>
      </c>
      <c r="AZ93" s="127">
        <f t="shared" si="31"/>
        <v>53</v>
      </c>
      <c r="BA93" s="127">
        <f t="shared" si="31"/>
        <v>53</v>
      </c>
      <c r="BB93" s="127">
        <f t="shared" si="31"/>
        <v>53</v>
      </c>
      <c r="BC93" s="127">
        <f t="shared" si="31"/>
        <v>53</v>
      </c>
      <c r="BD93" s="127">
        <f t="shared" si="31"/>
        <v>53</v>
      </c>
      <c r="BE93" s="127">
        <f t="shared" si="31"/>
        <v>53</v>
      </c>
      <c r="BF93" s="127">
        <f t="shared" si="31"/>
        <v>53</v>
      </c>
      <c r="BG93" s="127">
        <f t="shared" si="31"/>
        <v>53</v>
      </c>
      <c r="BH93" s="127">
        <f t="shared" si="31"/>
        <v>53</v>
      </c>
      <c r="BI93" s="127">
        <f t="shared" si="31"/>
        <v>53</v>
      </c>
      <c r="BJ93" s="127">
        <f t="shared" si="31"/>
        <v>53</v>
      </c>
      <c r="BK93" s="127">
        <f t="shared" si="31"/>
        <v>53</v>
      </c>
      <c r="BL93" s="127">
        <f t="shared" si="31"/>
        <v>53</v>
      </c>
      <c r="BM93" s="127">
        <f t="shared" si="31"/>
        <v>53</v>
      </c>
      <c r="BN93" s="127">
        <f t="shared" si="31"/>
        <v>53</v>
      </c>
      <c r="BO93" s="127">
        <f t="shared" si="31"/>
        <v>53</v>
      </c>
      <c r="BP93" s="127">
        <f t="shared" si="31"/>
        <v>53</v>
      </c>
      <c r="BQ93" s="127">
        <f t="shared" si="31"/>
        <v>53</v>
      </c>
      <c r="BR93" s="128"/>
      <c r="BS93" s="128"/>
      <c r="BT93" s="98">
        <f t="shared" si="31"/>
        <v>2248.1</v>
      </c>
    </row>
    <row r="94" spans="1:73" ht="21" hidden="1" thickBot="1" x14ac:dyDescent="0.25">
      <c r="A94" s="130"/>
      <c r="B94" s="131" t="s">
        <v>11</v>
      </c>
      <c r="C94" s="132"/>
      <c r="D94" s="133" t="s">
        <v>196</v>
      </c>
      <c r="E94" s="134">
        <f>E98</f>
        <v>0</v>
      </c>
      <c r="F94" s="134">
        <f t="shared" ref="F94:BQ94" si="34">F98</f>
        <v>0</v>
      </c>
      <c r="G94" s="134">
        <v>12.5</v>
      </c>
      <c r="H94" s="134">
        <f t="shared" si="34"/>
        <v>0</v>
      </c>
      <c r="I94" s="134">
        <f t="shared" si="34"/>
        <v>26</v>
      </c>
      <c r="J94" s="134">
        <f t="shared" si="34"/>
        <v>17</v>
      </c>
      <c r="K94" s="134">
        <f t="shared" si="34"/>
        <v>17</v>
      </c>
      <c r="L94" s="134">
        <f t="shared" ref="L94:AI94" si="35">L98</f>
        <v>17</v>
      </c>
      <c r="M94" s="134">
        <f t="shared" si="35"/>
        <v>17</v>
      </c>
      <c r="N94" s="134">
        <f t="shared" si="35"/>
        <v>17</v>
      </c>
      <c r="O94" s="134">
        <f t="shared" si="35"/>
        <v>17</v>
      </c>
      <c r="P94" s="134">
        <f t="shared" si="35"/>
        <v>17</v>
      </c>
      <c r="Q94" s="134">
        <f t="shared" si="35"/>
        <v>17</v>
      </c>
      <c r="R94" s="134">
        <f t="shared" si="35"/>
        <v>17</v>
      </c>
      <c r="S94" s="134">
        <f t="shared" si="35"/>
        <v>17</v>
      </c>
      <c r="T94" s="134">
        <f t="shared" si="35"/>
        <v>17</v>
      </c>
      <c r="U94" s="134">
        <f t="shared" si="35"/>
        <v>17</v>
      </c>
      <c r="V94" s="134">
        <f t="shared" si="35"/>
        <v>17</v>
      </c>
      <c r="W94" s="134">
        <f t="shared" si="35"/>
        <v>17</v>
      </c>
      <c r="X94" s="134">
        <f t="shared" si="35"/>
        <v>17</v>
      </c>
      <c r="Y94" s="134">
        <f t="shared" si="35"/>
        <v>17</v>
      </c>
      <c r="Z94" s="134">
        <f t="shared" si="35"/>
        <v>17</v>
      </c>
      <c r="AA94" s="134">
        <f t="shared" si="35"/>
        <v>17</v>
      </c>
      <c r="AB94" s="134">
        <f t="shared" si="35"/>
        <v>17</v>
      </c>
      <c r="AC94" s="134">
        <f t="shared" si="35"/>
        <v>17</v>
      </c>
      <c r="AD94" s="134">
        <f t="shared" si="35"/>
        <v>17</v>
      </c>
      <c r="AE94" s="134">
        <f t="shared" si="35"/>
        <v>17</v>
      </c>
      <c r="AF94" s="134">
        <f t="shared" si="35"/>
        <v>17</v>
      </c>
      <c r="AG94" s="134">
        <f t="shared" si="35"/>
        <v>17</v>
      </c>
      <c r="AH94" s="134">
        <f t="shared" si="35"/>
        <v>17</v>
      </c>
      <c r="AI94" s="134">
        <f t="shared" si="35"/>
        <v>17</v>
      </c>
      <c r="AJ94" s="134">
        <f t="shared" ref="AJ94" si="36">AJ98</f>
        <v>17</v>
      </c>
      <c r="AK94" s="134">
        <f t="shared" si="34"/>
        <v>17</v>
      </c>
      <c r="AL94" s="134">
        <f t="shared" si="34"/>
        <v>15</v>
      </c>
      <c r="AM94" s="134">
        <f t="shared" si="34"/>
        <v>15</v>
      </c>
      <c r="AN94" s="134">
        <f t="shared" si="34"/>
        <v>15</v>
      </c>
      <c r="AO94" s="134">
        <f t="shared" si="34"/>
        <v>13.2</v>
      </c>
      <c r="AP94" s="134" t="e">
        <f t="shared" si="34"/>
        <v>#REF!</v>
      </c>
      <c r="AQ94" s="134" t="e">
        <f t="shared" si="34"/>
        <v>#REF!</v>
      </c>
      <c r="AR94" s="134" t="e">
        <f t="shared" si="34"/>
        <v>#REF!</v>
      </c>
      <c r="AS94" s="134" t="e">
        <f t="shared" si="34"/>
        <v>#REF!</v>
      </c>
      <c r="AT94" s="134" t="e">
        <f t="shared" si="34"/>
        <v>#REF!</v>
      </c>
      <c r="AU94" s="134" t="e">
        <f t="shared" si="34"/>
        <v>#REF!</v>
      </c>
      <c r="AV94" s="134" t="e">
        <f t="shared" si="34"/>
        <v>#REF!</v>
      </c>
      <c r="AW94" s="134" t="e">
        <f t="shared" si="34"/>
        <v>#REF!</v>
      </c>
      <c r="AX94" s="134" t="e">
        <f t="shared" si="34"/>
        <v>#REF!</v>
      </c>
      <c r="AY94" s="134" t="e">
        <f t="shared" si="34"/>
        <v>#REF!</v>
      </c>
      <c r="AZ94" s="134" t="e">
        <f t="shared" si="34"/>
        <v>#REF!</v>
      </c>
      <c r="BA94" s="134" t="e">
        <f t="shared" si="34"/>
        <v>#REF!</v>
      </c>
      <c r="BB94" s="134" t="e">
        <f t="shared" si="34"/>
        <v>#REF!</v>
      </c>
      <c r="BC94" s="134" t="e">
        <f t="shared" si="34"/>
        <v>#REF!</v>
      </c>
      <c r="BD94" s="134" t="e">
        <f t="shared" si="34"/>
        <v>#REF!</v>
      </c>
      <c r="BE94" s="134" t="e">
        <f t="shared" si="34"/>
        <v>#REF!</v>
      </c>
      <c r="BF94" s="134" t="e">
        <f t="shared" si="34"/>
        <v>#REF!</v>
      </c>
      <c r="BG94" s="134" t="e">
        <f t="shared" si="34"/>
        <v>#REF!</v>
      </c>
      <c r="BH94" s="134" t="e">
        <f t="shared" si="34"/>
        <v>#REF!</v>
      </c>
      <c r="BI94" s="134" t="e">
        <f t="shared" si="34"/>
        <v>#REF!</v>
      </c>
      <c r="BJ94" s="134" t="e">
        <f t="shared" si="34"/>
        <v>#REF!</v>
      </c>
      <c r="BK94" s="134" t="e">
        <f t="shared" si="34"/>
        <v>#REF!</v>
      </c>
      <c r="BL94" s="134" t="e">
        <f t="shared" si="34"/>
        <v>#REF!</v>
      </c>
      <c r="BM94" s="134" t="e">
        <f t="shared" si="34"/>
        <v>#REF!</v>
      </c>
      <c r="BN94" s="134" t="e">
        <f t="shared" si="34"/>
        <v>#REF!</v>
      </c>
      <c r="BO94" s="134" t="e">
        <f t="shared" si="34"/>
        <v>#REF!</v>
      </c>
      <c r="BP94" s="134" t="e">
        <f t="shared" si="34"/>
        <v>#REF!</v>
      </c>
      <c r="BQ94" s="134" t="e">
        <f t="shared" si="34"/>
        <v>#REF!</v>
      </c>
      <c r="BR94" s="135"/>
      <c r="BS94" s="135"/>
      <c r="BT94" s="136">
        <f>+BT98</f>
        <v>16.975757575757576</v>
      </c>
    </row>
    <row r="95" spans="1:73" ht="21" hidden="1" thickBot="1" x14ac:dyDescent="0.25">
      <c r="A95" s="137"/>
      <c r="B95" s="138"/>
      <c r="C95" s="139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  <c r="AP95" s="135"/>
      <c r="AQ95" s="138"/>
      <c r="AR95" s="138"/>
      <c r="AS95" s="138"/>
      <c r="AT95" s="138"/>
      <c r="AU95" s="138"/>
      <c r="AV95" s="138"/>
      <c r="AW95" s="138"/>
      <c r="AX95" s="138"/>
      <c r="AY95" s="138"/>
      <c r="AZ95" s="138"/>
      <c r="BA95" s="138"/>
      <c r="BB95" s="138"/>
      <c r="BC95" s="138"/>
      <c r="BD95" s="138"/>
      <c r="BE95" s="138"/>
      <c r="BF95" s="138"/>
      <c r="BG95" s="138"/>
      <c r="BH95" s="138"/>
      <c r="BI95" s="138"/>
      <c r="BJ95" s="138"/>
      <c r="BK95" s="138"/>
      <c r="BL95" s="138"/>
      <c r="BM95" s="138"/>
      <c r="BN95" s="138"/>
      <c r="BO95" s="138"/>
      <c r="BP95" s="138"/>
      <c r="BQ95" s="138"/>
      <c r="BR95" s="138"/>
      <c r="BS95" s="138"/>
      <c r="BT95" s="140"/>
    </row>
    <row r="96" spans="1:73" hidden="1" x14ac:dyDescent="0.2">
      <c r="A96" s="141" t="s">
        <v>197</v>
      </c>
      <c r="B96" s="142" t="s">
        <v>198</v>
      </c>
      <c r="C96" s="142"/>
      <c r="D96" s="143"/>
      <c r="E96" s="143"/>
      <c r="F96" s="144" t="s">
        <v>199</v>
      </c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5"/>
      <c r="AN96" s="145"/>
      <c r="AO96" s="145"/>
      <c r="AP96" s="145"/>
      <c r="AQ96" s="145"/>
      <c r="AR96" s="146"/>
      <c r="AS96" s="146"/>
      <c r="AT96" s="146"/>
      <c r="AU96" s="146"/>
      <c r="AV96" s="146"/>
      <c r="AW96" s="146"/>
      <c r="AX96" s="146"/>
      <c r="AY96" s="146"/>
      <c r="AZ96" s="146"/>
      <c r="BA96" s="146"/>
      <c r="BB96" s="146"/>
      <c r="BC96" s="146"/>
      <c r="BD96" s="146"/>
      <c r="BE96" s="146"/>
      <c r="BF96" s="146"/>
      <c r="BG96" s="146"/>
      <c r="BH96" s="146"/>
      <c r="BI96" s="146"/>
      <c r="BJ96" s="146"/>
      <c r="BK96" s="146"/>
      <c r="BL96" s="146"/>
      <c r="BM96" s="146"/>
      <c r="BN96" s="146"/>
      <c r="BO96" s="146"/>
      <c r="BP96" s="146"/>
      <c r="BQ96" s="146"/>
      <c r="BR96" s="147"/>
      <c r="BS96" s="147"/>
      <c r="BT96" s="138"/>
    </row>
    <row r="97" spans="1:72" hidden="1" x14ac:dyDescent="0.2">
      <c r="A97" s="94"/>
      <c r="B97" s="115"/>
      <c r="C97" s="148"/>
      <c r="D97" s="97" t="s">
        <v>101</v>
      </c>
      <c r="E97" s="97">
        <v>1</v>
      </c>
      <c r="F97" s="97">
        <v>2</v>
      </c>
      <c r="G97" s="97">
        <v>3</v>
      </c>
      <c r="H97" s="97">
        <v>4</v>
      </c>
      <c r="I97" s="97">
        <v>5</v>
      </c>
      <c r="J97" s="97">
        <v>6</v>
      </c>
      <c r="K97" s="97">
        <v>7</v>
      </c>
      <c r="L97" s="97">
        <v>8</v>
      </c>
      <c r="M97" s="97">
        <v>8</v>
      </c>
      <c r="N97" s="97">
        <v>8</v>
      </c>
      <c r="O97" s="97">
        <v>8</v>
      </c>
      <c r="P97" s="97">
        <v>8</v>
      </c>
      <c r="Q97" s="97">
        <v>8</v>
      </c>
      <c r="R97" s="97">
        <v>8</v>
      </c>
      <c r="S97" s="97">
        <v>8</v>
      </c>
      <c r="T97" s="97">
        <v>8</v>
      </c>
      <c r="U97" s="97">
        <v>8</v>
      </c>
      <c r="V97" s="97">
        <v>8</v>
      </c>
      <c r="W97" s="97">
        <v>8</v>
      </c>
      <c r="X97" s="97">
        <v>8</v>
      </c>
      <c r="Y97" s="97">
        <v>8</v>
      </c>
      <c r="Z97" s="97">
        <v>8</v>
      </c>
      <c r="AA97" s="97">
        <v>8</v>
      </c>
      <c r="AB97" s="97">
        <v>8</v>
      </c>
      <c r="AC97" s="97">
        <v>8</v>
      </c>
      <c r="AD97" s="97">
        <v>8</v>
      </c>
      <c r="AE97" s="97">
        <v>8</v>
      </c>
      <c r="AF97" s="97">
        <v>8</v>
      </c>
      <c r="AG97" s="97">
        <v>8</v>
      </c>
      <c r="AH97" s="97">
        <v>8</v>
      </c>
      <c r="AI97" s="97">
        <v>8</v>
      </c>
      <c r="AJ97" s="97">
        <v>8</v>
      </c>
      <c r="AK97" s="97">
        <v>9</v>
      </c>
      <c r="AL97" s="97">
        <v>10</v>
      </c>
      <c r="AM97" s="149">
        <v>11</v>
      </c>
      <c r="AN97" s="149">
        <v>12</v>
      </c>
      <c r="AO97" s="149">
        <v>13</v>
      </c>
      <c r="AP97" s="149">
        <v>14</v>
      </c>
      <c r="AQ97" s="149">
        <v>15</v>
      </c>
      <c r="AR97" s="149">
        <v>16</v>
      </c>
      <c r="AS97" s="149">
        <v>16</v>
      </c>
      <c r="AT97" s="149">
        <v>16</v>
      </c>
      <c r="AU97" s="149">
        <v>16</v>
      </c>
      <c r="AV97" s="149">
        <v>16</v>
      </c>
      <c r="AW97" s="149">
        <v>16</v>
      </c>
      <c r="AX97" s="149">
        <v>16</v>
      </c>
      <c r="AY97" s="149">
        <v>16</v>
      </c>
      <c r="AZ97" s="149">
        <v>16</v>
      </c>
      <c r="BA97" s="149">
        <v>16</v>
      </c>
      <c r="BB97" s="149">
        <v>16</v>
      </c>
      <c r="BC97" s="149">
        <v>16</v>
      </c>
      <c r="BD97" s="149">
        <v>16</v>
      </c>
      <c r="BE97" s="149">
        <v>16</v>
      </c>
      <c r="BF97" s="149">
        <v>16</v>
      </c>
      <c r="BG97" s="149">
        <v>16</v>
      </c>
      <c r="BH97" s="149">
        <v>16</v>
      </c>
      <c r="BI97" s="149">
        <v>16</v>
      </c>
      <c r="BJ97" s="149">
        <v>16</v>
      </c>
      <c r="BK97" s="149">
        <v>16</v>
      </c>
      <c r="BL97" s="149">
        <v>16</v>
      </c>
      <c r="BM97" s="149">
        <v>16</v>
      </c>
      <c r="BN97" s="149">
        <v>16</v>
      </c>
      <c r="BO97" s="149">
        <v>16</v>
      </c>
      <c r="BP97" s="149">
        <v>16</v>
      </c>
      <c r="BQ97" s="149">
        <v>16</v>
      </c>
      <c r="BR97" s="149"/>
      <c r="BS97" s="149"/>
      <c r="BT97" s="150" t="s">
        <v>192</v>
      </c>
    </row>
    <row r="98" spans="1:72" hidden="1" x14ac:dyDescent="0.2">
      <c r="A98" s="123" t="s">
        <v>157</v>
      </c>
      <c r="B98" s="115" t="s">
        <v>200</v>
      </c>
      <c r="C98" s="148"/>
      <c r="D98" s="151" t="s">
        <v>196</v>
      </c>
      <c r="E98" s="104"/>
      <c r="F98" s="104"/>
      <c r="G98" s="104"/>
      <c r="H98" s="104"/>
      <c r="I98" s="104">
        <v>26</v>
      </c>
      <c r="J98" s="104">
        <v>17</v>
      </c>
      <c r="K98" s="104">
        <v>17</v>
      </c>
      <c r="L98" s="104">
        <v>17</v>
      </c>
      <c r="M98" s="104">
        <v>17</v>
      </c>
      <c r="N98" s="104">
        <v>17</v>
      </c>
      <c r="O98" s="104">
        <v>17</v>
      </c>
      <c r="P98" s="104">
        <v>17</v>
      </c>
      <c r="Q98" s="104">
        <v>17</v>
      </c>
      <c r="R98" s="104">
        <v>17</v>
      </c>
      <c r="S98" s="104">
        <v>17</v>
      </c>
      <c r="T98" s="104">
        <v>17</v>
      </c>
      <c r="U98" s="104">
        <v>17</v>
      </c>
      <c r="V98" s="104">
        <v>17</v>
      </c>
      <c r="W98" s="104">
        <v>17</v>
      </c>
      <c r="X98" s="104">
        <v>17</v>
      </c>
      <c r="Y98" s="104">
        <v>17</v>
      </c>
      <c r="Z98" s="104">
        <v>17</v>
      </c>
      <c r="AA98" s="104">
        <v>17</v>
      </c>
      <c r="AB98" s="104">
        <v>17</v>
      </c>
      <c r="AC98" s="104">
        <v>17</v>
      </c>
      <c r="AD98" s="104">
        <v>17</v>
      </c>
      <c r="AE98" s="104">
        <v>17</v>
      </c>
      <c r="AF98" s="104">
        <v>17</v>
      </c>
      <c r="AG98" s="104">
        <v>17</v>
      </c>
      <c r="AH98" s="104">
        <v>17</v>
      </c>
      <c r="AI98" s="104">
        <v>17</v>
      </c>
      <c r="AJ98" s="104">
        <v>17</v>
      </c>
      <c r="AK98" s="104">
        <v>17</v>
      </c>
      <c r="AL98" s="104">
        <v>15</v>
      </c>
      <c r="AM98" s="105">
        <v>15</v>
      </c>
      <c r="AN98" s="105">
        <v>15</v>
      </c>
      <c r="AO98" s="105">
        <v>13.2</v>
      </c>
      <c r="AP98" s="105" t="e">
        <f>#REF!</f>
        <v>#REF!</v>
      </c>
      <c r="AQ98" s="105" t="e">
        <f>#REF!</f>
        <v>#REF!</v>
      </c>
      <c r="AR98" s="105" t="e">
        <f>#REF!</f>
        <v>#REF!</v>
      </c>
      <c r="AS98" s="105" t="e">
        <f>#REF!</f>
        <v>#REF!</v>
      </c>
      <c r="AT98" s="105" t="e">
        <f>#REF!</f>
        <v>#REF!</v>
      </c>
      <c r="AU98" s="105" t="e">
        <f>#REF!</f>
        <v>#REF!</v>
      </c>
      <c r="AV98" s="105" t="e">
        <f>#REF!</f>
        <v>#REF!</v>
      </c>
      <c r="AW98" s="105" t="e">
        <f>#REF!</f>
        <v>#REF!</v>
      </c>
      <c r="AX98" s="105" t="e">
        <f>#REF!</f>
        <v>#REF!</v>
      </c>
      <c r="AY98" s="105" t="e">
        <f>#REF!</f>
        <v>#REF!</v>
      </c>
      <c r="AZ98" s="105" t="e">
        <f>#REF!</f>
        <v>#REF!</v>
      </c>
      <c r="BA98" s="105" t="e">
        <f>#REF!</f>
        <v>#REF!</v>
      </c>
      <c r="BB98" s="105" t="e">
        <f>#REF!</f>
        <v>#REF!</v>
      </c>
      <c r="BC98" s="105" t="e">
        <f>#REF!</f>
        <v>#REF!</v>
      </c>
      <c r="BD98" s="105" t="e">
        <f>#REF!</f>
        <v>#REF!</v>
      </c>
      <c r="BE98" s="105" t="e">
        <f>#REF!</f>
        <v>#REF!</v>
      </c>
      <c r="BF98" s="105" t="e">
        <f>#REF!</f>
        <v>#REF!</v>
      </c>
      <c r="BG98" s="105" t="e">
        <f>#REF!</f>
        <v>#REF!</v>
      </c>
      <c r="BH98" s="105" t="e">
        <f>#REF!</f>
        <v>#REF!</v>
      </c>
      <c r="BI98" s="105" t="e">
        <f>#REF!</f>
        <v>#REF!</v>
      </c>
      <c r="BJ98" s="105" t="e">
        <f>#REF!</f>
        <v>#REF!</v>
      </c>
      <c r="BK98" s="105" t="e">
        <f>#REF!</f>
        <v>#REF!</v>
      </c>
      <c r="BL98" s="105" t="e">
        <f>#REF!</f>
        <v>#REF!</v>
      </c>
      <c r="BM98" s="105" t="e">
        <f>#REF!</f>
        <v>#REF!</v>
      </c>
      <c r="BN98" s="105" t="e">
        <f>#REF!</f>
        <v>#REF!</v>
      </c>
      <c r="BO98" s="105" t="e">
        <f>#REF!</f>
        <v>#REF!</v>
      </c>
      <c r="BP98" s="105" t="e">
        <f>#REF!</f>
        <v>#REF!</v>
      </c>
      <c r="BQ98" s="105" t="e">
        <f>#REF!</f>
        <v>#REF!</v>
      </c>
      <c r="BR98" s="105"/>
      <c r="BS98" s="105"/>
      <c r="BT98" s="152">
        <f>AVERAGE(E98:AO98)</f>
        <v>16.975757575757576</v>
      </c>
    </row>
    <row r="99" spans="1:72" hidden="1" x14ac:dyDescent="0.2">
      <c r="A99" s="123" t="s">
        <v>160</v>
      </c>
      <c r="B99" s="115" t="s">
        <v>201</v>
      </c>
      <c r="C99" s="148"/>
      <c r="D99" s="151" t="s">
        <v>14</v>
      </c>
      <c r="E99" s="104"/>
      <c r="F99" s="104"/>
      <c r="G99" s="104"/>
      <c r="H99" s="104"/>
      <c r="I99" s="104">
        <v>2.85</v>
      </c>
      <c r="J99" s="104">
        <v>2.85</v>
      </c>
      <c r="K99" s="104">
        <v>2.85</v>
      </c>
      <c r="L99" s="104">
        <v>2.85</v>
      </c>
      <c r="M99" s="104">
        <v>2.85</v>
      </c>
      <c r="N99" s="104">
        <v>2.85</v>
      </c>
      <c r="O99" s="104">
        <v>2.85</v>
      </c>
      <c r="P99" s="104">
        <v>2.85</v>
      </c>
      <c r="Q99" s="104">
        <v>2.85</v>
      </c>
      <c r="R99" s="104">
        <v>2.85</v>
      </c>
      <c r="S99" s="104">
        <v>2.85</v>
      </c>
      <c r="T99" s="104">
        <v>2.85</v>
      </c>
      <c r="U99" s="104">
        <v>2.85</v>
      </c>
      <c r="V99" s="104">
        <v>2.85</v>
      </c>
      <c r="W99" s="104">
        <v>2.85</v>
      </c>
      <c r="X99" s="104">
        <v>2.85</v>
      </c>
      <c r="Y99" s="104">
        <v>2.85</v>
      </c>
      <c r="Z99" s="104">
        <v>2.85</v>
      </c>
      <c r="AA99" s="104">
        <v>2.85</v>
      </c>
      <c r="AB99" s="104">
        <v>2.85</v>
      </c>
      <c r="AC99" s="104">
        <v>2.85</v>
      </c>
      <c r="AD99" s="104">
        <v>2.85</v>
      </c>
      <c r="AE99" s="104">
        <v>2.85</v>
      </c>
      <c r="AF99" s="104">
        <v>2.85</v>
      </c>
      <c r="AG99" s="104">
        <v>2.85</v>
      </c>
      <c r="AH99" s="104">
        <v>2.85</v>
      </c>
      <c r="AI99" s="104">
        <v>2.85</v>
      </c>
      <c r="AJ99" s="104">
        <v>2.85</v>
      </c>
      <c r="AK99" s="104">
        <v>2.85</v>
      </c>
      <c r="AL99" s="104">
        <v>2.85</v>
      </c>
      <c r="AM99" s="105">
        <v>2.85</v>
      </c>
      <c r="AN99" s="105">
        <v>2.85</v>
      </c>
      <c r="AO99" s="105">
        <v>2.85</v>
      </c>
      <c r="AP99" s="105">
        <v>2.85</v>
      </c>
      <c r="AQ99" s="105">
        <v>2.85</v>
      </c>
      <c r="AR99" s="105">
        <v>2.85</v>
      </c>
      <c r="AS99" s="105">
        <v>2.85</v>
      </c>
      <c r="AT99" s="105">
        <v>2.85</v>
      </c>
      <c r="AU99" s="105">
        <v>2.85</v>
      </c>
      <c r="AV99" s="105">
        <v>2.85</v>
      </c>
      <c r="AW99" s="105">
        <v>2.85</v>
      </c>
      <c r="AX99" s="105">
        <v>2.85</v>
      </c>
      <c r="AY99" s="105">
        <v>2.85</v>
      </c>
      <c r="AZ99" s="105">
        <v>2.85</v>
      </c>
      <c r="BA99" s="105">
        <v>2.85</v>
      </c>
      <c r="BB99" s="105">
        <v>2.85</v>
      </c>
      <c r="BC99" s="105">
        <v>2.85</v>
      </c>
      <c r="BD99" s="105">
        <v>2.85</v>
      </c>
      <c r="BE99" s="105">
        <v>2.85</v>
      </c>
      <c r="BF99" s="105">
        <v>2.85</v>
      </c>
      <c r="BG99" s="105">
        <v>2.85</v>
      </c>
      <c r="BH99" s="105">
        <v>2.85</v>
      </c>
      <c r="BI99" s="105">
        <v>2.85</v>
      </c>
      <c r="BJ99" s="105">
        <v>2.85</v>
      </c>
      <c r="BK99" s="105">
        <v>2.85</v>
      </c>
      <c r="BL99" s="105">
        <v>2.85</v>
      </c>
      <c r="BM99" s="105">
        <v>2.85</v>
      </c>
      <c r="BN99" s="105">
        <v>2.85</v>
      </c>
      <c r="BO99" s="105">
        <v>2.85</v>
      </c>
      <c r="BP99" s="105">
        <v>2.85</v>
      </c>
      <c r="BQ99" s="105">
        <v>2.85</v>
      </c>
      <c r="BR99" s="105"/>
      <c r="BS99" s="105"/>
      <c r="BT99" s="152">
        <f>AVERAGE(E99:AK99)</f>
        <v>2.8499999999999996</v>
      </c>
    </row>
    <row r="100" spans="1:72" hidden="1" x14ac:dyDescent="0.2">
      <c r="A100" s="123" t="s">
        <v>163</v>
      </c>
      <c r="B100" s="115" t="s">
        <v>202</v>
      </c>
      <c r="C100" s="148"/>
      <c r="D100" s="151" t="s">
        <v>203</v>
      </c>
      <c r="E100" s="85"/>
      <c r="F100" s="85"/>
      <c r="G100" s="85"/>
      <c r="H100" s="85"/>
      <c r="I100" s="85" t="e">
        <f>#REF!</f>
        <v>#REF!</v>
      </c>
      <c r="J100" s="85" t="e">
        <f>#REF!</f>
        <v>#REF!</v>
      </c>
      <c r="K100" s="85" t="e">
        <f>#REF!</f>
        <v>#REF!</v>
      </c>
      <c r="L100" s="85" t="e">
        <f>#REF!</f>
        <v>#REF!</v>
      </c>
      <c r="M100" s="85" t="e">
        <f>#REF!</f>
        <v>#REF!</v>
      </c>
      <c r="N100" s="85" t="e">
        <f>#REF!</f>
        <v>#REF!</v>
      </c>
      <c r="O100" s="85" t="e">
        <f>#REF!</f>
        <v>#REF!</v>
      </c>
      <c r="P100" s="85" t="e">
        <f>#REF!</f>
        <v>#REF!</v>
      </c>
      <c r="Q100" s="85" t="e">
        <f>#REF!</f>
        <v>#REF!</v>
      </c>
      <c r="R100" s="85" t="e">
        <f>#REF!</f>
        <v>#REF!</v>
      </c>
      <c r="S100" s="85" t="e">
        <f>#REF!</f>
        <v>#REF!</v>
      </c>
      <c r="T100" s="85" t="e">
        <f>#REF!</f>
        <v>#REF!</v>
      </c>
      <c r="U100" s="85" t="e">
        <f>#REF!</f>
        <v>#REF!</v>
      </c>
      <c r="V100" s="85" t="e">
        <f>#REF!</f>
        <v>#REF!</v>
      </c>
      <c r="W100" s="85" t="e">
        <f>#REF!</f>
        <v>#REF!</v>
      </c>
      <c r="X100" s="85" t="e">
        <f>#REF!</f>
        <v>#REF!</v>
      </c>
      <c r="Y100" s="85" t="e">
        <f>#REF!</f>
        <v>#REF!</v>
      </c>
      <c r="Z100" s="85" t="e">
        <f>#REF!</f>
        <v>#REF!</v>
      </c>
      <c r="AA100" s="85" t="e">
        <f>#REF!</f>
        <v>#REF!</v>
      </c>
      <c r="AB100" s="85" t="e">
        <f>#REF!</f>
        <v>#REF!</v>
      </c>
      <c r="AC100" s="85" t="e">
        <f>#REF!</f>
        <v>#REF!</v>
      </c>
      <c r="AD100" s="85" t="e">
        <f>#REF!</f>
        <v>#REF!</v>
      </c>
      <c r="AE100" s="85" t="e">
        <f>#REF!</f>
        <v>#REF!</v>
      </c>
      <c r="AF100" s="85" t="e">
        <f>#REF!</f>
        <v>#REF!</v>
      </c>
      <c r="AG100" s="85" t="e">
        <f>#REF!</f>
        <v>#REF!</v>
      </c>
      <c r="AH100" s="85" t="e">
        <f>#REF!</f>
        <v>#REF!</v>
      </c>
      <c r="AI100" s="85" t="e">
        <f>#REF!</f>
        <v>#REF!</v>
      </c>
      <c r="AJ100" s="85" t="e">
        <f>#REF!</f>
        <v>#REF!</v>
      </c>
      <c r="AK100" s="85" t="e">
        <f>#REF!</f>
        <v>#REF!</v>
      </c>
      <c r="AL100" s="85" t="e">
        <f>#REF!</f>
        <v>#REF!</v>
      </c>
      <c r="AM100" s="85" t="e">
        <f>#REF!</f>
        <v>#REF!</v>
      </c>
      <c r="AN100" s="86" t="e">
        <f>#REF!</f>
        <v>#REF!</v>
      </c>
      <c r="AO100" s="86" t="e">
        <f>#REF!</f>
        <v>#REF!</v>
      </c>
      <c r="AP100" s="86" t="e">
        <f>#REF!</f>
        <v>#REF!</v>
      </c>
      <c r="AQ100" s="86" t="e">
        <f>#REF!</f>
        <v>#REF!</v>
      </c>
      <c r="AR100" s="86" t="e">
        <f>#REF!</f>
        <v>#REF!</v>
      </c>
      <c r="AS100" s="86" t="e">
        <f>#REF!</f>
        <v>#REF!</v>
      </c>
      <c r="AT100" s="86" t="e">
        <f>#REF!</f>
        <v>#REF!</v>
      </c>
      <c r="AU100" s="86" t="e">
        <f>#REF!</f>
        <v>#REF!</v>
      </c>
      <c r="AV100" s="86" t="e">
        <f>#REF!</f>
        <v>#REF!</v>
      </c>
      <c r="AW100" s="86" t="e">
        <f>#REF!</f>
        <v>#REF!</v>
      </c>
      <c r="AX100" s="86" t="e">
        <f>#REF!</f>
        <v>#REF!</v>
      </c>
      <c r="AY100" s="86" t="e">
        <f>#REF!</f>
        <v>#REF!</v>
      </c>
      <c r="AZ100" s="86" t="e">
        <f>#REF!</f>
        <v>#REF!</v>
      </c>
      <c r="BA100" s="86" t="e">
        <f>#REF!</f>
        <v>#REF!</v>
      </c>
      <c r="BB100" s="86" t="e">
        <f>#REF!</f>
        <v>#REF!</v>
      </c>
      <c r="BC100" s="86" t="e">
        <f>#REF!</f>
        <v>#REF!</v>
      </c>
      <c r="BD100" s="86" t="e">
        <f>#REF!</f>
        <v>#REF!</v>
      </c>
      <c r="BE100" s="86" t="e">
        <f>#REF!</f>
        <v>#REF!</v>
      </c>
      <c r="BF100" s="86" t="e">
        <f>#REF!</f>
        <v>#REF!</v>
      </c>
      <c r="BG100" s="86" t="e">
        <f>#REF!</f>
        <v>#REF!</v>
      </c>
      <c r="BH100" s="86" t="e">
        <f>#REF!</f>
        <v>#REF!</v>
      </c>
      <c r="BI100" s="86" t="e">
        <f>#REF!</f>
        <v>#REF!</v>
      </c>
      <c r="BJ100" s="86" t="e">
        <f>#REF!</f>
        <v>#REF!</v>
      </c>
      <c r="BK100" s="86" t="e">
        <f>#REF!</f>
        <v>#REF!</v>
      </c>
      <c r="BL100" s="86" t="e">
        <f>#REF!</f>
        <v>#REF!</v>
      </c>
      <c r="BM100" s="86" t="e">
        <f>#REF!</f>
        <v>#REF!</v>
      </c>
      <c r="BN100" s="86" t="e">
        <f>#REF!</f>
        <v>#REF!</v>
      </c>
      <c r="BO100" s="86" t="e">
        <f>#REF!</f>
        <v>#REF!</v>
      </c>
      <c r="BP100" s="86" t="e">
        <f>#REF!</f>
        <v>#REF!</v>
      </c>
      <c r="BQ100" s="86" t="e">
        <f>#REF!</f>
        <v>#REF!</v>
      </c>
      <c r="BR100" s="86"/>
      <c r="BS100" s="86"/>
      <c r="BT100" s="152" t="e">
        <f>AVERAGE(E100:AO100)</f>
        <v>#REF!</v>
      </c>
    </row>
    <row r="101" spans="1:72" hidden="1" x14ac:dyDescent="0.2">
      <c r="A101" s="123" t="s">
        <v>166</v>
      </c>
      <c r="B101" s="115" t="s">
        <v>204</v>
      </c>
      <c r="C101" s="148"/>
      <c r="D101" s="151" t="s">
        <v>16</v>
      </c>
      <c r="E101" s="104"/>
      <c r="F101" s="104"/>
      <c r="G101" s="104"/>
      <c r="H101" s="104"/>
      <c r="I101" s="104">
        <f t="shared" ref="I101:BQ101" si="37">+I93</f>
        <v>1.6</v>
      </c>
      <c r="J101" s="104">
        <f t="shared" si="37"/>
        <v>3.5</v>
      </c>
      <c r="K101" s="104">
        <f t="shared" si="37"/>
        <v>12</v>
      </c>
      <c r="L101" s="104">
        <f t="shared" ref="L101:AI101" si="38">+L93</f>
        <v>26.5</v>
      </c>
      <c r="M101" s="104">
        <f t="shared" si="38"/>
        <v>26.5</v>
      </c>
      <c r="N101" s="104">
        <f t="shared" si="38"/>
        <v>26.5</v>
      </c>
      <c r="O101" s="104">
        <f t="shared" si="38"/>
        <v>26.5</v>
      </c>
      <c r="P101" s="104">
        <f t="shared" si="38"/>
        <v>26.5</v>
      </c>
      <c r="Q101" s="104">
        <f t="shared" si="38"/>
        <v>26.5</v>
      </c>
      <c r="R101" s="104">
        <f t="shared" si="38"/>
        <v>26.5</v>
      </c>
      <c r="S101" s="104">
        <f t="shared" si="38"/>
        <v>26.5</v>
      </c>
      <c r="T101" s="104">
        <f t="shared" si="38"/>
        <v>26.5</v>
      </c>
      <c r="U101" s="104">
        <f t="shared" si="38"/>
        <v>26.5</v>
      </c>
      <c r="V101" s="104">
        <f t="shared" si="38"/>
        <v>26.5</v>
      </c>
      <c r="W101" s="104">
        <f t="shared" si="38"/>
        <v>26.5</v>
      </c>
      <c r="X101" s="104">
        <f t="shared" si="38"/>
        <v>26.5</v>
      </c>
      <c r="Y101" s="104">
        <f t="shared" si="38"/>
        <v>26.5</v>
      </c>
      <c r="Z101" s="104">
        <f t="shared" si="38"/>
        <v>26.5</v>
      </c>
      <c r="AA101" s="104">
        <f t="shared" si="38"/>
        <v>26.5</v>
      </c>
      <c r="AB101" s="104">
        <f t="shared" si="38"/>
        <v>26.5</v>
      </c>
      <c r="AC101" s="104">
        <f t="shared" si="38"/>
        <v>26.5</v>
      </c>
      <c r="AD101" s="104">
        <f t="shared" si="38"/>
        <v>26.5</v>
      </c>
      <c r="AE101" s="104">
        <f t="shared" si="38"/>
        <v>26.5</v>
      </c>
      <c r="AF101" s="104">
        <f t="shared" si="38"/>
        <v>26.5</v>
      </c>
      <c r="AG101" s="104">
        <f t="shared" si="38"/>
        <v>26.5</v>
      </c>
      <c r="AH101" s="104">
        <f t="shared" si="38"/>
        <v>26.5</v>
      </c>
      <c r="AI101" s="104">
        <f t="shared" si="38"/>
        <v>26.5</v>
      </c>
      <c r="AJ101" s="104">
        <f t="shared" ref="AJ101" si="39">+AJ93</f>
        <v>26.5</v>
      </c>
      <c r="AK101" s="104">
        <f t="shared" si="37"/>
        <v>12</v>
      </c>
      <c r="AL101" s="104">
        <f t="shared" si="37"/>
        <v>17.5</v>
      </c>
      <c r="AM101" s="104">
        <f t="shared" si="37"/>
        <v>26</v>
      </c>
      <c r="AN101" s="104">
        <f t="shared" si="37"/>
        <v>35</v>
      </c>
      <c r="AO101" s="104">
        <f t="shared" si="37"/>
        <v>20.5</v>
      </c>
      <c r="AP101" s="104">
        <f t="shared" si="37"/>
        <v>32.5</v>
      </c>
      <c r="AQ101" s="104">
        <f t="shared" si="37"/>
        <v>47</v>
      </c>
      <c r="AR101" s="104">
        <f t="shared" si="37"/>
        <v>53</v>
      </c>
      <c r="AS101" s="104">
        <f t="shared" si="37"/>
        <v>53</v>
      </c>
      <c r="AT101" s="104">
        <f t="shared" si="37"/>
        <v>53</v>
      </c>
      <c r="AU101" s="104">
        <f t="shared" si="37"/>
        <v>53</v>
      </c>
      <c r="AV101" s="104">
        <f t="shared" si="37"/>
        <v>53</v>
      </c>
      <c r="AW101" s="104">
        <f t="shared" si="37"/>
        <v>53</v>
      </c>
      <c r="AX101" s="104">
        <f t="shared" si="37"/>
        <v>53</v>
      </c>
      <c r="AY101" s="104">
        <f t="shared" si="37"/>
        <v>53</v>
      </c>
      <c r="AZ101" s="104">
        <f t="shared" si="37"/>
        <v>53</v>
      </c>
      <c r="BA101" s="104">
        <f t="shared" si="37"/>
        <v>53</v>
      </c>
      <c r="BB101" s="104">
        <f t="shared" si="37"/>
        <v>53</v>
      </c>
      <c r="BC101" s="104">
        <f t="shared" si="37"/>
        <v>53</v>
      </c>
      <c r="BD101" s="104">
        <f t="shared" si="37"/>
        <v>53</v>
      </c>
      <c r="BE101" s="104">
        <f t="shared" si="37"/>
        <v>53</v>
      </c>
      <c r="BF101" s="104">
        <f t="shared" si="37"/>
        <v>53</v>
      </c>
      <c r="BG101" s="104">
        <f t="shared" si="37"/>
        <v>53</v>
      </c>
      <c r="BH101" s="104">
        <f t="shared" si="37"/>
        <v>53</v>
      </c>
      <c r="BI101" s="104">
        <f t="shared" si="37"/>
        <v>53</v>
      </c>
      <c r="BJ101" s="104">
        <f t="shared" si="37"/>
        <v>53</v>
      </c>
      <c r="BK101" s="104">
        <f t="shared" si="37"/>
        <v>53</v>
      </c>
      <c r="BL101" s="104">
        <f t="shared" si="37"/>
        <v>53</v>
      </c>
      <c r="BM101" s="104">
        <f t="shared" si="37"/>
        <v>53</v>
      </c>
      <c r="BN101" s="104">
        <f t="shared" si="37"/>
        <v>53</v>
      </c>
      <c r="BO101" s="104">
        <f t="shared" si="37"/>
        <v>53</v>
      </c>
      <c r="BP101" s="104">
        <f t="shared" si="37"/>
        <v>53</v>
      </c>
      <c r="BQ101" s="104">
        <f t="shared" si="37"/>
        <v>53</v>
      </c>
      <c r="BR101" s="105"/>
      <c r="BS101" s="105"/>
      <c r="BT101" s="152">
        <f>SUM(E101:AO101)</f>
        <v>790.6</v>
      </c>
    </row>
    <row r="102" spans="1:72" hidden="1" x14ac:dyDescent="0.2">
      <c r="A102" s="123" t="s">
        <v>179</v>
      </c>
      <c r="B102" s="115" t="s">
        <v>205</v>
      </c>
      <c r="C102" s="148"/>
      <c r="D102" s="151" t="s">
        <v>206</v>
      </c>
      <c r="E102" s="85">
        <v>24</v>
      </c>
      <c r="F102" s="85">
        <v>24</v>
      </c>
      <c r="G102" s="85">
        <v>24</v>
      </c>
      <c r="H102" s="85"/>
      <c r="I102" s="85">
        <v>24</v>
      </c>
      <c r="J102" s="85">
        <v>24</v>
      </c>
      <c r="K102" s="85">
        <v>24</v>
      </c>
      <c r="L102" s="85">
        <v>24</v>
      </c>
      <c r="M102" s="85">
        <v>24</v>
      </c>
      <c r="N102" s="85">
        <v>24</v>
      </c>
      <c r="O102" s="85">
        <v>24</v>
      </c>
      <c r="P102" s="85">
        <v>24</v>
      </c>
      <c r="Q102" s="85">
        <v>24</v>
      </c>
      <c r="R102" s="85">
        <v>24</v>
      </c>
      <c r="S102" s="85">
        <v>24</v>
      </c>
      <c r="T102" s="85">
        <v>24</v>
      </c>
      <c r="U102" s="85">
        <v>24</v>
      </c>
      <c r="V102" s="85">
        <v>24</v>
      </c>
      <c r="W102" s="85">
        <v>24</v>
      </c>
      <c r="X102" s="85">
        <v>24</v>
      </c>
      <c r="Y102" s="85">
        <v>24</v>
      </c>
      <c r="Z102" s="85">
        <v>24</v>
      </c>
      <c r="AA102" s="85">
        <v>24</v>
      </c>
      <c r="AB102" s="85">
        <v>24</v>
      </c>
      <c r="AC102" s="85">
        <v>24</v>
      </c>
      <c r="AD102" s="85">
        <v>24</v>
      </c>
      <c r="AE102" s="85">
        <v>24</v>
      </c>
      <c r="AF102" s="85">
        <v>24</v>
      </c>
      <c r="AG102" s="85">
        <v>24</v>
      </c>
      <c r="AH102" s="85">
        <v>24</v>
      </c>
      <c r="AI102" s="85">
        <v>24</v>
      </c>
      <c r="AJ102" s="85">
        <v>24</v>
      </c>
      <c r="AK102" s="85">
        <v>24</v>
      </c>
      <c r="AL102" s="85">
        <v>24</v>
      </c>
      <c r="AM102" s="85">
        <v>24</v>
      </c>
      <c r="AN102" s="85">
        <v>24</v>
      </c>
      <c r="AO102" s="85">
        <v>24</v>
      </c>
      <c r="AP102" s="85">
        <v>24</v>
      </c>
      <c r="AQ102" s="85">
        <v>24</v>
      </c>
      <c r="AR102" s="85">
        <v>24</v>
      </c>
      <c r="AS102" s="85">
        <v>24</v>
      </c>
      <c r="AT102" s="85">
        <v>24</v>
      </c>
      <c r="AU102" s="85">
        <v>24</v>
      </c>
      <c r="AV102" s="85">
        <v>24</v>
      </c>
      <c r="AW102" s="85">
        <v>24</v>
      </c>
      <c r="AX102" s="85">
        <v>24</v>
      </c>
      <c r="AY102" s="85">
        <v>24</v>
      </c>
      <c r="AZ102" s="85">
        <v>24</v>
      </c>
      <c r="BA102" s="85">
        <v>24</v>
      </c>
      <c r="BB102" s="85">
        <v>24</v>
      </c>
      <c r="BC102" s="85">
        <v>24</v>
      </c>
      <c r="BD102" s="85">
        <v>24</v>
      </c>
      <c r="BE102" s="85">
        <v>24</v>
      </c>
      <c r="BF102" s="85">
        <v>24</v>
      </c>
      <c r="BG102" s="85">
        <v>24</v>
      </c>
      <c r="BH102" s="85">
        <v>24</v>
      </c>
      <c r="BI102" s="85">
        <v>24</v>
      </c>
      <c r="BJ102" s="85">
        <v>24</v>
      </c>
      <c r="BK102" s="85">
        <v>24</v>
      </c>
      <c r="BL102" s="85">
        <v>24</v>
      </c>
      <c r="BM102" s="85">
        <v>24</v>
      </c>
      <c r="BN102" s="85">
        <v>24</v>
      </c>
      <c r="BO102" s="85">
        <v>24</v>
      </c>
      <c r="BP102" s="85">
        <v>24</v>
      </c>
      <c r="BQ102" s="85">
        <v>24</v>
      </c>
      <c r="BR102" s="86"/>
      <c r="BS102" s="86"/>
      <c r="BT102" s="152">
        <f>SUM(E102:AO102)</f>
        <v>864</v>
      </c>
    </row>
    <row r="103" spans="1:72" hidden="1" x14ac:dyDescent="0.2">
      <c r="A103" s="123" t="s">
        <v>181</v>
      </c>
      <c r="B103" s="115" t="s">
        <v>207</v>
      </c>
      <c r="C103" s="148"/>
      <c r="D103" s="151" t="s">
        <v>206</v>
      </c>
      <c r="E103" s="104">
        <f t="shared" ref="E103:BQ103" si="40">E63</f>
        <v>0</v>
      </c>
      <c r="F103" s="85">
        <f t="shared" si="40"/>
        <v>0</v>
      </c>
      <c r="G103" s="85">
        <f t="shared" si="40"/>
        <v>0</v>
      </c>
      <c r="H103" s="85"/>
      <c r="I103" s="104" t="e">
        <f t="shared" si="40"/>
        <v>#REF!</v>
      </c>
      <c r="J103" s="104" t="e">
        <f t="shared" si="40"/>
        <v>#REF!</v>
      </c>
      <c r="K103" s="104" t="e">
        <f t="shared" si="40"/>
        <v>#REF!</v>
      </c>
      <c r="L103" s="104" t="e">
        <f t="shared" ref="L103:AI103" si="41">L63</f>
        <v>#REF!</v>
      </c>
      <c r="M103" s="104" t="e">
        <f t="shared" si="41"/>
        <v>#REF!</v>
      </c>
      <c r="N103" s="104" t="e">
        <f t="shared" si="41"/>
        <v>#REF!</v>
      </c>
      <c r="O103" s="104" t="e">
        <f t="shared" si="41"/>
        <v>#REF!</v>
      </c>
      <c r="P103" s="104" t="e">
        <f t="shared" si="41"/>
        <v>#REF!</v>
      </c>
      <c r="Q103" s="104" t="e">
        <f t="shared" si="41"/>
        <v>#REF!</v>
      </c>
      <c r="R103" s="104" t="e">
        <f t="shared" si="41"/>
        <v>#REF!</v>
      </c>
      <c r="S103" s="104" t="e">
        <f t="shared" si="41"/>
        <v>#REF!</v>
      </c>
      <c r="T103" s="104" t="e">
        <f t="shared" si="41"/>
        <v>#REF!</v>
      </c>
      <c r="U103" s="104" t="e">
        <f t="shared" si="41"/>
        <v>#REF!</v>
      </c>
      <c r="V103" s="104" t="e">
        <f t="shared" si="41"/>
        <v>#REF!</v>
      </c>
      <c r="W103" s="104" t="e">
        <f t="shared" si="41"/>
        <v>#REF!</v>
      </c>
      <c r="X103" s="104" t="e">
        <f t="shared" si="41"/>
        <v>#REF!</v>
      </c>
      <c r="Y103" s="104" t="e">
        <f t="shared" si="41"/>
        <v>#REF!</v>
      </c>
      <c r="Z103" s="104" t="e">
        <f t="shared" si="41"/>
        <v>#REF!</v>
      </c>
      <c r="AA103" s="104" t="e">
        <f t="shared" si="41"/>
        <v>#REF!</v>
      </c>
      <c r="AB103" s="104" t="e">
        <f t="shared" si="41"/>
        <v>#REF!</v>
      </c>
      <c r="AC103" s="104" t="e">
        <f t="shared" si="41"/>
        <v>#REF!</v>
      </c>
      <c r="AD103" s="104" t="e">
        <f t="shared" si="41"/>
        <v>#REF!</v>
      </c>
      <c r="AE103" s="104" t="e">
        <f t="shared" si="41"/>
        <v>#REF!</v>
      </c>
      <c r="AF103" s="104" t="e">
        <f t="shared" si="41"/>
        <v>#REF!</v>
      </c>
      <c r="AG103" s="104" t="e">
        <f t="shared" si="41"/>
        <v>#REF!</v>
      </c>
      <c r="AH103" s="104" t="e">
        <f t="shared" si="41"/>
        <v>#REF!</v>
      </c>
      <c r="AI103" s="104" t="e">
        <f t="shared" si="41"/>
        <v>#REF!</v>
      </c>
      <c r="AJ103" s="104" t="e">
        <f t="shared" ref="AJ103" si="42">AJ63</f>
        <v>#REF!</v>
      </c>
      <c r="AK103" s="104" t="e">
        <f t="shared" si="40"/>
        <v>#REF!</v>
      </c>
      <c r="AL103" s="104" t="e">
        <f t="shared" si="40"/>
        <v>#REF!</v>
      </c>
      <c r="AM103" s="104" t="e">
        <f t="shared" si="40"/>
        <v>#REF!</v>
      </c>
      <c r="AN103" s="104" t="e">
        <f t="shared" si="40"/>
        <v>#REF!</v>
      </c>
      <c r="AO103" s="104" t="e">
        <f t="shared" si="40"/>
        <v>#REF!</v>
      </c>
      <c r="AP103" s="104" t="e">
        <f t="shared" si="40"/>
        <v>#REF!</v>
      </c>
      <c r="AQ103" s="104" t="e">
        <f t="shared" si="40"/>
        <v>#REF!</v>
      </c>
      <c r="AR103" s="104" t="e">
        <f t="shared" si="40"/>
        <v>#REF!</v>
      </c>
      <c r="AS103" s="104" t="e">
        <f t="shared" si="40"/>
        <v>#REF!</v>
      </c>
      <c r="AT103" s="104" t="e">
        <f t="shared" si="40"/>
        <v>#REF!</v>
      </c>
      <c r="AU103" s="104" t="e">
        <f t="shared" si="40"/>
        <v>#REF!</v>
      </c>
      <c r="AV103" s="104" t="e">
        <f t="shared" si="40"/>
        <v>#REF!</v>
      </c>
      <c r="AW103" s="104" t="e">
        <f t="shared" si="40"/>
        <v>#REF!</v>
      </c>
      <c r="AX103" s="104" t="e">
        <f t="shared" si="40"/>
        <v>#REF!</v>
      </c>
      <c r="AY103" s="104" t="e">
        <f t="shared" si="40"/>
        <v>#REF!</v>
      </c>
      <c r="AZ103" s="104" t="e">
        <f t="shared" si="40"/>
        <v>#REF!</v>
      </c>
      <c r="BA103" s="104" t="e">
        <f t="shared" si="40"/>
        <v>#REF!</v>
      </c>
      <c r="BB103" s="104" t="e">
        <f t="shared" si="40"/>
        <v>#REF!</v>
      </c>
      <c r="BC103" s="104" t="e">
        <f t="shared" si="40"/>
        <v>#REF!</v>
      </c>
      <c r="BD103" s="104" t="e">
        <f t="shared" si="40"/>
        <v>#REF!</v>
      </c>
      <c r="BE103" s="104" t="e">
        <f t="shared" si="40"/>
        <v>#REF!</v>
      </c>
      <c r="BF103" s="104" t="e">
        <f t="shared" si="40"/>
        <v>#REF!</v>
      </c>
      <c r="BG103" s="104" t="e">
        <f t="shared" si="40"/>
        <v>#REF!</v>
      </c>
      <c r="BH103" s="104" t="e">
        <f t="shared" si="40"/>
        <v>#REF!</v>
      </c>
      <c r="BI103" s="104">
        <f t="shared" si="40"/>
        <v>2</v>
      </c>
      <c r="BJ103" s="104">
        <f t="shared" si="40"/>
        <v>2</v>
      </c>
      <c r="BK103" s="104">
        <f t="shared" si="40"/>
        <v>2</v>
      </c>
      <c r="BL103" s="104">
        <f t="shared" si="40"/>
        <v>2</v>
      </c>
      <c r="BM103" s="104">
        <f t="shared" si="40"/>
        <v>2</v>
      </c>
      <c r="BN103" s="104">
        <f t="shared" si="40"/>
        <v>2</v>
      </c>
      <c r="BO103" s="104">
        <f t="shared" si="40"/>
        <v>2</v>
      </c>
      <c r="BP103" s="104">
        <f t="shared" si="40"/>
        <v>2</v>
      </c>
      <c r="BQ103" s="104">
        <f t="shared" si="40"/>
        <v>2</v>
      </c>
      <c r="BR103" s="105"/>
      <c r="BS103" s="105"/>
      <c r="BT103" s="152" t="e">
        <f>SUM(E103:AO103)</f>
        <v>#REF!</v>
      </c>
    </row>
    <row r="104" spans="1:72" hidden="1" x14ac:dyDescent="0.2">
      <c r="A104" s="123" t="s">
        <v>183</v>
      </c>
      <c r="B104" s="115" t="s">
        <v>208</v>
      </c>
      <c r="C104" s="148"/>
      <c r="D104" s="151" t="s">
        <v>206</v>
      </c>
      <c r="E104" s="85">
        <v>0</v>
      </c>
      <c r="F104" s="85">
        <v>0</v>
      </c>
      <c r="G104" s="85">
        <v>0</v>
      </c>
      <c r="H104" s="85"/>
      <c r="I104" s="85">
        <v>0</v>
      </c>
      <c r="J104" s="85">
        <v>0</v>
      </c>
      <c r="K104" s="85">
        <v>0</v>
      </c>
      <c r="L104" s="85">
        <v>0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0</v>
      </c>
      <c r="V104" s="85">
        <v>0</v>
      </c>
      <c r="W104" s="85">
        <v>0</v>
      </c>
      <c r="X104" s="85">
        <v>0</v>
      </c>
      <c r="Y104" s="85">
        <v>0</v>
      </c>
      <c r="Z104" s="85">
        <v>0</v>
      </c>
      <c r="AA104" s="85">
        <v>0</v>
      </c>
      <c r="AB104" s="85">
        <v>0</v>
      </c>
      <c r="AC104" s="85">
        <v>0</v>
      </c>
      <c r="AD104" s="85">
        <v>0</v>
      </c>
      <c r="AE104" s="85">
        <v>0</v>
      </c>
      <c r="AF104" s="85">
        <v>0</v>
      </c>
      <c r="AG104" s="85">
        <v>0</v>
      </c>
      <c r="AH104" s="85">
        <v>0</v>
      </c>
      <c r="AI104" s="85">
        <v>0</v>
      </c>
      <c r="AJ104" s="85">
        <v>0</v>
      </c>
      <c r="AK104" s="85">
        <v>0</v>
      </c>
      <c r="AL104" s="85">
        <v>0</v>
      </c>
      <c r="AM104" s="85">
        <v>0</v>
      </c>
      <c r="AN104" s="86">
        <v>0</v>
      </c>
      <c r="AO104" s="86">
        <v>0</v>
      </c>
      <c r="AP104" s="86">
        <v>0</v>
      </c>
      <c r="AQ104" s="86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6">
        <v>0</v>
      </c>
      <c r="BC104" s="86">
        <v>0</v>
      </c>
      <c r="BD104" s="86">
        <v>0</v>
      </c>
      <c r="BE104" s="86">
        <v>0</v>
      </c>
      <c r="BF104" s="86">
        <v>0</v>
      </c>
      <c r="BG104" s="86">
        <v>0</v>
      </c>
      <c r="BH104" s="86">
        <v>0</v>
      </c>
      <c r="BI104" s="86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/>
      <c r="BS104" s="86"/>
      <c r="BT104" s="152">
        <f>SUM(E104:AO104)</f>
        <v>0</v>
      </c>
    </row>
    <row r="105" spans="1:72" hidden="1" x14ac:dyDescent="0.2">
      <c r="A105" s="123"/>
      <c r="B105" s="115"/>
      <c r="C105" s="148"/>
      <c r="D105" s="151"/>
      <c r="E105" s="104"/>
      <c r="F105" s="151"/>
      <c r="G105" s="104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52"/>
    </row>
    <row r="106" spans="1:72" hidden="1" x14ac:dyDescent="0.2">
      <c r="A106" s="123" t="s">
        <v>209</v>
      </c>
      <c r="B106" s="115" t="s">
        <v>210</v>
      </c>
      <c r="C106" s="148"/>
      <c r="D106" s="151" t="s">
        <v>211</v>
      </c>
      <c r="E106" s="85">
        <f>E98*E99*E100*60/1000000</f>
        <v>0</v>
      </c>
      <c r="F106" s="85">
        <f>F98*F99*F100*60/1000000</f>
        <v>0</v>
      </c>
      <c r="G106" s="85">
        <f>G98*G99*G100*60/1000000</f>
        <v>0</v>
      </c>
      <c r="H106" s="85"/>
      <c r="I106" s="85" t="e">
        <f>I98*I99*I100*60/1000000</f>
        <v>#REF!</v>
      </c>
      <c r="J106" s="85" t="e">
        <f t="shared" ref="J106:BQ106" si="43">J98*J99*J100*60/1000000</f>
        <v>#REF!</v>
      </c>
      <c r="K106" s="85" t="e">
        <f t="shared" si="43"/>
        <v>#REF!</v>
      </c>
      <c r="L106" s="85" t="e">
        <f t="shared" ref="L106:AI106" si="44">L98*L99*L100*60/1000000</f>
        <v>#REF!</v>
      </c>
      <c r="M106" s="85" t="e">
        <f t="shared" si="44"/>
        <v>#REF!</v>
      </c>
      <c r="N106" s="85" t="e">
        <f t="shared" si="44"/>
        <v>#REF!</v>
      </c>
      <c r="O106" s="85" t="e">
        <f t="shared" si="44"/>
        <v>#REF!</v>
      </c>
      <c r="P106" s="85" t="e">
        <f t="shared" si="44"/>
        <v>#REF!</v>
      </c>
      <c r="Q106" s="85" t="e">
        <f t="shared" si="44"/>
        <v>#REF!</v>
      </c>
      <c r="R106" s="85" t="e">
        <f t="shared" si="44"/>
        <v>#REF!</v>
      </c>
      <c r="S106" s="85" t="e">
        <f t="shared" si="44"/>
        <v>#REF!</v>
      </c>
      <c r="T106" s="85" t="e">
        <f t="shared" si="44"/>
        <v>#REF!</v>
      </c>
      <c r="U106" s="85" t="e">
        <f t="shared" si="44"/>
        <v>#REF!</v>
      </c>
      <c r="V106" s="85" t="e">
        <f t="shared" si="44"/>
        <v>#REF!</v>
      </c>
      <c r="W106" s="85" t="e">
        <f t="shared" si="44"/>
        <v>#REF!</v>
      </c>
      <c r="X106" s="85" t="e">
        <f t="shared" si="44"/>
        <v>#REF!</v>
      </c>
      <c r="Y106" s="85" t="e">
        <f t="shared" si="44"/>
        <v>#REF!</v>
      </c>
      <c r="Z106" s="85" t="e">
        <f t="shared" si="44"/>
        <v>#REF!</v>
      </c>
      <c r="AA106" s="85" t="e">
        <f t="shared" si="44"/>
        <v>#REF!</v>
      </c>
      <c r="AB106" s="85" t="e">
        <f t="shared" si="44"/>
        <v>#REF!</v>
      </c>
      <c r="AC106" s="85" t="e">
        <f t="shared" si="44"/>
        <v>#REF!</v>
      </c>
      <c r="AD106" s="85" t="e">
        <f t="shared" si="44"/>
        <v>#REF!</v>
      </c>
      <c r="AE106" s="85" t="e">
        <f t="shared" si="44"/>
        <v>#REF!</v>
      </c>
      <c r="AF106" s="85" t="e">
        <f t="shared" si="44"/>
        <v>#REF!</v>
      </c>
      <c r="AG106" s="85" t="e">
        <f t="shared" si="44"/>
        <v>#REF!</v>
      </c>
      <c r="AH106" s="85" t="e">
        <f t="shared" si="44"/>
        <v>#REF!</v>
      </c>
      <c r="AI106" s="85" t="e">
        <f t="shared" si="44"/>
        <v>#REF!</v>
      </c>
      <c r="AJ106" s="85" t="e">
        <f t="shared" ref="AJ106" si="45">AJ98*AJ99*AJ100*60/1000000</f>
        <v>#REF!</v>
      </c>
      <c r="AK106" s="85" t="e">
        <f t="shared" si="43"/>
        <v>#REF!</v>
      </c>
      <c r="AL106" s="85" t="e">
        <f t="shared" si="43"/>
        <v>#REF!</v>
      </c>
      <c r="AM106" s="85" t="e">
        <f t="shared" si="43"/>
        <v>#REF!</v>
      </c>
      <c r="AN106" s="85" t="e">
        <f t="shared" si="43"/>
        <v>#REF!</v>
      </c>
      <c r="AO106" s="85" t="e">
        <f t="shared" si="43"/>
        <v>#REF!</v>
      </c>
      <c r="AP106" s="85" t="e">
        <f t="shared" si="43"/>
        <v>#REF!</v>
      </c>
      <c r="AQ106" s="85" t="e">
        <f t="shared" si="43"/>
        <v>#REF!</v>
      </c>
      <c r="AR106" s="85" t="e">
        <f t="shared" si="43"/>
        <v>#REF!</v>
      </c>
      <c r="AS106" s="85" t="e">
        <f t="shared" si="43"/>
        <v>#REF!</v>
      </c>
      <c r="AT106" s="85" t="e">
        <f t="shared" si="43"/>
        <v>#REF!</v>
      </c>
      <c r="AU106" s="85" t="e">
        <f t="shared" si="43"/>
        <v>#REF!</v>
      </c>
      <c r="AV106" s="85" t="e">
        <f t="shared" si="43"/>
        <v>#REF!</v>
      </c>
      <c r="AW106" s="85" t="e">
        <f t="shared" si="43"/>
        <v>#REF!</v>
      </c>
      <c r="AX106" s="85" t="e">
        <f t="shared" si="43"/>
        <v>#REF!</v>
      </c>
      <c r="AY106" s="85" t="e">
        <f t="shared" si="43"/>
        <v>#REF!</v>
      </c>
      <c r="AZ106" s="85" t="e">
        <f t="shared" si="43"/>
        <v>#REF!</v>
      </c>
      <c r="BA106" s="85" t="e">
        <f t="shared" si="43"/>
        <v>#REF!</v>
      </c>
      <c r="BB106" s="85" t="e">
        <f t="shared" si="43"/>
        <v>#REF!</v>
      </c>
      <c r="BC106" s="85" t="e">
        <f t="shared" si="43"/>
        <v>#REF!</v>
      </c>
      <c r="BD106" s="85" t="e">
        <f t="shared" si="43"/>
        <v>#REF!</v>
      </c>
      <c r="BE106" s="85" t="e">
        <f t="shared" si="43"/>
        <v>#REF!</v>
      </c>
      <c r="BF106" s="85" t="e">
        <f t="shared" si="43"/>
        <v>#REF!</v>
      </c>
      <c r="BG106" s="85" t="e">
        <f t="shared" si="43"/>
        <v>#REF!</v>
      </c>
      <c r="BH106" s="85" t="e">
        <f t="shared" si="43"/>
        <v>#REF!</v>
      </c>
      <c r="BI106" s="85" t="e">
        <f t="shared" si="43"/>
        <v>#REF!</v>
      </c>
      <c r="BJ106" s="85" t="e">
        <f t="shared" si="43"/>
        <v>#REF!</v>
      </c>
      <c r="BK106" s="85" t="e">
        <f t="shared" si="43"/>
        <v>#REF!</v>
      </c>
      <c r="BL106" s="85" t="e">
        <f t="shared" si="43"/>
        <v>#REF!</v>
      </c>
      <c r="BM106" s="85" t="e">
        <f t="shared" si="43"/>
        <v>#REF!</v>
      </c>
      <c r="BN106" s="85" t="e">
        <f t="shared" si="43"/>
        <v>#REF!</v>
      </c>
      <c r="BO106" s="85" t="e">
        <f t="shared" si="43"/>
        <v>#REF!</v>
      </c>
      <c r="BP106" s="85" t="e">
        <f t="shared" si="43"/>
        <v>#REF!</v>
      </c>
      <c r="BQ106" s="85" t="e">
        <f t="shared" si="43"/>
        <v>#REF!</v>
      </c>
      <c r="BR106" s="86"/>
      <c r="BS106" s="86"/>
      <c r="BT106" s="152" t="e">
        <f>BT98*BT99*BT100*60/1000000</f>
        <v>#REF!</v>
      </c>
    </row>
    <row r="107" spans="1:72" hidden="1" x14ac:dyDescent="0.2">
      <c r="A107" s="123" t="s">
        <v>212</v>
      </c>
      <c r="B107" s="115" t="s">
        <v>213</v>
      </c>
      <c r="C107" s="148"/>
      <c r="D107" s="151" t="s">
        <v>214</v>
      </c>
      <c r="E107" s="85" t="e">
        <f t="shared" ref="E107:BT107" si="46">1/E106</f>
        <v>#DIV/0!</v>
      </c>
      <c r="F107" s="85" t="e">
        <f t="shared" si="46"/>
        <v>#DIV/0!</v>
      </c>
      <c r="G107" s="85" t="e">
        <f t="shared" si="46"/>
        <v>#DIV/0!</v>
      </c>
      <c r="H107" s="85"/>
      <c r="I107" s="85" t="e">
        <f t="shared" si="46"/>
        <v>#REF!</v>
      </c>
      <c r="J107" s="85" t="e">
        <f t="shared" si="46"/>
        <v>#REF!</v>
      </c>
      <c r="K107" s="85" t="e">
        <f t="shared" si="46"/>
        <v>#REF!</v>
      </c>
      <c r="L107" s="85" t="e">
        <f t="shared" ref="L107:AI107" si="47">1/L106</f>
        <v>#REF!</v>
      </c>
      <c r="M107" s="85" t="e">
        <f t="shared" si="47"/>
        <v>#REF!</v>
      </c>
      <c r="N107" s="85" t="e">
        <f t="shared" si="47"/>
        <v>#REF!</v>
      </c>
      <c r="O107" s="85" t="e">
        <f t="shared" si="47"/>
        <v>#REF!</v>
      </c>
      <c r="P107" s="85" t="e">
        <f t="shared" si="47"/>
        <v>#REF!</v>
      </c>
      <c r="Q107" s="85" t="e">
        <f t="shared" si="47"/>
        <v>#REF!</v>
      </c>
      <c r="R107" s="85" t="e">
        <f t="shared" si="47"/>
        <v>#REF!</v>
      </c>
      <c r="S107" s="85" t="e">
        <f t="shared" si="47"/>
        <v>#REF!</v>
      </c>
      <c r="T107" s="85" t="e">
        <f t="shared" si="47"/>
        <v>#REF!</v>
      </c>
      <c r="U107" s="85" t="e">
        <f t="shared" si="47"/>
        <v>#REF!</v>
      </c>
      <c r="V107" s="85" t="e">
        <f t="shared" si="47"/>
        <v>#REF!</v>
      </c>
      <c r="W107" s="85" t="e">
        <f t="shared" si="47"/>
        <v>#REF!</v>
      </c>
      <c r="X107" s="85" t="e">
        <f t="shared" si="47"/>
        <v>#REF!</v>
      </c>
      <c r="Y107" s="85" t="e">
        <f t="shared" si="47"/>
        <v>#REF!</v>
      </c>
      <c r="Z107" s="85" t="e">
        <f t="shared" si="47"/>
        <v>#REF!</v>
      </c>
      <c r="AA107" s="85" t="e">
        <f t="shared" si="47"/>
        <v>#REF!</v>
      </c>
      <c r="AB107" s="85" t="e">
        <f t="shared" si="47"/>
        <v>#REF!</v>
      </c>
      <c r="AC107" s="85" t="e">
        <f t="shared" si="47"/>
        <v>#REF!</v>
      </c>
      <c r="AD107" s="85" t="e">
        <f t="shared" si="47"/>
        <v>#REF!</v>
      </c>
      <c r="AE107" s="85" t="e">
        <f t="shared" si="47"/>
        <v>#REF!</v>
      </c>
      <c r="AF107" s="85" t="e">
        <f t="shared" si="47"/>
        <v>#REF!</v>
      </c>
      <c r="AG107" s="85" t="e">
        <f t="shared" si="47"/>
        <v>#REF!</v>
      </c>
      <c r="AH107" s="85" t="e">
        <f t="shared" si="47"/>
        <v>#REF!</v>
      </c>
      <c r="AI107" s="85" t="e">
        <f t="shared" si="47"/>
        <v>#REF!</v>
      </c>
      <c r="AJ107" s="85" t="e">
        <f t="shared" ref="AJ107" si="48">1/AJ106</f>
        <v>#REF!</v>
      </c>
      <c r="AK107" s="85" t="e">
        <f t="shared" si="46"/>
        <v>#REF!</v>
      </c>
      <c r="AL107" s="85" t="e">
        <f t="shared" si="46"/>
        <v>#REF!</v>
      </c>
      <c r="AM107" s="85" t="e">
        <f t="shared" si="46"/>
        <v>#REF!</v>
      </c>
      <c r="AN107" s="85" t="e">
        <f t="shared" si="46"/>
        <v>#REF!</v>
      </c>
      <c r="AO107" s="85" t="e">
        <f t="shared" si="46"/>
        <v>#REF!</v>
      </c>
      <c r="AP107" s="85" t="e">
        <f t="shared" si="46"/>
        <v>#REF!</v>
      </c>
      <c r="AQ107" s="85" t="e">
        <f t="shared" si="46"/>
        <v>#REF!</v>
      </c>
      <c r="AR107" s="85" t="e">
        <f t="shared" si="46"/>
        <v>#REF!</v>
      </c>
      <c r="AS107" s="85" t="e">
        <f t="shared" si="46"/>
        <v>#REF!</v>
      </c>
      <c r="AT107" s="85" t="e">
        <f t="shared" si="46"/>
        <v>#REF!</v>
      </c>
      <c r="AU107" s="85" t="e">
        <f t="shared" si="46"/>
        <v>#REF!</v>
      </c>
      <c r="AV107" s="85" t="e">
        <f t="shared" si="46"/>
        <v>#REF!</v>
      </c>
      <c r="AW107" s="85" t="e">
        <f t="shared" si="46"/>
        <v>#REF!</v>
      </c>
      <c r="AX107" s="85" t="e">
        <f t="shared" si="46"/>
        <v>#REF!</v>
      </c>
      <c r="AY107" s="85" t="e">
        <f t="shared" si="46"/>
        <v>#REF!</v>
      </c>
      <c r="AZ107" s="85" t="e">
        <f t="shared" si="46"/>
        <v>#REF!</v>
      </c>
      <c r="BA107" s="85" t="e">
        <f t="shared" si="46"/>
        <v>#REF!</v>
      </c>
      <c r="BB107" s="85" t="e">
        <f t="shared" si="46"/>
        <v>#REF!</v>
      </c>
      <c r="BC107" s="85" t="e">
        <f t="shared" si="46"/>
        <v>#REF!</v>
      </c>
      <c r="BD107" s="85" t="e">
        <f t="shared" si="46"/>
        <v>#REF!</v>
      </c>
      <c r="BE107" s="85" t="e">
        <f t="shared" si="46"/>
        <v>#REF!</v>
      </c>
      <c r="BF107" s="85" t="e">
        <f t="shared" si="46"/>
        <v>#REF!</v>
      </c>
      <c r="BG107" s="85" t="e">
        <f t="shared" si="46"/>
        <v>#REF!</v>
      </c>
      <c r="BH107" s="85" t="e">
        <f t="shared" si="46"/>
        <v>#REF!</v>
      </c>
      <c r="BI107" s="85" t="e">
        <f t="shared" si="46"/>
        <v>#REF!</v>
      </c>
      <c r="BJ107" s="85" t="e">
        <f t="shared" si="46"/>
        <v>#REF!</v>
      </c>
      <c r="BK107" s="85" t="e">
        <f t="shared" si="46"/>
        <v>#REF!</v>
      </c>
      <c r="BL107" s="85" t="e">
        <f t="shared" si="46"/>
        <v>#REF!</v>
      </c>
      <c r="BM107" s="85" t="e">
        <f t="shared" si="46"/>
        <v>#REF!</v>
      </c>
      <c r="BN107" s="85" t="e">
        <f t="shared" si="46"/>
        <v>#REF!</v>
      </c>
      <c r="BO107" s="85" t="e">
        <f t="shared" si="46"/>
        <v>#REF!</v>
      </c>
      <c r="BP107" s="85" t="e">
        <f t="shared" si="46"/>
        <v>#REF!</v>
      </c>
      <c r="BQ107" s="85" t="e">
        <f t="shared" si="46"/>
        <v>#REF!</v>
      </c>
      <c r="BR107" s="86"/>
      <c r="BS107" s="86"/>
      <c r="BT107" s="152" t="e">
        <f t="shared" si="46"/>
        <v>#REF!</v>
      </c>
    </row>
    <row r="108" spans="1:72" hidden="1" x14ac:dyDescent="0.2">
      <c r="A108" s="123" t="s">
        <v>215</v>
      </c>
      <c r="B108" s="115" t="s">
        <v>216</v>
      </c>
      <c r="C108" s="148"/>
      <c r="D108" s="151" t="s">
        <v>206</v>
      </c>
      <c r="E108" s="85">
        <f t="shared" ref="E108:BT108" si="49">E102-E104</f>
        <v>24</v>
      </c>
      <c r="F108" s="85">
        <f t="shared" si="49"/>
        <v>24</v>
      </c>
      <c r="G108" s="85">
        <f t="shared" si="49"/>
        <v>24</v>
      </c>
      <c r="H108" s="85"/>
      <c r="I108" s="85">
        <f t="shared" si="49"/>
        <v>24</v>
      </c>
      <c r="J108" s="85">
        <f t="shared" si="49"/>
        <v>24</v>
      </c>
      <c r="K108" s="85">
        <f t="shared" si="49"/>
        <v>24</v>
      </c>
      <c r="L108" s="85">
        <f t="shared" ref="L108:AI108" si="50">L102-L104</f>
        <v>24</v>
      </c>
      <c r="M108" s="85">
        <f t="shared" si="50"/>
        <v>24</v>
      </c>
      <c r="N108" s="85">
        <f t="shared" si="50"/>
        <v>24</v>
      </c>
      <c r="O108" s="85">
        <f t="shared" si="50"/>
        <v>24</v>
      </c>
      <c r="P108" s="85">
        <f t="shared" si="50"/>
        <v>24</v>
      </c>
      <c r="Q108" s="85">
        <f t="shared" si="50"/>
        <v>24</v>
      </c>
      <c r="R108" s="85">
        <f t="shared" si="50"/>
        <v>24</v>
      </c>
      <c r="S108" s="85">
        <f t="shared" si="50"/>
        <v>24</v>
      </c>
      <c r="T108" s="85">
        <f t="shared" si="50"/>
        <v>24</v>
      </c>
      <c r="U108" s="85">
        <f t="shared" si="50"/>
        <v>24</v>
      </c>
      <c r="V108" s="85">
        <f t="shared" si="50"/>
        <v>24</v>
      </c>
      <c r="W108" s="85">
        <f t="shared" si="50"/>
        <v>24</v>
      </c>
      <c r="X108" s="85">
        <f t="shared" si="50"/>
        <v>24</v>
      </c>
      <c r="Y108" s="85">
        <f t="shared" si="50"/>
        <v>24</v>
      </c>
      <c r="Z108" s="85">
        <f t="shared" si="50"/>
        <v>24</v>
      </c>
      <c r="AA108" s="85">
        <f t="shared" si="50"/>
        <v>24</v>
      </c>
      <c r="AB108" s="85">
        <f t="shared" si="50"/>
        <v>24</v>
      </c>
      <c r="AC108" s="85">
        <f t="shared" si="50"/>
        <v>24</v>
      </c>
      <c r="AD108" s="85">
        <f t="shared" si="50"/>
        <v>24</v>
      </c>
      <c r="AE108" s="85">
        <f t="shared" si="50"/>
        <v>24</v>
      </c>
      <c r="AF108" s="85">
        <f t="shared" si="50"/>
        <v>24</v>
      </c>
      <c r="AG108" s="85">
        <f t="shared" si="50"/>
        <v>24</v>
      </c>
      <c r="AH108" s="85">
        <f t="shared" si="50"/>
        <v>24</v>
      </c>
      <c r="AI108" s="85">
        <f t="shared" si="50"/>
        <v>24</v>
      </c>
      <c r="AJ108" s="85">
        <f t="shared" ref="AJ108" si="51">AJ102-AJ104</f>
        <v>24</v>
      </c>
      <c r="AK108" s="85">
        <f t="shared" si="49"/>
        <v>24</v>
      </c>
      <c r="AL108" s="85">
        <f t="shared" si="49"/>
        <v>24</v>
      </c>
      <c r="AM108" s="85">
        <f t="shared" si="49"/>
        <v>24</v>
      </c>
      <c r="AN108" s="85">
        <f t="shared" si="49"/>
        <v>24</v>
      </c>
      <c r="AO108" s="85">
        <f t="shared" si="49"/>
        <v>24</v>
      </c>
      <c r="AP108" s="85">
        <f t="shared" si="49"/>
        <v>24</v>
      </c>
      <c r="AQ108" s="85">
        <f t="shared" si="49"/>
        <v>24</v>
      </c>
      <c r="AR108" s="85">
        <f t="shared" si="49"/>
        <v>24</v>
      </c>
      <c r="AS108" s="85">
        <f t="shared" si="49"/>
        <v>24</v>
      </c>
      <c r="AT108" s="85">
        <f t="shared" si="49"/>
        <v>24</v>
      </c>
      <c r="AU108" s="85">
        <f t="shared" si="49"/>
        <v>24</v>
      </c>
      <c r="AV108" s="85">
        <f t="shared" si="49"/>
        <v>24</v>
      </c>
      <c r="AW108" s="85">
        <f t="shared" si="49"/>
        <v>24</v>
      </c>
      <c r="AX108" s="85">
        <f t="shared" si="49"/>
        <v>24</v>
      </c>
      <c r="AY108" s="85">
        <f t="shared" si="49"/>
        <v>24</v>
      </c>
      <c r="AZ108" s="85">
        <f t="shared" si="49"/>
        <v>24</v>
      </c>
      <c r="BA108" s="85">
        <f t="shared" si="49"/>
        <v>24</v>
      </c>
      <c r="BB108" s="85">
        <f t="shared" si="49"/>
        <v>24</v>
      </c>
      <c r="BC108" s="85">
        <f t="shared" si="49"/>
        <v>24</v>
      </c>
      <c r="BD108" s="85">
        <f t="shared" si="49"/>
        <v>24</v>
      </c>
      <c r="BE108" s="85">
        <f t="shared" si="49"/>
        <v>24</v>
      </c>
      <c r="BF108" s="85">
        <f t="shared" si="49"/>
        <v>24</v>
      </c>
      <c r="BG108" s="85">
        <f t="shared" si="49"/>
        <v>24</v>
      </c>
      <c r="BH108" s="85">
        <f t="shared" si="49"/>
        <v>24</v>
      </c>
      <c r="BI108" s="85">
        <f t="shared" si="49"/>
        <v>24</v>
      </c>
      <c r="BJ108" s="85">
        <f t="shared" si="49"/>
        <v>24</v>
      </c>
      <c r="BK108" s="85">
        <f t="shared" si="49"/>
        <v>24</v>
      </c>
      <c r="BL108" s="85">
        <f t="shared" si="49"/>
        <v>24</v>
      </c>
      <c r="BM108" s="85">
        <f t="shared" si="49"/>
        <v>24</v>
      </c>
      <c r="BN108" s="85">
        <f t="shared" si="49"/>
        <v>24</v>
      </c>
      <c r="BO108" s="85">
        <f t="shared" si="49"/>
        <v>24</v>
      </c>
      <c r="BP108" s="85">
        <f t="shared" si="49"/>
        <v>24</v>
      </c>
      <c r="BQ108" s="85">
        <f t="shared" si="49"/>
        <v>24</v>
      </c>
      <c r="BR108" s="86"/>
      <c r="BS108" s="86"/>
      <c r="BT108" s="152">
        <f t="shared" si="49"/>
        <v>864</v>
      </c>
    </row>
    <row r="109" spans="1:72" hidden="1" x14ac:dyDescent="0.2">
      <c r="A109" s="123" t="s">
        <v>217</v>
      </c>
      <c r="B109" s="115" t="s">
        <v>218</v>
      </c>
      <c r="C109" s="148"/>
      <c r="D109" s="151" t="s">
        <v>206</v>
      </c>
      <c r="E109" s="85">
        <f t="shared" ref="E109:BT109" si="52">E102-E103</f>
        <v>24</v>
      </c>
      <c r="F109" s="85">
        <f t="shared" si="52"/>
        <v>24</v>
      </c>
      <c r="G109" s="85">
        <f t="shared" si="52"/>
        <v>24</v>
      </c>
      <c r="H109" s="85"/>
      <c r="I109" s="85" t="e">
        <f t="shared" si="52"/>
        <v>#REF!</v>
      </c>
      <c r="J109" s="85" t="e">
        <f t="shared" si="52"/>
        <v>#REF!</v>
      </c>
      <c r="K109" s="85" t="e">
        <f t="shared" si="52"/>
        <v>#REF!</v>
      </c>
      <c r="L109" s="85" t="e">
        <f t="shared" ref="L109:AI109" si="53">L102-L103</f>
        <v>#REF!</v>
      </c>
      <c r="M109" s="85" t="e">
        <f t="shared" si="53"/>
        <v>#REF!</v>
      </c>
      <c r="N109" s="85" t="e">
        <f t="shared" si="53"/>
        <v>#REF!</v>
      </c>
      <c r="O109" s="85" t="e">
        <f t="shared" si="53"/>
        <v>#REF!</v>
      </c>
      <c r="P109" s="85" t="e">
        <f t="shared" si="53"/>
        <v>#REF!</v>
      </c>
      <c r="Q109" s="85" t="e">
        <f t="shared" si="53"/>
        <v>#REF!</v>
      </c>
      <c r="R109" s="85" t="e">
        <f t="shared" si="53"/>
        <v>#REF!</v>
      </c>
      <c r="S109" s="85" t="e">
        <f t="shared" si="53"/>
        <v>#REF!</v>
      </c>
      <c r="T109" s="85" t="e">
        <f t="shared" si="53"/>
        <v>#REF!</v>
      </c>
      <c r="U109" s="85" t="e">
        <f t="shared" si="53"/>
        <v>#REF!</v>
      </c>
      <c r="V109" s="85" t="e">
        <f t="shared" si="53"/>
        <v>#REF!</v>
      </c>
      <c r="W109" s="85" t="e">
        <f t="shared" si="53"/>
        <v>#REF!</v>
      </c>
      <c r="X109" s="85" t="e">
        <f t="shared" si="53"/>
        <v>#REF!</v>
      </c>
      <c r="Y109" s="85" t="e">
        <f t="shared" si="53"/>
        <v>#REF!</v>
      </c>
      <c r="Z109" s="85" t="e">
        <f t="shared" si="53"/>
        <v>#REF!</v>
      </c>
      <c r="AA109" s="85" t="e">
        <f t="shared" si="53"/>
        <v>#REF!</v>
      </c>
      <c r="AB109" s="85" t="e">
        <f t="shared" si="53"/>
        <v>#REF!</v>
      </c>
      <c r="AC109" s="85" t="e">
        <f t="shared" si="53"/>
        <v>#REF!</v>
      </c>
      <c r="AD109" s="85" t="e">
        <f t="shared" si="53"/>
        <v>#REF!</v>
      </c>
      <c r="AE109" s="85" t="e">
        <f t="shared" si="53"/>
        <v>#REF!</v>
      </c>
      <c r="AF109" s="85" t="e">
        <f t="shared" si="53"/>
        <v>#REF!</v>
      </c>
      <c r="AG109" s="85" t="e">
        <f t="shared" si="53"/>
        <v>#REF!</v>
      </c>
      <c r="AH109" s="85" t="e">
        <f t="shared" si="53"/>
        <v>#REF!</v>
      </c>
      <c r="AI109" s="85" t="e">
        <f t="shared" si="53"/>
        <v>#REF!</v>
      </c>
      <c r="AJ109" s="85" t="e">
        <f t="shared" ref="AJ109" si="54">AJ102-AJ103</f>
        <v>#REF!</v>
      </c>
      <c r="AK109" s="85" t="e">
        <f t="shared" si="52"/>
        <v>#REF!</v>
      </c>
      <c r="AL109" s="85" t="e">
        <f t="shared" si="52"/>
        <v>#REF!</v>
      </c>
      <c r="AM109" s="85" t="e">
        <f t="shared" si="52"/>
        <v>#REF!</v>
      </c>
      <c r="AN109" s="85" t="e">
        <f t="shared" si="52"/>
        <v>#REF!</v>
      </c>
      <c r="AO109" s="85" t="e">
        <f t="shared" si="52"/>
        <v>#REF!</v>
      </c>
      <c r="AP109" s="85" t="e">
        <f t="shared" si="52"/>
        <v>#REF!</v>
      </c>
      <c r="AQ109" s="85" t="e">
        <f t="shared" si="52"/>
        <v>#REF!</v>
      </c>
      <c r="AR109" s="85" t="e">
        <f t="shared" si="52"/>
        <v>#REF!</v>
      </c>
      <c r="AS109" s="85" t="e">
        <f t="shared" si="52"/>
        <v>#REF!</v>
      </c>
      <c r="AT109" s="85" t="e">
        <f t="shared" si="52"/>
        <v>#REF!</v>
      </c>
      <c r="AU109" s="85" t="e">
        <f t="shared" si="52"/>
        <v>#REF!</v>
      </c>
      <c r="AV109" s="85" t="e">
        <f t="shared" si="52"/>
        <v>#REF!</v>
      </c>
      <c r="AW109" s="85" t="e">
        <f t="shared" si="52"/>
        <v>#REF!</v>
      </c>
      <c r="AX109" s="85" t="e">
        <f t="shared" si="52"/>
        <v>#REF!</v>
      </c>
      <c r="AY109" s="85" t="e">
        <f t="shared" si="52"/>
        <v>#REF!</v>
      </c>
      <c r="AZ109" s="85" t="e">
        <f t="shared" si="52"/>
        <v>#REF!</v>
      </c>
      <c r="BA109" s="85" t="e">
        <f t="shared" si="52"/>
        <v>#REF!</v>
      </c>
      <c r="BB109" s="85" t="e">
        <f t="shared" si="52"/>
        <v>#REF!</v>
      </c>
      <c r="BC109" s="85" t="e">
        <f t="shared" si="52"/>
        <v>#REF!</v>
      </c>
      <c r="BD109" s="85" t="e">
        <f t="shared" si="52"/>
        <v>#REF!</v>
      </c>
      <c r="BE109" s="85" t="e">
        <f t="shared" si="52"/>
        <v>#REF!</v>
      </c>
      <c r="BF109" s="85" t="e">
        <f t="shared" si="52"/>
        <v>#REF!</v>
      </c>
      <c r="BG109" s="85" t="e">
        <f t="shared" si="52"/>
        <v>#REF!</v>
      </c>
      <c r="BH109" s="85" t="e">
        <f t="shared" si="52"/>
        <v>#REF!</v>
      </c>
      <c r="BI109" s="85">
        <f t="shared" si="52"/>
        <v>22</v>
      </c>
      <c r="BJ109" s="85">
        <f t="shared" si="52"/>
        <v>22</v>
      </c>
      <c r="BK109" s="85">
        <f t="shared" si="52"/>
        <v>22</v>
      </c>
      <c r="BL109" s="85">
        <f t="shared" si="52"/>
        <v>22</v>
      </c>
      <c r="BM109" s="85">
        <f t="shared" si="52"/>
        <v>22</v>
      </c>
      <c r="BN109" s="85">
        <f t="shared" si="52"/>
        <v>22</v>
      </c>
      <c r="BO109" s="85">
        <f t="shared" si="52"/>
        <v>22</v>
      </c>
      <c r="BP109" s="85">
        <f t="shared" si="52"/>
        <v>22</v>
      </c>
      <c r="BQ109" s="85">
        <f t="shared" si="52"/>
        <v>22</v>
      </c>
      <c r="BR109" s="86"/>
      <c r="BS109" s="86"/>
      <c r="BT109" s="152" t="e">
        <f t="shared" si="52"/>
        <v>#REF!</v>
      </c>
    </row>
    <row r="110" spans="1:72" hidden="1" x14ac:dyDescent="0.2">
      <c r="A110" s="123" t="s">
        <v>219</v>
      </c>
      <c r="B110" s="115" t="s">
        <v>220</v>
      </c>
      <c r="C110" s="148"/>
      <c r="D110" s="151"/>
      <c r="E110" s="85">
        <f t="shared" ref="E110:BT110" si="55">E109/E108</f>
        <v>1</v>
      </c>
      <c r="F110" s="85">
        <f t="shared" si="55"/>
        <v>1</v>
      </c>
      <c r="G110" s="85">
        <f t="shared" si="55"/>
        <v>1</v>
      </c>
      <c r="H110" s="85"/>
      <c r="I110" s="85" t="e">
        <f t="shared" si="55"/>
        <v>#REF!</v>
      </c>
      <c r="J110" s="85" t="e">
        <f t="shared" si="55"/>
        <v>#REF!</v>
      </c>
      <c r="K110" s="85" t="e">
        <f t="shared" si="55"/>
        <v>#REF!</v>
      </c>
      <c r="L110" s="85" t="e">
        <f t="shared" ref="L110:AI110" si="56">L109/L108</f>
        <v>#REF!</v>
      </c>
      <c r="M110" s="85" t="e">
        <f t="shared" si="56"/>
        <v>#REF!</v>
      </c>
      <c r="N110" s="85" t="e">
        <f t="shared" si="56"/>
        <v>#REF!</v>
      </c>
      <c r="O110" s="85" t="e">
        <f t="shared" si="56"/>
        <v>#REF!</v>
      </c>
      <c r="P110" s="85" t="e">
        <f t="shared" si="56"/>
        <v>#REF!</v>
      </c>
      <c r="Q110" s="85" t="e">
        <f t="shared" si="56"/>
        <v>#REF!</v>
      </c>
      <c r="R110" s="85" t="e">
        <f t="shared" si="56"/>
        <v>#REF!</v>
      </c>
      <c r="S110" s="85" t="e">
        <f t="shared" si="56"/>
        <v>#REF!</v>
      </c>
      <c r="T110" s="85" t="e">
        <f t="shared" si="56"/>
        <v>#REF!</v>
      </c>
      <c r="U110" s="85" t="e">
        <f t="shared" si="56"/>
        <v>#REF!</v>
      </c>
      <c r="V110" s="85" t="e">
        <f t="shared" si="56"/>
        <v>#REF!</v>
      </c>
      <c r="W110" s="85" t="e">
        <f t="shared" si="56"/>
        <v>#REF!</v>
      </c>
      <c r="X110" s="85" t="e">
        <f t="shared" si="56"/>
        <v>#REF!</v>
      </c>
      <c r="Y110" s="85" t="e">
        <f t="shared" si="56"/>
        <v>#REF!</v>
      </c>
      <c r="Z110" s="85" t="e">
        <f t="shared" si="56"/>
        <v>#REF!</v>
      </c>
      <c r="AA110" s="85" t="e">
        <f t="shared" si="56"/>
        <v>#REF!</v>
      </c>
      <c r="AB110" s="85" t="e">
        <f t="shared" si="56"/>
        <v>#REF!</v>
      </c>
      <c r="AC110" s="85" t="e">
        <f t="shared" si="56"/>
        <v>#REF!</v>
      </c>
      <c r="AD110" s="85" t="e">
        <f t="shared" si="56"/>
        <v>#REF!</v>
      </c>
      <c r="AE110" s="85" t="e">
        <f t="shared" si="56"/>
        <v>#REF!</v>
      </c>
      <c r="AF110" s="85" t="e">
        <f t="shared" si="56"/>
        <v>#REF!</v>
      </c>
      <c r="AG110" s="85" t="e">
        <f t="shared" si="56"/>
        <v>#REF!</v>
      </c>
      <c r="AH110" s="85" t="e">
        <f t="shared" si="56"/>
        <v>#REF!</v>
      </c>
      <c r="AI110" s="85" t="e">
        <f t="shared" si="56"/>
        <v>#REF!</v>
      </c>
      <c r="AJ110" s="85" t="e">
        <f t="shared" ref="AJ110" si="57">AJ109/AJ108</f>
        <v>#REF!</v>
      </c>
      <c r="AK110" s="85" t="e">
        <f t="shared" si="55"/>
        <v>#REF!</v>
      </c>
      <c r="AL110" s="85" t="e">
        <f t="shared" si="55"/>
        <v>#REF!</v>
      </c>
      <c r="AM110" s="85" t="e">
        <f t="shared" si="55"/>
        <v>#REF!</v>
      </c>
      <c r="AN110" s="85" t="e">
        <f t="shared" si="55"/>
        <v>#REF!</v>
      </c>
      <c r="AO110" s="85" t="e">
        <f t="shared" si="55"/>
        <v>#REF!</v>
      </c>
      <c r="AP110" s="85" t="e">
        <f t="shared" si="55"/>
        <v>#REF!</v>
      </c>
      <c r="AQ110" s="85" t="e">
        <f t="shared" si="55"/>
        <v>#REF!</v>
      </c>
      <c r="AR110" s="85" t="e">
        <f t="shared" si="55"/>
        <v>#REF!</v>
      </c>
      <c r="AS110" s="85" t="e">
        <f t="shared" si="55"/>
        <v>#REF!</v>
      </c>
      <c r="AT110" s="85" t="e">
        <f t="shared" si="55"/>
        <v>#REF!</v>
      </c>
      <c r="AU110" s="85" t="e">
        <f t="shared" si="55"/>
        <v>#REF!</v>
      </c>
      <c r="AV110" s="85" t="e">
        <f t="shared" si="55"/>
        <v>#REF!</v>
      </c>
      <c r="AW110" s="85" t="e">
        <f t="shared" si="55"/>
        <v>#REF!</v>
      </c>
      <c r="AX110" s="85" t="e">
        <f t="shared" si="55"/>
        <v>#REF!</v>
      </c>
      <c r="AY110" s="85" t="e">
        <f t="shared" si="55"/>
        <v>#REF!</v>
      </c>
      <c r="AZ110" s="85" t="e">
        <f t="shared" si="55"/>
        <v>#REF!</v>
      </c>
      <c r="BA110" s="85" t="e">
        <f t="shared" si="55"/>
        <v>#REF!</v>
      </c>
      <c r="BB110" s="85" t="e">
        <f t="shared" si="55"/>
        <v>#REF!</v>
      </c>
      <c r="BC110" s="85" t="e">
        <f t="shared" si="55"/>
        <v>#REF!</v>
      </c>
      <c r="BD110" s="85" t="e">
        <f t="shared" si="55"/>
        <v>#REF!</v>
      </c>
      <c r="BE110" s="85" t="e">
        <f t="shared" si="55"/>
        <v>#REF!</v>
      </c>
      <c r="BF110" s="85" t="e">
        <f t="shared" si="55"/>
        <v>#REF!</v>
      </c>
      <c r="BG110" s="85" t="e">
        <f t="shared" si="55"/>
        <v>#REF!</v>
      </c>
      <c r="BH110" s="85" t="e">
        <f t="shared" si="55"/>
        <v>#REF!</v>
      </c>
      <c r="BI110" s="85">
        <f t="shared" si="55"/>
        <v>0.91666666666666663</v>
      </c>
      <c r="BJ110" s="85">
        <f t="shared" si="55"/>
        <v>0.91666666666666663</v>
      </c>
      <c r="BK110" s="85">
        <f t="shared" si="55"/>
        <v>0.91666666666666663</v>
      </c>
      <c r="BL110" s="85">
        <f t="shared" si="55"/>
        <v>0.91666666666666663</v>
      </c>
      <c r="BM110" s="85">
        <f t="shared" si="55"/>
        <v>0.91666666666666663</v>
      </c>
      <c r="BN110" s="85">
        <f t="shared" si="55"/>
        <v>0.91666666666666663</v>
      </c>
      <c r="BO110" s="85">
        <f t="shared" si="55"/>
        <v>0.91666666666666663</v>
      </c>
      <c r="BP110" s="85">
        <f t="shared" si="55"/>
        <v>0.91666666666666663</v>
      </c>
      <c r="BQ110" s="85">
        <f t="shared" si="55"/>
        <v>0.91666666666666663</v>
      </c>
      <c r="BR110" s="86"/>
      <c r="BS110" s="86"/>
      <c r="BT110" s="152" t="e">
        <f t="shared" si="55"/>
        <v>#REF!</v>
      </c>
    </row>
    <row r="111" spans="1:72" hidden="1" x14ac:dyDescent="0.2">
      <c r="A111" s="123" t="s">
        <v>14</v>
      </c>
      <c r="B111" s="115" t="s">
        <v>221</v>
      </c>
      <c r="C111" s="148"/>
      <c r="D111" s="151"/>
      <c r="E111" s="85" t="e">
        <f t="shared" ref="E111:BT111" si="58">E107*E101/E109</f>
        <v>#DIV/0!</v>
      </c>
      <c r="F111" s="85" t="e">
        <f t="shared" si="58"/>
        <v>#DIV/0!</v>
      </c>
      <c r="G111" s="85" t="e">
        <f t="shared" si="58"/>
        <v>#DIV/0!</v>
      </c>
      <c r="H111" s="85"/>
      <c r="I111" s="85" t="e">
        <f t="shared" si="58"/>
        <v>#REF!</v>
      </c>
      <c r="J111" s="85" t="e">
        <f t="shared" si="58"/>
        <v>#REF!</v>
      </c>
      <c r="K111" s="85" t="e">
        <f t="shared" si="58"/>
        <v>#REF!</v>
      </c>
      <c r="L111" s="85" t="e">
        <f t="shared" ref="L111:AI111" si="59">L107*L101/L109</f>
        <v>#REF!</v>
      </c>
      <c r="M111" s="85" t="e">
        <f t="shared" si="59"/>
        <v>#REF!</v>
      </c>
      <c r="N111" s="85" t="e">
        <f t="shared" si="59"/>
        <v>#REF!</v>
      </c>
      <c r="O111" s="85" t="e">
        <f t="shared" si="59"/>
        <v>#REF!</v>
      </c>
      <c r="P111" s="85" t="e">
        <f t="shared" si="59"/>
        <v>#REF!</v>
      </c>
      <c r="Q111" s="85" t="e">
        <f t="shared" si="59"/>
        <v>#REF!</v>
      </c>
      <c r="R111" s="85" t="e">
        <f t="shared" si="59"/>
        <v>#REF!</v>
      </c>
      <c r="S111" s="85" t="e">
        <f t="shared" si="59"/>
        <v>#REF!</v>
      </c>
      <c r="T111" s="85" t="e">
        <f t="shared" si="59"/>
        <v>#REF!</v>
      </c>
      <c r="U111" s="85" t="e">
        <f t="shared" si="59"/>
        <v>#REF!</v>
      </c>
      <c r="V111" s="85" t="e">
        <f t="shared" si="59"/>
        <v>#REF!</v>
      </c>
      <c r="W111" s="85" t="e">
        <f t="shared" si="59"/>
        <v>#REF!</v>
      </c>
      <c r="X111" s="85" t="e">
        <f t="shared" si="59"/>
        <v>#REF!</v>
      </c>
      <c r="Y111" s="85" t="e">
        <f t="shared" si="59"/>
        <v>#REF!</v>
      </c>
      <c r="Z111" s="85" t="e">
        <f t="shared" si="59"/>
        <v>#REF!</v>
      </c>
      <c r="AA111" s="85" t="e">
        <f t="shared" si="59"/>
        <v>#REF!</v>
      </c>
      <c r="AB111" s="85" t="e">
        <f t="shared" si="59"/>
        <v>#REF!</v>
      </c>
      <c r="AC111" s="85" t="e">
        <f t="shared" si="59"/>
        <v>#REF!</v>
      </c>
      <c r="AD111" s="85" t="e">
        <f t="shared" si="59"/>
        <v>#REF!</v>
      </c>
      <c r="AE111" s="85" t="e">
        <f t="shared" si="59"/>
        <v>#REF!</v>
      </c>
      <c r="AF111" s="85" t="e">
        <f t="shared" si="59"/>
        <v>#REF!</v>
      </c>
      <c r="AG111" s="85" t="e">
        <f t="shared" si="59"/>
        <v>#REF!</v>
      </c>
      <c r="AH111" s="85" t="e">
        <f t="shared" si="59"/>
        <v>#REF!</v>
      </c>
      <c r="AI111" s="85" t="e">
        <f t="shared" si="59"/>
        <v>#REF!</v>
      </c>
      <c r="AJ111" s="85" t="e">
        <f t="shared" ref="AJ111" si="60">AJ107*AJ101/AJ109</f>
        <v>#REF!</v>
      </c>
      <c r="AK111" s="85" t="e">
        <f t="shared" si="58"/>
        <v>#REF!</v>
      </c>
      <c r="AL111" s="85" t="e">
        <f t="shared" si="58"/>
        <v>#REF!</v>
      </c>
      <c r="AM111" s="85" t="e">
        <f t="shared" si="58"/>
        <v>#REF!</v>
      </c>
      <c r="AN111" s="85" t="e">
        <f t="shared" si="58"/>
        <v>#REF!</v>
      </c>
      <c r="AO111" s="85" t="e">
        <f t="shared" si="58"/>
        <v>#REF!</v>
      </c>
      <c r="AP111" s="85" t="e">
        <f t="shared" si="58"/>
        <v>#REF!</v>
      </c>
      <c r="AQ111" s="85" t="e">
        <f t="shared" si="58"/>
        <v>#REF!</v>
      </c>
      <c r="AR111" s="85" t="e">
        <f t="shared" si="58"/>
        <v>#REF!</v>
      </c>
      <c r="AS111" s="85" t="e">
        <f t="shared" si="58"/>
        <v>#REF!</v>
      </c>
      <c r="AT111" s="85" t="e">
        <f t="shared" si="58"/>
        <v>#REF!</v>
      </c>
      <c r="AU111" s="85" t="e">
        <f t="shared" si="58"/>
        <v>#REF!</v>
      </c>
      <c r="AV111" s="85" t="e">
        <f t="shared" si="58"/>
        <v>#REF!</v>
      </c>
      <c r="AW111" s="85" t="e">
        <f t="shared" si="58"/>
        <v>#REF!</v>
      </c>
      <c r="AX111" s="85" t="e">
        <f t="shared" si="58"/>
        <v>#REF!</v>
      </c>
      <c r="AY111" s="85" t="e">
        <f t="shared" si="58"/>
        <v>#REF!</v>
      </c>
      <c r="AZ111" s="85" t="e">
        <f t="shared" si="58"/>
        <v>#REF!</v>
      </c>
      <c r="BA111" s="85" t="e">
        <f t="shared" si="58"/>
        <v>#REF!</v>
      </c>
      <c r="BB111" s="85" t="e">
        <f t="shared" si="58"/>
        <v>#REF!</v>
      </c>
      <c r="BC111" s="85" t="e">
        <f t="shared" si="58"/>
        <v>#REF!</v>
      </c>
      <c r="BD111" s="85" t="e">
        <f t="shared" si="58"/>
        <v>#REF!</v>
      </c>
      <c r="BE111" s="85" t="e">
        <f t="shared" si="58"/>
        <v>#REF!</v>
      </c>
      <c r="BF111" s="85" t="e">
        <f t="shared" si="58"/>
        <v>#REF!</v>
      </c>
      <c r="BG111" s="85" t="e">
        <f t="shared" si="58"/>
        <v>#REF!</v>
      </c>
      <c r="BH111" s="85" t="e">
        <f t="shared" si="58"/>
        <v>#REF!</v>
      </c>
      <c r="BI111" s="85" t="e">
        <f t="shared" si="58"/>
        <v>#REF!</v>
      </c>
      <c r="BJ111" s="85" t="e">
        <f t="shared" si="58"/>
        <v>#REF!</v>
      </c>
      <c r="BK111" s="85" t="e">
        <f t="shared" si="58"/>
        <v>#REF!</v>
      </c>
      <c r="BL111" s="85" t="e">
        <f t="shared" si="58"/>
        <v>#REF!</v>
      </c>
      <c r="BM111" s="85" t="e">
        <f t="shared" si="58"/>
        <v>#REF!</v>
      </c>
      <c r="BN111" s="85" t="e">
        <f t="shared" si="58"/>
        <v>#REF!</v>
      </c>
      <c r="BO111" s="85" t="e">
        <f t="shared" si="58"/>
        <v>#REF!</v>
      </c>
      <c r="BP111" s="85" t="e">
        <f t="shared" si="58"/>
        <v>#REF!</v>
      </c>
      <c r="BQ111" s="85" t="e">
        <f t="shared" si="58"/>
        <v>#REF!</v>
      </c>
      <c r="BR111" s="86"/>
      <c r="BS111" s="86"/>
      <c r="BT111" s="152" t="e">
        <f t="shared" si="58"/>
        <v>#REF!</v>
      </c>
    </row>
    <row r="112" spans="1:72" ht="21" hidden="1" thickBot="1" x14ac:dyDescent="0.25">
      <c r="A112" s="153"/>
      <c r="B112" s="131" t="s">
        <v>222</v>
      </c>
      <c r="C112" s="132"/>
      <c r="D112" s="133" t="s">
        <v>173</v>
      </c>
      <c r="E112" s="154" t="e">
        <f t="shared" ref="E112:BT112" si="61">E111*E110*100</f>
        <v>#DIV/0!</v>
      </c>
      <c r="F112" s="154" t="e">
        <f t="shared" si="61"/>
        <v>#DIV/0!</v>
      </c>
      <c r="G112" s="154" t="e">
        <f t="shared" si="61"/>
        <v>#DIV/0!</v>
      </c>
      <c r="H112" s="154">
        <f t="shared" si="61"/>
        <v>0</v>
      </c>
      <c r="I112" s="154" t="e">
        <f t="shared" si="61"/>
        <v>#REF!</v>
      </c>
      <c r="J112" s="154" t="e">
        <f t="shared" si="61"/>
        <v>#REF!</v>
      </c>
      <c r="K112" s="154" t="e">
        <f t="shared" si="61"/>
        <v>#REF!</v>
      </c>
      <c r="L112" s="154" t="e">
        <f t="shared" ref="L112:AI112" si="62">L111*L110*100</f>
        <v>#REF!</v>
      </c>
      <c r="M112" s="154" t="e">
        <f t="shared" si="62"/>
        <v>#REF!</v>
      </c>
      <c r="N112" s="154" t="e">
        <f t="shared" si="62"/>
        <v>#REF!</v>
      </c>
      <c r="O112" s="154" t="e">
        <f t="shared" si="62"/>
        <v>#REF!</v>
      </c>
      <c r="P112" s="154" t="e">
        <f t="shared" si="62"/>
        <v>#REF!</v>
      </c>
      <c r="Q112" s="154" t="e">
        <f t="shared" si="62"/>
        <v>#REF!</v>
      </c>
      <c r="R112" s="154" t="e">
        <f t="shared" si="62"/>
        <v>#REF!</v>
      </c>
      <c r="S112" s="154" t="e">
        <f t="shared" si="62"/>
        <v>#REF!</v>
      </c>
      <c r="T112" s="154" t="e">
        <f t="shared" si="62"/>
        <v>#REF!</v>
      </c>
      <c r="U112" s="154" t="e">
        <f t="shared" si="62"/>
        <v>#REF!</v>
      </c>
      <c r="V112" s="154" t="e">
        <f t="shared" si="62"/>
        <v>#REF!</v>
      </c>
      <c r="W112" s="154" t="e">
        <f t="shared" si="62"/>
        <v>#REF!</v>
      </c>
      <c r="X112" s="154" t="e">
        <f t="shared" si="62"/>
        <v>#REF!</v>
      </c>
      <c r="Y112" s="154" t="e">
        <f t="shared" si="62"/>
        <v>#REF!</v>
      </c>
      <c r="Z112" s="154" t="e">
        <f t="shared" si="62"/>
        <v>#REF!</v>
      </c>
      <c r="AA112" s="154" t="e">
        <f t="shared" si="62"/>
        <v>#REF!</v>
      </c>
      <c r="AB112" s="154" t="e">
        <f t="shared" si="62"/>
        <v>#REF!</v>
      </c>
      <c r="AC112" s="154" t="e">
        <f t="shared" si="62"/>
        <v>#REF!</v>
      </c>
      <c r="AD112" s="154" t="e">
        <f t="shared" si="62"/>
        <v>#REF!</v>
      </c>
      <c r="AE112" s="154" t="e">
        <f t="shared" si="62"/>
        <v>#REF!</v>
      </c>
      <c r="AF112" s="154" t="e">
        <f t="shared" si="62"/>
        <v>#REF!</v>
      </c>
      <c r="AG112" s="154" t="e">
        <f t="shared" si="62"/>
        <v>#REF!</v>
      </c>
      <c r="AH112" s="154" t="e">
        <f t="shared" si="62"/>
        <v>#REF!</v>
      </c>
      <c r="AI112" s="154" t="e">
        <f t="shared" si="62"/>
        <v>#REF!</v>
      </c>
      <c r="AJ112" s="154" t="e">
        <f t="shared" ref="AJ112" si="63">AJ111*AJ110*100</f>
        <v>#REF!</v>
      </c>
      <c r="AK112" s="154" t="e">
        <f t="shared" si="61"/>
        <v>#REF!</v>
      </c>
      <c r="AL112" s="154" t="e">
        <f t="shared" si="61"/>
        <v>#REF!</v>
      </c>
      <c r="AM112" s="154" t="e">
        <f t="shared" si="61"/>
        <v>#REF!</v>
      </c>
      <c r="AN112" s="154" t="e">
        <f t="shared" si="61"/>
        <v>#REF!</v>
      </c>
      <c r="AO112" s="154" t="e">
        <f t="shared" si="61"/>
        <v>#REF!</v>
      </c>
      <c r="AP112" s="154" t="e">
        <f t="shared" si="61"/>
        <v>#REF!</v>
      </c>
      <c r="AQ112" s="154" t="e">
        <f t="shared" si="61"/>
        <v>#REF!</v>
      </c>
      <c r="AR112" s="154" t="e">
        <f t="shared" si="61"/>
        <v>#REF!</v>
      </c>
      <c r="AS112" s="154" t="e">
        <f t="shared" si="61"/>
        <v>#REF!</v>
      </c>
      <c r="AT112" s="154" t="e">
        <f t="shared" si="61"/>
        <v>#REF!</v>
      </c>
      <c r="AU112" s="154" t="e">
        <f t="shared" si="61"/>
        <v>#REF!</v>
      </c>
      <c r="AV112" s="154" t="e">
        <f t="shared" si="61"/>
        <v>#REF!</v>
      </c>
      <c r="AW112" s="154" t="e">
        <f t="shared" si="61"/>
        <v>#REF!</v>
      </c>
      <c r="AX112" s="154" t="e">
        <f t="shared" si="61"/>
        <v>#REF!</v>
      </c>
      <c r="AY112" s="154" t="e">
        <f t="shared" si="61"/>
        <v>#REF!</v>
      </c>
      <c r="AZ112" s="154" t="e">
        <f t="shared" si="61"/>
        <v>#REF!</v>
      </c>
      <c r="BA112" s="154" t="e">
        <f t="shared" si="61"/>
        <v>#REF!</v>
      </c>
      <c r="BB112" s="154" t="e">
        <f t="shared" si="61"/>
        <v>#REF!</v>
      </c>
      <c r="BC112" s="154" t="e">
        <f t="shared" si="61"/>
        <v>#REF!</v>
      </c>
      <c r="BD112" s="154" t="e">
        <f t="shared" si="61"/>
        <v>#REF!</v>
      </c>
      <c r="BE112" s="154" t="e">
        <f t="shared" si="61"/>
        <v>#REF!</v>
      </c>
      <c r="BF112" s="154" t="e">
        <f t="shared" si="61"/>
        <v>#REF!</v>
      </c>
      <c r="BG112" s="154" t="e">
        <f t="shared" si="61"/>
        <v>#REF!</v>
      </c>
      <c r="BH112" s="154" t="e">
        <f t="shared" si="61"/>
        <v>#REF!</v>
      </c>
      <c r="BI112" s="154" t="e">
        <f t="shared" si="61"/>
        <v>#REF!</v>
      </c>
      <c r="BJ112" s="154" t="e">
        <f t="shared" si="61"/>
        <v>#REF!</v>
      </c>
      <c r="BK112" s="154" t="e">
        <f t="shared" si="61"/>
        <v>#REF!</v>
      </c>
      <c r="BL112" s="154" t="e">
        <f t="shared" si="61"/>
        <v>#REF!</v>
      </c>
      <c r="BM112" s="154" t="e">
        <f t="shared" si="61"/>
        <v>#REF!</v>
      </c>
      <c r="BN112" s="154" t="e">
        <f t="shared" si="61"/>
        <v>#REF!</v>
      </c>
      <c r="BO112" s="154" t="e">
        <f t="shared" si="61"/>
        <v>#REF!</v>
      </c>
      <c r="BP112" s="154" t="e">
        <f t="shared" si="61"/>
        <v>#REF!</v>
      </c>
      <c r="BQ112" s="154" t="e">
        <f t="shared" si="61"/>
        <v>#REF!</v>
      </c>
      <c r="BR112" s="155"/>
      <c r="BS112" s="155"/>
      <c r="BT112" s="136" t="e">
        <f t="shared" si="61"/>
        <v>#REF!</v>
      </c>
    </row>
    <row r="113" spans="1:72" x14ac:dyDescent="0.2">
      <c r="A113" s="138"/>
      <c r="B113" s="138"/>
      <c r="C113" s="139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  <c r="AP113" s="138"/>
      <c r="AQ113" s="138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/>
      <c r="BT113" s="138"/>
    </row>
    <row r="114" spans="1:72" x14ac:dyDescent="0.2">
      <c r="A114" s="138"/>
      <c r="B114" s="138"/>
      <c r="C114" s="139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  <c r="AP114" s="138"/>
      <c r="AQ114" s="138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/>
      <c r="BT114" s="138"/>
    </row>
    <row r="115" spans="1:72" ht="26.25" customHeight="1" x14ac:dyDescent="0.2">
      <c r="A115" s="138"/>
      <c r="B115" s="138"/>
      <c r="C115" s="139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38"/>
      <c r="AN115" s="138"/>
      <c r="AO115" s="138"/>
      <c r="AP115" s="138"/>
      <c r="AQ115" s="138"/>
      <c r="AR115" s="138"/>
      <c r="AS115" s="138"/>
      <c r="AT115" s="138"/>
      <c r="AU115" s="138"/>
      <c r="AV115" s="138"/>
      <c r="AW115" s="138"/>
      <c r="AX115" s="138"/>
      <c r="AY115" s="138"/>
      <c r="AZ115" s="138"/>
      <c r="BA115" s="138"/>
      <c r="BB115" s="138"/>
      <c r="BC115" s="138"/>
      <c r="BD115" s="138"/>
      <c r="BE115" s="138"/>
      <c r="BF115" s="138"/>
      <c r="BG115" s="138"/>
      <c r="BH115" s="138"/>
      <c r="BI115" s="138"/>
      <c r="BJ115" s="138"/>
      <c r="BK115" s="138"/>
      <c r="BL115" s="138"/>
      <c r="BM115" s="138"/>
      <c r="BN115" s="138"/>
      <c r="BO115" s="138"/>
      <c r="BP115" s="138"/>
      <c r="BQ115" s="138"/>
      <c r="BR115" s="138"/>
      <c r="BS115" s="138"/>
      <c r="BT115" s="156"/>
    </row>
    <row r="116" spans="1:72" ht="15.75" customHeight="1" x14ac:dyDescent="0.2">
      <c r="A116" s="138"/>
      <c r="B116" s="138" t="s">
        <v>150</v>
      </c>
      <c r="C116" s="139"/>
      <c r="D116" s="138" t="s">
        <v>16</v>
      </c>
      <c r="E116" s="138"/>
      <c r="F116" s="138"/>
      <c r="G116" s="138">
        <v>137.9</v>
      </c>
      <c r="H116" s="138">
        <v>122.9</v>
      </c>
      <c r="I116" s="138">
        <v>81.400000000000006</v>
      </c>
      <c r="J116" s="138">
        <v>117.8</v>
      </c>
      <c r="K116" s="138">
        <v>75.400000000000006</v>
      </c>
      <c r="L116" s="138">
        <v>110.7</v>
      </c>
      <c r="M116" s="138">
        <v>133.19999999999999</v>
      </c>
      <c r="N116" s="138">
        <v>87.6</v>
      </c>
      <c r="O116" s="138">
        <v>121.1</v>
      </c>
      <c r="P116" s="138">
        <v>115.6</v>
      </c>
      <c r="Q116" s="138">
        <v>114.3</v>
      </c>
      <c r="R116" s="138">
        <v>127.9</v>
      </c>
      <c r="S116" s="138">
        <v>131.80000000000001</v>
      </c>
      <c r="T116" s="138">
        <v>130.80000000000001</v>
      </c>
      <c r="U116" s="138">
        <v>130.1</v>
      </c>
      <c r="V116" s="138">
        <v>122.2</v>
      </c>
      <c r="W116" s="138">
        <v>123.6</v>
      </c>
      <c r="X116" s="138">
        <v>104.9</v>
      </c>
      <c r="Y116" s="138">
        <v>127.4</v>
      </c>
      <c r="Z116" s="138">
        <v>120.7</v>
      </c>
      <c r="AA116" s="138">
        <v>139.69999999999999</v>
      </c>
      <c r="AB116" s="138">
        <v>135.9</v>
      </c>
      <c r="AC116" s="138">
        <v>113.8</v>
      </c>
      <c r="AD116" s="138">
        <v>93.8</v>
      </c>
      <c r="AE116" s="138">
        <v>9.6999999999999993</v>
      </c>
      <c r="AF116" s="138">
        <v>137.5</v>
      </c>
      <c r="AG116" s="138">
        <v>122</v>
      </c>
      <c r="AH116" s="138">
        <v>128.5</v>
      </c>
      <c r="AI116" s="138">
        <v>138.5</v>
      </c>
      <c r="AJ116" s="138">
        <v>137.1</v>
      </c>
      <c r="AK116" s="138"/>
      <c r="AL116" s="138"/>
      <c r="AM116" s="138"/>
      <c r="AN116" s="138"/>
      <c r="AO116" s="138"/>
      <c r="AP116" s="138"/>
      <c r="AQ116" s="138"/>
      <c r="AR116" s="138"/>
      <c r="AS116" s="138"/>
      <c r="AT116" s="138"/>
      <c r="AU116" s="138"/>
      <c r="AV116" s="138"/>
      <c r="AW116" s="138"/>
      <c r="AX116" s="138"/>
      <c r="AY116" s="138"/>
      <c r="AZ116" s="138"/>
      <c r="BA116" s="138"/>
      <c r="BB116" s="138"/>
      <c r="BC116" s="138"/>
      <c r="BD116" s="138"/>
      <c r="BE116" s="138"/>
      <c r="BF116" s="138"/>
      <c r="BG116" s="138"/>
      <c r="BH116" s="138"/>
      <c r="BI116" s="138"/>
      <c r="BJ116" s="138"/>
      <c r="BK116" s="138"/>
      <c r="BL116" s="138"/>
      <c r="BM116" s="138"/>
      <c r="BN116" s="138"/>
      <c r="BO116" s="138"/>
      <c r="BP116" s="138"/>
      <c r="BQ116" s="138"/>
      <c r="BR116" s="138"/>
      <c r="BS116" s="138"/>
      <c r="BT116" s="156"/>
    </row>
    <row r="117" spans="1:72" x14ac:dyDescent="0.2">
      <c r="A117" s="138"/>
      <c r="B117" s="138" t="s">
        <v>277</v>
      </c>
      <c r="C117" s="139"/>
      <c r="D117" s="138" t="s">
        <v>283</v>
      </c>
      <c r="E117" s="138"/>
      <c r="F117" s="138"/>
      <c r="G117" s="138">
        <v>9266</v>
      </c>
      <c r="H117" s="138">
        <v>7845</v>
      </c>
      <c r="I117" s="138">
        <v>4512.7</v>
      </c>
      <c r="J117" s="138">
        <v>6347.5</v>
      </c>
      <c r="K117" s="138">
        <v>3811</v>
      </c>
      <c r="L117" s="138">
        <v>6407.3</v>
      </c>
      <c r="M117" s="138">
        <v>7543.6</v>
      </c>
      <c r="N117" s="138">
        <v>4270</v>
      </c>
      <c r="O117" s="138">
        <v>6094.7</v>
      </c>
      <c r="P117" s="138">
        <v>5730.6</v>
      </c>
      <c r="Q117" s="138">
        <v>6052.4</v>
      </c>
      <c r="R117" s="138">
        <v>7189.7</v>
      </c>
      <c r="S117" s="138">
        <v>7165.2</v>
      </c>
      <c r="T117" s="138">
        <v>7568.9</v>
      </c>
      <c r="U117" s="138">
        <v>6543.2</v>
      </c>
      <c r="V117" s="138">
        <v>5763.7</v>
      </c>
      <c r="W117" s="138">
        <v>6301.8</v>
      </c>
      <c r="X117" s="138">
        <v>4892.6000000000004</v>
      </c>
      <c r="Y117" s="138">
        <v>5229.1000000000004</v>
      </c>
      <c r="Z117" s="138">
        <v>4446.5</v>
      </c>
      <c r="AA117" s="138">
        <v>6610.2</v>
      </c>
      <c r="AB117" s="138">
        <v>5710.7</v>
      </c>
      <c r="AC117" s="138">
        <v>4617.7</v>
      </c>
      <c r="AD117" s="138">
        <v>3576.3</v>
      </c>
      <c r="AE117" s="138">
        <v>531.9</v>
      </c>
      <c r="AF117" s="138">
        <v>6605.8</v>
      </c>
      <c r="AG117" s="138">
        <v>5599.8</v>
      </c>
      <c r="AH117" s="138">
        <v>6660.2</v>
      </c>
      <c r="AI117" s="138">
        <v>7730.1</v>
      </c>
      <c r="AJ117" s="138">
        <v>8045.2</v>
      </c>
      <c r="AK117" s="138"/>
      <c r="AL117" s="138"/>
      <c r="AM117" s="138"/>
      <c r="AN117" s="138"/>
      <c r="AO117" s="138"/>
      <c r="AP117" s="138"/>
      <c r="AQ117" s="138"/>
      <c r="AR117" s="138"/>
      <c r="AS117" s="138"/>
      <c r="AT117" s="138"/>
      <c r="AU117" s="138"/>
      <c r="AV117" s="138"/>
      <c r="AW117" s="138"/>
      <c r="AX117" s="138"/>
      <c r="AY117" s="138"/>
      <c r="AZ117" s="138"/>
      <c r="BA117" s="138"/>
      <c r="BB117" s="138"/>
      <c r="BC117" s="138"/>
      <c r="BD117" s="138"/>
      <c r="BE117" s="138"/>
      <c r="BF117" s="138"/>
      <c r="BG117" s="138"/>
      <c r="BH117" s="138"/>
      <c r="BI117" s="138"/>
      <c r="BJ117" s="138"/>
      <c r="BK117" s="138"/>
      <c r="BL117" s="138"/>
      <c r="BM117" s="138"/>
      <c r="BN117" s="138"/>
      <c r="BO117" s="138"/>
      <c r="BP117" s="138"/>
      <c r="BQ117" s="138"/>
      <c r="BR117" s="138"/>
      <c r="BS117" s="138"/>
      <c r="BT117" s="156"/>
    </row>
    <row r="118" spans="1:72" x14ac:dyDescent="0.2">
      <c r="A118" s="138"/>
      <c r="B118" s="138" t="s">
        <v>278</v>
      </c>
      <c r="C118" s="139"/>
      <c r="D118" s="138" t="s">
        <v>283</v>
      </c>
      <c r="E118" s="138"/>
      <c r="F118" s="138"/>
      <c r="G118" s="138">
        <v>0</v>
      </c>
      <c r="H118" s="138">
        <v>0</v>
      </c>
      <c r="I118" s="138">
        <v>0</v>
      </c>
      <c r="J118" s="138">
        <v>0</v>
      </c>
      <c r="K118" s="138">
        <v>0</v>
      </c>
      <c r="L118" s="138">
        <v>0</v>
      </c>
      <c r="M118" s="138">
        <v>11.2</v>
      </c>
      <c r="N118" s="138">
        <v>0</v>
      </c>
      <c r="O118" s="138">
        <v>0</v>
      </c>
      <c r="P118" s="138">
        <v>9.8000000000000007</v>
      </c>
      <c r="Q118" s="138">
        <v>23</v>
      </c>
      <c r="R118" s="138">
        <v>6.7</v>
      </c>
      <c r="S118" s="138">
        <v>0</v>
      </c>
      <c r="T118" s="138">
        <v>0</v>
      </c>
      <c r="U118" s="138">
        <v>0</v>
      </c>
      <c r="V118" s="138">
        <v>0</v>
      </c>
      <c r="W118" s="138">
        <v>0</v>
      </c>
      <c r="X118" s="138">
        <v>0</v>
      </c>
      <c r="Y118" s="138">
        <v>0</v>
      </c>
      <c r="Z118" s="138">
        <v>0</v>
      </c>
      <c r="AA118" s="138">
        <v>0</v>
      </c>
      <c r="AB118" s="138">
        <v>0</v>
      </c>
      <c r="AC118" s="138">
        <v>0</v>
      </c>
      <c r="AD118" s="138">
        <v>0</v>
      </c>
      <c r="AE118" s="138">
        <v>0</v>
      </c>
      <c r="AF118" s="138">
        <v>6.7</v>
      </c>
      <c r="AG118" s="138">
        <v>0</v>
      </c>
      <c r="AH118" s="138">
        <v>24.3</v>
      </c>
      <c r="AI118" s="138">
        <v>0</v>
      </c>
      <c r="AJ118" s="138">
        <v>13.8</v>
      </c>
      <c r="AK118" s="138"/>
      <c r="AL118" s="138"/>
      <c r="AM118" s="138"/>
      <c r="AN118" s="138"/>
      <c r="AO118" s="138"/>
      <c r="AP118" s="138"/>
      <c r="AQ118" s="138"/>
      <c r="AR118" s="138"/>
      <c r="AS118" s="138"/>
      <c r="AT118" s="138"/>
      <c r="AU118" s="138"/>
      <c r="AV118" s="138"/>
      <c r="AW118" s="138"/>
      <c r="AX118" s="138"/>
      <c r="AY118" s="138"/>
      <c r="AZ118" s="138"/>
      <c r="BA118" s="138"/>
      <c r="BB118" s="138"/>
      <c r="BC118" s="138"/>
      <c r="BD118" s="138"/>
      <c r="BE118" s="138"/>
      <c r="BF118" s="138"/>
      <c r="BG118" s="138"/>
      <c r="BH118" s="138"/>
      <c r="BI118" s="138"/>
      <c r="BJ118" s="138"/>
      <c r="BK118" s="138"/>
      <c r="BL118" s="138"/>
      <c r="BM118" s="138"/>
      <c r="BN118" s="138"/>
      <c r="BO118" s="138"/>
      <c r="BP118" s="138"/>
      <c r="BQ118" s="138"/>
      <c r="BR118" s="138"/>
      <c r="BS118" s="138"/>
      <c r="BT118" s="156"/>
    </row>
    <row r="119" spans="1:72" x14ac:dyDescent="0.2">
      <c r="A119" s="138"/>
      <c r="B119" s="138" t="s">
        <v>279</v>
      </c>
      <c r="C119" s="139"/>
      <c r="D119" s="138" t="s">
        <v>153</v>
      </c>
      <c r="E119" s="138"/>
      <c r="F119" s="138"/>
      <c r="G119" s="138">
        <v>321</v>
      </c>
      <c r="H119" s="138">
        <v>498</v>
      </c>
      <c r="I119" s="138">
        <v>576</v>
      </c>
      <c r="J119" s="138">
        <v>362</v>
      </c>
      <c r="K119" s="138">
        <v>389</v>
      </c>
      <c r="L119" s="138">
        <v>486</v>
      </c>
      <c r="M119" s="138">
        <v>707</v>
      </c>
      <c r="N119" s="138">
        <v>500</v>
      </c>
      <c r="O119" s="138">
        <v>458</v>
      </c>
      <c r="P119" s="138">
        <v>528</v>
      </c>
      <c r="Q119" s="138">
        <v>331</v>
      </c>
      <c r="R119" s="138">
        <v>529</v>
      </c>
      <c r="S119" s="138">
        <v>606</v>
      </c>
      <c r="T119" s="138">
        <v>731</v>
      </c>
      <c r="U119" s="138">
        <v>637</v>
      </c>
      <c r="V119" s="138">
        <v>591</v>
      </c>
      <c r="W119" s="138">
        <v>483</v>
      </c>
      <c r="X119" s="138">
        <v>458</v>
      </c>
      <c r="Y119" s="138">
        <v>673</v>
      </c>
      <c r="Z119" s="138">
        <v>541</v>
      </c>
      <c r="AA119" s="138">
        <v>465</v>
      </c>
      <c r="AB119" s="138">
        <v>450</v>
      </c>
      <c r="AC119" s="138">
        <v>369</v>
      </c>
      <c r="AD119" s="138">
        <v>333</v>
      </c>
      <c r="AE119" s="138">
        <v>552</v>
      </c>
      <c r="AF119" s="138">
        <v>558</v>
      </c>
      <c r="AG119" s="138">
        <v>656</v>
      </c>
      <c r="AH119" s="138">
        <v>626</v>
      </c>
      <c r="AI119" s="138">
        <v>667</v>
      </c>
      <c r="AJ119" s="138">
        <v>681</v>
      </c>
      <c r="AK119" s="138"/>
      <c r="AL119" s="138"/>
      <c r="AM119" s="138"/>
      <c r="AN119" s="138"/>
      <c r="AO119" s="138"/>
      <c r="AP119" s="138"/>
      <c r="AQ119" s="138"/>
      <c r="AR119" s="138"/>
      <c r="AS119" s="138"/>
      <c r="AT119" s="138"/>
      <c r="AU119" s="138"/>
      <c r="AV119" s="138"/>
      <c r="AW119" s="138"/>
      <c r="AX119" s="138"/>
      <c r="AY119" s="138"/>
      <c r="AZ119" s="138"/>
      <c r="BA119" s="138"/>
      <c r="BB119" s="138"/>
      <c r="BC119" s="138"/>
      <c r="BD119" s="138"/>
      <c r="BE119" s="138"/>
      <c r="BF119" s="138"/>
      <c r="BG119" s="138"/>
      <c r="BH119" s="138"/>
      <c r="BI119" s="138"/>
      <c r="BJ119" s="138"/>
      <c r="BK119" s="138"/>
      <c r="BL119" s="138"/>
      <c r="BM119" s="138"/>
      <c r="BN119" s="138"/>
      <c r="BO119" s="138"/>
      <c r="BP119" s="138"/>
      <c r="BQ119" s="138"/>
      <c r="BR119" s="138"/>
      <c r="BS119" s="138"/>
      <c r="BT119" s="156"/>
    </row>
    <row r="120" spans="1:72" x14ac:dyDescent="0.2">
      <c r="A120" s="138"/>
      <c r="B120" s="138" t="s">
        <v>280</v>
      </c>
      <c r="C120" s="139"/>
      <c r="D120" s="138" t="s">
        <v>153</v>
      </c>
      <c r="E120" s="138"/>
      <c r="F120" s="138"/>
      <c r="G120" s="138">
        <v>450</v>
      </c>
      <c r="H120" s="138">
        <v>243</v>
      </c>
      <c r="I120" s="138">
        <v>137</v>
      </c>
      <c r="J120" s="138">
        <v>216</v>
      </c>
      <c r="K120" s="138">
        <v>164</v>
      </c>
      <c r="L120" s="138">
        <v>189</v>
      </c>
      <c r="M120" s="138">
        <v>198</v>
      </c>
      <c r="N120" s="138">
        <v>217</v>
      </c>
      <c r="O120" s="138">
        <v>206</v>
      </c>
      <c r="P120" s="138">
        <v>214</v>
      </c>
      <c r="Q120" s="138">
        <v>276</v>
      </c>
      <c r="R120" s="138">
        <v>380</v>
      </c>
      <c r="S120" s="138">
        <v>297</v>
      </c>
      <c r="T120" s="138">
        <v>129</v>
      </c>
      <c r="U120" s="138">
        <v>202</v>
      </c>
      <c r="V120" s="138">
        <v>247</v>
      </c>
      <c r="W120" s="138">
        <v>208</v>
      </c>
      <c r="X120" s="138">
        <v>192</v>
      </c>
      <c r="Y120" s="138">
        <v>177</v>
      </c>
      <c r="Z120" s="138">
        <v>186</v>
      </c>
      <c r="AA120" s="138">
        <v>236</v>
      </c>
      <c r="AB120" s="138">
        <v>226</v>
      </c>
      <c r="AC120" s="138">
        <v>307</v>
      </c>
      <c r="AD120" s="138">
        <v>249</v>
      </c>
      <c r="AE120" s="138">
        <v>21</v>
      </c>
      <c r="AF120" s="138">
        <v>105</v>
      </c>
      <c r="AG120" s="138">
        <v>0</v>
      </c>
      <c r="AH120" s="138">
        <v>0</v>
      </c>
      <c r="AI120" s="138">
        <v>0</v>
      </c>
      <c r="AJ120" s="138">
        <v>0</v>
      </c>
      <c r="AK120" s="138"/>
      <c r="AL120" s="138"/>
      <c r="AM120" s="138"/>
      <c r="AN120" s="138"/>
      <c r="AO120" s="138"/>
      <c r="AP120" s="138"/>
      <c r="AQ120" s="138"/>
      <c r="AR120" s="138"/>
      <c r="AS120" s="138"/>
      <c r="AT120" s="138"/>
      <c r="AU120" s="138"/>
      <c r="AV120" s="138"/>
      <c r="AW120" s="138"/>
      <c r="AX120" s="138"/>
      <c r="AY120" s="138"/>
      <c r="AZ120" s="138"/>
      <c r="BA120" s="138"/>
      <c r="BB120" s="138"/>
      <c r="BC120" s="138"/>
      <c r="BD120" s="138"/>
      <c r="BE120" s="138"/>
      <c r="BF120" s="138"/>
      <c r="BG120" s="138"/>
      <c r="BH120" s="138"/>
      <c r="BI120" s="138"/>
      <c r="BJ120" s="138"/>
      <c r="BK120" s="138"/>
      <c r="BL120" s="138"/>
      <c r="BM120" s="138"/>
      <c r="BN120" s="138"/>
      <c r="BO120" s="138"/>
      <c r="BP120" s="138"/>
      <c r="BQ120" s="138"/>
      <c r="BR120" s="138"/>
      <c r="BS120" s="138"/>
      <c r="BT120" s="156"/>
    </row>
    <row r="121" spans="1:72" x14ac:dyDescent="0.2">
      <c r="A121" s="138"/>
      <c r="B121" s="138" t="s">
        <v>281</v>
      </c>
      <c r="C121" s="139"/>
      <c r="D121" s="138" t="s">
        <v>101</v>
      </c>
      <c r="E121" s="138"/>
      <c r="F121" s="138"/>
      <c r="G121" s="138">
        <v>89616</v>
      </c>
      <c r="H121" s="138">
        <v>87671</v>
      </c>
      <c r="I121" s="138">
        <v>54023</v>
      </c>
      <c r="J121" s="138">
        <v>69670</v>
      </c>
      <c r="K121" s="138">
        <v>54115</v>
      </c>
      <c r="L121" s="138">
        <v>72348</v>
      </c>
      <c r="M121" s="138">
        <v>84803</v>
      </c>
      <c r="N121" s="138">
        <v>60709</v>
      </c>
      <c r="O121" s="138">
        <v>77475</v>
      </c>
      <c r="P121" s="138">
        <v>83416</v>
      </c>
      <c r="Q121" s="138">
        <v>85571</v>
      </c>
      <c r="R121" s="138">
        <v>87680</v>
      </c>
      <c r="S121" s="138">
        <v>90330</v>
      </c>
      <c r="T121" s="138">
        <v>95796</v>
      </c>
      <c r="U121" s="138">
        <v>93675</v>
      </c>
      <c r="V121" s="138">
        <v>83220</v>
      </c>
      <c r="W121" s="138">
        <v>93315</v>
      </c>
      <c r="X121" s="138">
        <v>87542</v>
      </c>
      <c r="Y121" s="138">
        <v>90411</v>
      </c>
      <c r="Z121" s="138">
        <v>90255</v>
      </c>
      <c r="AA121" s="138">
        <v>96942</v>
      </c>
      <c r="AB121" s="138">
        <v>95681</v>
      </c>
      <c r="AC121" s="138">
        <v>83184</v>
      </c>
      <c r="AD121" s="138">
        <v>71156</v>
      </c>
      <c r="AE121" s="138">
        <v>9869</v>
      </c>
      <c r="AF121" s="138">
        <v>99383</v>
      </c>
      <c r="AG121" s="138">
        <v>91345</v>
      </c>
      <c r="AH121" s="138">
        <v>94301</v>
      </c>
      <c r="AI121" s="138">
        <v>96651</v>
      </c>
      <c r="AJ121" s="138">
        <v>98095</v>
      </c>
      <c r="AK121" s="138"/>
      <c r="AL121" s="138"/>
      <c r="AM121" s="138"/>
      <c r="AN121" s="138"/>
      <c r="AO121" s="138"/>
      <c r="AP121" s="138"/>
      <c r="AQ121" s="138"/>
      <c r="AR121" s="138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8"/>
      <c r="BC121" s="138"/>
      <c r="BD121" s="138"/>
      <c r="BE121" s="138"/>
      <c r="BF121" s="138"/>
      <c r="BG121" s="138"/>
      <c r="BH121" s="138"/>
      <c r="BI121" s="138"/>
      <c r="BJ121" s="138"/>
      <c r="BK121" s="138"/>
      <c r="BL121" s="138"/>
      <c r="BM121" s="138"/>
      <c r="BN121" s="138"/>
      <c r="BO121" s="138"/>
      <c r="BP121" s="138"/>
      <c r="BQ121" s="138"/>
      <c r="BR121" s="138"/>
      <c r="BS121" s="138"/>
      <c r="BT121" s="156"/>
    </row>
    <row r="122" spans="1:72" x14ac:dyDescent="0.2">
      <c r="A122" s="138"/>
      <c r="B122" s="138" t="s">
        <v>282</v>
      </c>
      <c r="C122" s="139"/>
      <c r="D122" s="138" t="s">
        <v>101</v>
      </c>
      <c r="E122" s="138"/>
      <c r="F122" s="138"/>
      <c r="G122" s="138">
        <v>8421</v>
      </c>
      <c r="H122" s="138">
        <v>8760</v>
      </c>
      <c r="I122" s="138">
        <v>8824</v>
      </c>
      <c r="J122" s="138">
        <v>8385</v>
      </c>
      <c r="K122" s="138">
        <v>8435</v>
      </c>
      <c r="L122" s="138">
        <v>8652</v>
      </c>
      <c r="M122" s="138">
        <v>9247</v>
      </c>
      <c r="N122" s="138">
        <v>9041</v>
      </c>
      <c r="O122" s="138">
        <v>8925</v>
      </c>
      <c r="P122" s="138">
        <v>8834</v>
      </c>
      <c r="Q122" s="138">
        <v>8443</v>
      </c>
      <c r="R122" s="138">
        <v>8984</v>
      </c>
      <c r="S122" s="138">
        <v>8593</v>
      </c>
      <c r="T122" s="138">
        <v>8076</v>
      </c>
      <c r="U122" s="138">
        <v>7944</v>
      </c>
      <c r="V122" s="138">
        <v>8543</v>
      </c>
      <c r="W122" s="138">
        <v>8331</v>
      </c>
      <c r="X122" s="138">
        <v>7185</v>
      </c>
      <c r="Y122" s="138">
        <v>7363</v>
      </c>
      <c r="Z122" s="138">
        <v>7768</v>
      </c>
      <c r="AA122" s="138">
        <v>7350</v>
      </c>
      <c r="AB122" s="138">
        <v>7385</v>
      </c>
      <c r="AC122" s="138">
        <v>7205</v>
      </c>
      <c r="AD122" s="138">
        <v>6820</v>
      </c>
      <c r="AE122" s="138">
        <v>3995</v>
      </c>
      <c r="AF122" s="138">
        <v>8282</v>
      </c>
      <c r="AG122" s="138">
        <v>8070</v>
      </c>
      <c r="AH122" s="138">
        <v>7535</v>
      </c>
      <c r="AI122" s="138">
        <v>7497</v>
      </c>
      <c r="AJ122" s="138">
        <v>8069</v>
      </c>
      <c r="AK122" s="138"/>
      <c r="AL122" s="138"/>
      <c r="AM122" s="138"/>
      <c r="AN122" s="138"/>
      <c r="AO122" s="138"/>
      <c r="AP122" s="138"/>
      <c r="AQ122" s="138"/>
      <c r="AR122" s="138"/>
      <c r="AS122" s="138"/>
      <c r="AT122" s="138"/>
      <c r="AU122" s="138"/>
      <c r="AV122" s="138"/>
      <c r="AW122" s="138"/>
      <c r="AX122" s="138"/>
      <c r="AY122" s="138"/>
      <c r="AZ122" s="138"/>
      <c r="BA122" s="138"/>
      <c r="BB122" s="138"/>
      <c r="BC122" s="138"/>
      <c r="BD122" s="138"/>
      <c r="BE122" s="138"/>
      <c r="BF122" s="138"/>
      <c r="BG122" s="138"/>
      <c r="BH122" s="138"/>
      <c r="BI122" s="138"/>
      <c r="BJ122" s="138"/>
      <c r="BK122" s="138"/>
      <c r="BL122" s="138"/>
      <c r="BM122" s="138"/>
      <c r="BN122" s="138"/>
      <c r="BO122" s="138"/>
      <c r="BP122" s="138"/>
      <c r="BQ122" s="138"/>
      <c r="BR122" s="138"/>
      <c r="BS122" s="138"/>
      <c r="BT122" s="156"/>
    </row>
    <row r="123" spans="1:72" x14ac:dyDescent="0.2">
      <c r="A123" s="138"/>
      <c r="B123" s="138"/>
      <c r="C123" s="139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38"/>
      <c r="AN123" s="138"/>
      <c r="AO123" s="138"/>
      <c r="AP123" s="138"/>
      <c r="AQ123" s="138"/>
      <c r="AR123" s="138"/>
      <c r="AS123" s="138"/>
      <c r="AT123" s="138"/>
      <c r="AU123" s="138"/>
      <c r="AV123" s="138"/>
      <c r="AW123" s="138"/>
      <c r="AX123" s="138"/>
      <c r="AY123" s="138"/>
      <c r="AZ123" s="138"/>
      <c r="BA123" s="138"/>
      <c r="BB123" s="138"/>
      <c r="BC123" s="138"/>
      <c r="BD123" s="138"/>
      <c r="BE123" s="138"/>
      <c r="BF123" s="138"/>
      <c r="BG123" s="138"/>
      <c r="BH123" s="138"/>
      <c r="BI123" s="138"/>
      <c r="BJ123" s="138"/>
      <c r="BK123" s="138"/>
      <c r="BL123" s="138"/>
      <c r="BM123" s="138"/>
      <c r="BN123" s="138"/>
      <c r="BO123" s="138"/>
      <c r="BP123" s="138"/>
      <c r="BQ123" s="138"/>
      <c r="BR123" s="138"/>
      <c r="BS123" s="138"/>
      <c r="BT123" s="156"/>
    </row>
    <row r="124" spans="1:72" x14ac:dyDescent="0.2">
      <c r="A124" s="138"/>
      <c r="B124" s="138"/>
      <c r="C124" s="139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38"/>
      <c r="AN124" s="138"/>
      <c r="AO124" s="138"/>
      <c r="AP124" s="138"/>
      <c r="AQ124" s="138"/>
      <c r="AR124" s="138"/>
      <c r="AS124" s="138"/>
      <c r="AT124" s="138"/>
      <c r="AU124" s="138"/>
      <c r="AV124" s="138"/>
      <c r="AW124" s="138"/>
      <c r="AX124" s="138"/>
      <c r="AY124" s="138"/>
      <c r="AZ124" s="138"/>
      <c r="BA124" s="138"/>
      <c r="BB124" s="138"/>
      <c r="BC124" s="138"/>
      <c r="BD124" s="138"/>
      <c r="BE124" s="138"/>
      <c r="BF124" s="138"/>
      <c r="BG124" s="138"/>
      <c r="BH124" s="138"/>
      <c r="BI124" s="138"/>
      <c r="BJ124" s="138"/>
      <c r="BK124" s="138"/>
      <c r="BL124" s="138"/>
      <c r="BM124" s="138"/>
      <c r="BN124" s="138"/>
      <c r="BO124" s="138"/>
      <c r="BP124" s="138"/>
      <c r="BQ124" s="138"/>
      <c r="BR124" s="138"/>
      <c r="BS124" s="138"/>
      <c r="BT124" s="156"/>
    </row>
    <row r="125" spans="1:72" ht="20.25" customHeight="1" x14ac:dyDescent="0.2">
      <c r="A125" s="138"/>
      <c r="B125" s="138"/>
      <c r="C125" s="139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  <c r="AN125" s="138"/>
      <c r="AO125" s="138"/>
      <c r="AP125" s="138"/>
      <c r="AQ125" s="138"/>
      <c r="AR125" s="138"/>
      <c r="AS125" s="138"/>
      <c r="AT125" s="138"/>
      <c r="AU125" s="138"/>
      <c r="AV125" s="138"/>
      <c r="AW125" s="138"/>
      <c r="AX125" s="138"/>
      <c r="AY125" s="138"/>
      <c r="AZ125" s="138"/>
      <c r="BA125" s="138"/>
      <c r="BB125" s="138"/>
      <c r="BC125" s="138"/>
      <c r="BD125" s="138"/>
      <c r="BE125" s="138"/>
      <c r="BF125" s="138"/>
      <c r="BG125" s="138"/>
      <c r="BH125" s="138"/>
      <c r="BI125" s="138"/>
      <c r="BJ125" s="138"/>
      <c r="BK125" s="138"/>
      <c r="BL125" s="138"/>
      <c r="BM125" s="138"/>
      <c r="BN125" s="138"/>
      <c r="BO125" s="138"/>
      <c r="BP125" s="138"/>
      <c r="BQ125" s="138"/>
      <c r="BR125" s="138"/>
      <c r="BS125" s="138"/>
      <c r="BT125" s="156"/>
    </row>
  </sheetData>
  <mergeCells count="9">
    <mergeCell ref="I86:AK86"/>
    <mergeCell ref="I3:BT3"/>
    <mergeCell ref="H19:AN19"/>
    <mergeCell ref="C58:BT59"/>
    <mergeCell ref="C65:BT65"/>
    <mergeCell ref="D78:BT78"/>
    <mergeCell ref="I80:AK80"/>
    <mergeCell ref="D50:BT50"/>
    <mergeCell ref="A55:BT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01-09-2025</vt:lpstr>
      <vt:lpstr>02-09-2025</vt:lpstr>
      <vt:lpstr>03-09-2025</vt:lpstr>
      <vt:lpstr>04-09-2025</vt:lpstr>
      <vt:lpstr>05-09-2025</vt:lpstr>
      <vt:lpstr>06-09-2025</vt:lpstr>
      <vt:lpstr>07-09-2025</vt:lpstr>
      <vt:lpstr>08-09-2025</vt:lpstr>
      <vt:lpstr>09-09-2025</vt:lpstr>
      <vt:lpstr>10-09-2025</vt:lpstr>
      <vt:lpstr>11-09-2025</vt:lpstr>
      <vt:lpstr>12-09-2025</vt:lpstr>
      <vt:lpstr>13-09-2025</vt:lpstr>
      <vt:lpstr>14-09-2025</vt:lpstr>
      <vt:lpstr>15-09-2025</vt:lpstr>
      <vt:lpstr>16-09-2025</vt:lpstr>
      <vt:lpstr>17-09-2025</vt:lpstr>
      <vt:lpstr>18-09-2025</vt:lpstr>
      <vt:lpstr>19-09-2025</vt:lpstr>
      <vt:lpstr>20-09-2025</vt:lpstr>
      <vt:lpstr>21-09-2025</vt:lpstr>
      <vt:lpstr>22-09-2025</vt:lpstr>
      <vt:lpstr>23-09-2025</vt:lpstr>
      <vt:lpstr>24-09-2025</vt:lpstr>
      <vt:lpstr>25-09-2025</vt:lpstr>
      <vt:lpstr>26-09-2025</vt:lpstr>
      <vt:lpstr>27-09-2025</vt:lpstr>
      <vt:lpstr>28-09-2025</vt:lpstr>
      <vt:lpstr>29-09-2025</vt:lpstr>
      <vt:lpstr>30-09-2025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2026-02-27T15:29:23Z</dcterms:modified>
</cp:coreProperties>
</file>