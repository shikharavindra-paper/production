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production /"/>
    </mc:Choice>
  </mc:AlternateContent>
  <xr:revisionPtr revIDLastSave="0" documentId="13_ncr:1_{771CC5CB-57D3-F040-B36B-96B4D0CFE193}" xr6:coauthVersionLast="47" xr6:coauthVersionMax="47" xr10:uidLastSave="{00000000-0000-0000-0000-000000000000}"/>
  <bookViews>
    <workbookView xWindow="0" yWindow="540" windowWidth="20480" windowHeight="11620" firstSheet="25" activeTab="31" xr2:uid="{00000000-000D-0000-FFFF-FFFF00000000}"/>
  </bookViews>
  <sheets>
    <sheet name="01-03-2026" sheetId="334" r:id="rId1"/>
    <sheet name="02-03-2026" sheetId="335" r:id="rId2"/>
    <sheet name="03-03-2026" sheetId="337" r:id="rId3"/>
    <sheet name="04-03-2026" sheetId="336" r:id="rId4"/>
    <sheet name="05-03-2026" sheetId="338" r:id="rId5"/>
    <sheet name="06-03-2026" sheetId="339" r:id="rId6"/>
    <sheet name="07-03-2026" sheetId="340" r:id="rId7"/>
    <sheet name="08-03-2026" sheetId="341" r:id="rId8"/>
    <sheet name="09-03-2026" sheetId="342" r:id="rId9"/>
    <sheet name="10-03-2026" sheetId="343" r:id="rId10"/>
    <sheet name="11-03-2026" sheetId="344" r:id="rId11"/>
    <sheet name="12-03-2026" sheetId="345" r:id="rId12"/>
    <sheet name="13-03-2026" sheetId="346" r:id="rId13"/>
    <sheet name="14-03-2026" sheetId="347" r:id="rId14"/>
    <sheet name="15-03-2026" sheetId="348" r:id="rId15"/>
    <sheet name="16-03-2026" sheetId="349" r:id="rId16"/>
    <sheet name="17-03-2026" sheetId="350" r:id="rId17"/>
    <sheet name="18-03-2026 " sheetId="352" r:id="rId18"/>
    <sheet name="19-03-2026" sheetId="353" r:id="rId19"/>
    <sheet name="20-03-2026" sheetId="354" r:id="rId20"/>
    <sheet name="21-03-2026" sheetId="355" r:id="rId21"/>
    <sheet name="22-03-2026" sheetId="356" r:id="rId22"/>
    <sheet name="23-03-2026" sheetId="357" r:id="rId23"/>
    <sheet name="24-03-2026" sheetId="358" r:id="rId24"/>
    <sheet name="25-03-2026" sheetId="359" r:id="rId25"/>
    <sheet name="26-03-2026" sheetId="360" r:id="rId26"/>
    <sheet name="27-03-2026" sheetId="361" r:id="rId27"/>
    <sheet name="28-03-2026" sheetId="362" r:id="rId28"/>
    <sheet name="29-03-2026" sheetId="363" r:id="rId29"/>
    <sheet name="30-03-2026 " sheetId="364" r:id="rId30"/>
    <sheet name="31-03-2026" sheetId="365" r:id="rId31"/>
    <sheet name="Pulp &amp; Chemical consumption" sheetId="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0" i="2" l="1"/>
  <c r="J26" i="365"/>
  <c r="F22" i="365"/>
  <c r="H22" i="365" s="1"/>
  <c r="H10" i="365"/>
  <c r="G10" i="365"/>
  <c r="H9" i="365"/>
  <c r="G9" i="365"/>
  <c r="J26" i="364"/>
  <c r="F22" i="364"/>
  <c r="J25" i="364" s="1"/>
  <c r="H12" i="364"/>
  <c r="G12" i="364"/>
  <c r="H11" i="364"/>
  <c r="G11" i="364"/>
  <c r="H10" i="364"/>
  <c r="G10" i="364"/>
  <c r="H9" i="364"/>
  <c r="G9" i="364"/>
  <c r="AJ20" i="2"/>
  <c r="G22" i="365" l="1"/>
  <c r="J25" i="365"/>
  <c r="H22" i="364"/>
  <c r="G22" i="364"/>
  <c r="G9" i="363"/>
  <c r="H9" i="363"/>
  <c r="G10" i="363"/>
  <c r="H10" i="363"/>
  <c r="G11" i="363"/>
  <c r="H11" i="363"/>
  <c r="H22" i="363" s="1"/>
  <c r="G12" i="363"/>
  <c r="H12" i="363"/>
  <c r="G13" i="363"/>
  <c r="H13" i="363"/>
  <c r="G14" i="363"/>
  <c r="H14" i="363"/>
  <c r="F22" i="363"/>
  <c r="G22" i="363"/>
  <c r="J25" i="363"/>
  <c r="J26" i="363"/>
  <c r="AI20" i="2"/>
  <c r="G9" i="362" l="1"/>
  <c r="H9" i="362"/>
  <c r="H22" i="362" s="1"/>
  <c r="G10" i="362"/>
  <c r="G22" i="362" s="1"/>
  <c r="H10" i="362"/>
  <c r="G11" i="362"/>
  <c r="H11" i="362"/>
  <c r="G12" i="362"/>
  <c r="H12" i="362"/>
  <c r="F22" i="362"/>
  <c r="J25" i="362"/>
  <c r="J26" i="362"/>
  <c r="AH20" i="2"/>
  <c r="G9" i="361"/>
  <c r="H9" i="361"/>
  <c r="G10" i="361"/>
  <c r="H10" i="361"/>
  <c r="G11" i="361"/>
  <c r="H11" i="361"/>
  <c r="F22" i="361"/>
  <c r="H22" i="361" s="1"/>
  <c r="J26" i="361"/>
  <c r="AG20" i="2"/>
  <c r="J26" i="360"/>
  <c r="F22" i="360"/>
  <c r="H22" i="360" s="1"/>
  <c r="H13" i="360"/>
  <c r="G13" i="360"/>
  <c r="H12" i="360"/>
  <c r="G12" i="360"/>
  <c r="H11" i="360"/>
  <c r="G11" i="360"/>
  <c r="H10" i="360"/>
  <c r="G10" i="360"/>
  <c r="H9" i="360"/>
  <c r="G9" i="360"/>
  <c r="AF20" i="2"/>
  <c r="J26" i="359"/>
  <c r="F22" i="359"/>
  <c r="G22" i="359" s="1"/>
  <c r="H11" i="359"/>
  <c r="G11" i="359"/>
  <c r="H10" i="359"/>
  <c r="G10" i="359"/>
  <c r="H9" i="359"/>
  <c r="G9" i="359"/>
  <c r="AE20" i="2"/>
  <c r="G22" i="361" l="1"/>
  <c r="J25" i="361"/>
  <c r="G22" i="360"/>
  <c r="J25" i="360"/>
  <c r="H22" i="359"/>
  <c r="J25" i="359"/>
  <c r="AD20" i="2" l="1"/>
  <c r="J26" i="358"/>
  <c r="F22" i="358"/>
  <c r="G22" i="358" s="1"/>
  <c r="H11" i="358"/>
  <c r="G11" i="358"/>
  <c r="H10" i="358"/>
  <c r="G10" i="358"/>
  <c r="H9" i="358"/>
  <c r="G9" i="358"/>
  <c r="H22" i="358" l="1"/>
  <c r="J25" i="358"/>
  <c r="AC20" i="2" l="1"/>
  <c r="G9" i="357"/>
  <c r="H9" i="357"/>
  <c r="G10" i="357"/>
  <c r="G22" i="357" s="1"/>
  <c r="H10" i="357"/>
  <c r="F22" i="357"/>
  <c r="H22" i="357"/>
  <c r="J25" i="357"/>
  <c r="J26" i="357"/>
  <c r="AB20" i="2"/>
  <c r="G9" i="356"/>
  <c r="H9" i="356"/>
  <c r="G10" i="356"/>
  <c r="H10" i="356"/>
  <c r="G11" i="356"/>
  <c r="H11" i="356"/>
  <c r="G12" i="356"/>
  <c r="H12" i="356"/>
  <c r="G13" i="356"/>
  <c r="H13" i="356"/>
  <c r="G14" i="356"/>
  <c r="H14" i="356"/>
  <c r="F22" i="356"/>
  <c r="G22" i="356" s="1"/>
  <c r="J25" i="356"/>
  <c r="J26" i="356"/>
  <c r="AL55" i="2"/>
  <c r="AL56" i="2"/>
  <c r="AA20" i="2"/>
  <c r="J26" i="355"/>
  <c r="F22" i="355"/>
  <c r="J25" i="355" s="1"/>
  <c r="H11" i="355"/>
  <c r="G11" i="355"/>
  <c r="H10" i="355"/>
  <c r="G10" i="355"/>
  <c r="H9" i="355"/>
  <c r="G9" i="355"/>
  <c r="Z20" i="2"/>
  <c r="J26" i="354"/>
  <c r="F22" i="354"/>
  <c r="J25" i="354" s="1"/>
  <c r="H9" i="354"/>
  <c r="G9" i="354"/>
  <c r="J26" i="353"/>
  <c r="F22" i="353"/>
  <c r="G22" i="353" s="1"/>
  <c r="H12" i="353"/>
  <c r="G12" i="353"/>
  <c r="H11" i="353"/>
  <c r="G11" i="353"/>
  <c r="H10" i="353"/>
  <c r="G10" i="353"/>
  <c r="H9" i="353"/>
  <c r="G9" i="353"/>
  <c r="Y20" i="2"/>
  <c r="H22" i="356" l="1"/>
  <c r="H22" i="355"/>
  <c r="G22" i="355"/>
  <c r="G22" i="354"/>
  <c r="H22" i="354"/>
  <c r="H22" i="353"/>
  <c r="J25" i="353"/>
  <c r="G9" i="352" l="1"/>
  <c r="H9" i="352"/>
  <c r="G10" i="352"/>
  <c r="H10" i="352"/>
  <c r="G11" i="352"/>
  <c r="H11" i="352"/>
  <c r="G12" i="352"/>
  <c r="H12" i="352"/>
  <c r="G13" i="352"/>
  <c r="H13" i="352"/>
  <c r="G14" i="352"/>
  <c r="H14" i="352"/>
  <c r="F22" i="352"/>
  <c r="G22" i="352" s="1"/>
  <c r="J26" i="352"/>
  <c r="X20" i="2"/>
  <c r="J25" i="352" l="1"/>
  <c r="H22" i="352"/>
  <c r="J26" i="350" l="1"/>
  <c r="F22" i="350"/>
  <c r="H12" i="350"/>
  <c r="G12" i="350"/>
  <c r="H11" i="350"/>
  <c r="G11" i="350"/>
  <c r="H10" i="350"/>
  <c r="G10" i="350"/>
  <c r="H9" i="350"/>
  <c r="G9" i="350"/>
  <c r="G22" i="350" l="1"/>
  <c r="H22" i="350"/>
  <c r="J25" i="350"/>
  <c r="W20" i="2" l="1"/>
  <c r="G9" i="349"/>
  <c r="H9" i="349"/>
  <c r="G10" i="349"/>
  <c r="G22" i="349" s="1"/>
  <c r="H10" i="349"/>
  <c r="H22" i="349" s="1"/>
  <c r="G11" i="349"/>
  <c r="H11" i="349"/>
  <c r="G12" i="349"/>
  <c r="H12" i="349"/>
  <c r="F22" i="349"/>
  <c r="J25" i="349"/>
  <c r="J26" i="349"/>
  <c r="V20" i="2"/>
  <c r="U20" i="2"/>
  <c r="T20" i="2"/>
  <c r="J26" i="348"/>
  <c r="F22" i="348"/>
  <c r="H12" i="348"/>
  <c r="G12" i="348"/>
  <c r="H11" i="348"/>
  <c r="G11" i="348"/>
  <c r="H10" i="348"/>
  <c r="G10" i="348"/>
  <c r="H9" i="348"/>
  <c r="G9" i="348"/>
  <c r="G9" i="347"/>
  <c r="H9" i="347"/>
  <c r="G10" i="347"/>
  <c r="H10" i="347"/>
  <c r="G11" i="347"/>
  <c r="H11" i="347"/>
  <c r="G12" i="347"/>
  <c r="H12" i="347"/>
  <c r="F22" i="347"/>
  <c r="J26" i="347"/>
  <c r="S20" i="2"/>
  <c r="J26" i="346"/>
  <c r="F22" i="346"/>
  <c r="J25" i="346" s="1"/>
  <c r="H12" i="346"/>
  <c r="G12" i="346"/>
  <c r="H11" i="346"/>
  <c r="G11" i="346"/>
  <c r="H10" i="346"/>
  <c r="G10" i="346"/>
  <c r="H9" i="346"/>
  <c r="G9" i="346"/>
  <c r="G22" i="348" l="1"/>
  <c r="G22" i="347"/>
  <c r="H22" i="348"/>
  <c r="J25" i="348"/>
  <c r="H22" i="347"/>
  <c r="J25" i="347"/>
  <c r="H22" i="346"/>
  <c r="G22" i="346"/>
  <c r="R20" i="2" l="1"/>
  <c r="J26" i="345"/>
  <c r="F22" i="345"/>
  <c r="H12" i="345"/>
  <c r="G12" i="345"/>
  <c r="H11" i="345"/>
  <c r="G11" i="345"/>
  <c r="H10" i="345"/>
  <c r="G10" i="345"/>
  <c r="H9" i="345"/>
  <c r="G9" i="345"/>
  <c r="Q20" i="2"/>
  <c r="G9" i="344"/>
  <c r="H9" i="344"/>
  <c r="F22" i="344"/>
  <c r="G22" i="344" s="1"/>
  <c r="J26" i="344"/>
  <c r="J26" i="343"/>
  <c r="F22" i="343"/>
  <c r="H12" i="343"/>
  <c r="G12" i="343"/>
  <c r="H11" i="343"/>
  <c r="G11" i="343"/>
  <c r="H10" i="343"/>
  <c r="G10" i="343"/>
  <c r="H9" i="343"/>
  <c r="G9" i="343"/>
  <c r="P20" i="2"/>
  <c r="G22" i="345" l="1"/>
  <c r="G22" i="343"/>
  <c r="H22" i="345"/>
  <c r="J25" i="345"/>
  <c r="H22" i="344"/>
  <c r="J25" i="344"/>
  <c r="H22" i="343"/>
  <c r="J25" i="343"/>
  <c r="O20" i="2" l="1"/>
  <c r="G9" i="342"/>
  <c r="H9" i="342"/>
  <c r="G10" i="342"/>
  <c r="H10" i="342"/>
  <c r="G11" i="342"/>
  <c r="H11" i="342"/>
  <c r="H22" i="342" s="1"/>
  <c r="G12" i="342"/>
  <c r="H12" i="342"/>
  <c r="G13" i="342"/>
  <c r="H13" i="342"/>
  <c r="F22" i="342"/>
  <c r="J25" i="342"/>
  <c r="J26" i="342"/>
  <c r="G22" i="342" l="1"/>
  <c r="N20" i="2"/>
  <c r="M20" i="2"/>
  <c r="J26" i="341"/>
  <c r="F22" i="341"/>
  <c r="J25" i="341" s="1"/>
  <c r="H11" i="341"/>
  <c r="G11" i="341"/>
  <c r="H10" i="341"/>
  <c r="G10" i="341"/>
  <c r="H9" i="341"/>
  <c r="G9" i="341"/>
  <c r="J26" i="340"/>
  <c r="F22" i="340"/>
  <c r="J25" i="340" s="1"/>
  <c r="H12" i="340"/>
  <c r="G12" i="340"/>
  <c r="H11" i="340"/>
  <c r="G11" i="340"/>
  <c r="H10" i="340"/>
  <c r="G10" i="340"/>
  <c r="H9" i="340"/>
  <c r="G9" i="340"/>
  <c r="L20" i="2"/>
  <c r="G9" i="339"/>
  <c r="H9" i="339"/>
  <c r="G10" i="339"/>
  <c r="H10" i="339"/>
  <c r="H22" i="339" s="1"/>
  <c r="G11" i="339"/>
  <c r="H11" i="339"/>
  <c r="G12" i="339"/>
  <c r="H12" i="339"/>
  <c r="G13" i="339"/>
  <c r="H13" i="339"/>
  <c r="F22" i="339"/>
  <c r="J25" i="339"/>
  <c r="J26" i="339"/>
  <c r="G22" i="339" l="1"/>
  <c r="H22" i="341"/>
  <c r="G22" i="340"/>
  <c r="G22" i="341"/>
  <c r="H22" i="340"/>
  <c r="J26" i="338"/>
  <c r="F22" i="338"/>
  <c r="H12" i="338"/>
  <c r="G12" i="338"/>
  <c r="H11" i="338"/>
  <c r="G11" i="338"/>
  <c r="H10" i="338"/>
  <c r="G10" i="338"/>
  <c r="H9" i="338"/>
  <c r="G9" i="338"/>
  <c r="K20" i="2"/>
  <c r="J26" i="337"/>
  <c r="F22" i="337"/>
  <c r="H12" i="337"/>
  <c r="G12" i="337"/>
  <c r="H11" i="337"/>
  <c r="G11" i="337"/>
  <c r="H10" i="337"/>
  <c r="G10" i="337"/>
  <c r="H9" i="337"/>
  <c r="G9" i="337"/>
  <c r="J26" i="336"/>
  <c r="F22" i="336"/>
  <c r="H14" i="336"/>
  <c r="G14" i="336"/>
  <c r="H13" i="336"/>
  <c r="G13" i="336"/>
  <c r="H12" i="336"/>
  <c r="G12" i="336"/>
  <c r="H11" i="336"/>
  <c r="G11" i="336"/>
  <c r="H10" i="336"/>
  <c r="G10" i="336"/>
  <c r="H9" i="336"/>
  <c r="G9" i="336"/>
  <c r="G22" i="336" l="1"/>
  <c r="G22" i="337"/>
  <c r="G22" i="338"/>
  <c r="H22" i="338"/>
  <c r="J25" i="338"/>
  <c r="H22" i="337"/>
  <c r="J25" i="337"/>
  <c r="H22" i="336"/>
  <c r="J25" i="336"/>
  <c r="J20" i="2"/>
  <c r="I20" i="2"/>
  <c r="J26" i="335"/>
  <c r="F22" i="335"/>
  <c r="J25" i="335" s="1"/>
  <c r="H11" i="335"/>
  <c r="G11" i="335"/>
  <c r="H10" i="335"/>
  <c r="G10" i="335"/>
  <c r="H9" i="335"/>
  <c r="G9" i="335"/>
  <c r="G22" i="335" l="1"/>
  <c r="H22" i="335"/>
  <c r="H20" i="2" l="1"/>
  <c r="F22" i="334"/>
  <c r="J25" i="334" s="1"/>
  <c r="H10" i="334"/>
  <c r="G10" i="334"/>
  <c r="H9" i="334"/>
  <c r="G9" i="334"/>
  <c r="G22" i="334" l="1"/>
  <c r="H22" i="334"/>
  <c r="AL54" i="2" l="1"/>
  <c r="AL53" i="2"/>
  <c r="AL52" i="2"/>
  <c r="AL51" i="2"/>
  <c r="AL19" i="2" l="1"/>
  <c r="G20" i="2"/>
  <c r="AL18" i="2" l="1"/>
  <c r="AL50" i="2" l="1"/>
  <c r="AL12" i="2" l="1"/>
  <c r="AL13" i="2"/>
  <c r="AL14" i="2"/>
  <c r="AL15" i="2"/>
  <c r="AL16" i="2"/>
  <c r="AL17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61" i="2" l="1"/>
  <c r="AL59" i="2" l="1"/>
  <c r="AH115" i="2"/>
  <c r="AH107" i="2"/>
  <c r="AH113" i="2" s="1"/>
  <c r="AH114" i="2" s="1"/>
  <c r="AH101" i="2"/>
  <c r="AH99" i="2"/>
  <c r="AH92" i="2"/>
  <c r="AH100" i="2" s="1"/>
  <c r="AH108" i="2" s="1"/>
  <c r="AH83" i="2"/>
  <c r="AH82" i="2"/>
  <c r="AH78" i="2"/>
  <c r="AH75" i="2"/>
  <c r="AH81" i="2" s="1"/>
  <c r="AH74" i="2"/>
  <c r="AH80" i="2" s="1"/>
  <c r="AH73" i="2"/>
  <c r="AH79" i="2" s="1"/>
  <c r="AH70" i="2"/>
  <c r="AH110" i="2" s="1"/>
  <c r="AH116" i="2" s="1"/>
  <c r="AH71" i="2"/>
  <c r="AG115" i="2"/>
  <c r="AG107" i="2"/>
  <c r="AG113" i="2" s="1"/>
  <c r="AG114" i="2" s="1"/>
  <c r="AG101" i="2"/>
  <c r="AG99" i="2"/>
  <c r="AG92" i="2"/>
  <c r="AG83" i="2"/>
  <c r="AG82" i="2"/>
  <c r="AG78" i="2"/>
  <c r="AG75" i="2"/>
  <c r="AG81" i="2" s="1"/>
  <c r="AG74" i="2"/>
  <c r="AG80" i="2" s="1"/>
  <c r="AG73" i="2"/>
  <c r="AG79" i="2" s="1"/>
  <c r="AG70" i="2"/>
  <c r="AG110" i="2" s="1"/>
  <c r="AG116" i="2" s="1"/>
  <c r="AG71" i="2"/>
  <c r="AF115" i="2"/>
  <c r="AF107" i="2"/>
  <c r="AF113" i="2" s="1"/>
  <c r="AF114" i="2" s="1"/>
  <c r="AF101" i="2"/>
  <c r="AF99" i="2"/>
  <c r="AF92" i="2"/>
  <c r="AF83" i="2"/>
  <c r="AF82" i="2"/>
  <c r="AF78" i="2"/>
  <c r="AF75" i="2"/>
  <c r="AF81" i="2" s="1"/>
  <c r="AF74" i="2"/>
  <c r="AF80" i="2" s="1"/>
  <c r="AF73" i="2"/>
  <c r="AF79" i="2" s="1"/>
  <c r="AF70" i="2"/>
  <c r="AF110" i="2" s="1"/>
  <c r="AF116" i="2" s="1"/>
  <c r="AF71" i="2"/>
  <c r="AE115" i="2"/>
  <c r="AE107" i="2"/>
  <c r="AE113" i="2" s="1"/>
  <c r="AE114" i="2" s="1"/>
  <c r="AE101" i="2"/>
  <c r="AE99" i="2"/>
  <c r="AE92" i="2"/>
  <c r="AE83" i="2"/>
  <c r="AE82" i="2"/>
  <c r="AE78" i="2"/>
  <c r="AE75" i="2"/>
  <c r="AE81" i="2" s="1"/>
  <c r="AE74" i="2"/>
  <c r="AE80" i="2" s="1"/>
  <c r="AE73" i="2"/>
  <c r="AE79" i="2" s="1"/>
  <c r="AE70" i="2"/>
  <c r="AE110" i="2" s="1"/>
  <c r="AE116" i="2" s="1"/>
  <c r="AE71" i="2"/>
  <c r="AD115" i="2"/>
  <c r="AD107" i="2"/>
  <c r="AD113" i="2" s="1"/>
  <c r="AD114" i="2" s="1"/>
  <c r="AD101" i="2"/>
  <c r="AD99" i="2"/>
  <c r="AD92" i="2"/>
  <c r="AD83" i="2"/>
  <c r="AD82" i="2"/>
  <c r="AD78" i="2"/>
  <c r="AD75" i="2"/>
  <c r="AD81" i="2" s="1"/>
  <c r="AD74" i="2"/>
  <c r="AD80" i="2" s="1"/>
  <c r="AD73" i="2"/>
  <c r="AD79" i="2" s="1"/>
  <c r="AD70" i="2"/>
  <c r="AD110" i="2" s="1"/>
  <c r="AD116" i="2" s="1"/>
  <c r="AD71" i="2"/>
  <c r="AC115" i="2"/>
  <c r="AC107" i="2"/>
  <c r="AC113" i="2" s="1"/>
  <c r="AC114" i="2" s="1"/>
  <c r="AC101" i="2"/>
  <c r="AC99" i="2"/>
  <c r="AC92" i="2"/>
  <c r="AC83" i="2"/>
  <c r="AC82" i="2"/>
  <c r="AC78" i="2"/>
  <c r="AC75" i="2"/>
  <c r="AC81" i="2" s="1"/>
  <c r="AC74" i="2"/>
  <c r="AC80" i="2" s="1"/>
  <c r="AC73" i="2"/>
  <c r="AC79" i="2" s="1"/>
  <c r="AC70" i="2"/>
  <c r="AC110" i="2" s="1"/>
  <c r="AC116" i="2" s="1"/>
  <c r="AC71" i="2"/>
  <c r="AB115" i="2"/>
  <c r="AB107" i="2"/>
  <c r="AB113" i="2" s="1"/>
  <c r="AB114" i="2" s="1"/>
  <c r="AB101" i="2"/>
  <c r="AB99" i="2"/>
  <c r="AB92" i="2"/>
  <c r="AB83" i="2"/>
  <c r="AB82" i="2"/>
  <c r="AB78" i="2"/>
  <c r="AB75" i="2"/>
  <c r="AB81" i="2" s="1"/>
  <c r="AB74" i="2"/>
  <c r="AB80" i="2" s="1"/>
  <c r="AB73" i="2"/>
  <c r="AB79" i="2" s="1"/>
  <c r="AB70" i="2"/>
  <c r="AB110" i="2" s="1"/>
  <c r="AB116" i="2" s="1"/>
  <c r="AB71" i="2"/>
  <c r="AA115" i="2"/>
  <c r="AA107" i="2"/>
  <c r="AA113" i="2" s="1"/>
  <c r="AA114" i="2" s="1"/>
  <c r="AA101" i="2"/>
  <c r="AA99" i="2"/>
  <c r="AA92" i="2"/>
  <c r="AA83" i="2"/>
  <c r="AA82" i="2"/>
  <c r="AA78" i="2"/>
  <c r="AA75" i="2"/>
  <c r="AA81" i="2" s="1"/>
  <c r="AA74" i="2"/>
  <c r="AA80" i="2" s="1"/>
  <c r="AA73" i="2"/>
  <c r="AA79" i="2" s="1"/>
  <c r="AA70" i="2"/>
  <c r="AA110" i="2" s="1"/>
  <c r="AA116" i="2" s="1"/>
  <c r="AA71" i="2"/>
  <c r="AC100" i="2" l="1"/>
  <c r="AC108" i="2" s="1"/>
  <c r="AH117" i="2"/>
  <c r="AF100" i="2"/>
  <c r="AF108" i="2" s="1"/>
  <c r="AF118" i="2" s="1"/>
  <c r="AG100" i="2"/>
  <c r="AG108" i="2" s="1"/>
  <c r="AG118" i="2" s="1"/>
  <c r="AG117" i="2"/>
  <c r="AH118" i="2"/>
  <c r="AE117" i="2"/>
  <c r="AD100" i="2"/>
  <c r="AD108" i="2" s="1"/>
  <c r="AD118" i="2" s="1"/>
  <c r="AF117" i="2"/>
  <c r="AE100" i="2"/>
  <c r="AE108" i="2" s="1"/>
  <c r="AE118" i="2" s="1"/>
  <c r="AD117" i="2"/>
  <c r="AB117" i="2"/>
  <c r="AC117" i="2"/>
  <c r="AC118" i="2"/>
  <c r="AB100" i="2"/>
  <c r="AB108" i="2" s="1"/>
  <c r="AB118" i="2" s="1"/>
  <c r="AA100" i="2"/>
  <c r="AA108" i="2" s="1"/>
  <c r="AA118" i="2" s="1"/>
  <c r="AA117" i="2"/>
  <c r="AG119" i="2" l="1"/>
  <c r="AA119" i="2"/>
  <c r="AH119" i="2"/>
  <c r="AE119" i="2"/>
  <c r="AC119" i="2"/>
  <c r="AF119" i="2"/>
  <c r="AD119" i="2"/>
  <c r="AB119" i="2"/>
  <c r="Z115" i="2"/>
  <c r="Z107" i="2"/>
  <c r="Z113" i="2" s="1"/>
  <c r="Z114" i="2" s="1"/>
  <c r="Z101" i="2"/>
  <c r="Z99" i="2"/>
  <c r="Z92" i="2"/>
  <c r="Z83" i="2"/>
  <c r="Z82" i="2"/>
  <c r="Z78" i="2"/>
  <c r="Z75" i="2"/>
  <c r="Z81" i="2" s="1"/>
  <c r="Z74" i="2"/>
  <c r="Z80" i="2" s="1"/>
  <c r="Z73" i="2"/>
  <c r="Z79" i="2" s="1"/>
  <c r="Z70" i="2"/>
  <c r="Z110" i="2" s="1"/>
  <c r="Z116" i="2" s="1"/>
  <c r="Z71" i="2"/>
  <c r="Z117" i="2" l="1"/>
  <c r="Z100" i="2"/>
  <c r="Z108" i="2" s="1"/>
  <c r="Z118" i="2" s="1"/>
  <c r="Y71" i="2"/>
  <c r="X71" i="2"/>
  <c r="W71" i="2"/>
  <c r="V71" i="2"/>
  <c r="U71" i="2"/>
  <c r="T71" i="2"/>
  <c r="S71" i="2"/>
  <c r="R71" i="2"/>
  <c r="Q71" i="2"/>
  <c r="P71" i="2"/>
  <c r="O71" i="2"/>
  <c r="Y115" i="2"/>
  <c r="Y107" i="2"/>
  <c r="Y113" i="2" s="1"/>
  <c r="Y114" i="2" s="1"/>
  <c r="Y101" i="2"/>
  <c r="Y99" i="2"/>
  <c r="Y92" i="2"/>
  <c r="Y83" i="2"/>
  <c r="Y82" i="2"/>
  <c r="Y78" i="2"/>
  <c r="Y75" i="2"/>
  <c r="Y81" i="2" s="1"/>
  <c r="Y74" i="2"/>
  <c r="Y80" i="2" s="1"/>
  <c r="Y73" i="2"/>
  <c r="Y79" i="2" s="1"/>
  <c r="Y70" i="2"/>
  <c r="Y110" i="2" s="1"/>
  <c r="Y116" i="2" s="1"/>
  <c r="X115" i="2"/>
  <c r="X107" i="2"/>
  <c r="X113" i="2" s="1"/>
  <c r="X114" i="2" s="1"/>
  <c r="X101" i="2"/>
  <c r="X99" i="2"/>
  <c r="X92" i="2"/>
  <c r="X83" i="2"/>
  <c r="X82" i="2"/>
  <c r="X78" i="2"/>
  <c r="X75" i="2"/>
  <c r="X81" i="2" s="1"/>
  <c r="X74" i="2"/>
  <c r="X80" i="2" s="1"/>
  <c r="X73" i="2"/>
  <c r="X79" i="2" s="1"/>
  <c r="X70" i="2"/>
  <c r="X110" i="2" s="1"/>
  <c r="X116" i="2" s="1"/>
  <c r="W115" i="2"/>
  <c r="W107" i="2"/>
  <c r="W113" i="2" s="1"/>
  <c r="W114" i="2" s="1"/>
  <c r="W101" i="2"/>
  <c r="W99" i="2"/>
  <c r="W92" i="2"/>
  <c r="W100" i="2" s="1"/>
  <c r="W108" i="2" s="1"/>
  <c r="W83" i="2"/>
  <c r="W82" i="2"/>
  <c r="W78" i="2"/>
  <c r="W75" i="2"/>
  <c r="W81" i="2" s="1"/>
  <c r="W74" i="2"/>
  <c r="W80" i="2" s="1"/>
  <c r="W73" i="2"/>
  <c r="W79" i="2" s="1"/>
  <c r="W70" i="2"/>
  <c r="W110" i="2" s="1"/>
  <c r="W116" i="2" s="1"/>
  <c r="V115" i="2"/>
  <c r="V107" i="2"/>
  <c r="V113" i="2" s="1"/>
  <c r="V114" i="2" s="1"/>
  <c r="V101" i="2"/>
  <c r="V99" i="2"/>
  <c r="V92" i="2"/>
  <c r="V100" i="2" s="1"/>
  <c r="V108" i="2" s="1"/>
  <c r="V83" i="2"/>
  <c r="V82" i="2"/>
  <c r="V78" i="2"/>
  <c r="V75" i="2"/>
  <c r="V81" i="2" s="1"/>
  <c r="V74" i="2"/>
  <c r="V80" i="2" s="1"/>
  <c r="V73" i="2"/>
  <c r="V79" i="2" s="1"/>
  <c r="V70" i="2"/>
  <c r="V110" i="2" s="1"/>
  <c r="V116" i="2" s="1"/>
  <c r="U115" i="2"/>
  <c r="U107" i="2"/>
  <c r="U113" i="2" s="1"/>
  <c r="U114" i="2" s="1"/>
  <c r="U101" i="2"/>
  <c r="U99" i="2"/>
  <c r="U92" i="2"/>
  <c r="U83" i="2"/>
  <c r="U82" i="2"/>
  <c r="U78" i="2"/>
  <c r="U75" i="2"/>
  <c r="U81" i="2" s="1"/>
  <c r="U74" i="2"/>
  <c r="U80" i="2" s="1"/>
  <c r="U73" i="2"/>
  <c r="U79" i="2" s="1"/>
  <c r="U70" i="2"/>
  <c r="U110" i="2" s="1"/>
  <c r="U116" i="2" s="1"/>
  <c r="T115" i="2"/>
  <c r="T107" i="2"/>
  <c r="T113" i="2" s="1"/>
  <c r="T114" i="2" s="1"/>
  <c r="T101" i="2"/>
  <c r="T99" i="2"/>
  <c r="T92" i="2"/>
  <c r="T83" i="2"/>
  <c r="T82" i="2"/>
  <c r="T78" i="2"/>
  <c r="T75" i="2"/>
  <c r="T81" i="2" s="1"/>
  <c r="T74" i="2"/>
  <c r="T80" i="2" s="1"/>
  <c r="T73" i="2"/>
  <c r="T79" i="2" s="1"/>
  <c r="T70" i="2"/>
  <c r="T110" i="2" s="1"/>
  <c r="T116" i="2" s="1"/>
  <c r="S115" i="2"/>
  <c r="S107" i="2"/>
  <c r="S113" i="2" s="1"/>
  <c r="S114" i="2" s="1"/>
  <c r="S101" i="2"/>
  <c r="S99" i="2"/>
  <c r="S92" i="2"/>
  <c r="S83" i="2"/>
  <c r="S82" i="2"/>
  <c r="S78" i="2"/>
  <c r="S75" i="2"/>
  <c r="S81" i="2" s="1"/>
  <c r="S74" i="2"/>
  <c r="S80" i="2" s="1"/>
  <c r="S73" i="2"/>
  <c r="S79" i="2" s="1"/>
  <c r="S70" i="2"/>
  <c r="S110" i="2" s="1"/>
  <c r="S116" i="2" s="1"/>
  <c r="R115" i="2"/>
  <c r="R107" i="2"/>
  <c r="R113" i="2" s="1"/>
  <c r="R114" i="2" s="1"/>
  <c r="R101" i="2"/>
  <c r="R99" i="2"/>
  <c r="R92" i="2"/>
  <c r="R83" i="2"/>
  <c r="R82" i="2"/>
  <c r="R78" i="2"/>
  <c r="R75" i="2"/>
  <c r="R81" i="2" s="1"/>
  <c r="R74" i="2"/>
  <c r="R80" i="2" s="1"/>
  <c r="R73" i="2"/>
  <c r="R79" i="2" s="1"/>
  <c r="R70" i="2"/>
  <c r="R110" i="2" s="1"/>
  <c r="R116" i="2" s="1"/>
  <c r="Q115" i="2"/>
  <c r="Q107" i="2"/>
  <c r="Q113" i="2" s="1"/>
  <c r="Q114" i="2" s="1"/>
  <c r="Q101" i="2"/>
  <c r="Q99" i="2"/>
  <c r="Q92" i="2"/>
  <c r="Q83" i="2"/>
  <c r="Q82" i="2"/>
  <c r="Q78" i="2"/>
  <c r="Q75" i="2"/>
  <c r="Q81" i="2" s="1"/>
  <c r="Q74" i="2"/>
  <c r="Q80" i="2" s="1"/>
  <c r="Q73" i="2"/>
  <c r="Q79" i="2" s="1"/>
  <c r="Q70" i="2"/>
  <c r="Q110" i="2" s="1"/>
  <c r="Q116" i="2" s="1"/>
  <c r="P115" i="2"/>
  <c r="P107" i="2"/>
  <c r="P113" i="2" s="1"/>
  <c r="P114" i="2" s="1"/>
  <c r="P101" i="2"/>
  <c r="P99" i="2"/>
  <c r="P92" i="2"/>
  <c r="P83" i="2"/>
  <c r="P82" i="2"/>
  <c r="P78" i="2"/>
  <c r="P75" i="2"/>
  <c r="P81" i="2" s="1"/>
  <c r="P74" i="2"/>
  <c r="P80" i="2" s="1"/>
  <c r="P73" i="2"/>
  <c r="P79" i="2" s="1"/>
  <c r="P70" i="2"/>
  <c r="P110" i="2" s="1"/>
  <c r="P116" i="2" s="1"/>
  <c r="O115" i="2"/>
  <c r="O107" i="2"/>
  <c r="O113" i="2" s="1"/>
  <c r="O114" i="2" s="1"/>
  <c r="O101" i="2"/>
  <c r="O99" i="2"/>
  <c r="O92" i="2"/>
  <c r="O83" i="2"/>
  <c r="O82" i="2"/>
  <c r="O78" i="2"/>
  <c r="O75" i="2"/>
  <c r="O81" i="2" s="1"/>
  <c r="O74" i="2"/>
  <c r="O80" i="2" s="1"/>
  <c r="O73" i="2"/>
  <c r="O79" i="2" s="1"/>
  <c r="O70" i="2"/>
  <c r="O110" i="2" s="1"/>
  <c r="O116" i="2" s="1"/>
  <c r="U100" i="2" l="1"/>
  <c r="U108" i="2" s="1"/>
  <c r="U118" i="2" s="1"/>
  <c r="S117" i="2"/>
  <c r="Z119" i="2"/>
  <c r="X100" i="2"/>
  <c r="X108" i="2" s="1"/>
  <c r="X118" i="2" s="1"/>
  <c r="X117" i="2"/>
  <c r="Q100" i="2"/>
  <c r="Q108" i="2" s="1"/>
  <c r="Q118" i="2" s="1"/>
  <c r="S100" i="2"/>
  <c r="S108" i="2" s="1"/>
  <c r="S118" i="2" s="1"/>
  <c r="V117" i="2"/>
  <c r="Y117" i="2"/>
  <c r="Y100" i="2"/>
  <c r="Y108" i="2" s="1"/>
  <c r="Y118" i="2" s="1"/>
  <c r="O117" i="2"/>
  <c r="W117" i="2"/>
  <c r="W118" i="2"/>
  <c r="T100" i="2"/>
  <c r="T108" i="2" s="1"/>
  <c r="T118" i="2" s="1"/>
  <c r="U117" i="2"/>
  <c r="V118" i="2"/>
  <c r="T117" i="2"/>
  <c r="R100" i="2"/>
  <c r="R108" i="2" s="1"/>
  <c r="R118" i="2" s="1"/>
  <c r="Q117" i="2"/>
  <c r="R117" i="2"/>
  <c r="P117" i="2"/>
  <c r="P100" i="2"/>
  <c r="P108" i="2" s="1"/>
  <c r="P118" i="2" s="1"/>
  <c r="P119" i="2" s="1"/>
  <c r="O100" i="2"/>
  <c r="O108" i="2" s="1"/>
  <c r="O118" i="2" s="1"/>
  <c r="O119" i="2" s="1"/>
  <c r="N115" i="2"/>
  <c r="N107" i="2"/>
  <c r="N113" i="2" s="1"/>
  <c r="N114" i="2" s="1"/>
  <c r="N101" i="2"/>
  <c r="N99" i="2"/>
  <c r="N92" i="2"/>
  <c r="N83" i="2"/>
  <c r="N82" i="2"/>
  <c r="N78" i="2"/>
  <c r="N75" i="2"/>
  <c r="N81" i="2" s="1"/>
  <c r="N74" i="2"/>
  <c r="N80" i="2" s="1"/>
  <c r="N73" i="2"/>
  <c r="N79" i="2" s="1"/>
  <c r="N70" i="2"/>
  <c r="N110" i="2" s="1"/>
  <c r="N116" i="2" s="1"/>
  <c r="N71" i="2"/>
  <c r="M115" i="2"/>
  <c r="M107" i="2"/>
  <c r="M113" i="2" s="1"/>
  <c r="M114" i="2" s="1"/>
  <c r="M101" i="2"/>
  <c r="M99" i="2"/>
  <c r="M92" i="2"/>
  <c r="M83" i="2"/>
  <c r="M82" i="2"/>
  <c r="M78" i="2"/>
  <c r="M75" i="2"/>
  <c r="M81" i="2" s="1"/>
  <c r="M74" i="2"/>
  <c r="M80" i="2" s="1"/>
  <c r="M73" i="2"/>
  <c r="M79" i="2" s="1"/>
  <c r="M70" i="2"/>
  <c r="M110" i="2" s="1"/>
  <c r="M116" i="2" s="1"/>
  <c r="M71" i="2"/>
  <c r="L115" i="2"/>
  <c r="L107" i="2"/>
  <c r="L113" i="2" s="1"/>
  <c r="L114" i="2" s="1"/>
  <c r="L101" i="2"/>
  <c r="L99" i="2"/>
  <c r="L92" i="2"/>
  <c r="L83" i="2"/>
  <c r="L82" i="2"/>
  <c r="L78" i="2"/>
  <c r="L75" i="2"/>
  <c r="L81" i="2" s="1"/>
  <c r="L74" i="2"/>
  <c r="L80" i="2" s="1"/>
  <c r="L73" i="2"/>
  <c r="L79" i="2" s="1"/>
  <c r="L70" i="2"/>
  <c r="L110" i="2" s="1"/>
  <c r="L116" i="2" s="1"/>
  <c r="L71" i="2"/>
  <c r="AL60" i="2"/>
  <c r="AL58" i="2"/>
  <c r="Y119" i="2" l="1"/>
  <c r="V119" i="2"/>
  <c r="S119" i="2"/>
  <c r="X119" i="2"/>
  <c r="R119" i="2"/>
  <c r="W119" i="2"/>
  <c r="T119" i="2"/>
  <c r="U119" i="2"/>
  <c r="Q119" i="2"/>
  <c r="M117" i="2"/>
  <c r="N117" i="2"/>
  <c r="L117" i="2"/>
  <c r="N100" i="2"/>
  <c r="N108" i="2" s="1"/>
  <c r="N118" i="2" s="1"/>
  <c r="M100" i="2"/>
  <c r="M108" i="2" s="1"/>
  <c r="M118" i="2" s="1"/>
  <c r="L100" i="2"/>
  <c r="L108" i="2" s="1"/>
  <c r="L118" i="2" s="1"/>
  <c r="N119" i="2" l="1"/>
  <c r="M119" i="2"/>
  <c r="L119" i="2"/>
  <c r="H119" i="2" l="1"/>
  <c r="AJ115" i="2"/>
  <c r="AI115" i="2"/>
  <c r="K115" i="2"/>
  <c r="J115" i="2"/>
  <c r="I115" i="2"/>
  <c r="G115" i="2"/>
  <c r="F115" i="2"/>
  <c r="E115" i="2"/>
  <c r="G113" i="2"/>
  <c r="G114" i="2" s="1"/>
  <c r="F113" i="2"/>
  <c r="F114" i="2" s="1"/>
  <c r="E113" i="2"/>
  <c r="E114" i="2" s="1"/>
  <c r="AL111" i="2"/>
  <c r="AJ110" i="2"/>
  <c r="AJ116" i="2" s="1"/>
  <c r="AI110" i="2"/>
  <c r="AI116" i="2" s="1"/>
  <c r="G110" i="2"/>
  <c r="G116" i="2" s="1"/>
  <c r="F110" i="2"/>
  <c r="F116" i="2" s="1"/>
  <c r="E110" i="2"/>
  <c r="E116" i="2" s="1"/>
  <c r="AL109" i="2"/>
  <c r="AJ107" i="2"/>
  <c r="AI107" i="2"/>
  <c r="K107" i="2"/>
  <c r="K113" i="2" s="1"/>
  <c r="K114" i="2" s="1"/>
  <c r="J107" i="2"/>
  <c r="J113" i="2" s="1"/>
  <c r="J114" i="2" s="1"/>
  <c r="I107" i="2"/>
  <c r="I113" i="2" s="1"/>
  <c r="I114" i="2" s="1"/>
  <c r="AL106" i="2"/>
  <c r="AL105" i="2"/>
  <c r="AL101" i="2" s="1"/>
  <c r="AJ105" i="2"/>
  <c r="AI105" i="2"/>
  <c r="K101" i="2"/>
  <c r="J101" i="2"/>
  <c r="I101" i="2"/>
  <c r="H101" i="2"/>
  <c r="F101" i="2"/>
  <c r="E101" i="2"/>
  <c r="K99" i="2"/>
  <c r="J99" i="2"/>
  <c r="I99" i="2"/>
  <c r="H99" i="2"/>
  <c r="G99" i="2"/>
  <c r="F99" i="2"/>
  <c r="E99" i="2"/>
  <c r="AL98" i="2"/>
  <c r="AL97" i="2"/>
  <c r="AL96" i="2"/>
  <c r="AL95" i="2"/>
  <c r="AL94" i="2"/>
  <c r="AJ92" i="2"/>
  <c r="AJ100" i="2" s="1"/>
  <c r="AJ108" i="2" s="1"/>
  <c r="AI92" i="2"/>
  <c r="AI100" i="2" s="1"/>
  <c r="AI108" i="2" s="1"/>
  <c r="K92" i="2"/>
  <c r="J92" i="2"/>
  <c r="I92" i="2"/>
  <c r="H92" i="2"/>
  <c r="G92" i="2"/>
  <c r="F92" i="2"/>
  <c r="E92" i="2"/>
  <c r="AL91" i="2"/>
  <c r="AL90" i="2"/>
  <c r="AL89" i="2"/>
  <c r="AL88" i="2"/>
  <c r="AL84" i="2"/>
  <c r="K83" i="2"/>
  <c r="J83" i="2"/>
  <c r="I83" i="2"/>
  <c r="H83" i="2"/>
  <c r="G83" i="2"/>
  <c r="K82" i="2"/>
  <c r="J82" i="2"/>
  <c r="I82" i="2"/>
  <c r="H82" i="2"/>
  <c r="G82" i="2"/>
  <c r="F82" i="2"/>
  <c r="E82" i="2"/>
  <c r="H81" i="2"/>
  <c r="H80" i="2"/>
  <c r="H79" i="2"/>
  <c r="K78" i="2"/>
  <c r="J78" i="2"/>
  <c r="I78" i="2"/>
  <c r="H78" i="2"/>
  <c r="G78" i="2"/>
  <c r="AL76" i="2"/>
  <c r="AL82" i="2" s="1"/>
  <c r="K75" i="2"/>
  <c r="K81" i="2" s="1"/>
  <c r="J75" i="2"/>
  <c r="J81" i="2" s="1"/>
  <c r="I75" i="2"/>
  <c r="I81" i="2" s="1"/>
  <c r="G75" i="2"/>
  <c r="G81" i="2" s="1"/>
  <c r="K74" i="2"/>
  <c r="K80" i="2" s="1"/>
  <c r="J74" i="2"/>
  <c r="J80" i="2" s="1"/>
  <c r="I74" i="2"/>
  <c r="I80" i="2" s="1"/>
  <c r="G74" i="2"/>
  <c r="G80" i="2" s="1"/>
  <c r="K73" i="2"/>
  <c r="K79" i="2" s="1"/>
  <c r="J73" i="2"/>
  <c r="J79" i="2" s="1"/>
  <c r="I73" i="2"/>
  <c r="I79" i="2" s="1"/>
  <c r="G73" i="2"/>
  <c r="G79" i="2" s="1"/>
  <c r="K70" i="2"/>
  <c r="K110" i="2" s="1"/>
  <c r="K116" i="2" s="1"/>
  <c r="J70" i="2"/>
  <c r="J110" i="2" s="1"/>
  <c r="J116" i="2" s="1"/>
  <c r="I70" i="2"/>
  <c r="AL70" i="2" s="1"/>
  <c r="AL69" i="2"/>
  <c r="AL68" i="2"/>
  <c r="AL67" i="2"/>
  <c r="AL64" i="2"/>
  <c r="AL83" i="2" s="1"/>
  <c r="F64" i="2"/>
  <c r="F73" i="2" s="1"/>
  <c r="F79" i="2" s="1"/>
  <c r="E64" i="2"/>
  <c r="E78" i="2" s="1"/>
  <c r="AL63" i="2"/>
  <c r="K71" i="2"/>
  <c r="J71" i="2"/>
  <c r="I71" i="2"/>
  <c r="F20" i="2"/>
  <c r="E20" i="2"/>
  <c r="AL11" i="2"/>
  <c r="AL10" i="2"/>
  <c r="AL9" i="2"/>
  <c r="AL8" i="2"/>
  <c r="AL7" i="2"/>
  <c r="AL6" i="2"/>
  <c r="AL5" i="2"/>
  <c r="AL4" i="2"/>
  <c r="AL20" i="2" l="1"/>
  <c r="AI117" i="2"/>
  <c r="E117" i="2"/>
  <c r="F117" i="2"/>
  <c r="G117" i="2"/>
  <c r="AI113" i="2"/>
  <c r="AI114" i="2" s="1"/>
  <c r="AI118" i="2" s="1"/>
  <c r="F100" i="2"/>
  <c r="E100" i="2"/>
  <c r="AJ113" i="2"/>
  <c r="AJ114" i="2" s="1"/>
  <c r="AJ118" i="2" s="1"/>
  <c r="AI71" i="2"/>
  <c r="H100" i="2"/>
  <c r="AL99" i="2"/>
  <c r="K100" i="2"/>
  <c r="K108" i="2" s="1"/>
  <c r="K118" i="2" s="1"/>
  <c r="AL115" i="2"/>
  <c r="G100" i="2"/>
  <c r="AI101" i="2"/>
  <c r="F118" i="2"/>
  <c r="AL107" i="2"/>
  <c r="AL113" i="2" s="1"/>
  <c r="AL114" i="2" s="1"/>
  <c r="F74" i="2"/>
  <c r="F80" i="2" s="1"/>
  <c r="F83" i="2"/>
  <c r="AL92" i="2"/>
  <c r="J117" i="2"/>
  <c r="J100" i="2"/>
  <c r="J108" i="2" s="1"/>
  <c r="J118" i="2" s="1"/>
  <c r="AJ71" i="2"/>
  <c r="K117" i="2"/>
  <c r="AJ117" i="2"/>
  <c r="I100" i="2"/>
  <c r="I108" i="2" s="1"/>
  <c r="E118" i="2"/>
  <c r="AL73" i="2"/>
  <c r="AL79" i="2" s="1"/>
  <c r="AL74" i="2"/>
  <c r="AL80" i="2" s="1"/>
  <c r="AL75" i="2"/>
  <c r="AL81" i="2" s="1"/>
  <c r="G118" i="2"/>
  <c r="E75" i="2"/>
  <c r="E81" i="2" s="1"/>
  <c r="F78" i="2"/>
  <c r="F75" i="2"/>
  <c r="F81" i="2" s="1"/>
  <c r="AJ101" i="2"/>
  <c r="I110" i="2"/>
  <c r="I116" i="2" s="1"/>
  <c r="I117" i="2" s="1"/>
  <c r="E74" i="2"/>
  <c r="E80" i="2" s="1"/>
  <c r="E73" i="2"/>
  <c r="E79" i="2" s="1"/>
  <c r="E83" i="2"/>
  <c r="AL71" i="2" l="1"/>
  <c r="E119" i="2"/>
  <c r="AI119" i="2"/>
  <c r="F119" i="2"/>
  <c r="J119" i="2"/>
  <c r="G119" i="2"/>
  <c r="AJ119" i="2"/>
  <c r="AL100" i="2"/>
  <c r="AL108" i="2"/>
  <c r="K119" i="2"/>
  <c r="I118" i="2"/>
  <c r="I119" i="2" s="1"/>
  <c r="AL110" i="2"/>
  <c r="AL116" i="2" s="1"/>
  <c r="AL117" i="2" s="1"/>
  <c r="AL118" i="2" l="1"/>
  <c r="AL119" i="2" s="1"/>
</calcChain>
</file>

<file path=xl/sharedStrings.xml><?xml version="1.0" encoding="utf-8"?>
<sst xmlns="http://schemas.openxmlformats.org/spreadsheetml/2006/main" count="3695" uniqueCount="283">
  <si>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</si>
  <si>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</si>
  <si>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</si>
  <si>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</si>
  <si>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</si>
  <si>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</si>
  <si>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</si>
  <si>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</si>
  <si>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</si>
  <si>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</si>
  <si>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</si>
  <si>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</si>
  <si>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</si>
  <si>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</si>
  <si>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</si>
  <si>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</si>
  <si>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</si>
  <si>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</si>
  <si>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</si>
  <si>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</si>
  <si>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</si>
  <si>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</si>
  <si>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</si>
  <si>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</si>
  <si>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</si>
  <si>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</si>
  <si>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</si>
  <si>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</si>
  <si>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</si>
  <si>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</si>
  <si>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</si>
  <si>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</si>
  <si>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</si>
  <si>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</si>
  <si>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</si>
  <si>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</si>
  <si>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</si>
  <si>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</si>
  <si>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</si>
  <si>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</si>
  <si>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</si>
  <si>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</si>
  <si>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</si>
  <si>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</si>
  <si>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</si>
  <si>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</si>
  <si>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</si>
  <si>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</si>
  <si>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</si>
  <si>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</si>
  <si>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</si>
  <si>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</si>
  <si>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</si>
  <si>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</si>
  <si>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</si>
  <si>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</si>
  <si>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</si>
  <si>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</si>
  <si>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</si>
  <si>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</si>
  <si>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</si>
  <si>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</si>
  <si>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</si>
  <si>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</si>
  <si>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</si>
  <si>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</si>
  <si>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</si>
  <si>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</si>
  <si>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</si>
  <si>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</si>
  <si>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</si>
  <si>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</si>
  <si>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</si>
  <si>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</si>
  <si>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</si>
  <si>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</si>
  <si>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</si>
  <si>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</si>
  <si>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</si>
  <si>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</si>
  <si>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</si>
  <si>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</si>
  <si>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</si>
  <si>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</si>
  <si>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</si>
  <si>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</si>
  <si>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</si>
  <si>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</si>
  <si>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</si>
  <si>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</si>
  <si>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</si>
  <si>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</si>
  <si>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</si>
  <si>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</si>
  <si>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</si>
  <si>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</si>
  <si>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</si>
  <si>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</si>
  <si>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</si>
  <si>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</si>
  <si>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</si>
  <si>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</si>
  <si>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</si>
  <si>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</si>
  <si>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</si>
  <si>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</si>
  <si>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</si>
  <si>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</si>
  <si>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</si>
  <si>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</si>
  <si>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</si>
  <si>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</si>
  <si>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</si>
  <si>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</si>
  <si>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</si>
  <si>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</si>
  <si>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</si>
  <si>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</si>
  <si>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</si>
  <si>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</si>
  <si>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SOFTING AGENT - PROSOFT TQ 218</t>
  </si>
  <si>
    <t>Creptrol A9915 (Yankee coating)</t>
  </si>
  <si>
    <t>Creptrol 3718 (Yankee coating)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</si>
  <si>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</si>
  <si>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</si>
  <si>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</si>
  <si>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</si>
  <si>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</si>
  <si>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</si>
  <si>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</si>
  <si>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</si>
  <si>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</si>
  <si>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</si>
  <si>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</si>
  <si>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</si>
  <si>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</si>
  <si>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</si>
  <si>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</si>
  <si>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</si>
  <si>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</si>
  <si>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</si>
  <si>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</si>
  <si>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</si>
  <si>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</si>
  <si>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</si>
  <si>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</si>
  <si>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</si>
  <si>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</si>
  <si>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</si>
  <si>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</si>
  <si>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</si>
  <si>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</si>
  <si>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</si>
  <si>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</si>
  <si>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</si>
  <si>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</si>
  <si>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</si>
  <si>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</si>
  <si>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</si>
  <si>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</si>
  <si>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</si>
  <si>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</si>
  <si>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</si>
  <si>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</si>
  <si>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</si>
  <si>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</si>
  <si>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</si>
  <si>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</si>
  <si>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</si>
  <si>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</si>
  <si>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</si>
  <si>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</si>
  <si>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</si>
  <si>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</si>
  <si>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</si>
  <si>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</si>
  <si>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</si>
  <si>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</si>
  <si>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</si>
  <si>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</si>
  <si>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</si>
  <si>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</si>
  <si>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</si>
  <si>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</si>
  <si>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</si>
  <si>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</si>
  <si>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</si>
  <si>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</si>
  <si>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</si>
  <si>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</si>
  <si>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</si>
  <si>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</si>
  <si>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</si>
  <si>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</si>
  <si>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</si>
  <si>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</si>
  <si>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</si>
  <si>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</si>
  <si>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</si>
  <si>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</si>
  <si>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</si>
  <si>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</si>
  <si>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</si>
  <si>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</si>
  <si>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</si>
  <si>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</si>
  <si>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</si>
  <si>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</si>
  <si>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</si>
  <si>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</si>
  <si>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</si>
  <si>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</si>
  <si>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</si>
  <si>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</si>
  <si>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</si>
  <si>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</si>
  <si>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</si>
  <si>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</si>
  <si>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</si>
  <si>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</si>
  <si>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</si>
  <si>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</si>
  <si>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</si>
  <si>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</si>
  <si>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</si>
  <si>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</si>
  <si>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</si>
  <si>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</si>
  <si>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Imported Softwood Pulp METSA (AD)</t>
  </si>
  <si>
    <t>Imported Hardwood April XP (AD)</t>
  </si>
  <si>
    <t>BCHEM Rzym E - TR</t>
  </si>
  <si>
    <t>Creptrol 9258 AP (Yankee coating)</t>
  </si>
  <si>
    <t>Anmosuper PAE (WSR)</t>
  </si>
  <si>
    <t>Packing lables</t>
  </si>
  <si>
    <t>Hercobond 1309 AP (DSR)</t>
  </si>
  <si>
    <t>NT</t>
  </si>
  <si>
    <t>Yankee doctor blade change</t>
  </si>
  <si>
    <t>Imported Hardwood SANTA (AD)</t>
  </si>
  <si>
    <t>Imported Softwood Pulp ALABAMA (AD)</t>
  </si>
  <si>
    <t>FT</t>
  </si>
  <si>
    <t>Sheet break</t>
  </si>
  <si>
    <t>System wash up</t>
  </si>
  <si>
    <t>Amicoat TC 6213</t>
  </si>
  <si>
    <t>Amicoat TC 6411</t>
  </si>
  <si>
    <t>Amicoat TR  6217</t>
  </si>
  <si>
    <t>Amicoat TR  6246</t>
  </si>
  <si>
    <t>DAILY REPORT  Month (March-2026)</t>
  </si>
  <si>
    <t>Felt &amp; wire cleaned</t>
  </si>
  <si>
    <t>Marketing</t>
  </si>
  <si>
    <t>Machine speed loss due to single ply orders only (Want of spool)</t>
  </si>
  <si>
    <t>UTILITY</t>
  </si>
  <si>
    <t>Natural Gas consumption (Tissue Machine)</t>
  </si>
  <si>
    <t>Natural Gas consumption (Boiler)</t>
  </si>
  <si>
    <t>Fresh Water consumption</t>
  </si>
  <si>
    <t>RO water consumption</t>
  </si>
  <si>
    <t>Power (MACHINE)</t>
  </si>
  <si>
    <t>Power (BOILER+ETP)</t>
  </si>
  <si>
    <t>SCM</t>
  </si>
  <si>
    <t>Others</t>
  </si>
  <si>
    <t>Stock off for cut off doctor holder cleaning</t>
  </si>
  <si>
    <t>CMAX</t>
  </si>
  <si>
    <t>Maintainance</t>
  </si>
  <si>
    <t>Pope reel doctor blade missing</t>
  </si>
  <si>
    <t>KT</t>
  </si>
  <si>
    <t>Felt and wire cleaning</t>
  </si>
  <si>
    <t>others</t>
  </si>
  <si>
    <t>Chemical changeover solenis to Amazon and felt carried the stock</t>
  </si>
  <si>
    <t>Felt checking &amp; cleaning</t>
  </si>
  <si>
    <t>Power</t>
  </si>
  <si>
    <t>Power failure</t>
  </si>
  <si>
    <t>sheet break</t>
  </si>
  <si>
    <t>TT</t>
  </si>
  <si>
    <t>ULTRALUX FT</t>
  </si>
  <si>
    <t>Felt &amp; wire cleaning</t>
  </si>
  <si>
    <t>TOWEL</t>
  </si>
  <si>
    <t>Instt</t>
  </si>
  <si>
    <t>Hood burner tripped</t>
  </si>
  <si>
    <t>Machine chest pump stopped twice</t>
  </si>
  <si>
    <t>Elect</t>
  </si>
  <si>
    <t>Sedifloc 526 (Flocculant)</t>
  </si>
  <si>
    <t>A-fix (Coagulant)</t>
  </si>
  <si>
    <t>ULTRALUX TT</t>
  </si>
  <si>
    <t>Tail cutter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</si>
</sst>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h:mm;@"/>
    <numFmt numFmtId="166" formatCode="[$-409]d\-mmm\-yy;@"/>
    <numFmt numFmtId="167" formatCode="0.000"/>
    <numFmt numFmtId="168" formatCode="[h]:mm:ss;@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u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5" xfId="1" applyFont="1" applyBorder="1" applyAlignment="1">
      <alignment vertical="center"/>
    </xf>
    <xf numFmtId="165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20" xfId="1" applyFont="1" applyBorder="1"/>
    <xf numFmtId="0" fontId="4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4" fillId="0" borderId="0" xfId="0" applyFont="1"/>
    <xf numFmtId="0" fontId="4" fillId="3" borderId="19" xfId="0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4" borderId="1" xfId="0" applyFont="1" applyFill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6" fillId="6" borderId="2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1" xfId="0" applyFont="1" applyFill="1" applyBorder="1"/>
    <xf numFmtId="0" fontId="7" fillId="4" borderId="29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4" fillId="2" borderId="19" xfId="0" applyFont="1" applyFill="1" applyBorder="1" applyAlignment="1">
      <alignment horizontal="center"/>
    </xf>
    <xf numFmtId="0" fontId="10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2" fontId="6" fillId="2" borderId="20" xfId="0" applyNumberFormat="1" applyFont="1" applyFill="1" applyBorder="1" applyAlignment="1">
      <alignment horizontal="center" vertical="center"/>
    </xf>
    <xf numFmtId="167" fontId="9" fillId="0" borderId="0" xfId="0" applyNumberFormat="1" applyFont="1" applyAlignment="1">
      <alignment horizontal="center"/>
    </xf>
    <xf numFmtId="167" fontId="4" fillId="0" borderId="0" xfId="0" applyNumberFormat="1" applyFont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167" fontId="4" fillId="2" borderId="2" xfId="0" applyNumberFormat="1" applyFont="1" applyFill="1" applyBorder="1" applyAlignment="1">
      <alignment horizontal="center"/>
    </xf>
    <xf numFmtId="167" fontId="6" fillId="2" borderId="20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4" fillId="2" borderId="20" xfId="0" applyNumberFormat="1" applyFont="1" applyFill="1" applyBorder="1" applyAlignment="1">
      <alignment horizontal="center"/>
    </xf>
    <xf numFmtId="164" fontId="6" fillId="2" borderId="20" xfId="0" applyNumberFormat="1" applyFont="1" applyFill="1" applyBorder="1" applyAlignment="1">
      <alignment horizontal="center" vertical="center"/>
    </xf>
    <xf numFmtId="1" fontId="6" fillId="2" borderId="20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5" xfId="0" applyFont="1" applyFill="1" applyBorder="1"/>
    <xf numFmtId="0" fontId="4" fillId="2" borderId="4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4" fillId="2" borderId="2" xfId="0" applyFont="1" applyFill="1" applyBorder="1"/>
    <xf numFmtId="0" fontId="4" fillId="2" borderId="29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right"/>
    </xf>
    <xf numFmtId="164" fontId="4" fillId="2" borderId="8" xfId="0" applyNumberFormat="1" applyFont="1" applyFill="1" applyBorder="1" applyAlignment="1">
      <alignment horizontal="center"/>
    </xf>
    <xf numFmtId="164" fontId="4" fillId="2" borderId="21" xfId="0" applyNumberFormat="1" applyFont="1" applyFill="1" applyBorder="1" applyAlignment="1">
      <alignment horizontal="center"/>
    </xf>
    <xf numFmtId="0" fontId="4" fillId="2" borderId="19" xfId="0" applyFont="1" applyFill="1" applyBorder="1"/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vertical="center"/>
    </xf>
    <xf numFmtId="0" fontId="4" fillId="2" borderId="32" xfId="0" applyFont="1" applyFill="1" applyBorder="1"/>
    <xf numFmtId="0" fontId="6" fillId="2" borderId="33" xfId="0" applyFont="1" applyFill="1" applyBorder="1"/>
    <xf numFmtId="0" fontId="6" fillId="2" borderId="33" xfId="0" applyFont="1" applyFill="1" applyBorder="1" applyAlignment="1">
      <alignment horizontal="left"/>
    </xf>
    <xf numFmtId="0" fontId="6" fillId="2" borderId="33" xfId="0" applyFont="1" applyFill="1" applyBorder="1" applyAlignment="1">
      <alignment horizontal="center"/>
    </xf>
    <xf numFmtId="2" fontId="4" fillId="2" borderId="33" xfId="0" applyNumberFormat="1" applyFont="1" applyFill="1" applyBorder="1" applyAlignment="1">
      <alignment horizontal="center"/>
    </xf>
    <xf numFmtId="2" fontId="4" fillId="2" borderId="34" xfId="0" applyNumberFormat="1" applyFont="1" applyFill="1" applyBorder="1" applyAlignment="1">
      <alignment horizontal="center"/>
    </xf>
    <xf numFmtId="2" fontId="6" fillId="2" borderId="35" xfId="0" applyNumberFormat="1" applyFont="1" applyFill="1" applyBorder="1" applyAlignment="1">
      <alignment horizontal="center" vertical="center"/>
    </xf>
    <xf numFmtId="0" fontId="4" fillId="2" borderId="36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2" borderId="37" xfId="0" applyFont="1" applyFill="1" applyBorder="1" applyAlignment="1">
      <alignment vertical="center"/>
    </xf>
    <xf numFmtId="0" fontId="4" fillId="2" borderId="25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left"/>
    </xf>
    <xf numFmtId="0" fontId="4" fillId="2" borderId="38" xfId="0" applyFont="1" applyFill="1" applyBorder="1"/>
    <xf numFmtId="0" fontId="6" fillId="2" borderId="38" xfId="0" applyFont="1" applyFill="1" applyBorder="1" applyAlignment="1">
      <alignment horizontal="left"/>
    </xf>
    <xf numFmtId="0" fontId="6" fillId="2" borderId="3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2" fontId="4" fillId="2" borderId="20" xfId="0" applyNumberFormat="1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/>
    </xf>
    <xf numFmtId="164" fontId="6" fillId="2" borderId="33" xfId="0" applyNumberFormat="1" applyFont="1" applyFill="1" applyBorder="1" applyAlignment="1">
      <alignment horizontal="center"/>
    </xf>
    <xf numFmtId="164" fontId="6" fillId="2" borderId="34" xfId="0" applyNumberFormat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4" fontId="1" fillId="0" borderId="1" xfId="2" applyNumberFormat="1" applyFont="1" applyBorder="1" applyAlignment="1">
      <alignment horizontal="center" vertical="center" wrapText="1"/>
    </xf>
    <xf numFmtId="164" fontId="3" fillId="0" borderId="13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/>
    </xf>
    <xf numFmtId="0" fontId="4" fillId="2" borderId="41" xfId="0" applyFont="1" applyFill="1" applyBorder="1" applyAlignment="1">
      <alignment horizontal="center" vertical="center" wrapText="1"/>
    </xf>
    <xf numFmtId="0" fontId="6" fillId="2" borderId="8" xfId="0" applyFont="1" applyFill="1" applyBorder="1"/>
    <xf numFmtId="0" fontId="4" fillId="3" borderId="32" xfId="0" applyFont="1" applyFill="1" applyBorder="1" applyAlignment="1">
      <alignment horizontal="center"/>
    </xf>
    <xf numFmtId="0" fontId="6" fillId="7" borderId="33" xfId="0" applyFont="1" applyFill="1" applyBorder="1"/>
    <xf numFmtId="0" fontId="6" fillId="7" borderId="33" xfId="0" applyFont="1" applyFill="1" applyBorder="1" applyAlignment="1">
      <alignment horizontal="left"/>
    </xf>
    <xf numFmtId="0" fontId="6" fillId="7" borderId="33" xfId="0" applyFont="1" applyFill="1" applyBorder="1" applyAlignment="1">
      <alignment horizontal="center"/>
    </xf>
    <xf numFmtId="2" fontId="6" fillId="7" borderId="33" xfId="0" applyNumberFormat="1" applyFont="1" applyFill="1" applyBorder="1" applyAlignment="1">
      <alignment horizontal="center"/>
    </xf>
    <xf numFmtId="167" fontId="6" fillId="7" borderId="33" xfId="0" applyNumberFormat="1" applyFont="1" applyFill="1" applyBorder="1" applyAlignment="1">
      <alignment horizontal="center"/>
    </xf>
    <xf numFmtId="167" fontId="6" fillId="6" borderId="35" xfId="0" applyNumberFormat="1" applyFont="1" applyFill="1" applyBorder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 wrapText="1"/>
    </xf>
    <xf numFmtId="164" fontId="1" fillId="0" borderId="7" xfId="2" applyNumberFormat="1" applyFont="1" applyBorder="1" applyAlignment="1">
      <alignment horizontal="center" vertical="center" wrapText="1"/>
    </xf>
    <xf numFmtId="0" fontId="1" fillId="0" borderId="8" xfId="2" applyFont="1" applyBorder="1" applyAlignment="1">
      <alignment horizontal="center" vertical="center" wrapText="1"/>
    </xf>
    <xf numFmtId="164" fontId="1" fillId="0" borderId="9" xfId="2" applyNumberFormat="1" applyFont="1" applyBorder="1" applyAlignment="1">
      <alignment horizontal="center" vertical="center" wrapText="1"/>
    </xf>
    <xf numFmtId="0" fontId="1" fillId="2" borderId="14" xfId="2" applyFont="1" applyFill="1" applyBorder="1" applyAlignment="1">
      <alignment horizontal="center" vertical="center"/>
    </xf>
    <xf numFmtId="164" fontId="1" fillId="0" borderId="12" xfId="2" applyNumberFormat="1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164" fontId="1" fillId="0" borderId="16" xfId="2" applyNumberFormat="1" applyFont="1" applyBorder="1" applyAlignment="1">
      <alignment horizontal="center" vertical="center" wrapText="1"/>
    </xf>
    <xf numFmtId="167" fontId="4" fillId="0" borderId="0" xfId="0" applyNumberFormat="1" applyFont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4" fillId="0" borderId="29" xfId="0" applyNumberFormat="1" applyFont="1" applyBorder="1" applyAlignment="1">
      <alignment horizontal="center"/>
    </xf>
    <xf numFmtId="0" fontId="1" fillId="0" borderId="6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 wrapText="1"/>
    </xf>
    <xf numFmtId="165" fontId="1" fillId="2" borderId="14" xfId="2" applyNumberFormat="1" applyFont="1" applyFill="1" applyBorder="1" applyAlignment="1">
      <alignment horizontal="center" vertical="center"/>
    </xf>
    <xf numFmtId="0" fontId="1" fillId="2" borderId="15" xfId="2" applyFont="1" applyFill="1" applyBorder="1" applyAlignment="1">
      <alignment vertical="center"/>
    </xf>
    <xf numFmtId="0" fontId="1" fillId="0" borderId="11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164" fontId="1" fillId="0" borderId="17" xfId="2" applyNumberFormat="1" applyFont="1" applyBorder="1" applyAlignment="1">
      <alignment horizontal="center" vertical="center" wrapText="1"/>
    </xf>
    <xf numFmtId="164" fontId="1" fillId="0" borderId="18" xfId="2" applyNumberFormat="1" applyFont="1" applyBorder="1" applyAlignment="1">
      <alignment horizontal="center" vertical="center" wrapText="1"/>
    </xf>
    <xf numFmtId="20" fontId="1" fillId="0" borderId="10" xfId="0" applyNumberFormat="1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1" fillId="0" borderId="19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0" fontId="1" fillId="0" borderId="21" xfId="0" applyFont="1" applyBorder="1"/>
    <xf numFmtId="0" fontId="1" fillId="0" borderId="8" xfId="0" applyFont="1" applyBorder="1"/>
    <xf numFmtId="2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2" fontId="1" fillId="0" borderId="22" xfId="0" applyNumberFormat="1" applyFont="1" applyBorder="1" applyAlignment="1">
      <alignment horizontal="center"/>
    </xf>
    <xf numFmtId="0" fontId="1" fillId="0" borderId="24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1" fillId="0" borderId="0" xfId="0" applyFont="1"/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1" fillId="0" borderId="22" xfId="0" applyFont="1" applyBorder="1" applyAlignment="1">
      <alignment horizontal="right"/>
    </xf>
    <xf numFmtId="167" fontId="6" fillId="6" borderId="2" xfId="0" applyNumberFormat="1" applyFont="1" applyFill="1" applyBorder="1" applyAlignment="1">
      <alignment horizontal="center" vertical="center"/>
    </xf>
    <xf numFmtId="168" fontId="1" fillId="0" borderId="21" xfId="0" applyNumberFormat="1" applyFont="1" applyBorder="1" applyAlignment="1">
      <alignment horizontal="center"/>
    </xf>
    <xf numFmtId="168" fontId="1" fillId="2" borderId="14" xfId="2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wrapText="1"/>
    </xf>
    <xf numFmtId="0" fontId="4" fillId="4" borderId="19" xfId="0" applyFont="1" applyFill="1" applyBorder="1" applyAlignment="1">
      <alignment horizontal="left"/>
    </xf>
    <xf numFmtId="0" fontId="4" fillId="4" borderId="32" xfId="0" applyFont="1" applyFill="1" applyBorder="1" applyAlignment="1">
      <alignment horizontal="left"/>
    </xf>
    <xf numFmtId="164" fontId="4" fillId="0" borderId="33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E34C-D0F0-4798-AD0F-DC21B0CBEFFC}">
  <sheetPr codeName="Sheet1"/>
  <dimension ref="A1:K85"/>
  <sheetViews>
    <sheetView workbookViewId="0">
      <selection activeCell="E14" sqref="E14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46082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239</v>
      </c>
      <c r="C9" s="116">
        <v>12.5</v>
      </c>
      <c r="D9" s="5">
        <v>2.85</v>
      </c>
      <c r="E9" s="118">
        <v>1409</v>
      </c>
      <c r="F9" s="117">
        <v>22.7</v>
      </c>
      <c r="G9" s="6">
        <f t="shared" ref="G9:G10" si="0">E9*F9</f>
        <v>31984.3</v>
      </c>
      <c r="H9" s="7">
        <f t="shared" ref="H9:H10" si="1">F9*C9</f>
        <v>283.75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15</v>
      </c>
      <c r="D10" s="5">
        <v>2.85</v>
      </c>
      <c r="E10" s="118">
        <v>1378</v>
      </c>
      <c r="F10" s="117">
        <v>53.3</v>
      </c>
      <c r="G10" s="6">
        <f t="shared" si="0"/>
        <v>73447.399999999994</v>
      </c>
      <c r="H10" s="7">
        <f t="shared" si="1"/>
        <v>799.5</v>
      </c>
      <c r="I10" s="133" t="s">
        <v>44</v>
      </c>
      <c r="J10" s="142">
        <v>6.9444444444444441E-3</v>
      </c>
      <c r="K10" s="143" t="s">
        <v>44</v>
      </c>
    </row>
    <row r="11" spans="1:11" x14ac:dyDescent="0.2">
      <c r="A11" s="140"/>
      <c r="B11" s="141"/>
      <c r="C11" s="116"/>
      <c r="D11" s="5"/>
      <c r="E11" s="118"/>
      <c r="F11" s="129"/>
      <c r="G11" s="6"/>
      <c r="H11" s="7"/>
      <c r="I11" s="133" t="s">
        <v>241</v>
      </c>
      <c r="J11" s="142">
        <v>3.125E-2</v>
      </c>
      <c r="K11" s="143" t="s">
        <v>247</v>
      </c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49" t="s">
        <v>248</v>
      </c>
      <c r="J12" s="148">
        <v>6.25E-2</v>
      </c>
      <c r="K12" s="143" t="s">
        <v>249</v>
      </c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 t="s">
        <v>240</v>
      </c>
      <c r="J13" s="142">
        <v>6.9444444444444441E-3</v>
      </c>
      <c r="K13" s="143" t="s">
        <v>240</v>
      </c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76</v>
      </c>
      <c r="G22" s="179">
        <f>SUM(G9:G21)/F22</f>
        <v>1387.2592105263157</v>
      </c>
      <c r="H22" s="180">
        <f>SUM(H9:H21)/F22</f>
        <v>14.253289473684211</v>
      </c>
      <c r="I22" s="161" t="s">
        <v>22</v>
      </c>
      <c r="J22" s="185">
        <v>0.12847222222222221</v>
      </c>
      <c r="K22" s="159"/>
    </row>
    <row r="23" spans="1:11" x14ac:dyDescent="0.2">
      <c r="E23" s="162"/>
      <c r="F23" s="163"/>
      <c r="I23" s="181" t="s">
        <v>23</v>
      </c>
      <c r="J23" s="182">
        <v>3.08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76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v>76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3.08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1F521AD8-4077-4CD4-89A2-B4554432FD07}">
      <formula1>$K$29:$K$85</formula1>
    </dataValidation>
    <dataValidation type="list" allowBlank="1" showInputMessage="1" showErrorMessage="1" sqref="B20:B21" xr:uid="{6E12A43B-757C-429C-82BA-228E2C4191D2}">
      <formula1>$K$29:$K$40</formula1>
    </dataValidation>
    <dataValidation type="list" allowBlank="1" showInputMessage="1" showErrorMessage="1" sqref="I50 K15:K21" xr:uid="{1098A883-0B2C-4791-83E7-2930DD6F6C05}">
      <formula1>$I$41:$I$50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9428-A2A5-E14B-A6EF-931DBAD60274}">
  <sheetPr codeName="Sheet2"/>
  <dimension ref="A1:K85"/>
  <sheetViews>
    <sheetView workbookViewId="0">
      <selection activeCell="K21" sqref="K21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46083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239</v>
      </c>
      <c r="C9" s="116">
        <v>12.5</v>
      </c>
      <c r="D9" s="5">
        <v>2.85</v>
      </c>
      <c r="E9" s="118">
        <v>1449</v>
      </c>
      <c r="F9" s="117">
        <v>22.5</v>
      </c>
      <c r="G9" s="6">
        <f t="shared" ref="G9:G11" si="0">E9*F9</f>
        <v>32602.5</v>
      </c>
      <c r="H9" s="7">
        <f t="shared" ref="H9:H11" si="1">F9*C9</f>
        <v>281.25</v>
      </c>
      <c r="I9" s="133" t="s">
        <v>20</v>
      </c>
      <c r="J9" s="186">
        <v>2.4305555555555556E-2</v>
      </c>
      <c r="K9" s="143" t="s">
        <v>236</v>
      </c>
    </row>
    <row r="10" spans="1:11" ht="17" x14ac:dyDescent="0.2">
      <c r="A10" s="144">
        <v>2</v>
      </c>
      <c r="B10" s="141" t="s">
        <v>239</v>
      </c>
      <c r="C10" s="116">
        <v>13.5</v>
      </c>
      <c r="D10" s="5">
        <v>2.85</v>
      </c>
      <c r="E10" s="118">
        <v>1440</v>
      </c>
      <c r="F10" s="117">
        <v>32</v>
      </c>
      <c r="G10" s="6">
        <f t="shared" si="0"/>
        <v>46080</v>
      </c>
      <c r="H10" s="7">
        <f t="shared" si="1"/>
        <v>432</v>
      </c>
      <c r="I10" s="133" t="s">
        <v>44</v>
      </c>
      <c r="J10" s="142">
        <v>1.3888888888888888E-2</v>
      </c>
      <c r="K10" s="143" t="s">
        <v>44</v>
      </c>
    </row>
    <row r="11" spans="1:11" ht="17" x14ac:dyDescent="0.2">
      <c r="A11" s="140">
        <v>3</v>
      </c>
      <c r="B11" s="141" t="s">
        <v>239</v>
      </c>
      <c r="C11" s="116">
        <v>14</v>
      </c>
      <c r="D11" s="5">
        <v>2.85</v>
      </c>
      <c r="E11" s="118">
        <v>1424</v>
      </c>
      <c r="F11" s="129">
        <v>16.5</v>
      </c>
      <c r="G11" s="6">
        <f t="shared" si="0"/>
        <v>23496</v>
      </c>
      <c r="H11" s="7">
        <f t="shared" si="1"/>
        <v>231</v>
      </c>
      <c r="I11" s="133" t="s">
        <v>241</v>
      </c>
      <c r="J11" s="142">
        <v>3.125E-2</v>
      </c>
      <c r="K11" s="143" t="s">
        <v>247</v>
      </c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 t="s">
        <v>240</v>
      </c>
      <c r="J12" s="142">
        <v>6.9444444444444441E-3</v>
      </c>
      <c r="K12" s="143" t="s">
        <v>240</v>
      </c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71</v>
      </c>
      <c r="G22" s="179">
        <f>SUM(G9:G21)/F22</f>
        <v>1439.1338028169014</v>
      </c>
      <c r="H22" s="180">
        <f>SUM(H9:H21)/F22</f>
        <v>13.299295774647888</v>
      </c>
      <c r="I22" s="161" t="s">
        <v>22</v>
      </c>
      <c r="J22" s="185">
        <v>7.6388888888888895E-2</v>
      </c>
      <c r="K22" s="159"/>
    </row>
    <row r="23" spans="1:11" x14ac:dyDescent="0.2">
      <c r="E23" s="162"/>
      <c r="F23" s="163"/>
      <c r="I23" s="181" t="s">
        <v>23</v>
      </c>
      <c r="J23" s="182">
        <v>1.83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71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</f>
        <v>147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4.92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B99E61BB-58FA-6B43-A27D-E876337F0046}">
      <formula1>$K$29:$K$85</formula1>
    </dataValidation>
    <dataValidation type="list" allowBlank="1" showInputMessage="1" showErrorMessage="1" sqref="B20:B21" xr:uid="{E0CAED84-5329-8A48-9442-590AC99D67C7}">
      <formula1>$K$29:$K$40</formula1>
    </dataValidation>
    <dataValidation type="list" allowBlank="1" showInputMessage="1" showErrorMessage="1" sqref="I50 K15:K21" xr:uid="{DAB3368F-F3D8-5340-A13E-629094615F55}">
      <formula1>$I$41:$I$50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9E9A-804D-8E48-A670-8357D2B334CE}">
  <sheetPr codeName="Sheet3"/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46084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239</v>
      </c>
      <c r="C9" s="116">
        <v>12.5</v>
      </c>
      <c r="D9" s="5">
        <v>2.85</v>
      </c>
      <c r="E9" s="118">
        <v>1458</v>
      </c>
      <c r="F9" s="117">
        <v>13</v>
      </c>
      <c r="G9" s="6">
        <f t="shared" ref="G9:G12" si="0">E9*F9</f>
        <v>18954</v>
      </c>
      <c r="H9" s="7">
        <f t="shared" ref="H9:H12" si="1">F9*C9</f>
        <v>162.5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239</v>
      </c>
      <c r="C10" s="116">
        <v>14</v>
      </c>
      <c r="D10" s="5">
        <v>2.85</v>
      </c>
      <c r="E10" s="118">
        <v>1422</v>
      </c>
      <c r="F10" s="117">
        <v>16</v>
      </c>
      <c r="G10" s="6">
        <f t="shared" si="0"/>
        <v>22752</v>
      </c>
      <c r="H10" s="7">
        <f t="shared" si="1"/>
        <v>224</v>
      </c>
      <c r="I10" s="133" t="s">
        <v>44</v>
      </c>
      <c r="J10" s="142">
        <v>2.0833333333333332E-2</v>
      </c>
      <c r="K10" s="143" t="s">
        <v>44</v>
      </c>
    </row>
    <row r="11" spans="1:11" ht="17" x14ac:dyDescent="0.2">
      <c r="A11" s="140">
        <v>3</v>
      </c>
      <c r="B11" s="141" t="s">
        <v>235</v>
      </c>
      <c r="C11" s="116">
        <v>17</v>
      </c>
      <c r="D11" s="5">
        <v>2.85</v>
      </c>
      <c r="E11" s="118">
        <v>1452</v>
      </c>
      <c r="F11" s="129">
        <v>11.1</v>
      </c>
      <c r="G11" s="6">
        <f t="shared" si="0"/>
        <v>16117.199999999999</v>
      </c>
      <c r="H11" s="7">
        <f t="shared" si="1"/>
        <v>188.7</v>
      </c>
      <c r="I11" s="133" t="s">
        <v>261</v>
      </c>
      <c r="J11" s="142">
        <v>2.0833333333333332E-2</v>
      </c>
      <c r="K11" s="143" t="s">
        <v>262</v>
      </c>
    </row>
    <row r="12" spans="1:11" ht="19.25" customHeight="1" x14ac:dyDescent="0.2">
      <c r="A12" s="144">
        <v>4</v>
      </c>
      <c r="B12" s="141" t="s">
        <v>260</v>
      </c>
      <c r="C12" s="130">
        <v>17</v>
      </c>
      <c r="D12" s="5">
        <v>2.85</v>
      </c>
      <c r="E12" s="118">
        <v>1461</v>
      </c>
      <c r="F12" s="132">
        <v>41.9</v>
      </c>
      <c r="G12" s="6">
        <f t="shared" si="0"/>
        <v>61215.9</v>
      </c>
      <c r="H12" s="7">
        <f t="shared" si="1"/>
        <v>712.3</v>
      </c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82</v>
      </c>
      <c r="G22" s="179">
        <f>SUM(G9:G21)/F22</f>
        <v>1451.6963414634147</v>
      </c>
      <c r="H22" s="180">
        <f>SUM(H9:H21)/F22</f>
        <v>15.701219512195122</v>
      </c>
      <c r="I22" s="161" t="s">
        <v>22</v>
      </c>
      <c r="J22" s="185">
        <v>6.25E-2</v>
      </c>
      <c r="K22" s="159"/>
    </row>
    <row r="23" spans="1:11" x14ac:dyDescent="0.2">
      <c r="E23" s="162"/>
      <c r="F23" s="163"/>
      <c r="I23" s="181" t="s">
        <v>23</v>
      </c>
      <c r="J23" s="182">
        <v>1.5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82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</f>
        <v>229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6.42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DAC4694D-8D72-3C4B-96DE-1282FB8FFC91}">
      <formula1>$I$41:$I$50</formula1>
    </dataValidation>
    <dataValidation type="list" allowBlank="1" showInputMessage="1" showErrorMessage="1" sqref="B20:B21" xr:uid="{362749E1-781C-CC49-8864-7FC61E0CAAD0}">
      <formula1>$K$29:$K$40</formula1>
    </dataValidation>
    <dataValidation type="list" allowBlank="1" showInputMessage="1" showErrorMessage="1" sqref="B16:B19" xr:uid="{E1A30DB0-4A2E-CF41-BF48-29F2C3ADF07C}">
      <formula1>$K$29:$K$85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D2B5-29E6-9F43-BBAD-651F95A4A6A0}">
  <sheetPr codeName="Sheet4"/>
  <dimension ref="A1:K85"/>
  <sheetViews>
    <sheetView topLeftCell="A2" workbookViewId="0">
      <selection activeCell="L17" sqref="L17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46085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15</v>
      </c>
      <c r="D9" s="5">
        <v>2.85</v>
      </c>
      <c r="E9" s="118">
        <v>1503</v>
      </c>
      <c r="F9" s="117">
        <v>9.4</v>
      </c>
      <c r="G9" s="6">
        <f t="shared" ref="G9:G14" si="0">E9*F9</f>
        <v>14128.2</v>
      </c>
      <c r="H9" s="7">
        <f t="shared" ref="H9:H14" si="1">F9*C9</f>
        <v>141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16</v>
      </c>
      <c r="D10" s="5">
        <v>2.85</v>
      </c>
      <c r="E10" s="118">
        <v>1494</v>
      </c>
      <c r="F10" s="117">
        <v>10.199999999999999</v>
      </c>
      <c r="G10" s="6">
        <f t="shared" si="0"/>
        <v>15238.8</v>
      </c>
      <c r="H10" s="7">
        <f t="shared" si="1"/>
        <v>163.19999999999999</v>
      </c>
      <c r="I10" s="133" t="s">
        <v>44</v>
      </c>
      <c r="J10" s="142">
        <v>2.7777777777777776E-2</v>
      </c>
      <c r="K10" s="143" t="s">
        <v>44</v>
      </c>
    </row>
    <row r="11" spans="1:11" ht="17" x14ac:dyDescent="0.2">
      <c r="A11" s="140">
        <v>3</v>
      </c>
      <c r="B11" s="141" t="s">
        <v>235</v>
      </c>
      <c r="C11" s="116">
        <v>17</v>
      </c>
      <c r="D11" s="5">
        <v>2.85</v>
      </c>
      <c r="E11" s="118">
        <v>1494</v>
      </c>
      <c r="F11" s="129">
        <v>31.2</v>
      </c>
      <c r="G11" s="6">
        <f t="shared" si="0"/>
        <v>46612.799999999996</v>
      </c>
      <c r="H11" s="7">
        <f t="shared" si="1"/>
        <v>530.4</v>
      </c>
      <c r="I11" s="133" t="s">
        <v>258</v>
      </c>
      <c r="J11" s="142">
        <v>1.3888888888888888E-2</v>
      </c>
      <c r="K11" s="143" t="s">
        <v>259</v>
      </c>
    </row>
    <row r="12" spans="1:11" ht="19.25" customHeight="1" x14ac:dyDescent="0.2">
      <c r="A12" s="144">
        <v>4</v>
      </c>
      <c r="B12" s="141" t="s">
        <v>235</v>
      </c>
      <c r="C12" s="130">
        <v>18</v>
      </c>
      <c r="D12" s="5">
        <v>2.85</v>
      </c>
      <c r="E12" s="118">
        <v>1453</v>
      </c>
      <c r="F12" s="132">
        <v>34.700000000000003</v>
      </c>
      <c r="G12" s="6">
        <f t="shared" si="0"/>
        <v>50419.100000000006</v>
      </c>
      <c r="H12" s="7">
        <f t="shared" si="1"/>
        <v>624.6</v>
      </c>
      <c r="I12" s="133"/>
      <c r="J12" s="142"/>
      <c r="K12" s="143"/>
    </row>
    <row r="13" spans="1:11" ht="17" x14ac:dyDescent="0.2">
      <c r="A13" s="145">
        <v>5</v>
      </c>
      <c r="B13" s="141" t="s">
        <v>260</v>
      </c>
      <c r="C13" s="130">
        <v>15</v>
      </c>
      <c r="D13" s="5">
        <v>2.85</v>
      </c>
      <c r="E13" s="131">
        <v>1503</v>
      </c>
      <c r="F13" s="132">
        <v>3.5</v>
      </c>
      <c r="G13" s="6">
        <f t="shared" si="0"/>
        <v>5260.5</v>
      </c>
      <c r="H13" s="7">
        <f t="shared" si="1"/>
        <v>52.5</v>
      </c>
      <c r="I13" s="133"/>
      <c r="J13" s="142"/>
      <c r="K13" s="143"/>
    </row>
    <row r="14" spans="1:11" ht="17" x14ac:dyDescent="0.2">
      <c r="A14" s="140">
        <v>6</v>
      </c>
      <c r="B14" s="141" t="s">
        <v>260</v>
      </c>
      <c r="C14" s="134">
        <v>17</v>
      </c>
      <c r="D14" s="5">
        <v>2.85</v>
      </c>
      <c r="E14" s="135">
        <v>1461</v>
      </c>
      <c r="F14" s="136">
        <v>2</v>
      </c>
      <c r="G14" s="6">
        <f t="shared" si="0"/>
        <v>2922</v>
      </c>
      <c r="H14" s="7">
        <f t="shared" si="1"/>
        <v>34</v>
      </c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91</v>
      </c>
      <c r="G22" s="179">
        <f>SUM(G9:G21)/F22</f>
        <v>1478.9164835164834</v>
      </c>
      <c r="H22" s="180">
        <f>SUM(H9:H21)/F22</f>
        <v>16.985714285714284</v>
      </c>
      <c r="I22" s="161" t="s">
        <v>22</v>
      </c>
      <c r="J22" s="185">
        <v>6.25E-2</v>
      </c>
      <c r="K22" s="159"/>
    </row>
    <row r="23" spans="1:11" x14ac:dyDescent="0.2">
      <c r="E23" s="162"/>
      <c r="F23" s="163"/>
      <c r="I23" s="181" t="s">
        <v>23</v>
      </c>
      <c r="J23" s="182">
        <v>1.5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91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76+71+91</f>
        <v>238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7.92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0CA17D39-27A4-1048-849E-59BD79FAE0B1}">
      <formula1>$K$29:$K$85</formula1>
    </dataValidation>
    <dataValidation type="list" allowBlank="1" showInputMessage="1" showErrorMessage="1" sqref="B20:B21" xr:uid="{B1C90B66-F385-1046-8BA4-2FA05AB9DF02}">
      <formula1>$K$29:$K$40</formula1>
    </dataValidation>
    <dataValidation type="list" allowBlank="1" showInputMessage="1" showErrorMessage="1" sqref="I50 K15:K21" xr:uid="{57EA0716-0C13-E445-B323-E99C5D88DF61}">
      <formula1>$I$41:$I$50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AB11-0297-1C4F-B928-D7FCE06C3AE9}">
  <sheetPr codeName="Sheet5"/>
  <dimension ref="A1:K85"/>
  <sheetViews>
    <sheetView workbookViewId="0">
      <selection activeCell="K16" sqref="K16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46086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16</v>
      </c>
      <c r="D9" s="5">
        <v>2.85</v>
      </c>
      <c r="E9" s="118">
        <v>1477</v>
      </c>
      <c r="F9" s="117">
        <v>30.2</v>
      </c>
      <c r="G9" s="6">
        <f t="shared" ref="G9:G12" si="0">E9*F9</f>
        <v>44605.4</v>
      </c>
      <c r="H9" s="7">
        <f t="shared" ref="H9:H12" si="1">F9*C9</f>
        <v>483.2</v>
      </c>
      <c r="I9" s="133" t="s">
        <v>20</v>
      </c>
      <c r="J9" s="186">
        <v>2.4305555555555556E-2</v>
      </c>
      <c r="K9" s="143" t="s">
        <v>236</v>
      </c>
    </row>
    <row r="10" spans="1:11" ht="17" x14ac:dyDescent="0.2">
      <c r="A10" s="144">
        <v>2</v>
      </c>
      <c r="B10" s="141" t="s">
        <v>263</v>
      </c>
      <c r="C10" s="116">
        <v>36</v>
      </c>
      <c r="D10" s="5">
        <v>2.85</v>
      </c>
      <c r="E10" s="118">
        <v>743</v>
      </c>
      <c r="F10" s="117">
        <v>0.5</v>
      </c>
      <c r="G10" s="6">
        <f t="shared" si="0"/>
        <v>371.5</v>
      </c>
      <c r="H10" s="7">
        <f t="shared" si="1"/>
        <v>18</v>
      </c>
      <c r="I10" s="133" t="s">
        <v>44</v>
      </c>
      <c r="J10" s="142">
        <v>2.0833333333333332E-2</v>
      </c>
      <c r="K10" s="143" t="s">
        <v>44</v>
      </c>
    </row>
    <row r="11" spans="1:11" ht="17" x14ac:dyDescent="0.2">
      <c r="A11" s="140">
        <v>3</v>
      </c>
      <c r="B11" s="141" t="s">
        <v>263</v>
      </c>
      <c r="C11" s="116">
        <v>38</v>
      </c>
      <c r="D11" s="5">
        <v>2.85</v>
      </c>
      <c r="E11" s="118">
        <v>676</v>
      </c>
      <c r="F11" s="129">
        <v>35.9</v>
      </c>
      <c r="G11" s="6">
        <f t="shared" si="0"/>
        <v>24268.399999999998</v>
      </c>
      <c r="H11" s="7">
        <f t="shared" si="1"/>
        <v>1364.2</v>
      </c>
      <c r="I11" s="133" t="s">
        <v>241</v>
      </c>
      <c r="J11" s="142">
        <v>4.1666666666666664E-2</v>
      </c>
      <c r="K11" s="143" t="s">
        <v>264</v>
      </c>
    </row>
    <row r="12" spans="1:11" ht="19.25" customHeight="1" x14ac:dyDescent="0.2">
      <c r="A12" s="144">
        <v>4</v>
      </c>
      <c r="B12" s="141" t="s">
        <v>263</v>
      </c>
      <c r="C12" s="130">
        <v>40</v>
      </c>
      <c r="D12" s="5">
        <v>2.85</v>
      </c>
      <c r="E12" s="118">
        <v>623</v>
      </c>
      <c r="F12" s="132">
        <v>20.399999999999999</v>
      </c>
      <c r="G12" s="6">
        <f t="shared" si="0"/>
        <v>12709.199999999999</v>
      </c>
      <c r="H12" s="7">
        <f t="shared" si="1"/>
        <v>816</v>
      </c>
      <c r="I12" s="133" t="s">
        <v>265</v>
      </c>
      <c r="J12" s="142">
        <v>2.7777777777777776E-2</v>
      </c>
      <c r="K12" s="143" t="s">
        <v>266</v>
      </c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87</v>
      </c>
      <c r="G22" s="179">
        <f>SUM(G9:G21)/F22</f>
        <v>942.00574712643675</v>
      </c>
      <c r="H22" s="180">
        <f>SUM(H9:H21)/F22</f>
        <v>30.820689655172416</v>
      </c>
      <c r="I22" s="161" t="s">
        <v>22</v>
      </c>
      <c r="J22" s="185">
        <v>0.11458333333333333</v>
      </c>
      <c r="K22" s="159"/>
    </row>
    <row r="23" spans="1:11" x14ac:dyDescent="0.2">
      <c r="E23" s="162"/>
      <c r="F23" s="163"/>
      <c r="I23" s="181" t="s">
        <v>23</v>
      </c>
      <c r="J23" s="182">
        <v>2.75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87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</f>
        <v>407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10.67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979F6965-B9F7-CE41-A0C1-15FA7EEEAAD0}">
      <formula1>$I$41:$I$50</formula1>
    </dataValidation>
    <dataValidation type="list" allowBlank="1" showInputMessage="1" showErrorMessage="1" sqref="B20:B21" xr:uid="{B8210F6F-3F79-304D-B3D0-45B0C548BF01}">
      <formula1>$K$29:$K$40</formula1>
    </dataValidation>
    <dataValidation type="list" allowBlank="1" showInputMessage="1" showErrorMessage="1" sqref="B16:B19" xr:uid="{59A4C8F7-8493-D246-928E-F03ACDB40EE1}">
      <formula1>$K$29:$K$85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3C96-31B6-BA4A-A143-4C73A0283B8D}">
  <sheetPr codeName="Sheet6"/>
  <dimension ref="A1:K85"/>
  <sheetViews>
    <sheetView workbookViewId="0">
      <selection activeCell="L17" sqref="L17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46087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263</v>
      </c>
      <c r="C9" s="116">
        <v>22</v>
      </c>
      <c r="D9" s="5">
        <v>2.85</v>
      </c>
      <c r="E9" s="118">
        <v>1075</v>
      </c>
      <c r="F9" s="117">
        <v>12.7</v>
      </c>
      <c r="G9" s="6">
        <f>E9*F9</f>
        <v>13652.5</v>
      </c>
      <c r="H9" s="7">
        <f>F9*C9</f>
        <v>279.39999999999998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263</v>
      </c>
      <c r="C10" s="116">
        <v>24</v>
      </c>
      <c r="D10" s="5">
        <v>2.85</v>
      </c>
      <c r="E10" s="118">
        <v>989</v>
      </c>
      <c r="F10" s="117">
        <v>24.9</v>
      </c>
      <c r="G10" s="6">
        <f>E10*F10</f>
        <v>24626.1</v>
      </c>
      <c r="H10" s="7">
        <f>F10*C10</f>
        <v>597.59999999999991</v>
      </c>
      <c r="I10" s="133" t="s">
        <v>44</v>
      </c>
      <c r="J10" s="142">
        <v>3.4722222222222224E-2</v>
      </c>
      <c r="K10" s="143" t="s">
        <v>44</v>
      </c>
    </row>
    <row r="11" spans="1:11" ht="17" x14ac:dyDescent="0.2">
      <c r="A11" s="140">
        <v>3</v>
      </c>
      <c r="B11" s="141" t="s">
        <v>263</v>
      </c>
      <c r="C11" s="116">
        <v>30</v>
      </c>
      <c r="D11" s="5">
        <v>2.85</v>
      </c>
      <c r="E11" s="118">
        <v>858</v>
      </c>
      <c r="F11" s="129">
        <v>6.8</v>
      </c>
      <c r="G11" s="6">
        <f>E11*F11</f>
        <v>5834.4</v>
      </c>
      <c r="H11" s="7">
        <f>F11*C11</f>
        <v>204</v>
      </c>
      <c r="I11" s="133" t="s">
        <v>241</v>
      </c>
      <c r="J11" s="142">
        <v>2.0833333333333332E-2</v>
      </c>
      <c r="K11" s="143" t="s">
        <v>264</v>
      </c>
    </row>
    <row r="12" spans="1:11" ht="19.25" customHeight="1" x14ac:dyDescent="0.2">
      <c r="A12" s="144">
        <v>4</v>
      </c>
      <c r="B12" s="141" t="s">
        <v>263</v>
      </c>
      <c r="C12" s="130">
        <v>32</v>
      </c>
      <c r="D12" s="5">
        <v>2.85</v>
      </c>
      <c r="E12" s="118">
        <v>858</v>
      </c>
      <c r="F12" s="132">
        <v>30.8</v>
      </c>
      <c r="G12" s="6">
        <f>E12*F12</f>
        <v>26426.400000000001</v>
      </c>
      <c r="H12" s="7">
        <f>F12*C12</f>
        <v>985.6</v>
      </c>
      <c r="I12" s="133" t="s">
        <v>265</v>
      </c>
      <c r="J12" s="142">
        <v>8.3333333333333329E-2</v>
      </c>
      <c r="K12" s="143" t="s">
        <v>267</v>
      </c>
    </row>
    <row r="13" spans="1:11" ht="17" x14ac:dyDescent="0.2">
      <c r="A13" s="145">
        <v>5</v>
      </c>
      <c r="B13" s="141" t="s">
        <v>263</v>
      </c>
      <c r="C13" s="130">
        <v>36</v>
      </c>
      <c r="D13" s="5">
        <v>2.85</v>
      </c>
      <c r="E13" s="131">
        <v>743</v>
      </c>
      <c r="F13" s="132">
        <v>6.8</v>
      </c>
      <c r="G13" s="6">
        <f>E13*F13</f>
        <v>5052.3999999999996</v>
      </c>
      <c r="H13" s="7">
        <f>F13*C13</f>
        <v>244.79999999999998</v>
      </c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81.999999999999986</v>
      </c>
      <c r="G22" s="179">
        <f>SUM(G9:G21)/F22</f>
        <v>921.85121951219514</v>
      </c>
      <c r="H22" s="180">
        <f>SUM(H9:H21)/F22</f>
        <v>28.187804878048787</v>
      </c>
      <c r="I22" s="161" t="s">
        <v>22</v>
      </c>
      <c r="J22" s="185">
        <v>0.15972222222222221</v>
      </c>
      <c r="K22" s="159"/>
    </row>
    <row r="23" spans="1:11" x14ac:dyDescent="0.2">
      <c r="E23" s="162"/>
      <c r="F23" s="163"/>
      <c r="I23" s="181" t="s">
        <v>23</v>
      </c>
      <c r="J23" s="182">
        <v>3.83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81.999999999999986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</f>
        <v>489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14.5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7ADD015B-6D8F-400D-AE1D-5D9473AFA2D6}">
      <formula1>$K$29:$K$85</formula1>
    </dataValidation>
    <dataValidation type="list" allowBlank="1" showInputMessage="1" showErrorMessage="1" sqref="B20:B21" xr:uid="{AEE2A660-5AE1-424C-A9B1-309CEAF055E9}">
      <formula1>$K$29:$K$40</formula1>
    </dataValidation>
    <dataValidation type="list" allowBlank="1" showInputMessage="1" showErrorMessage="1" sqref="I50 K15:K21" xr:uid="{7281F96F-AF63-4254-92E1-165BC1A20500}">
      <formula1>$I$41:$I$50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512B-B4A7-AA49-A267-4F0F89E0607C}">
  <sheetPr codeName="Sheet7"/>
  <dimension ref="A1:K85"/>
  <sheetViews>
    <sheetView workbookViewId="0">
      <selection activeCell="K17" sqref="K17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46088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263</v>
      </c>
      <c r="C9" s="116">
        <v>22</v>
      </c>
      <c r="D9" s="5">
        <v>2.85</v>
      </c>
      <c r="E9" s="118">
        <v>1069</v>
      </c>
      <c r="F9" s="117">
        <v>8</v>
      </c>
      <c r="G9" s="6">
        <f t="shared" ref="G9:G12" si="0">E9*F9</f>
        <v>8552</v>
      </c>
      <c r="H9" s="7">
        <f t="shared" ref="H9:H12" si="1">F9*C9</f>
        <v>176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263</v>
      </c>
      <c r="C10" s="116">
        <v>28</v>
      </c>
      <c r="D10" s="5">
        <v>2.85</v>
      </c>
      <c r="E10" s="118">
        <v>840</v>
      </c>
      <c r="F10" s="117">
        <v>8</v>
      </c>
      <c r="G10" s="6">
        <f t="shared" si="0"/>
        <v>6720</v>
      </c>
      <c r="H10" s="7">
        <f t="shared" si="1"/>
        <v>224</v>
      </c>
      <c r="I10" s="133" t="s">
        <v>44</v>
      </c>
      <c r="J10" s="142">
        <v>3.4722222222222224E-2</v>
      </c>
      <c r="K10" s="143" t="s">
        <v>44</v>
      </c>
    </row>
    <row r="11" spans="1:11" ht="17" x14ac:dyDescent="0.2">
      <c r="A11" s="140">
        <v>3</v>
      </c>
      <c r="B11" s="141" t="s">
        <v>263</v>
      </c>
      <c r="C11" s="116">
        <v>30</v>
      </c>
      <c r="D11" s="5">
        <v>2.85</v>
      </c>
      <c r="E11" s="118">
        <v>809</v>
      </c>
      <c r="F11" s="129">
        <v>17</v>
      </c>
      <c r="G11" s="6">
        <f t="shared" si="0"/>
        <v>13753</v>
      </c>
      <c r="H11" s="7">
        <f t="shared" si="1"/>
        <v>510</v>
      </c>
      <c r="I11" s="133" t="s">
        <v>268</v>
      </c>
      <c r="J11" s="142">
        <v>4.1666666666666664E-2</v>
      </c>
      <c r="K11" s="143" t="s">
        <v>269</v>
      </c>
    </row>
    <row r="12" spans="1:11" ht="19.25" customHeight="1" x14ac:dyDescent="0.2">
      <c r="A12" s="144">
        <v>4</v>
      </c>
      <c r="B12" s="141" t="s">
        <v>260</v>
      </c>
      <c r="C12" s="130">
        <v>17</v>
      </c>
      <c r="D12" s="5">
        <v>2.85</v>
      </c>
      <c r="E12" s="118">
        <v>1494</v>
      </c>
      <c r="F12" s="132">
        <v>56</v>
      </c>
      <c r="G12" s="6">
        <f t="shared" si="0"/>
        <v>83664</v>
      </c>
      <c r="H12" s="7">
        <f t="shared" si="1"/>
        <v>952</v>
      </c>
      <c r="I12" s="133" t="s">
        <v>240</v>
      </c>
      <c r="J12" s="142">
        <v>6.9444444444444441E-3</v>
      </c>
      <c r="K12" s="143" t="s">
        <v>270</v>
      </c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89</v>
      </c>
      <c r="G22" s="179">
        <f>SUM(G9:G21)/F22</f>
        <v>1266.1685393258426</v>
      </c>
      <c r="H22" s="180">
        <f>SUM(H9:H21)/F22</f>
        <v>20.921348314606742</v>
      </c>
      <c r="I22" s="161" t="s">
        <v>22</v>
      </c>
      <c r="J22" s="185">
        <v>0.10416666666666667</v>
      </c>
      <c r="K22" s="159"/>
    </row>
    <row r="23" spans="1:11" x14ac:dyDescent="0.2">
      <c r="E23" s="162"/>
      <c r="F23" s="163"/>
      <c r="I23" s="181" t="s">
        <v>23</v>
      </c>
      <c r="J23" s="182">
        <v>2.5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89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</f>
        <v>578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17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962D64A1-282C-2949-BDE1-B13E4CCC336C}">
      <formula1>$I$41:$I$50</formula1>
    </dataValidation>
    <dataValidation type="list" allowBlank="1" showInputMessage="1" showErrorMessage="1" sqref="B20:B21" xr:uid="{F46F1A04-28B9-7645-81A7-1017ADFD9155}">
      <formula1>$K$29:$K$40</formula1>
    </dataValidation>
    <dataValidation type="list" allowBlank="1" showInputMessage="1" showErrorMessage="1" sqref="B16:B19" xr:uid="{2AE2D7FD-8092-854D-A5DD-9AF071373C55}">
      <formula1>$K$29:$K$85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7A9C-CA9F-9444-A123-25A3918C75F0}">
  <sheetPr codeName="Sheet8"/>
  <dimension ref="A1:K85"/>
  <sheetViews>
    <sheetView workbookViewId="0">
      <selection activeCell="K17" sqref="K17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46089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15</v>
      </c>
      <c r="D9" s="5">
        <v>2.85</v>
      </c>
      <c r="E9" s="118">
        <v>1498</v>
      </c>
      <c r="F9" s="117">
        <v>80.8</v>
      </c>
      <c r="G9" s="6">
        <f t="shared" ref="G9:G11" si="0">E9*F9</f>
        <v>121038.39999999999</v>
      </c>
      <c r="H9" s="7">
        <f t="shared" ref="H9:H11" si="1">F9*C9</f>
        <v>1212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17</v>
      </c>
      <c r="D10" s="5">
        <v>2.85</v>
      </c>
      <c r="E10" s="118">
        <v>1508</v>
      </c>
      <c r="F10" s="117">
        <v>3.6</v>
      </c>
      <c r="G10" s="6">
        <f t="shared" si="0"/>
        <v>5428.8</v>
      </c>
      <c r="H10" s="7">
        <f t="shared" si="1"/>
        <v>61.2</v>
      </c>
      <c r="I10" s="133" t="s">
        <v>44</v>
      </c>
      <c r="J10" s="142">
        <v>1.0416666666666666E-2</v>
      </c>
      <c r="K10" s="143" t="s">
        <v>44</v>
      </c>
    </row>
    <row r="11" spans="1:11" ht="17" x14ac:dyDescent="0.2">
      <c r="A11" s="140">
        <v>3</v>
      </c>
      <c r="B11" s="141" t="s">
        <v>235</v>
      </c>
      <c r="C11" s="116">
        <v>18</v>
      </c>
      <c r="D11" s="5">
        <v>2.85</v>
      </c>
      <c r="E11" s="118">
        <v>1498</v>
      </c>
      <c r="F11" s="129">
        <v>2.6</v>
      </c>
      <c r="G11" s="6">
        <f t="shared" si="0"/>
        <v>3894.8</v>
      </c>
      <c r="H11" s="7">
        <f t="shared" si="1"/>
        <v>46.800000000000004</v>
      </c>
      <c r="I11" s="133" t="s">
        <v>240</v>
      </c>
      <c r="J11" s="142">
        <v>1.3888888888888888E-2</v>
      </c>
      <c r="K11" s="143" t="s">
        <v>270</v>
      </c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86.999999999999986</v>
      </c>
      <c r="G22" s="179">
        <f>SUM(G9:G21)/F22</f>
        <v>1498.4137931034486</v>
      </c>
      <c r="H22" s="180">
        <f>SUM(H9:H21)/F22</f>
        <v>15.17241379310345</v>
      </c>
      <c r="I22" s="161" t="s">
        <v>22</v>
      </c>
      <c r="J22" s="185">
        <v>4.5138888888888888E-2</v>
      </c>
      <c r="K22" s="159"/>
    </row>
    <row r="23" spans="1:11" x14ac:dyDescent="0.2">
      <c r="E23" s="162"/>
      <c r="F23" s="163"/>
      <c r="I23" s="181" t="s">
        <v>23</v>
      </c>
      <c r="J23" s="182">
        <v>1.08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86.999999999999986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</f>
        <v>665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18.079999999999998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C3600209-1107-6A4B-AF62-11F093EBD70A}">
      <formula1>$K$29:$K$85</formula1>
    </dataValidation>
    <dataValidation type="list" allowBlank="1" showInputMessage="1" showErrorMessage="1" sqref="B20:B21" xr:uid="{E7D20A7C-594A-9540-8A71-DD0BA49F3B64}">
      <formula1>$K$29:$K$40</formula1>
    </dataValidation>
    <dataValidation type="list" allowBlank="1" showInputMessage="1" showErrorMessage="1" sqref="I50 K15:K21" xr:uid="{9A37FADF-4CD2-5645-9C57-8C356D476FD7}">
      <formula1>$I$41:$I$50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66AC-3CC6-5D41-B949-873E8AF6558B}">
  <sheetPr codeName="Sheet9"/>
  <dimension ref="A1:K85"/>
  <sheetViews>
    <sheetView topLeftCell="B6" workbookViewId="0">
      <selection activeCell="K17" sqref="K17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46090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15</v>
      </c>
      <c r="D9" s="5">
        <v>2.85</v>
      </c>
      <c r="E9" s="118">
        <v>1503</v>
      </c>
      <c r="F9" s="117">
        <v>4.7</v>
      </c>
      <c r="G9" s="6">
        <f>E9*F9</f>
        <v>7064.1</v>
      </c>
      <c r="H9" s="7">
        <f>F9*C9</f>
        <v>70.5</v>
      </c>
      <c r="I9" s="133" t="s">
        <v>20</v>
      </c>
      <c r="J9" s="186">
        <v>2.4305555555555556E-2</v>
      </c>
      <c r="K9" s="143" t="s">
        <v>236</v>
      </c>
    </row>
    <row r="10" spans="1:11" ht="17" x14ac:dyDescent="0.2">
      <c r="A10" s="144">
        <v>2</v>
      </c>
      <c r="B10" s="141" t="s">
        <v>271</v>
      </c>
      <c r="C10" s="116">
        <v>14</v>
      </c>
      <c r="D10" s="5">
        <v>2.85</v>
      </c>
      <c r="E10" s="118">
        <v>1476</v>
      </c>
      <c r="F10" s="117">
        <v>12</v>
      </c>
      <c r="G10" s="6">
        <f>E10*F10</f>
        <v>17712</v>
      </c>
      <c r="H10" s="7">
        <f>F10*C10</f>
        <v>168</v>
      </c>
      <c r="I10" s="133" t="s">
        <v>44</v>
      </c>
      <c r="J10" s="142">
        <v>1.7361111111111112E-2</v>
      </c>
      <c r="K10" s="143" t="s">
        <v>44</v>
      </c>
    </row>
    <row r="11" spans="1:11" ht="17" x14ac:dyDescent="0.2">
      <c r="A11" s="140">
        <v>3</v>
      </c>
      <c r="B11" s="141" t="s">
        <v>271</v>
      </c>
      <c r="C11" s="116">
        <v>15</v>
      </c>
      <c r="D11" s="5">
        <v>2.85</v>
      </c>
      <c r="E11" s="118">
        <v>1435</v>
      </c>
      <c r="F11" s="129">
        <v>48.3</v>
      </c>
      <c r="G11" s="6">
        <f>E11*F11</f>
        <v>69310.5</v>
      </c>
      <c r="H11" s="7">
        <f>F11*C11</f>
        <v>724.5</v>
      </c>
      <c r="I11" s="133" t="s">
        <v>268</v>
      </c>
      <c r="J11" s="142">
        <v>6.25E-2</v>
      </c>
      <c r="K11" s="143" t="s">
        <v>269</v>
      </c>
    </row>
    <row r="12" spans="1:11" ht="19.25" customHeight="1" x14ac:dyDescent="0.2">
      <c r="A12" s="144">
        <v>4</v>
      </c>
      <c r="B12" s="141" t="s">
        <v>271</v>
      </c>
      <c r="C12" s="130">
        <v>16</v>
      </c>
      <c r="D12" s="5">
        <v>2.85</v>
      </c>
      <c r="E12" s="118">
        <v>1476</v>
      </c>
      <c r="F12" s="132">
        <v>9.3000000000000007</v>
      </c>
      <c r="G12" s="6">
        <f>E12*F12</f>
        <v>13726.800000000001</v>
      </c>
      <c r="H12" s="7">
        <f>F12*C12</f>
        <v>148.80000000000001</v>
      </c>
      <c r="I12" s="133" t="s">
        <v>241</v>
      </c>
      <c r="J12" s="142">
        <v>2.0833333333333332E-2</v>
      </c>
      <c r="K12" s="143" t="s">
        <v>264</v>
      </c>
    </row>
    <row r="13" spans="1:11" ht="17" x14ac:dyDescent="0.2">
      <c r="A13" s="145">
        <v>5</v>
      </c>
      <c r="B13" s="141" t="s">
        <v>271</v>
      </c>
      <c r="C13" s="130">
        <v>17</v>
      </c>
      <c r="D13" s="5">
        <v>2.85</v>
      </c>
      <c r="E13" s="131">
        <v>1476</v>
      </c>
      <c r="F13" s="132">
        <v>2.7</v>
      </c>
      <c r="G13" s="6">
        <f>E13*F13</f>
        <v>3985.2000000000003</v>
      </c>
      <c r="H13" s="7">
        <f>F13*C13</f>
        <v>45.900000000000006</v>
      </c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77</v>
      </c>
      <c r="G22" s="179">
        <f>SUM(G9:G21)/F22</f>
        <v>1451.9298701298701</v>
      </c>
      <c r="H22" s="180">
        <f>SUM(H9:H21)/F22</f>
        <v>15.035064935064936</v>
      </c>
      <c r="I22" s="161" t="s">
        <v>22</v>
      </c>
      <c r="J22" s="185">
        <v>0.125</v>
      </c>
      <c r="K22" s="159"/>
    </row>
    <row r="23" spans="1:11" x14ac:dyDescent="0.2">
      <c r="E23" s="162"/>
      <c r="F23" s="163"/>
      <c r="I23" s="181" t="s">
        <v>23</v>
      </c>
      <c r="J23" s="182">
        <v>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77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</f>
        <v>742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21.08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964C5220-D8D6-4487-9500-EC7352508133}">
      <formula1>$I$41:$I$50</formula1>
    </dataValidation>
    <dataValidation type="list" allowBlank="1" showInputMessage="1" showErrorMessage="1" sqref="B20:B21" xr:uid="{0EB20626-C94C-4468-A141-E89C76F4FECD}">
      <formula1>$K$29:$K$40</formula1>
    </dataValidation>
    <dataValidation type="list" allowBlank="1" showInputMessage="1" showErrorMessage="1" sqref="B16:B19" xr:uid="{37EEC54C-68D6-41A7-BDA3-10D90A235E5B}">
      <formula1>$K$29:$K$85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4BA3-0A2F-F84E-94AD-CC4FE79B8A63}">
  <sheetPr codeName="Sheet10"/>
  <dimension ref="A1:K85"/>
  <sheetViews>
    <sheetView workbookViewId="0">
      <selection activeCell="K18" sqref="K18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46091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239</v>
      </c>
      <c r="C9" s="116">
        <v>13.5</v>
      </c>
      <c r="D9" s="5">
        <v>2.85</v>
      </c>
      <c r="E9" s="118">
        <v>1458</v>
      </c>
      <c r="F9" s="117">
        <v>1.5</v>
      </c>
      <c r="G9" s="6">
        <f t="shared" ref="G9:G12" si="0">E9*F9</f>
        <v>2187</v>
      </c>
      <c r="H9" s="7">
        <f t="shared" ref="H9:H12" si="1">F9*C9</f>
        <v>20.25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272</v>
      </c>
      <c r="C10" s="116">
        <v>13</v>
      </c>
      <c r="D10" s="5">
        <v>2.85</v>
      </c>
      <c r="E10" s="118">
        <v>1458</v>
      </c>
      <c r="F10" s="117">
        <v>52.2</v>
      </c>
      <c r="G10" s="6">
        <f t="shared" si="0"/>
        <v>76107.600000000006</v>
      </c>
      <c r="H10" s="7">
        <f t="shared" si="1"/>
        <v>678.6</v>
      </c>
      <c r="I10" s="133" t="s">
        <v>44</v>
      </c>
      <c r="J10" s="142">
        <v>2.4305555555555556E-2</v>
      </c>
      <c r="K10" s="143" t="s">
        <v>44</v>
      </c>
    </row>
    <row r="11" spans="1:11" ht="17" x14ac:dyDescent="0.2">
      <c r="A11" s="140">
        <v>3</v>
      </c>
      <c r="B11" s="141" t="s">
        <v>271</v>
      </c>
      <c r="C11" s="116">
        <v>17</v>
      </c>
      <c r="D11" s="5">
        <v>2.85</v>
      </c>
      <c r="E11" s="118">
        <v>1476</v>
      </c>
      <c r="F11" s="129">
        <v>19.5</v>
      </c>
      <c r="G11" s="6">
        <f t="shared" si="0"/>
        <v>28782</v>
      </c>
      <c r="H11" s="7">
        <f t="shared" si="1"/>
        <v>331.5</v>
      </c>
      <c r="I11" s="133" t="s">
        <v>240</v>
      </c>
      <c r="J11" s="142">
        <v>6.9444444444444441E-3</v>
      </c>
      <c r="K11" s="143" t="s">
        <v>240</v>
      </c>
    </row>
    <row r="12" spans="1:11" ht="19.25" customHeight="1" x14ac:dyDescent="0.2">
      <c r="A12" s="144">
        <v>4</v>
      </c>
      <c r="B12" s="141" t="s">
        <v>235</v>
      </c>
      <c r="C12" s="130">
        <v>17</v>
      </c>
      <c r="D12" s="5">
        <v>2.85</v>
      </c>
      <c r="E12" s="118">
        <v>1498</v>
      </c>
      <c r="F12" s="132">
        <v>2.8</v>
      </c>
      <c r="G12" s="6">
        <f t="shared" si="0"/>
        <v>4194.3999999999996</v>
      </c>
      <c r="H12" s="7">
        <f t="shared" si="1"/>
        <v>47.599999999999994</v>
      </c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76</v>
      </c>
      <c r="G22" s="179">
        <f>SUM(G9:G21)/F22</f>
        <v>1464.0921052631579</v>
      </c>
      <c r="H22" s="180">
        <f>SUM(H9:H21)/F22</f>
        <v>14.183552631578944</v>
      </c>
      <c r="I22" s="161" t="s">
        <v>22</v>
      </c>
      <c r="J22" s="185">
        <v>5.2083333333333336E-2</v>
      </c>
      <c r="K22" s="159"/>
    </row>
    <row r="23" spans="1:11" x14ac:dyDescent="0.2">
      <c r="E23" s="162"/>
      <c r="F23" s="163"/>
      <c r="I23" s="181" t="s">
        <v>23</v>
      </c>
      <c r="J23" s="182">
        <v>1.25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76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</f>
        <v>818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22.33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317BE790-F8D9-1A4A-BFFC-40A47C4B1ACA}">
      <formula1>$K$29:$K$85</formula1>
    </dataValidation>
    <dataValidation type="list" allowBlank="1" showInputMessage="1" showErrorMessage="1" sqref="B20:B21" xr:uid="{469D3F01-6778-B344-A7F7-8339826494CF}">
      <formula1>$K$29:$K$40</formula1>
    </dataValidation>
    <dataValidation type="list" allowBlank="1" showInputMessage="1" showErrorMessage="1" sqref="I50 K15:K21" xr:uid="{2472394F-8F2D-AB45-872C-93056C27A93B}">
      <formula1>$I$41:$I$50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D7A9-606E-124B-BDDF-0AF475FCA5CC}">
  <sheetPr codeName="Sheet11"/>
  <dimension ref="A1:K85"/>
  <sheetViews>
    <sheetView topLeftCell="A6" workbookViewId="0">
      <selection activeCell="F18" sqref="F18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46092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17</v>
      </c>
      <c r="D9" s="5">
        <v>2.85</v>
      </c>
      <c r="E9" s="118">
        <v>1327</v>
      </c>
      <c r="F9" s="117">
        <v>85</v>
      </c>
      <c r="G9" s="6">
        <f>E9*F9</f>
        <v>112795</v>
      </c>
      <c r="H9" s="7">
        <f>F9*C9</f>
        <v>1445</v>
      </c>
      <c r="I9" s="133" t="s">
        <v>20</v>
      </c>
      <c r="J9" s="186">
        <v>2.0833333333333332E-2</v>
      </c>
      <c r="K9" s="143" t="s">
        <v>236</v>
      </c>
    </row>
    <row r="10" spans="1:11" x14ac:dyDescent="0.2">
      <c r="A10" s="144"/>
      <c r="B10" s="141"/>
      <c r="C10" s="116"/>
      <c r="D10" s="5"/>
      <c r="E10" s="118"/>
      <c r="F10" s="117"/>
      <c r="G10" s="6"/>
      <c r="H10" s="7"/>
      <c r="I10" s="133" t="s">
        <v>268</v>
      </c>
      <c r="J10" s="142">
        <v>4.1666666666666664E-2</v>
      </c>
      <c r="K10" s="143" t="s">
        <v>269</v>
      </c>
    </row>
    <row r="11" spans="1:11" x14ac:dyDescent="0.2">
      <c r="A11" s="140"/>
      <c r="B11" s="141"/>
      <c r="C11" s="116"/>
      <c r="D11" s="5"/>
      <c r="E11" s="118"/>
      <c r="F11" s="129"/>
      <c r="G11" s="6"/>
      <c r="H11" s="7"/>
      <c r="I11" s="133"/>
      <c r="J11" s="142"/>
      <c r="K11" s="143"/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85</v>
      </c>
      <c r="G22" s="179">
        <f>SUM(G9:G21)/F22</f>
        <v>1327</v>
      </c>
      <c r="H22" s="180">
        <f>SUM(H9:H21)/F22</f>
        <v>17</v>
      </c>
      <c r="I22" s="161" t="s">
        <v>22</v>
      </c>
      <c r="J22" s="185">
        <v>6.25E-2</v>
      </c>
      <c r="K22" s="159"/>
    </row>
    <row r="23" spans="1:11" x14ac:dyDescent="0.2">
      <c r="E23" s="162"/>
      <c r="F23" s="163"/>
      <c r="I23" s="181" t="s">
        <v>23</v>
      </c>
      <c r="J23" s="182">
        <v>1.5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85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</f>
        <v>903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23.83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0A518383-5C86-45F1-82C2-6BAABAAF5143}">
      <formula1>$I$41:$I$50</formula1>
    </dataValidation>
    <dataValidation type="list" allowBlank="1" showInputMessage="1" showErrorMessage="1" sqref="B20:B21" xr:uid="{420592EC-CEA5-4C09-A503-ED0DC16611A8}">
      <formula1>$K$29:$K$40</formula1>
    </dataValidation>
    <dataValidation type="list" allowBlank="1" showInputMessage="1" showErrorMessage="1" sqref="B16:B19" xr:uid="{67BA7E01-1E69-44D2-8CF4-5A1766FCE9E9}">
      <formula1>$K$29:$K$85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B73C-1FA7-724B-97FD-43A7C7F53F24}">
  <sheetPr codeName="Sheet12"/>
  <dimension ref="A1:K85"/>
  <sheetViews>
    <sheetView topLeftCell="A7" workbookViewId="0">
      <selection activeCell="K18" sqref="K18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46093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14</v>
      </c>
      <c r="D9" s="5">
        <v>2.85</v>
      </c>
      <c r="E9" s="118">
        <v>1485</v>
      </c>
      <c r="F9" s="117">
        <v>25.3</v>
      </c>
      <c r="G9" s="6">
        <f t="shared" ref="G9:G12" si="0">E9*F9</f>
        <v>37570.5</v>
      </c>
      <c r="H9" s="7">
        <f t="shared" ref="H9:H12" si="1">F9*C9</f>
        <v>354.2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15</v>
      </c>
      <c r="D10" s="5">
        <v>2.85</v>
      </c>
      <c r="E10" s="118">
        <v>1485</v>
      </c>
      <c r="F10" s="117">
        <v>35</v>
      </c>
      <c r="G10" s="6">
        <f t="shared" si="0"/>
        <v>51975</v>
      </c>
      <c r="H10" s="7">
        <f t="shared" si="1"/>
        <v>525</v>
      </c>
      <c r="I10" s="133" t="s">
        <v>44</v>
      </c>
      <c r="J10" s="142">
        <v>6.9444444444444441E-3</v>
      </c>
      <c r="K10" s="143" t="s">
        <v>44</v>
      </c>
    </row>
    <row r="11" spans="1:11" ht="17" x14ac:dyDescent="0.2">
      <c r="A11" s="140">
        <v>3</v>
      </c>
      <c r="B11" s="141" t="s">
        <v>235</v>
      </c>
      <c r="C11" s="116">
        <v>16</v>
      </c>
      <c r="D11" s="5">
        <v>2.85</v>
      </c>
      <c r="E11" s="118">
        <v>1420</v>
      </c>
      <c r="F11" s="129">
        <v>23</v>
      </c>
      <c r="G11" s="6">
        <f t="shared" si="0"/>
        <v>32660</v>
      </c>
      <c r="H11" s="7">
        <f t="shared" si="1"/>
        <v>368</v>
      </c>
      <c r="I11" s="133"/>
      <c r="J11" s="142"/>
      <c r="K11" s="143"/>
    </row>
    <row r="12" spans="1:11" ht="19.25" customHeight="1" x14ac:dyDescent="0.2">
      <c r="A12" s="144">
        <v>4</v>
      </c>
      <c r="B12" s="141" t="s">
        <v>235</v>
      </c>
      <c r="C12" s="130">
        <v>17</v>
      </c>
      <c r="D12" s="5">
        <v>2.85</v>
      </c>
      <c r="E12" s="118">
        <v>1319</v>
      </c>
      <c r="F12" s="132">
        <v>3.7</v>
      </c>
      <c r="G12" s="6">
        <f t="shared" si="0"/>
        <v>4880.3</v>
      </c>
      <c r="H12" s="7">
        <f t="shared" si="1"/>
        <v>62.900000000000006</v>
      </c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87</v>
      </c>
      <c r="G22" s="179">
        <f>SUM(G9:G21)/F22</f>
        <v>1460.7563218390806</v>
      </c>
      <c r="H22" s="180">
        <f>SUM(H9:H21)/F22</f>
        <v>15.058620689655173</v>
      </c>
      <c r="I22" s="161" t="s">
        <v>22</v>
      </c>
      <c r="J22" s="185">
        <v>2.7777777777777776E-2</v>
      </c>
      <c r="K22" s="159"/>
    </row>
    <row r="23" spans="1:11" x14ac:dyDescent="0.2">
      <c r="E23" s="162"/>
      <c r="F23" s="163"/>
      <c r="I23" s="181" t="s">
        <v>23</v>
      </c>
      <c r="J23" s="182">
        <v>0.67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87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</f>
        <v>990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24.5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60C9C529-EAA4-3F4B-B5CD-BC18EE3E2FC5}">
      <formula1>$K$29:$K$85</formula1>
    </dataValidation>
    <dataValidation type="list" allowBlank="1" showInputMessage="1" showErrorMessage="1" sqref="B20:B21" xr:uid="{354FC0C8-741E-CB40-9EDA-D895973274A1}">
      <formula1>$K$29:$K$40</formula1>
    </dataValidation>
    <dataValidation type="list" allowBlank="1" showInputMessage="1" showErrorMessage="1" sqref="I50 K15:K21" xr:uid="{7C1DFC16-5C1B-8344-9142-3A54F0518A6C}">
      <formula1>$I$41:$I$50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1329-4BF6-7A4D-92DA-E09A0FED6860}">
  <sheetPr codeName="Sheet13"/>
  <dimension ref="A1:K85"/>
  <sheetViews>
    <sheetView workbookViewId="0">
      <selection activeCell="K87" sqref="K87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46094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239</v>
      </c>
      <c r="C9" s="116">
        <v>11</v>
      </c>
      <c r="D9" s="5">
        <v>2.85</v>
      </c>
      <c r="E9" s="118">
        <v>1390</v>
      </c>
      <c r="F9" s="117">
        <v>17.5</v>
      </c>
      <c r="G9" s="6">
        <f t="shared" ref="G9:G12" si="0">E9*F9</f>
        <v>24325</v>
      </c>
      <c r="H9" s="7">
        <f t="shared" ref="H9:H12" si="1">F9*C9</f>
        <v>192.5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239</v>
      </c>
      <c r="C10" s="116">
        <v>13.5</v>
      </c>
      <c r="D10" s="5">
        <v>2.85</v>
      </c>
      <c r="E10" s="118">
        <v>1449</v>
      </c>
      <c r="F10" s="117">
        <v>13.4</v>
      </c>
      <c r="G10" s="6">
        <f t="shared" si="0"/>
        <v>19416.600000000002</v>
      </c>
      <c r="H10" s="7">
        <f t="shared" si="1"/>
        <v>180.9</v>
      </c>
      <c r="I10" s="133" t="s">
        <v>44</v>
      </c>
      <c r="J10" s="142">
        <v>2.4305555555555556E-2</v>
      </c>
      <c r="K10" s="143" t="s">
        <v>44</v>
      </c>
    </row>
    <row r="11" spans="1:11" ht="17" x14ac:dyDescent="0.2">
      <c r="A11" s="140">
        <v>3</v>
      </c>
      <c r="B11" s="141" t="s">
        <v>272</v>
      </c>
      <c r="C11" s="116">
        <v>13</v>
      </c>
      <c r="D11" s="5">
        <v>2.85</v>
      </c>
      <c r="E11" s="118">
        <v>1417</v>
      </c>
      <c r="F11" s="129">
        <v>27</v>
      </c>
      <c r="G11" s="6">
        <f t="shared" si="0"/>
        <v>38259</v>
      </c>
      <c r="H11" s="7">
        <f t="shared" si="1"/>
        <v>351</v>
      </c>
      <c r="I11" s="133" t="s">
        <v>241</v>
      </c>
      <c r="J11" s="142">
        <v>4.1666666666666664E-2</v>
      </c>
      <c r="K11" s="143" t="s">
        <v>273</v>
      </c>
    </row>
    <row r="12" spans="1:11" ht="19.25" customHeight="1" x14ac:dyDescent="0.2">
      <c r="A12" s="144">
        <v>4</v>
      </c>
      <c r="B12" s="141" t="s">
        <v>235</v>
      </c>
      <c r="C12" s="130">
        <v>14</v>
      </c>
      <c r="D12" s="5">
        <v>2.85</v>
      </c>
      <c r="E12" s="118">
        <v>1490</v>
      </c>
      <c r="F12" s="132">
        <v>8.1</v>
      </c>
      <c r="G12" s="6">
        <f t="shared" si="0"/>
        <v>12069</v>
      </c>
      <c r="H12" s="7">
        <f t="shared" si="1"/>
        <v>113.39999999999999</v>
      </c>
      <c r="I12" s="133" t="s">
        <v>240</v>
      </c>
      <c r="J12" s="142">
        <v>6.9444444444444441E-3</v>
      </c>
      <c r="K12" s="143" t="s">
        <v>240</v>
      </c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66</v>
      </c>
      <c r="G22" s="179">
        <f>SUM(G9:G21)/F22</f>
        <v>1425.2969696969699</v>
      </c>
      <c r="H22" s="180">
        <f>SUM(H9:H21)/F22</f>
        <v>12.693939393939393</v>
      </c>
      <c r="I22" s="161" t="s">
        <v>22</v>
      </c>
      <c r="J22" s="185">
        <v>9.375E-2</v>
      </c>
      <c r="K22" s="159"/>
    </row>
    <row r="23" spans="1:11" x14ac:dyDescent="0.2">
      <c r="E23" s="162"/>
      <c r="F23" s="163"/>
      <c r="I23" s="181" t="s">
        <v>23</v>
      </c>
      <c r="J23" s="182">
        <v>2.25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66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</f>
        <v>1056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26.75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05AD6C6C-4F65-1F49-BBA5-7FBDBD49013D}">
      <formula1>$I$41:$I$50</formula1>
    </dataValidation>
    <dataValidation type="list" allowBlank="1" showInputMessage="1" showErrorMessage="1" sqref="B20:B21" xr:uid="{62EDC4B9-4FF7-E04D-9B8E-A56B6A8057B1}">
      <formula1>$K$29:$K$40</formula1>
    </dataValidation>
    <dataValidation type="list" allowBlank="1" showInputMessage="1" showErrorMessage="1" sqref="B16:B19" xr:uid="{F5271C49-E563-FD4C-94C3-4269D1CBEF2A}">
      <formula1>$K$29:$K$85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ED15-7FCD-AD46-AAE7-AEA6C48C915B}">
  <sheetPr codeName="Sheet14"/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46095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239</v>
      </c>
      <c r="C9" s="116">
        <v>12.5</v>
      </c>
      <c r="D9" s="5">
        <v>2.85</v>
      </c>
      <c r="E9" s="118">
        <v>1389</v>
      </c>
      <c r="F9" s="117">
        <v>27.9</v>
      </c>
      <c r="G9" s="6">
        <f>E9*F9</f>
        <v>38753.1</v>
      </c>
      <c r="H9" s="7">
        <f>F9*C9</f>
        <v>348.75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239</v>
      </c>
      <c r="C10" s="116">
        <v>13.5</v>
      </c>
      <c r="D10" s="5">
        <v>2.85</v>
      </c>
      <c r="E10" s="118">
        <v>1426</v>
      </c>
      <c r="F10" s="117">
        <v>14</v>
      </c>
      <c r="G10" s="6">
        <f>E10*F10</f>
        <v>19964</v>
      </c>
      <c r="H10" s="7">
        <f>F10*C10</f>
        <v>189</v>
      </c>
      <c r="I10" s="133" t="s">
        <v>44</v>
      </c>
      <c r="J10" s="142">
        <v>2.4305555555555556E-2</v>
      </c>
      <c r="K10" s="143" t="s">
        <v>44</v>
      </c>
    </row>
    <row r="11" spans="1:11" ht="17" x14ac:dyDescent="0.2">
      <c r="A11" s="140">
        <v>3</v>
      </c>
      <c r="B11" s="141" t="s">
        <v>272</v>
      </c>
      <c r="C11" s="116">
        <v>13</v>
      </c>
      <c r="D11" s="5">
        <v>2.85</v>
      </c>
      <c r="E11" s="118">
        <v>1426</v>
      </c>
      <c r="F11" s="129">
        <v>10</v>
      </c>
      <c r="G11" s="6">
        <f>E11*F11</f>
        <v>14260</v>
      </c>
      <c r="H11" s="7">
        <f>F11*C11</f>
        <v>130</v>
      </c>
      <c r="I11" s="133" t="s">
        <v>240</v>
      </c>
      <c r="J11" s="142">
        <v>1.3888888888888888E-2</v>
      </c>
      <c r="K11" s="143" t="s">
        <v>240</v>
      </c>
    </row>
    <row r="12" spans="1:11" ht="19.25" customHeight="1" x14ac:dyDescent="0.2">
      <c r="A12" s="144">
        <v>4</v>
      </c>
      <c r="B12" s="141" t="s">
        <v>271</v>
      </c>
      <c r="C12" s="130">
        <v>15</v>
      </c>
      <c r="D12" s="5">
        <v>2.85</v>
      </c>
      <c r="E12" s="118">
        <v>1485</v>
      </c>
      <c r="F12" s="132">
        <v>22.1</v>
      </c>
      <c r="G12" s="6">
        <f>E12*F12</f>
        <v>32818.5</v>
      </c>
      <c r="H12" s="7">
        <f>F12*C12</f>
        <v>331.5</v>
      </c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74</v>
      </c>
      <c r="G22" s="179">
        <f>SUM(G9:G21)/F22</f>
        <v>1429.6702702702703</v>
      </c>
      <c r="H22" s="180">
        <f>SUM(H9:H21)/F22</f>
        <v>13.503378378378379</v>
      </c>
      <c r="I22" s="161" t="s">
        <v>22</v>
      </c>
      <c r="J22" s="185">
        <v>5.9027777777777776E-2</v>
      </c>
      <c r="K22" s="159"/>
    </row>
    <row r="23" spans="1:11" x14ac:dyDescent="0.2">
      <c r="E23" s="162"/>
      <c r="F23" s="163"/>
      <c r="I23" s="181" t="s">
        <v>23</v>
      </c>
      <c r="J23" s="182">
        <v>1.42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74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</f>
        <v>1130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28.17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6E32B850-291C-415C-81D9-332360D98178}">
      <formula1>$K$29:$K$85</formula1>
    </dataValidation>
    <dataValidation type="list" allowBlank="1" showInputMessage="1" showErrorMessage="1" sqref="B20:B21" xr:uid="{ADCED7FF-2F7B-4D7C-A9DA-C731D37C4E1B}">
      <formula1>$K$29:$K$40</formula1>
    </dataValidation>
    <dataValidation type="list" allowBlank="1" showInputMessage="1" showErrorMessage="1" sqref="I50 K15:K21" xr:uid="{C9982FA7-B331-4280-8FAB-97C37888F18A}">
      <formula1>$I$41:$I$50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9F43-9A3E-9B4A-862F-A4D01BEB929C}">
  <sheetPr codeName="Sheet15"/>
  <dimension ref="A1:K85"/>
  <sheetViews>
    <sheetView workbookViewId="0">
      <selection activeCell="L14" sqref="L14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46096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271</v>
      </c>
      <c r="C9" s="116">
        <v>14</v>
      </c>
      <c r="D9" s="5">
        <v>2.85</v>
      </c>
      <c r="E9" s="118">
        <v>1458</v>
      </c>
      <c r="F9" s="117">
        <v>22.4</v>
      </c>
      <c r="G9" s="6">
        <f t="shared" ref="G9:G12" si="0">E9*F9</f>
        <v>32659.199999999997</v>
      </c>
      <c r="H9" s="7">
        <f t="shared" ref="H9:H12" si="1">F9*C9</f>
        <v>313.59999999999997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271</v>
      </c>
      <c r="C10" s="116">
        <v>15</v>
      </c>
      <c r="D10" s="5">
        <v>2.85</v>
      </c>
      <c r="E10" s="118">
        <v>1458</v>
      </c>
      <c r="F10" s="117">
        <v>29.7</v>
      </c>
      <c r="G10" s="6">
        <f t="shared" si="0"/>
        <v>43302.6</v>
      </c>
      <c r="H10" s="7">
        <f t="shared" si="1"/>
        <v>445.5</v>
      </c>
      <c r="I10" s="133" t="s">
        <v>44</v>
      </c>
      <c r="J10" s="142">
        <v>2.0833333333333332E-2</v>
      </c>
      <c r="K10" s="143" t="s">
        <v>44</v>
      </c>
    </row>
    <row r="11" spans="1:11" ht="17" x14ac:dyDescent="0.2">
      <c r="A11" s="140">
        <v>3</v>
      </c>
      <c r="B11" s="141" t="s">
        <v>271</v>
      </c>
      <c r="C11" s="116">
        <v>16</v>
      </c>
      <c r="D11" s="5">
        <v>2.85</v>
      </c>
      <c r="E11" s="118">
        <v>1418</v>
      </c>
      <c r="F11" s="129">
        <v>21.9</v>
      </c>
      <c r="G11" s="6">
        <f t="shared" si="0"/>
        <v>31054.199999999997</v>
      </c>
      <c r="H11" s="7">
        <f t="shared" si="1"/>
        <v>350.4</v>
      </c>
      <c r="I11" s="133" t="s">
        <v>268</v>
      </c>
      <c r="J11" s="142">
        <v>4.1666666666666664E-2</v>
      </c>
      <c r="K11" s="143" t="s">
        <v>269</v>
      </c>
    </row>
    <row r="12" spans="1:11" ht="19.25" customHeight="1" x14ac:dyDescent="0.2">
      <c r="A12" s="144">
        <v>4</v>
      </c>
      <c r="B12" s="141" t="s">
        <v>271</v>
      </c>
      <c r="C12" s="130">
        <v>17</v>
      </c>
      <c r="D12" s="5">
        <v>2.85</v>
      </c>
      <c r="E12" s="118">
        <v>1394</v>
      </c>
      <c r="F12" s="132">
        <v>6</v>
      </c>
      <c r="G12" s="6">
        <f t="shared" si="0"/>
        <v>8364</v>
      </c>
      <c r="H12" s="7">
        <f t="shared" si="1"/>
        <v>102</v>
      </c>
      <c r="I12" s="133" t="s">
        <v>240</v>
      </c>
      <c r="J12" s="142">
        <v>6.9444444444444441E-3</v>
      </c>
      <c r="K12" s="143" t="s">
        <v>240</v>
      </c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80</v>
      </c>
      <c r="G22" s="179">
        <f>SUM(G9:G21)/F22</f>
        <v>1442.2499999999998</v>
      </c>
      <c r="H22" s="180">
        <f>SUM(H9:H21)/F22</f>
        <v>15.143750000000001</v>
      </c>
      <c r="I22" s="161" t="s">
        <v>22</v>
      </c>
      <c r="J22" s="185">
        <v>9.0277777777777776E-2</v>
      </c>
      <c r="K22" s="159"/>
    </row>
    <row r="23" spans="1:11" x14ac:dyDescent="0.2">
      <c r="E23" s="162"/>
      <c r="F23" s="163"/>
      <c r="I23" s="181" t="s">
        <v>23</v>
      </c>
      <c r="J23" s="182">
        <v>2.17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80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</f>
        <v>1210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30.33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7F1CB4F4-EB17-244A-91D4-A075E447130E}">
      <formula1>$I$41:$I$50</formula1>
    </dataValidation>
    <dataValidation type="list" allowBlank="1" showInputMessage="1" showErrorMessage="1" sqref="B20:B21" xr:uid="{3FA9B49F-CBFC-CA43-956B-BB74E290F4A2}">
      <formula1>$K$29:$K$40</formula1>
    </dataValidation>
    <dataValidation type="list" allowBlank="1" showInputMessage="1" showErrorMessage="1" sqref="B16:B19" xr:uid="{1B68F52E-B83C-834F-AA53-5CAB5A772BED}">
      <formula1>$K$29:$K$85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6532-F8CA-914C-A302-6EB381AA99EE}">
  <sheetPr codeName="Sheet16"/>
  <dimension ref="A1:K85"/>
  <sheetViews>
    <sheetView topLeftCell="A3" workbookViewId="0">
      <selection activeCell="G16" sqref="G16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46097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271</v>
      </c>
      <c r="C9" s="116">
        <v>15</v>
      </c>
      <c r="D9" s="5">
        <v>2.85</v>
      </c>
      <c r="E9" s="118">
        <v>1476</v>
      </c>
      <c r="F9" s="117">
        <v>26.8</v>
      </c>
      <c r="G9" s="6">
        <f>E9*F9</f>
        <v>39556.800000000003</v>
      </c>
      <c r="H9" s="7">
        <f>F9*C9</f>
        <v>402</v>
      </c>
      <c r="I9" s="133" t="s">
        <v>20</v>
      </c>
      <c r="J9" s="186">
        <v>2.4305555555555556E-2</v>
      </c>
      <c r="K9" s="143" t="s">
        <v>236</v>
      </c>
    </row>
    <row r="10" spans="1:11" ht="17" x14ac:dyDescent="0.2">
      <c r="A10" s="144">
        <v>2</v>
      </c>
      <c r="B10" s="141" t="s">
        <v>271</v>
      </c>
      <c r="C10" s="116">
        <v>17</v>
      </c>
      <c r="D10" s="5">
        <v>2.85</v>
      </c>
      <c r="E10" s="118">
        <v>1394</v>
      </c>
      <c r="F10" s="117">
        <v>0.7</v>
      </c>
      <c r="G10" s="6">
        <f>E10*F10</f>
        <v>975.8</v>
      </c>
      <c r="H10" s="7">
        <f>F10*C10</f>
        <v>11.899999999999999</v>
      </c>
      <c r="I10" s="133" t="s">
        <v>44</v>
      </c>
      <c r="J10" s="142">
        <v>2.0833333333333332E-2</v>
      </c>
      <c r="K10" s="143" t="s">
        <v>44</v>
      </c>
    </row>
    <row r="11" spans="1:11" ht="17" x14ac:dyDescent="0.2">
      <c r="A11" s="140">
        <v>3</v>
      </c>
      <c r="B11" s="141" t="s">
        <v>235</v>
      </c>
      <c r="C11" s="116">
        <v>15</v>
      </c>
      <c r="D11" s="5">
        <v>2.85</v>
      </c>
      <c r="E11" s="118">
        <v>1503</v>
      </c>
      <c r="F11" s="129">
        <v>27.5</v>
      </c>
      <c r="G11" s="6">
        <f>E11*F11</f>
        <v>41332.5</v>
      </c>
      <c r="H11" s="7">
        <f>F11*C11</f>
        <v>412.5</v>
      </c>
      <c r="I11" s="133" t="s">
        <v>240</v>
      </c>
      <c r="J11" s="142">
        <v>1.0416666666666666E-2</v>
      </c>
      <c r="K11" s="143" t="s">
        <v>240</v>
      </c>
    </row>
    <row r="12" spans="1:11" ht="19.25" customHeight="1" x14ac:dyDescent="0.2">
      <c r="A12" s="144">
        <v>4</v>
      </c>
      <c r="B12" s="141" t="s">
        <v>235</v>
      </c>
      <c r="C12" s="130">
        <v>18</v>
      </c>
      <c r="D12" s="5">
        <v>2.85</v>
      </c>
      <c r="E12" s="118">
        <v>1503</v>
      </c>
      <c r="F12" s="132">
        <v>32</v>
      </c>
      <c r="G12" s="6">
        <f>E12*F12</f>
        <v>48096</v>
      </c>
      <c r="H12" s="7">
        <f>F12*C12</f>
        <v>576</v>
      </c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87</v>
      </c>
      <c r="G22" s="179">
        <f>SUM(G9:G21)/F22</f>
        <v>1493.8057471264369</v>
      </c>
      <c r="H22" s="180">
        <f>SUM(H9:H21)/F22</f>
        <v>16.119540229885057</v>
      </c>
      <c r="I22" s="161" t="s">
        <v>22</v>
      </c>
      <c r="J22" s="185">
        <v>5.5555555555555552E-2</v>
      </c>
      <c r="K22" s="159"/>
    </row>
    <row r="23" spans="1:11" x14ac:dyDescent="0.2">
      <c r="E23" s="162"/>
      <c r="F23" s="163"/>
      <c r="I23" s="181" t="s">
        <v>23</v>
      </c>
      <c r="J23" s="182">
        <v>1.33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87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</f>
        <v>1297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31.67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18227647-03D6-469E-972E-BB2CF6A67A90}">
      <formula1>$K$29:$K$85</formula1>
    </dataValidation>
    <dataValidation type="list" allowBlank="1" showInputMessage="1" showErrorMessage="1" sqref="B20:B21" xr:uid="{53FBE4EF-245D-48BD-A9E7-B47B4811DFD1}">
      <formula1>$K$29:$K$40</formula1>
    </dataValidation>
    <dataValidation type="list" allowBlank="1" showInputMessage="1" showErrorMessage="1" sqref="I50 K15:K21" xr:uid="{5EC8473B-40D4-4C47-97CD-0DFE174D05D9}">
      <formula1>$I$41:$I$50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A1A4-B784-D644-91DA-35F32A84B050}">
  <sheetPr codeName="Sheet17"/>
  <dimension ref="A1:K85"/>
  <sheetViews>
    <sheetView topLeftCell="A12" workbookViewId="0">
      <selection activeCell="K16" sqref="K16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46098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14</v>
      </c>
      <c r="D9" s="5">
        <v>2.85</v>
      </c>
      <c r="E9" s="118">
        <v>1494</v>
      </c>
      <c r="F9" s="117">
        <v>13.6</v>
      </c>
      <c r="G9" s="6">
        <f t="shared" ref="G9:G12" si="0">E9*F9</f>
        <v>20318.399999999998</v>
      </c>
      <c r="H9" s="7">
        <f t="shared" ref="H9:H12" si="1">F9*C9</f>
        <v>190.4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15</v>
      </c>
      <c r="D10" s="5">
        <v>2.85</v>
      </c>
      <c r="E10" s="118">
        <v>1494</v>
      </c>
      <c r="F10" s="117">
        <v>1.4</v>
      </c>
      <c r="G10" s="6">
        <f t="shared" si="0"/>
        <v>2091.6</v>
      </c>
      <c r="H10" s="7">
        <f t="shared" si="1"/>
        <v>21</v>
      </c>
      <c r="I10" s="133" t="s">
        <v>44</v>
      </c>
      <c r="J10" s="142">
        <v>1.3888888888888888E-2</v>
      </c>
      <c r="K10" s="143" t="s">
        <v>44</v>
      </c>
    </row>
    <row r="11" spans="1:11" ht="17" x14ac:dyDescent="0.2">
      <c r="A11" s="140">
        <v>3</v>
      </c>
      <c r="B11" s="141" t="s">
        <v>235</v>
      </c>
      <c r="C11" s="116">
        <v>18</v>
      </c>
      <c r="D11" s="5">
        <v>2.85</v>
      </c>
      <c r="E11" s="118">
        <v>1494</v>
      </c>
      <c r="F11" s="129">
        <v>2.7</v>
      </c>
      <c r="G11" s="6">
        <f t="shared" si="0"/>
        <v>4033.8</v>
      </c>
      <c r="H11" s="7">
        <f t="shared" si="1"/>
        <v>48.6</v>
      </c>
      <c r="I11" s="133"/>
      <c r="J11" s="142"/>
      <c r="K11" s="143"/>
    </row>
    <row r="12" spans="1:11" ht="19.25" customHeight="1" x14ac:dyDescent="0.2">
      <c r="A12" s="144">
        <v>4</v>
      </c>
      <c r="B12" s="141" t="s">
        <v>274</v>
      </c>
      <c r="C12" s="130">
        <v>17</v>
      </c>
      <c r="D12" s="5">
        <v>2.85</v>
      </c>
      <c r="E12" s="118">
        <v>1440</v>
      </c>
      <c r="F12" s="132">
        <v>72.3</v>
      </c>
      <c r="G12" s="6">
        <f t="shared" si="0"/>
        <v>104112</v>
      </c>
      <c r="H12" s="7">
        <f t="shared" si="1"/>
        <v>1229.0999999999999</v>
      </c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90</v>
      </c>
      <c r="G22" s="179">
        <f>SUM(G9:G21)/F22</f>
        <v>1450.62</v>
      </c>
      <c r="H22" s="180">
        <f>SUM(H9:H21)/F22</f>
        <v>16.545555555555556</v>
      </c>
      <c r="I22" s="161" t="s">
        <v>22</v>
      </c>
      <c r="J22" s="185">
        <v>3.4722222222222224E-2</v>
      </c>
      <c r="K22" s="159"/>
    </row>
    <row r="23" spans="1:11" x14ac:dyDescent="0.2">
      <c r="E23" s="162"/>
      <c r="F23" s="163"/>
      <c r="I23" s="181" t="s">
        <v>23</v>
      </c>
      <c r="J23" s="182">
        <v>0.83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90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</f>
        <v>1387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32.5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07784A54-BA20-334C-99A7-ADA361F6A787}">
      <formula1>$I$41:$I$50</formula1>
    </dataValidation>
    <dataValidation type="list" allowBlank="1" showInputMessage="1" showErrorMessage="1" sqref="B20:B21" xr:uid="{B5C7AAAB-DA2B-4D45-B8CD-257112B49D33}">
      <formula1>$K$29:$K$40</formula1>
    </dataValidation>
    <dataValidation type="list" allowBlank="1" showInputMessage="1" showErrorMessage="1" sqref="B16:B19" xr:uid="{006E682E-7FF5-E74C-BBCD-70A6C51D5023}">
      <formula1>$K$29:$K$85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2B61-0A77-B94A-B3AD-547449C53A13}">
  <sheetPr codeName="Sheet18"/>
  <dimension ref="A1:K85"/>
  <sheetViews>
    <sheetView workbookViewId="0">
      <selection activeCell="K16" sqref="K16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46099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274</v>
      </c>
      <c r="C9" s="116">
        <v>17</v>
      </c>
      <c r="D9" s="5">
        <v>2.85</v>
      </c>
      <c r="E9" s="118">
        <v>1449</v>
      </c>
      <c r="F9" s="117">
        <v>4.5999999999999996</v>
      </c>
      <c r="G9" s="6">
        <f t="shared" ref="G9:G14" si="0">E9*F9</f>
        <v>6665.4</v>
      </c>
      <c r="H9" s="7">
        <f t="shared" ref="H9:H14" si="1">F9*C9</f>
        <v>78.199999999999989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263</v>
      </c>
      <c r="C10" s="116">
        <v>20</v>
      </c>
      <c r="D10" s="5">
        <v>2.85</v>
      </c>
      <c r="E10" s="118">
        <v>1283</v>
      </c>
      <c r="F10" s="117">
        <v>9.4</v>
      </c>
      <c r="G10" s="6">
        <f t="shared" si="0"/>
        <v>12060.2</v>
      </c>
      <c r="H10" s="7">
        <f t="shared" si="1"/>
        <v>188</v>
      </c>
      <c r="I10" s="133" t="s">
        <v>44</v>
      </c>
      <c r="J10" s="142">
        <v>4.1666666666666664E-2</v>
      </c>
      <c r="K10" s="143" t="s">
        <v>44</v>
      </c>
    </row>
    <row r="11" spans="1:11" ht="17" x14ac:dyDescent="0.2">
      <c r="A11" s="140">
        <v>3</v>
      </c>
      <c r="B11" s="141" t="s">
        <v>263</v>
      </c>
      <c r="C11" s="116">
        <v>21</v>
      </c>
      <c r="D11" s="5">
        <v>2.85</v>
      </c>
      <c r="E11" s="118">
        <v>1283</v>
      </c>
      <c r="F11" s="129">
        <v>4.2</v>
      </c>
      <c r="G11" s="6">
        <f t="shared" si="0"/>
        <v>5388.6</v>
      </c>
      <c r="H11" s="7">
        <f t="shared" si="1"/>
        <v>88.2</v>
      </c>
      <c r="I11" s="133" t="s">
        <v>241</v>
      </c>
      <c r="J11" s="142">
        <v>4.1666666666666664E-2</v>
      </c>
      <c r="K11" s="143" t="s">
        <v>273</v>
      </c>
    </row>
    <row r="12" spans="1:11" ht="19.25" customHeight="1" x14ac:dyDescent="0.2">
      <c r="A12" s="144">
        <v>4</v>
      </c>
      <c r="B12" s="141" t="s">
        <v>263</v>
      </c>
      <c r="C12" s="130">
        <v>34</v>
      </c>
      <c r="D12" s="5">
        <v>2.85</v>
      </c>
      <c r="E12" s="118">
        <v>832</v>
      </c>
      <c r="F12" s="132">
        <v>29.2</v>
      </c>
      <c r="G12" s="6">
        <f t="shared" si="0"/>
        <v>24294.399999999998</v>
      </c>
      <c r="H12" s="7">
        <f t="shared" si="1"/>
        <v>992.8</v>
      </c>
      <c r="I12" s="133" t="s">
        <v>268</v>
      </c>
      <c r="J12" s="142">
        <v>8.3333333333333329E-2</v>
      </c>
      <c r="K12" s="143" t="s">
        <v>269</v>
      </c>
    </row>
    <row r="13" spans="1:11" ht="17" x14ac:dyDescent="0.2">
      <c r="A13" s="145">
        <v>5</v>
      </c>
      <c r="B13" s="141" t="s">
        <v>263</v>
      </c>
      <c r="C13" s="130">
        <v>36</v>
      </c>
      <c r="D13" s="5">
        <v>2.85</v>
      </c>
      <c r="E13" s="131">
        <v>754</v>
      </c>
      <c r="F13" s="132">
        <v>5.6</v>
      </c>
      <c r="G13" s="6">
        <f t="shared" si="0"/>
        <v>4222.3999999999996</v>
      </c>
      <c r="H13" s="7">
        <f t="shared" si="1"/>
        <v>201.6</v>
      </c>
      <c r="I13" s="133" t="s">
        <v>275</v>
      </c>
      <c r="J13" s="142">
        <v>1.3888888888888888E-2</v>
      </c>
      <c r="K13" s="143" t="s">
        <v>276</v>
      </c>
    </row>
    <row r="14" spans="1:11" ht="17" x14ac:dyDescent="0.2">
      <c r="A14" s="140">
        <v>6</v>
      </c>
      <c r="B14" s="141" t="s">
        <v>263</v>
      </c>
      <c r="C14" s="134">
        <v>40</v>
      </c>
      <c r="D14" s="5">
        <v>2.85</v>
      </c>
      <c r="E14" s="135">
        <v>643</v>
      </c>
      <c r="F14" s="136">
        <v>27</v>
      </c>
      <c r="G14" s="6">
        <f t="shared" si="0"/>
        <v>17361</v>
      </c>
      <c r="H14" s="7">
        <f t="shared" si="1"/>
        <v>1080</v>
      </c>
      <c r="I14" s="149" t="s">
        <v>240</v>
      </c>
      <c r="J14" s="142">
        <v>6.9444444444444441E-3</v>
      </c>
      <c r="K14" s="143" t="s">
        <v>240</v>
      </c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80</v>
      </c>
      <c r="G22" s="179">
        <f>SUM(G9:G21)/F22</f>
        <v>874.9</v>
      </c>
      <c r="H22" s="180">
        <f>SUM(H9:H21)/F22</f>
        <v>32.86</v>
      </c>
      <c r="I22" s="161" t="s">
        <v>22</v>
      </c>
      <c r="J22" s="185">
        <v>0.20833333333333334</v>
      </c>
      <c r="K22" s="159"/>
    </row>
    <row r="23" spans="1:11" x14ac:dyDescent="0.2">
      <c r="E23" s="162"/>
      <c r="F23" s="163"/>
      <c r="I23" s="181" t="s">
        <v>23</v>
      </c>
      <c r="J23" s="182">
        <v>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80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</f>
        <v>1467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37.5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8CB44776-3FBB-46E6-BE84-AA1B7A4B2E8D}">
      <formula1>$K$29:$K$85</formula1>
    </dataValidation>
    <dataValidation type="list" allowBlank="1" showInputMessage="1" showErrorMessage="1" sqref="B20:B21" xr:uid="{F84F10ED-39BE-4B6C-BA14-4CDC660191A9}">
      <formula1>$K$29:$K$40</formula1>
    </dataValidation>
    <dataValidation type="list" allowBlank="1" showInputMessage="1" showErrorMessage="1" sqref="I50 K15:K21" xr:uid="{F97B0002-C58C-4233-9061-D6885B57D3AC}">
      <formula1>$I$41:$I$50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44F4-14B9-CF43-9EB6-E8E19DC5C732}">
  <sheetPr codeName="Sheet19"/>
  <dimension ref="A1:K85"/>
  <sheetViews>
    <sheetView workbookViewId="0">
      <selection activeCell="K18" sqref="K18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46100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263</v>
      </c>
      <c r="C9" s="116">
        <v>21</v>
      </c>
      <c r="D9" s="5">
        <v>2.85</v>
      </c>
      <c r="E9" s="118">
        <v>1402</v>
      </c>
      <c r="F9" s="117">
        <v>19.100000000000001</v>
      </c>
      <c r="G9" s="6">
        <f t="shared" ref="G9:G12" si="0">E9*F9</f>
        <v>26778.2</v>
      </c>
      <c r="H9" s="7">
        <f t="shared" ref="H9:H12" si="1">F9*C9</f>
        <v>401.1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263</v>
      </c>
      <c r="C10" s="116">
        <v>22</v>
      </c>
      <c r="D10" s="5">
        <v>2.85</v>
      </c>
      <c r="E10" s="118">
        <v>1333</v>
      </c>
      <c r="F10" s="117">
        <v>23.5</v>
      </c>
      <c r="G10" s="6">
        <f t="shared" si="0"/>
        <v>31325.5</v>
      </c>
      <c r="H10" s="7">
        <f t="shared" si="1"/>
        <v>517</v>
      </c>
      <c r="I10" s="133" t="s">
        <v>44</v>
      </c>
      <c r="J10" s="142">
        <v>3.125E-2</v>
      </c>
      <c r="K10" s="143" t="s">
        <v>44</v>
      </c>
    </row>
    <row r="11" spans="1:11" ht="17" x14ac:dyDescent="0.2">
      <c r="A11" s="140">
        <v>3</v>
      </c>
      <c r="B11" s="141" t="s">
        <v>263</v>
      </c>
      <c r="C11" s="116">
        <v>32</v>
      </c>
      <c r="D11" s="5">
        <v>2.85</v>
      </c>
      <c r="E11" s="118">
        <v>845</v>
      </c>
      <c r="F11" s="129">
        <v>40.4</v>
      </c>
      <c r="G11" s="6">
        <f t="shared" si="0"/>
        <v>34138</v>
      </c>
      <c r="H11" s="7">
        <f t="shared" si="1"/>
        <v>1292.8</v>
      </c>
      <c r="I11" s="133" t="s">
        <v>241</v>
      </c>
      <c r="J11" s="142">
        <v>7.6388888888888895E-2</v>
      </c>
      <c r="K11" s="143" t="s">
        <v>273</v>
      </c>
    </row>
    <row r="12" spans="1:11" ht="19.25" customHeight="1" x14ac:dyDescent="0.2">
      <c r="A12" s="144">
        <v>4</v>
      </c>
      <c r="B12" s="141" t="s">
        <v>263</v>
      </c>
      <c r="C12" s="130">
        <v>34</v>
      </c>
      <c r="D12" s="5">
        <v>2.85</v>
      </c>
      <c r="E12" s="118">
        <v>837</v>
      </c>
      <c r="F12" s="132">
        <v>17</v>
      </c>
      <c r="G12" s="6">
        <f t="shared" si="0"/>
        <v>14229</v>
      </c>
      <c r="H12" s="7">
        <f t="shared" si="1"/>
        <v>578</v>
      </c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100</v>
      </c>
      <c r="G22" s="179">
        <f>SUM(G9:G21)/F22</f>
        <v>1064.7069999999999</v>
      </c>
      <c r="H22" s="180">
        <f>SUM(H9:H21)/F22</f>
        <v>27.888999999999999</v>
      </c>
      <c r="I22" s="161" t="s">
        <v>22</v>
      </c>
      <c r="J22" s="185">
        <v>0.12847222222222221</v>
      </c>
      <c r="K22" s="159"/>
    </row>
    <row r="23" spans="1:11" x14ac:dyDescent="0.2">
      <c r="E23" s="162"/>
      <c r="F23" s="163"/>
      <c r="I23" s="181" t="s">
        <v>23</v>
      </c>
      <c r="J23" s="182">
        <v>3.08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100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</f>
        <v>1567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40.58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C8899FFD-FB29-3845-9215-6210906326A7}">
      <formula1>$I$41:$I$50</formula1>
    </dataValidation>
    <dataValidation type="list" allowBlank="1" showInputMessage="1" showErrorMessage="1" sqref="B20:B21" xr:uid="{2FA01C61-03A4-774D-A6E9-6B66F3DE6801}">
      <formula1>$K$29:$K$40</formula1>
    </dataValidation>
    <dataValidation type="list" allowBlank="1" showInputMessage="1" showErrorMessage="1" sqref="B16:B19" xr:uid="{C65A8893-FD0C-6749-B072-A443E7D3FD0E}">
      <formula1>$K$29:$K$85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7DE0-ECD2-F647-98F8-545C2C859EE9}">
  <sheetPr codeName="Sheet20"/>
  <dimension ref="A1:K85"/>
  <sheetViews>
    <sheetView topLeftCell="A10" workbookViewId="0">
      <selection activeCell="K4" sqref="K4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46101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263</v>
      </c>
      <c r="C9" s="116">
        <v>21</v>
      </c>
      <c r="D9" s="5">
        <v>2.85</v>
      </c>
      <c r="E9" s="118">
        <v>1403</v>
      </c>
      <c r="F9" s="117">
        <v>103</v>
      </c>
      <c r="G9" s="6">
        <f t="shared" ref="G9" si="0">E9*F9</f>
        <v>144509</v>
      </c>
      <c r="H9" s="7">
        <f t="shared" ref="H9" si="1">F9*C9</f>
        <v>2163</v>
      </c>
      <c r="I9" s="133" t="s">
        <v>20</v>
      </c>
      <c r="J9" s="186">
        <v>2.0833333333333332E-2</v>
      </c>
      <c r="K9" s="143" t="s">
        <v>236</v>
      </c>
    </row>
    <row r="10" spans="1:11" x14ac:dyDescent="0.2">
      <c r="A10" s="144"/>
      <c r="B10" s="141"/>
      <c r="C10" s="116"/>
      <c r="D10" s="5"/>
      <c r="E10" s="118"/>
      <c r="F10" s="117"/>
      <c r="G10" s="6"/>
      <c r="H10" s="7"/>
      <c r="I10" s="133" t="s">
        <v>275</v>
      </c>
      <c r="J10" s="142">
        <v>2.0833333333333332E-2</v>
      </c>
      <c r="K10" s="143" t="s">
        <v>277</v>
      </c>
    </row>
    <row r="11" spans="1:11" x14ac:dyDescent="0.2">
      <c r="A11" s="140"/>
      <c r="B11" s="141"/>
      <c r="C11" s="116"/>
      <c r="D11" s="5"/>
      <c r="E11" s="118"/>
      <c r="F11" s="129"/>
      <c r="G11" s="6"/>
      <c r="H11" s="7"/>
      <c r="I11" s="133" t="s">
        <v>278</v>
      </c>
      <c r="J11" s="142">
        <v>2.0833333333333332E-2</v>
      </c>
      <c r="K11" s="143" t="s">
        <v>277</v>
      </c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 t="s">
        <v>261</v>
      </c>
      <c r="J12" s="142">
        <v>2.0833333333333332E-2</v>
      </c>
      <c r="K12" s="143" t="s">
        <v>277</v>
      </c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 t="s">
        <v>241</v>
      </c>
      <c r="J13" s="142">
        <v>2.0833333333333332E-2</v>
      </c>
      <c r="K13" s="143" t="s">
        <v>273</v>
      </c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103</v>
      </c>
      <c r="G22" s="179">
        <f>SUM(G9:G21)/F22</f>
        <v>1403</v>
      </c>
      <c r="H22" s="180">
        <f>SUM(H9:H21)/F22</f>
        <v>21</v>
      </c>
      <c r="I22" s="161" t="s">
        <v>22</v>
      </c>
      <c r="J22" s="185">
        <v>0.10416666666666667</v>
      </c>
      <c r="K22" s="159"/>
    </row>
    <row r="23" spans="1:11" x14ac:dyDescent="0.2">
      <c r="E23" s="162"/>
      <c r="F23" s="163"/>
      <c r="I23" s="181" t="s">
        <v>23</v>
      </c>
      <c r="J23" s="182">
        <v>2.5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103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</f>
        <v>1670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43.08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7E1472AB-9E9E-F549-BAEF-B5C8F9B2688F}">
      <formula1>$K$29:$K$85</formula1>
    </dataValidation>
    <dataValidation type="list" allowBlank="1" showInputMessage="1" showErrorMessage="1" sqref="B20:B21" xr:uid="{8679D4F0-FEB6-9A40-919F-BC46315201D1}">
      <formula1>$K$29:$K$40</formula1>
    </dataValidation>
    <dataValidation type="list" allowBlank="1" showInputMessage="1" showErrorMessage="1" sqref="I50 K15:K21" xr:uid="{BCB67F23-C029-C943-8A65-86E0554EDA6F}">
      <formula1>$I$41:$I$50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631F-5CCB-994F-B6BE-A7C94D9F0BB2}">
  <sheetPr codeName="Sheet21"/>
  <dimension ref="A1:K85"/>
  <sheetViews>
    <sheetView workbookViewId="0">
      <selection activeCell="K23" sqref="K23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46102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263</v>
      </c>
      <c r="C9" s="116">
        <v>21</v>
      </c>
      <c r="D9" s="5">
        <v>2.85</v>
      </c>
      <c r="E9" s="118">
        <v>1403</v>
      </c>
      <c r="F9" s="117">
        <v>17.600000000000001</v>
      </c>
      <c r="G9" s="6">
        <f t="shared" ref="G9:G11" si="0">E9*F9</f>
        <v>24692.800000000003</v>
      </c>
      <c r="H9" s="7">
        <f t="shared" ref="H9:H11" si="1">F9*C9</f>
        <v>369.6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263</v>
      </c>
      <c r="C10" s="116">
        <v>28</v>
      </c>
      <c r="D10" s="5">
        <v>2.85</v>
      </c>
      <c r="E10" s="118">
        <v>1044</v>
      </c>
      <c r="F10" s="117">
        <v>32.799999999999997</v>
      </c>
      <c r="G10" s="6">
        <f t="shared" si="0"/>
        <v>34243.199999999997</v>
      </c>
      <c r="H10" s="7">
        <f t="shared" si="1"/>
        <v>918.39999999999986</v>
      </c>
      <c r="I10" s="133" t="s">
        <v>44</v>
      </c>
      <c r="J10" s="142">
        <v>2.0833333333333332E-2</v>
      </c>
      <c r="K10" s="143" t="s">
        <v>44</v>
      </c>
    </row>
    <row r="11" spans="1:11" ht="17" x14ac:dyDescent="0.2">
      <c r="A11" s="140">
        <v>3</v>
      </c>
      <c r="B11" s="141" t="s">
        <v>263</v>
      </c>
      <c r="C11" s="116">
        <v>30</v>
      </c>
      <c r="D11" s="5">
        <v>2.85</v>
      </c>
      <c r="E11" s="118">
        <v>980</v>
      </c>
      <c r="F11" s="129">
        <v>59.6</v>
      </c>
      <c r="G11" s="6">
        <f t="shared" si="0"/>
        <v>58408</v>
      </c>
      <c r="H11" s="7">
        <f t="shared" si="1"/>
        <v>1788</v>
      </c>
      <c r="I11" s="133"/>
      <c r="J11" s="142"/>
      <c r="K11" s="143"/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0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110</v>
      </c>
      <c r="G22" s="179">
        <f>SUM(G9:G21)/F22</f>
        <v>1066.7636363636364</v>
      </c>
      <c r="H22" s="180">
        <f>SUM(H9:H21)/F22</f>
        <v>27.963636363636365</v>
      </c>
      <c r="I22" s="161" t="s">
        <v>22</v>
      </c>
      <c r="J22" s="185">
        <v>4.1666666666666664E-2</v>
      </c>
      <c r="K22" s="159"/>
    </row>
    <row r="23" spans="1:11" x14ac:dyDescent="0.2">
      <c r="E23" s="162"/>
      <c r="F23" s="163"/>
      <c r="I23" s="181" t="s">
        <v>23</v>
      </c>
      <c r="J23" s="182">
        <v>1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110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</f>
        <v>1780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44.08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18EB22BA-FE8B-8C45-82D0-708B02CC58C2}">
      <formula1>$I$41:$I$50</formula1>
    </dataValidation>
    <dataValidation type="list" allowBlank="1" showInputMessage="1" showErrorMessage="1" sqref="B20:B21" xr:uid="{294EC001-B47B-A647-AC7D-49460CE62D4B}">
      <formula1>$K$29:$K$40</formula1>
    </dataValidation>
    <dataValidation type="list" allowBlank="1" showInputMessage="1" showErrorMessage="1" sqref="B16:B19" xr:uid="{1B4CFB4E-88CC-CE42-AA28-092CB1EABB91}">
      <formula1>$K$29:$K$85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D2CC-8CE8-044C-9448-D2AECD144105}">
  <sheetPr codeName="Sheet22"/>
  <dimension ref="A1:K85"/>
  <sheetViews>
    <sheetView workbookViewId="0">
      <selection activeCell="L20" sqref="L20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46103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16</v>
      </c>
      <c r="D9" s="5">
        <v>2.85</v>
      </c>
      <c r="E9" s="118">
        <v>1449</v>
      </c>
      <c r="F9" s="117">
        <v>3</v>
      </c>
      <c r="G9" s="6">
        <f t="shared" ref="G9:G14" si="0">E9*F9</f>
        <v>4347</v>
      </c>
      <c r="H9" s="7">
        <f t="shared" ref="H9:H14" si="1">F9*C9</f>
        <v>48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17</v>
      </c>
      <c r="D10" s="5">
        <v>2.85</v>
      </c>
      <c r="E10" s="118">
        <v>1444</v>
      </c>
      <c r="F10" s="117">
        <v>58.5</v>
      </c>
      <c r="G10" s="6">
        <f t="shared" si="0"/>
        <v>84474</v>
      </c>
      <c r="H10" s="7">
        <f t="shared" si="1"/>
        <v>994.5</v>
      </c>
      <c r="I10" s="133" t="s">
        <v>44</v>
      </c>
      <c r="J10" s="142">
        <v>3.4722222222222224E-2</v>
      </c>
      <c r="K10" s="143" t="s">
        <v>44</v>
      </c>
    </row>
    <row r="11" spans="1:11" ht="17" x14ac:dyDescent="0.2">
      <c r="A11" s="140">
        <v>3</v>
      </c>
      <c r="B11" s="141" t="s">
        <v>263</v>
      </c>
      <c r="C11" s="116">
        <v>28</v>
      </c>
      <c r="D11" s="5">
        <v>2.85</v>
      </c>
      <c r="E11" s="118">
        <v>1001</v>
      </c>
      <c r="F11" s="129">
        <v>4</v>
      </c>
      <c r="G11" s="6">
        <f t="shared" si="0"/>
        <v>4004</v>
      </c>
      <c r="H11" s="7">
        <f t="shared" si="1"/>
        <v>112</v>
      </c>
      <c r="I11" s="133"/>
      <c r="J11" s="142"/>
      <c r="K11" s="143"/>
    </row>
    <row r="12" spans="1:11" ht="19.25" customHeight="1" x14ac:dyDescent="0.2">
      <c r="A12" s="144">
        <v>4</v>
      </c>
      <c r="B12" s="141" t="s">
        <v>263</v>
      </c>
      <c r="C12" s="130">
        <v>30</v>
      </c>
      <c r="D12" s="5">
        <v>2.85</v>
      </c>
      <c r="E12" s="118">
        <v>983</v>
      </c>
      <c r="F12" s="132">
        <v>2.5</v>
      </c>
      <c r="G12" s="6">
        <f t="shared" si="0"/>
        <v>2457.5</v>
      </c>
      <c r="H12" s="7">
        <f t="shared" si="1"/>
        <v>75</v>
      </c>
      <c r="I12" s="133"/>
      <c r="J12" s="142"/>
      <c r="K12" s="143"/>
    </row>
    <row r="13" spans="1:11" ht="17" x14ac:dyDescent="0.2">
      <c r="A13" s="145">
        <v>5</v>
      </c>
      <c r="B13" s="141" t="s">
        <v>263</v>
      </c>
      <c r="C13" s="130">
        <v>32</v>
      </c>
      <c r="D13" s="5">
        <v>2.85</v>
      </c>
      <c r="E13" s="131">
        <v>917</v>
      </c>
      <c r="F13" s="132">
        <v>15.5</v>
      </c>
      <c r="G13" s="6">
        <f t="shared" si="0"/>
        <v>14213.5</v>
      </c>
      <c r="H13" s="7">
        <f t="shared" si="1"/>
        <v>496</v>
      </c>
      <c r="I13" s="133"/>
      <c r="J13" s="142"/>
      <c r="K13" s="143"/>
    </row>
    <row r="14" spans="1:11" ht="17" x14ac:dyDescent="0.2">
      <c r="A14" s="144">
        <v>6</v>
      </c>
      <c r="B14" s="141" t="s">
        <v>263</v>
      </c>
      <c r="C14" s="134">
        <v>34</v>
      </c>
      <c r="D14" s="5">
        <v>2.85</v>
      </c>
      <c r="E14" s="135">
        <v>831</v>
      </c>
      <c r="F14" s="136">
        <v>9.5</v>
      </c>
      <c r="G14" s="6">
        <f t="shared" si="0"/>
        <v>7894.5</v>
      </c>
      <c r="H14" s="7">
        <f t="shared" si="1"/>
        <v>323</v>
      </c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93</v>
      </c>
      <c r="G22" s="179">
        <f>SUM(G9:G21)/F22</f>
        <v>1262.263440860215</v>
      </c>
      <c r="H22" s="180">
        <f>SUM(H9:H21)/F22</f>
        <v>22.026881720430108</v>
      </c>
      <c r="I22" s="161" t="s">
        <v>22</v>
      </c>
      <c r="J22" s="185">
        <v>5.5555555555555552E-2</v>
      </c>
      <c r="K22" s="159"/>
    </row>
    <row r="23" spans="1:11" x14ac:dyDescent="0.2">
      <c r="E23" s="162"/>
      <c r="F23" s="163"/>
      <c r="I23" s="181" t="s">
        <v>23</v>
      </c>
      <c r="J23" s="182">
        <v>1.33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93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</f>
        <v>1873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45.42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82664D88-215F-4E33-8B9B-D2E7C0EB0DE5}">
      <formula1>$K$29:$K$85</formula1>
    </dataValidation>
    <dataValidation type="list" allowBlank="1" showInputMessage="1" showErrorMessage="1" sqref="B20:B21" xr:uid="{133A3B27-FF65-4908-B5A4-194C0CFD646A}">
      <formula1>$K$29:$K$40</formula1>
    </dataValidation>
    <dataValidation type="list" allowBlank="1" showInputMessage="1" showErrorMessage="1" sqref="I50 K15:K21" xr:uid="{4AF92470-6029-480E-B170-40A7E23E1849}">
      <formula1>$I$41:$I$50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4ABF-76E0-A341-B32D-F669DF701D1A}">
  <sheetPr codeName="Sheet23"/>
  <dimension ref="A1:K85"/>
  <sheetViews>
    <sheetView workbookViewId="0">
      <selection activeCell="K16" sqref="K16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46104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15</v>
      </c>
      <c r="D9" s="5">
        <v>2.85</v>
      </c>
      <c r="E9" s="118">
        <v>1476</v>
      </c>
      <c r="F9" s="117">
        <v>57</v>
      </c>
      <c r="G9" s="6">
        <f>E9*F9</f>
        <v>84132</v>
      </c>
      <c r="H9" s="7">
        <f>F9*C9</f>
        <v>855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16</v>
      </c>
      <c r="D10" s="5">
        <v>2.85</v>
      </c>
      <c r="E10" s="118">
        <v>1477</v>
      </c>
      <c r="F10" s="117">
        <v>26</v>
      </c>
      <c r="G10" s="6">
        <f>E10*F10</f>
        <v>38402</v>
      </c>
      <c r="H10" s="7">
        <f>F10*C10</f>
        <v>416</v>
      </c>
      <c r="I10" s="133" t="s">
        <v>44</v>
      </c>
      <c r="J10" s="142">
        <v>1.7361111111111112E-2</v>
      </c>
      <c r="K10" s="143" t="s">
        <v>44</v>
      </c>
    </row>
    <row r="11" spans="1:11" x14ac:dyDescent="0.2">
      <c r="A11" s="140"/>
      <c r="B11" s="141"/>
      <c r="C11" s="116"/>
      <c r="D11" s="5"/>
      <c r="E11" s="118"/>
      <c r="F11" s="129"/>
      <c r="G11" s="6"/>
      <c r="H11" s="7"/>
      <c r="I11" s="133" t="s">
        <v>240</v>
      </c>
      <c r="J11" s="142">
        <v>1.7361111111111112E-2</v>
      </c>
      <c r="K11" s="143" t="s">
        <v>240</v>
      </c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4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83</v>
      </c>
      <c r="G22" s="179">
        <f>SUM(G9:G21)/F22</f>
        <v>1476.3132530120481</v>
      </c>
      <c r="H22" s="180">
        <f>SUM(H9:H21)/F22</f>
        <v>15.313253012048193</v>
      </c>
      <c r="I22" s="161" t="s">
        <v>22</v>
      </c>
      <c r="J22" s="185">
        <v>5.5555555555555552E-2</v>
      </c>
      <c r="K22" s="159"/>
    </row>
    <row r="23" spans="1:11" x14ac:dyDescent="0.2">
      <c r="E23" s="162"/>
      <c r="F23" s="163"/>
      <c r="I23" s="181" t="s">
        <v>23</v>
      </c>
      <c r="J23" s="182">
        <v>1.33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83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76+71+82+91+87+82+89+87+77+76+85+87+66+74+80+87+90+80+100+103+110+93+83</f>
        <v>1956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46.75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8A575355-3D44-4713-A05E-BAAFF0679226}">
      <formula1>$I$41:$I$50</formula1>
    </dataValidation>
    <dataValidation type="list" allowBlank="1" showInputMessage="1" showErrorMessage="1" sqref="B20:B21" xr:uid="{3BC02BFB-1452-4EFD-A5E0-347E327EC8D2}">
      <formula1>$K$29:$K$40</formula1>
    </dataValidation>
    <dataValidation type="list" allowBlank="1" showInputMessage="1" showErrorMessage="1" sqref="B16:B19" xr:uid="{20F0C299-EEA7-4C55-81EF-6900415DEBD1}">
      <formula1>$K$29:$K$85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696A-531D-2B49-8B2F-54C9941BE9B4}">
  <sheetPr codeName="Sheet25"/>
  <dimension ref="A1:K85"/>
  <sheetViews>
    <sheetView workbookViewId="0">
      <selection activeCell="K20" sqref="K20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46105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14</v>
      </c>
      <c r="D9" s="5">
        <v>2.85</v>
      </c>
      <c r="E9" s="118">
        <v>1434</v>
      </c>
      <c r="F9" s="117">
        <v>13.5</v>
      </c>
      <c r="G9" s="6">
        <f t="shared" ref="G9:G11" si="0">E9*F9</f>
        <v>19359</v>
      </c>
      <c r="H9" s="7">
        <f t="shared" ref="H9:H11" si="1">F9*C9</f>
        <v>189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15</v>
      </c>
      <c r="D10" s="5">
        <v>2.85</v>
      </c>
      <c r="E10" s="118">
        <v>1452</v>
      </c>
      <c r="F10" s="117">
        <v>55.5</v>
      </c>
      <c r="G10" s="6">
        <f t="shared" si="0"/>
        <v>80586</v>
      </c>
      <c r="H10" s="7">
        <f t="shared" si="1"/>
        <v>832.5</v>
      </c>
      <c r="I10" s="133" t="s">
        <v>44</v>
      </c>
      <c r="J10" s="142">
        <v>1.3888888888888888E-2</v>
      </c>
      <c r="K10" s="143" t="s">
        <v>44</v>
      </c>
    </row>
    <row r="11" spans="1:11" ht="17" x14ac:dyDescent="0.2">
      <c r="A11" s="140">
        <v>3</v>
      </c>
      <c r="B11" s="141" t="s">
        <v>274</v>
      </c>
      <c r="C11" s="116">
        <v>17</v>
      </c>
      <c r="D11" s="5">
        <v>2.85</v>
      </c>
      <c r="E11" s="118">
        <v>1312</v>
      </c>
      <c r="F11" s="129">
        <v>14</v>
      </c>
      <c r="G11" s="6">
        <f t="shared" si="0"/>
        <v>18368</v>
      </c>
      <c r="H11" s="7">
        <f t="shared" si="1"/>
        <v>238</v>
      </c>
      <c r="I11" s="133" t="s">
        <v>268</v>
      </c>
      <c r="J11" s="142">
        <v>2.0833333333333332E-2</v>
      </c>
      <c r="K11" s="143" t="s">
        <v>269</v>
      </c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4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83</v>
      </c>
      <c r="G22" s="179">
        <f>SUM(G9:G21)/F22</f>
        <v>1425.4578313253012</v>
      </c>
      <c r="H22" s="180">
        <f>SUM(H9:H21)/F22</f>
        <v>15.174698795180722</v>
      </c>
      <c r="I22" s="161" t="s">
        <v>22</v>
      </c>
      <c r="J22" s="185">
        <v>5.5555555555555552E-2</v>
      </c>
      <c r="K22" s="159"/>
    </row>
    <row r="23" spans="1:11" x14ac:dyDescent="0.2">
      <c r="E23" s="162"/>
      <c r="F23" s="163"/>
      <c r="I23" s="181" t="s">
        <v>23</v>
      </c>
      <c r="J23" s="182">
        <v>1.33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83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76+71+82+91+87+82+89+87+77+76+85+87+66+74+80+87+90+80+100+103+110+93+83+83</f>
        <v>2039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48.08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3AD7FABC-1DEB-E847-A268-5569EAED19EE}">
      <formula1>$K$29:$K$85</formula1>
    </dataValidation>
    <dataValidation type="list" allowBlank="1" showInputMessage="1" showErrorMessage="1" sqref="B20:B21" xr:uid="{B6CC9819-F414-874A-B4FB-2D74ECB811C2}">
      <formula1>$K$29:$K$40</formula1>
    </dataValidation>
    <dataValidation type="list" allowBlank="1" showInputMessage="1" showErrorMessage="1" sqref="I50 K15:K21" xr:uid="{708E38BD-12FF-C543-BDBD-3FAFAB53D3D0}">
      <formula1>$I$41:$I$50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5D0-8583-0E4F-BFC6-20444084D7CB}">
  <dimension ref="A1:K85"/>
  <sheetViews>
    <sheetView workbookViewId="0">
      <selection activeCell="K17" sqref="K17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46106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14</v>
      </c>
      <c r="D9" s="5">
        <v>2.85</v>
      </c>
      <c r="E9" s="118">
        <v>1434</v>
      </c>
      <c r="F9" s="117">
        <v>2.2999999999999998</v>
      </c>
      <c r="G9" s="6">
        <f t="shared" ref="G9:G11" si="0">E9*F9</f>
        <v>3298.2</v>
      </c>
      <c r="H9" s="7">
        <f t="shared" ref="H9:H11" si="1">F9*C9</f>
        <v>32.199999999999996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15</v>
      </c>
      <c r="D10" s="5">
        <v>2.85</v>
      </c>
      <c r="E10" s="118">
        <v>1445</v>
      </c>
      <c r="F10" s="117">
        <v>29.6</v>
      </c>
      <c r="G10" s="6">
        <f t="shared" si="0"/>
        <v>42772</v>
      </c>
      <c r="H10" s="7">
        <f t="shared" si="1"/>
        <v>444</v>
      </c>
      <c r="I10" s="133" t="s">
        <v>44</v>
      </c>
      <c r="J10" s="142">
        <v>1.3888888888888888E-2</v>
      </c>
      <c r="K10" s="143" t="s">
        <v>44</v>
      </c>
    </row>
    <row r="11" spans="1:11" ht="17" x14ac:dyDescent="0.2">
      <c r="A11" s="140">
        <v>3</v>
      </c>
      <c r="B11" s="141" t="s">
        <v>235</v>
      </c>
      <c r="C11" s="116">
        <v>17</v>
      </c>
      <c r="D11" s="5">
        <v>2.85</v>
      </c>
      <c r="E11" s="118">
        <v>1428</v>
      </c>
      <c r="F11" s="129">
        <v>56.1</v>
      </c>
      <c r="G11" s="6">
        <f t="shared" si="0"/>
        <v>80110.8</v>
      </c>
      <c r="H11" s="7">
        <f t="shared" si="1"/>
        <v>953.7</v>
      </c>
      <c r="I11" s="133"/>
      <c r="J11" s="142"/>
      <c r="K11" s="143"/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4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88</v>
      </c>
      <c r="G22" s="179">
        <f>SUM(G9:G21)/F22</f>
        <v>1433.875</v>
      </c>
      <c r="H22" s="180">
        <f>SUM(H9:H21)/F22</f>
        <v>16.248863636363637</v>
      </c>
      <c r="I22" s="161" t="s">
        <v>22</v>
      </c>
      <c r="J22" s="185">
        <v>3.4722222222222224E-2</v>
      </c>
      <c r="K22" s="159"/>
    </row>
    <row r="23" spans="1:11" x14ac:dyDescent="0.2">
      <c r="E23" s="162"/>
      <c r="F23" s="163"/>
      <c r="I23" s="181" t="s">
        <v>23</v>
      </c>
      <c r="J23" s="182">
        <v>0.83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88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76+71+82+91+87+82+89+87+77+76+85+87+66+74+80+87+90+80+100+103+110+93+83+83+88</f>
        <v>2127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48.92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304BEA67-A5ED-4C40-9BAC-483CA5F2857C}">
      <formula1>$I$41:$I$50</formula1>
    </dataValidation>
    <dataValidation type="list" allowBlank="1" showInputMessage="1" showErrorMessage="1" sqref="B20:B21" xr:uid="{BBD84225-48DA-7D45-9375-51D710C30920}">
      <formula1>$K$29:$K$40</formula1>
    </dataValidation>
    <dataValidation type="list" allowBlank="1" showInputMessage="1" showErrorMessage="1" sqref="B16:B19" xr:uid="{28090BB9-BEC6-FF48-899F-E5652B5FD9B2}">
      <formula1>$K$29:$K$85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978D-EF65-ED41-860D-78D5435E38D2}">
  <dimension ref="A1:K85"/>
  <sheetViews>
    <sheetView workbookViewId="0">
      <selection activeCell="L19" sqref="L19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46107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14</v>
      </c>
      <c r="D9" s="5">
        <v>2.85</v>
      </c>
      <c r="E9" s="118">
        <v>1476</v>
      </c>
      <c r="F9" s="117">
        <v>3</v>
      </c>
      <c r="G9" s="6">
        <f t="shared" ref="G9:G13" si="0">E9*F9</f>
        <v>4428</v>
      </c>
      <c r="H9" s="7">
        <f t="shared" ref="H9:H13" si="1">F9*C9</f>
        <v>42</v>
      </c>
      <c r="I9" s="133" t="s">
        <v>20</v>
      </c>
      <c r="J9" s="186">
        <v>2.4305555555555556E-2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15</v>
      </c>
      <c r="D10" s="5">
        <v>2.85</v>
      </c>
      <c r="E10" s="118">
        <v>1476</v>
      </c>
      <c r="F10" s="117">
        <v>3</v>
      </c>
      <c r="G10" s="6">
        <f t="shared" si="0"/>
        <v>4428</v>
      </c>
      <c r="H10" s="7">
        <f t="shared" si="1"/>
        <v>45</v>
      </c>
      <c r="I10" s="133" t="s">
        <v>44</v>
      </c>
      <c r="J10" s="142">
        <v>2.7777777777777776E-2</v>
      </c>
      <c r="K10" s="143" t="s">
        <v>44</v>
      </c>
    </row>
    <row r="11" spans="1:11" ht="17" x14ac:dyDescent="0.2">
      <c r="A11" s="140">
        <v>3</v>
      </c>
      <c r="B11" s="141" t="s">
        <v>235</v>
      </c>
      <c r="C11" s="116">
        <v>17</v>
      </c>
      <c r="D11" s="5">
        <v>2.85</v>
      </c>
      <c r="E11" s="118">
        <v>1453</v>
      </c>
      <c r="F11" s="129">
        <v>24</v>
      </c>
      <c r="G11" s="6">
        <f t="shared" si="0"/>
        <v>34872</v>
      </c>
      <c r="H11" s="7">
        <f t="shared" si="1"/>
        <v>408</v>
      </c>
      <c r="I11" s="133" t="s">
        <v>240</v>
      </c>
      <c r="J11" s="142">
        <v>1.0416666666666666E-2</v>
      </c>
      <c r="K11" s="143" t="s">
        <v>240</v>
      </c>
    </row>
    <row r="12" spans="1:11" ht="19.25" customHeight="1" x14ac:dyDescent="0.2">
      <c r="A12" s="144">
        <v>4</v>
      </c>
      <c r="B12" s="141" t="s">
        <v>239</v>
      </c>
      <c r="C12" s="130">
        <v>13.5</v>
      </c>
      <c r="D12" s="5">
        <v>2.85</v>
      </c>
      <c r="E12" s="118">
        <v>1467</v>
      </c>
      <c r="F12" s="132">
        <v>20.399999999999999</v>
      </c>
      <c r="G12" s="6">
        <f t="shared" si="0"/>
        <v>29926.799999999999</v>
      </c>
      <c r="H12" s="7">
        <f t="shared" si="1"/>
        <v>275.39999999999998</v>
      </c>
      <c r="I12" s="133"/>
      <c r="J12" s="142"/>
      <c r="K12" s="143"/>
    </row>
    <row r="13" spans="1:11" ht="17" x14ac:dyDescent="0.2">
      <c r="A13" s="145">
        <v>5</v>
      </c>
      <c r="B13" s="141" t="s">
        <v>272</v>
      </c>
      <c r="C13" s="130">
        <v>13</v>
      </c>
      <c r="D13" s="5">
        <v>2.85</v>
      </c>
      <c r="E13" s="131">
        <v>1462</v>
      </c>
      <c r="F13" s="132">
        <v>26.6</v>
      </c>
      <c r="G13" s="6">
        <f t="shared" si="0"/>
        <v>38889.200000000004</v>
      </c>
      <c r="H13" s="7">
        <f t="shared" si="1"/>
        <v>345.8</v>
      </c>
      <c r="I13" s="133"/>
      <c r="J13" s="142"/>
      <c r="K13" s="143"/>
    </row>
    <row r="14" spans="1:11" x14ac:dyDescent="0.2">
      <c r="A14" s="144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77</v>
      </c>
      <c r="G22" s="179">
        <f>SUM(G9:G21)/F22</f>
        <v>1461.6103896103896</v>
      </c>
      <c r="H22" s="180">
        <f>SUM(H9:H21)/F22</f>
        <v>14.496103896103897</v>
      </c>
      <c r="I22" s="161" t="s">
        <v>22</v>
      </c>
      <c r="J22" s="185">
        <v>6.25E-2</v>
      </c>
      <c r="K22" s="159"/>
    </row>
    <row r="23" spans="1:11" x14ac:dyDescent="0.2">
      <c r="E23" s="162"/>
      <c r="F23" s="163"/>
      <c r="I23" s="181" t="s">
        <v>23</v>
      </c>
      <c r="J23" s="182">
        <v>1.5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77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76+71+82+91+87+82+89+87+77+76+85+87+66+74+80+87+90+80+100+103+110+93+83+83+88+77</f>
        <v>2204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50.42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3EC6BEF0-D810-924D-9C8A-9F0A6A33DE21}">
      <formula1>$K$29:$K$85</formula1>
    </dataValidation>
    <dataValidation type="list" allowBlank="1" showInputMessage="1" showErrorMessage="1" sqref="B20:B21" xr:uid="{0AFACE7A-18B3-3E41-ACE2-ED344DE33B2C}">
      <formula1>$K$29:$K$40</formula1>
    </dataValidation>
    <dataValidation type="list" allowBlank="1" showInputMessage="1" showErrorMessage="1" sqref="I50 K15:K21" xr:uid="{FA20793C-71FC-BC45-BCF1-29A84731AA7B}">
      <formula1>$I$41:$I$50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65B3-0919-904C-94FF-4886969565D6}">
  <dimension ref="A1:K85"/>
  <sheetViews>
    <sheetView topLeftCell="B17" workbookViewId="0">
      <selection activeCell="K18" sqref="K18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46108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239</v>
      </c>
      <c r="C9" s="116">
        <v>11</v>
      </c>
      <c r="D9" s="5">
        <v>2.85</v>
      </c>
      <c r="E9" s="118">
        <v>1390</v>
      </c>
      <c r="F9" s="117">
        <v>30</v>
      </c>
      <c r="G9" s="6">
        <f>E9*F9</f>
        <v>41700</v>
      </c>
      <c r="H9" s="7">
        <f>F9*C9</f>
        <v>330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239</v>
      </c>
      <c r="C10" s="116">
        <v>12.5</v>
      </c>
      <c r="D10" s="5">
        <v>2.85</v>
      </c>
      <c r="E10" s="118">
        <v>1458</v>
      </c>
      <c r="F10" s="117">
        <v>31</v>
      </c>
      <c r="G10" s="6">
        <f>E10*F10</f>
        <v>45198</v>
      </c>
      <c r="H10" s="7">
        <f>F10*C10</f>
        <v>387.5</v>
      </c>
      <c r="I10" s="133" t="s">
        <v>44</v>
      </c>
      <c r="J10" s="142">
        <v>2.0833333333333332E-2</v>
      </c>
      <c r="K10" s="143" t="s">
        <v>44</v>
      </c>
    </row>
    <row r="11" spans="1:11" ht="17" x14ac:dyDescent="0.2">
      <c r="A11" s="140">
        <v>3</v>
      </c>
      <c r="B11" s="141" t="s">
        <v>272</v>
      </c>
      <c r="C11" s="116">
        <v>13</v>
      </c>
      <c r="D11" s="5">
        <v>2.85</v>
      </c>
      <c r="E11" s="118">
        <v>1462</v>
      </c>
      <c r="F11" s="129">
        <v>4</v>
      </c>
      <c r="G11" s="6">
        <f>E11*F11</f>
        <v>5848</v>
      </c>
      <c r="H11" s="7">
        <f>F11*C11</f>
        <v>52</v>
      </c>
      <c r="I11" s="133" t="s">
        <v>240</v>
      </c>
      <c r="J11" s="142">
        <v>2.7777777777777776E-2</v>
      </c>
      <c r="K11" s="143" t="s">
        <v>240</v>
      </c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4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65</v>
      </c>
      <c r="G22" s="179">
        <f>SUM(G9:G21)/F22</f>
        <v>1426.8615384615384</v>
      </c>
      <c r="H22" s="180">
        <f>SUM(H9:H21)/F22</f>
        <v>11.838461538461539</v>
      </c>
      <c r="I22" s="161" t="s">
        <v>22</v>
      </c>
      <c r="J22" s="185">
        <v>6.9444444444444448E-2</v>
      </c>
      <c r="K22" s="159"/>
    </row>
    <row r="23" spans="1:11" x14ac:dyDescent="0.2">
      <c r="E23" s="162"/>
      <c r="F23" s="163"/>
      <c r="I23" s="181" t="s">
        <v>23</v>
      </c>
      <c r="J23" s="182">
        <v>1.67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65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76+71+82+91+87+82+89+87+77+76+85+87+66+74+80+87+90+80+100+103+110+93+83+83+88+77+65</f>
        <v>2269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52.08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AD73EBAF-6562-4BDF-9861-81D273DFD015}">
      <formula1>$I$41:$I$50</formula1>
    </dataValidation>
    <dataValidation type="list" allowBlank="1" showInputMessage="1" showErrorMessage="1" sqref="B20:B21" xr:uid="{6EC01753-EE7C-48CA-81BE-23026692AEAF}">
      <formula1>$K$29:$K$40</formula1>
    </dataValidation>
    <dataValidation type="list" allowBlank="1" showInputMessage="1" showErrorMessage="1" sqref="B16:B19" xr:uid="{B95E4E1A-612A-49B8-BC57-54D2856143F5}">
      <formula1>$K$29:$K$85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9BCE-1A63-8442-99BE-876C8703597E}">
  <dimension ref="A1:K85"/>
  <sheetViews>
    <sheetView workbookViewId="0">
      <selection activeCell="K23" sqref="K23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46109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239</v>
      </c>
      <c r="C9" s="116">
        <v>12.5</v>
      </c>
      <c r="D9" s="5">
        <v>2.85</v>
      </c>
      <c r="E9" s="118">
        <v>1458</v>
      </c>
      <c r="F9" s="117">
        <v>13</v>
      </c>
      <c r="G9" s="6">
        <f>E9*F9</f>
        <v>18954</v>
      </c>
      <c r="H9" s="7">
        <f>F9*C9</f>
        <v>162.5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239</v>
      </c>
      <c r="C10" s="116">
        <v>14</v>
      </c>
      <c r="D10" s="5">
        <v>2.85</v>
      </c>
      <c r="E10" s="118">
        <v>1360</v>
      </c>
      <c r="F10" s="117">
        <v>12</v>
      </c>
      <c r="G10" s="6">
        <f>E10*F10</f>
        <v>16320</v>
      </c>
      <c r="H10" s="7">
        <f>F10*C10</f>
        <v>168</v>
      </c>
      <c r="I10" s="133" t="s">
        <v>44</v>
      </c>
      <c r="J10" s="142">
        <v>2.0833333333333332E-2</v>
      </c>
      <c r="K10" s="143" t="s">
        <v>44</v>
      </c>
    </row>
    <row r="11" spans="1:11" ht="17" x14ac:dyDescent="0.2">
      <c r="A11" s="140">
        <v>3</v>
      </c>
      <c r="B11" s="141" t="s">
        <v>272</v>
      </c>
      <c r="C11" s="116">
        <v>13</v>
      </c>
      <c r="D11" s="5">
        <v>2.85</v>
      </c>
      <c r="E11" s="118">
        <v>1453</v>
      </c>
      <c r="F11" s="129">
        <v>41.7</v>
      </c>
      <c r="G11" s="6">
        <f>E11*F11</f>
        <v>60590.100000000006</v>
      </c>
      <c r="H11" s="7">
        <f>F11*C11</f>
        <v>542.1</v>
      </c>
      <c r="I11" s="133"/>
      <c r="J11" s="142"/>
      <c r="K11" s="143"/>
    </row>
    <row r="12" spans="1:11" ht="19.25" customHeight="1" x14ac:dyDescent="0.2">
      <c r="A12" s="144">
        <v>4</v>
      </c>
      <c r="B12" s="141" t="s">
        <v>271</v>
      </c>
      <c r="C12" s="130">
        <v>15</v>
      </c>
      <c r="D12" s="5">
        <v>2.85</v>
      </c>
      <c r="E12" s="118">
        <v>1461</v>
      </c>
      <c r="F12" s="132">
        <v>5.3</v>
      </c>
      <c r="G12" s="6">
        <f>E12*F12</f>
        <v>7743.3</v>
      </c>
      <c r="H12" s="7">
        <f>F12*C12</f>
        <v>79.5</v>
      </c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4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72</v>
      </c>
      <c r="G22" s="179">
        <f>SUM(G9:G21)/F22</f>
        <v>1438.9916666666668</v>
      </c>
      <c r="H22" s="180">
        <f>SUM(H9:H21)/F22</f>
        <v>13.223611111111111</v>
      </c>
      <c r="I22" s="161" t="s">
        <v>22</v>
      </c>
      <c r="J22" s="185">
        <v>4.1666666666666664E-2</v>
      </c>
      <c r="K22" s="159"/>
    </row>
    <row r="23" spans="1:11" x14ac:dyDescent="0.2">
      <c r="E23" s="162"/>
      <c r="F23" s="163"/>
      <c r="I23" s="181" t="s">
        <v>23</v>
      </c>
      <c r="J23" s="182">
        <v>1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72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76+71+82+91+87+82+89+87+77+76+85+87+66+74+80+87+90+80+100+103+110+93+83+83+88+77+65+72</f>
        <v>2341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53.08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B16:B19" xr:uid="{5E935C6B-C273-47E3-8720-6F52C5071348}">
      <formula1>$K$29:$K$85</formula1>
    </dataValidation>
    <dataValidation type="list" allowBlank="1" showInputMessage="1" showErrorMessage="1" sqref="B20:B21" xr:uid="{6107BB1A-C5F3-4364-9359-0F67A105C9D4}">
      <formula1>$K$29:$K$40</formula1>
    </dataValidation>
    <dataValidation type="list" allowBlank="1" showInputMessage="1" showErrorMessage="1" sqref="I50 K15:K21" xr:uid="{7CD90579-C756-4799-9D36-F09C0D766FD7}">
      <formula1>$I$41:$I$50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3778-3F9F-F04C-8503-72ADA6E105AB}">
  <dimension ref="A1:K85"/>
  <sheetViews>
    <sheetView topLeftCell="D1" workbookViewId="0">
      <selection activeCell="K17" sqref="K17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46110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271</v>
      </c>
      <c r="C9" s="116">
        <v>14</v>
      </c>
      <c r="D9" s="5">
        <v>2.85</v>
      </c>
      <c r="E9" s="118">
        <v>1394</v>
      </c>
      <c r="F9" s="117">
        <v>10.5</v>
      </c>
      <c r="G9" s="6">
        <f t="shared" ref="G9:G14" si="0">E9*F9</f>
        <v>14637</v>
      </c>
      <c r="H9" s="7">
        <f t="shared" ref="H9:H14" si="1">F9*C9</f>
        <v>147</v>
      </c>
      <c r="I9" s="133" t="s">
        <v>20</v>
      </c>
      <c r="J9" s="186">
        <v>2.0833333333333332E-2</v>
      </c>
      <c r="K9" s="143" t="s">
        <v>236</v>
      </c>
    </row>
    <row r="10" spans="1:11" ht="17" x14ac:dyDescent="0.2">
      <c r="A10" s="144">
        <v>2</v>
      </c>
      <c r="B10" s="141" t="s">
        <v>271</v>
      </c>
      <c r="C10" s="116">
        <v>15</v>
      </c>
      <c r="D10" s="5">
        <v>2.85</v>
      </c>
      <c r="E10" s="118">
        <v>1312</v>
      </c>
      <c r="F10" s="117">
        <v>24.5</v>
      </c>
      <c r="G10" s="6">
        <f t="shared" si="0"/>
        <v>32144</v>
      </c>
      <c r="H10" s="7">
        <f t="shared" si="1"/>
        <v>367.5</v>
      </c>
      <c r="I10" s="133" t="s">
        <v>44</v>
      </c>
      <c r="J10" s="142">
        <v>2.7777777777777776E-2</v>
      </c>
      <c r="K10" s="143" t="s">
        <v>44</v>
      </c>
    </row>
    <row r="11" spans="1:11" ht="17" x14ac:dyDescent="0.2">
      <c r="A11" s="140">
        <v>3</v>
      </c>
      <c r="B11" s="141" t="s">
        <v>271</v>
      </c>
      <c r="C11" s="116">
        <v>16</v>
      </c>
      <c r="D11" s="5">
        <v>2.85</v>
      </c>
      <c r="E11" s="118">
        <v>1394</v>
      </c>
      <c r="F11" s="129">
        <v>10</v>
      </c>
      <c r="G11" s="6">
        <f t="shared" si="0"/>
        <v>13940</v>
      </c>
      <c r="H11" s="7">
        <f t="shared" si="1"/>
        <v>160</v>
      </c>
      <c r="I11" s="133" t="s">
        <v>240</v>
      </c>
      <c r="J11" s="142">
        <v>6.9444444444444441E-3</v>
      </c>
      <c r="K11" s="143" t="s">
        <v>240</v>
      </c>
    </row>
    <row r="12" spans="1:11" ht="19.25" customHeight="1" x14ac:dyDescent="0.2">
      <c r="A12" s="144">
        <v>4</v>
      </c>
      <c r="B12" s="141" t="s">
        <v>271</v>
      </c>
      <c r="C12" s="130">
        <v>17</v>
      </c>
      <c r="D12" s="5">
        <v>2.85</v>
      </c>
      <c r="E12" s="118">
        <v>1312</v>
      </c>
      <c r="F12" s="132">
        <v>17</v>
      </c>
      <c r="G12" s="6">
        <f t="shared" si="0"/>
        <v>22304</v>
      </c>
      <c r="H12" s="7">
        <f t="shared" si="1"/>
        <v>289</v>
      </c>
      <c r="I12" s="133"/>
      <c r="J12" s="142"/>
      <c r="K12" s="143"/>
    </row>
    <row r="13" spans="1:11" ht="17" x14ac:dyDescent="0.2">
      <c r="A13" s="145">
        <v>5</v>
      </c>
      <c r="B13" s="141" t="s">
        <v>281</v>
      </c>
      <c r="C13" s="130">
        <v>15</v>
      </c>
      <c r="D13" s="5">
        <v>2.85</v>
      </c>
      <c r="E13" s="131">
        <v>1394</v>
      </c>
      <c r="F13" s="132">
        <v>6.5</v>
      </c>
      <c r="G13" s="6">
        <f t="shared" si="0"/>
        <v>9061</v>
      </c>
      <c r="H13" s="7">
        <f t="shared" si="1"/>
        <v>97.5</v>
      </c>
      <c r="I13" s="133"/>
      <c r="J13" s="142"/>
      <c r="K13" s="143"/>
    </row>
    <row r="14" spans="1:11" ht="17" x14ac:dyDescent="0.2">
      <c r="A14" s="144">
        <v>6</v>
      </c>
      <c r="B14" s="141" t="s">
        <v>235</v>
      </c>
      <c r="C14" s="134">
        <v>15</v>
      </c>
      <c r="D14" s="5">
        <v>2.85</v>
      </c>
      <c r="E14" s="135">
        <v>1411</v>
      </c>
      <c r="F14" s="136">
        <v>13.5</v>
      </c>
      <c r="G14" s="6">
        <f t="shared" si="0"/>
        <v>19048.5</v>
      </c>
      <c r="H14" s="7">
        <f t="shared" si="1"/>
        <v>202.5</v>
      </c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82</v>
      </c>
      <c r="G22" s="179">
        <f>SUM(G9:G21)/F22</f>
        <v>1355.2987804878048</v>
      </c>
      <c r="H22" s="180">
        <f>SUM(H9:H21)/F22</f>
        <v>15.408536585365853</v>
      </c>
      <c r="I22" s="161" t="s">
        <v>22</v>
      </c>
      <c r="J22" s="185">
        <v>5.5555555555555552E-2</v>
      </c>
      <c r="K22" s="159"/>
    </row>
    <row r="23" spans="1:11" x14ac:dyDescent="0.2">
      <c r="E23" s="162"/>
      <c r="F23" s="163"/>
      <c r="I23" s="181" t="s">
        <v>23</v>
      </c>
      <c r="J23" s="182">
        <v>1.33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82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76+71+82+91+87+82+89+87+77+76+85+87+66+74+80+87+90+80+100+103+110+93+83+83+88+77+65+72+82</f>
        <v>2423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54.42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67E225FC-82FA-4327-A293-5AFFF9C88A1F}">
      <formula1>$I$41:$I$50</formula1>
    </dataValidation>
    <dataValidation type="list" allowBlank="1" showInputMessage="1" showErrorMessage="1" sqref="B20:B21" xr:uid="{CC44523D-77AE-4D99-BB7C-53661D1714AC}">
      <formula1>$K$29:$K$40</formula1>
    </dataValidation>
    <dataValidation type="list" allowBlank="1" showInputMessage="1" showErrorMessage="1" sqref="B16:B19" xr:uid="{15BC08BD-939F-4F9C-9BAC-4A12BEA354CE}">
      <formula1>$K$29:$K$85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FF9B-808B-D54F-8D05-729402EB6E35}">
  <dimension ref="A1:K85"/>
  <sheetViews>
    <sheetView topLeftCell="A8" workbookViewId="0">
      <selection activeCell="K21" sqref="K21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46111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14</v>
      </c>
      <c r="D9" s="5">
        <v>2.85</v>
      </c>
      <c r="E9" s="118">
        <v>1503</v>
      </c>
      <c r="F9" s="117">
        <v>10.5</v>
      </c>
      <c r="G9" s="6">
        <f t="shared" ref="G9:G12" si="0">E9*F9</f>
        <v>15781.5</v>
      </c>
      <c r="H9" s="7">
        <f t="shared" ref="H9:H12" si="1">F9*C9</f>
        <v>147</v>
      </c>
      <c r="I9" s="133" t="s">
        <v>20</v>
      </c>
      <c r="J9" s="186">
        <v>2.4305555555555556E-2</v>
      </c>
      <c r="K9" s="143" t="s">
        <v>236</v>
      </c>
    </row>
    <row r="10" spans="1:11" ht="17" x14ac:dyDescent="0.2">
      <c r="A10" s="144">
        <v>2</v>
      </c>
      <c r="B10" s="141" t="s">
        <v>235</v>
      </c>
      <c r="C10" s="116">
        <v>15</v>
      </c>
      <c r="D10" s="5">
        <v>2.85</v>
      </c>
      <c r="E10" s="118">
        <v>1503</v>
      </c>
      <c r="F10" s="117">
        <v>35.6</v>
      </c>
      <c r="G10" s="6">
        <f t="shared" si="0"/>
        <v>53506.8</v>
      </c>
      <c r="H10" s="7">
        <f t="shared" si="1"/>
        <v>534</v>
      </c>
      <c r="I10" s="133" t="s">
        <v>44</v>
      </c>
      <c r="J10" s="142">
        <v>2.0833333333333332E-2</v>
      </c>
      <c r="K10" s="143" t="s">
        <v>44</v>
      </c>
    </row>
    <row r="11" spans="1:11" ht="17" x14ac:dyDescent="0.2">
      <c r="A11" s="140">
        <v>3</v>
      </c>
      <c r="B11" s="141" t="s">
        <v>235</v>
      </c>
      <c r="C11" s="116">
        <v>16</v>
      </c>
      <c r="D11" s="5">
        <v>2.85</v>
      </c>
      <c r="E11" s="118">
        <v>1503</v>
      </c>
      <c r="F11" s="129">
        <v>30.4</v>
      </c>
      <c r="G11" s="6">
        <f t="shared" si="0"/>
        <v>45691.199999999997</v>
      </c>
      <c r="H11" s="7">
        <f t="shared" si="1"/>
        <v>486.4</v>
      </c>
      <c r="I11" s="133" t="s">
        <v>240</v>
      </c>
      <c r="J11" s="142">
        <v>6.9444444444444441E-3</v>
      </c>
      <c r="K11" s="143" t="s">
        <v>240</v>
      </c>
    </row>
    <row r="12" spans="1:11" ht="19.25" customHeight="1" x14ac:dyDescent="0.2">
      <c r="A12" s="144">
        <v>4</v>
      </c>
      <c r="B12" s="141" t="s">
        <v>235</v>
      </c>
      <c r="C12" s="130">
        <v>17</v>
      </c>
      <c r="D12" s="5">
        <v>2.85</v>
      </c>
      <c r="E12" s="118">
        <v>1464</v>
      </c>
      <c r="F12" s="132">
        <v>11.5</v>
      </c>
      <c r="G12" s="6">
        <f t="shared" si="0"/>
        <v>16836</v>
      </c>
      <c r="H12" s="7">
        <f t="shared" si="1"/>
        <v>195.5</v>
      </c>
      <c r="I12" s="133" t="s">
        <v>275</v>
      </c>
      <c r="J12" s="142">
        <v>1.0416666666666666E-2</v>
      </c>
      <c r="K12" s="143" t="s">
        <v>282</v>
      </c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4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88</v>
      </c>
      <c r="G22" s="179">
        <f>SUM(G9:G21)/F22</f>
        <v>1497.903409090909</v>
      </c>
      <c r="H22" s="180">
        <f>SUM(H9:H21)/F22</f>
        <v>15.487500000000001</v>
      </c>
      <c r="I22" s="161" t="s">
        <v>22</v>
      </c>
      <c r="J22" s="185">
        <v>6.25E-2</v>
      </c>
      <c r="K22" s="159"/>
    </row>
    <row r="23" spans="1:11" x14ac:dyDescent="0.2">
      <c r="E23" s="162"/>
      <c r="F23" s="163"/>
      <c r="I23" s="181" t="s">
        <v>23</v>
      </c>
      <c r="J23" s="182">
        <v>1.5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88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76+71+82+91+87+82+89+87+77+76+85+87+66+74+80+87+90+80+100+103+110+93+83+83+88+77+65+72+82+88</f>
        <v>2511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55.92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7232FF3A-EEA5-774D-A487-C17BC2A231BE}">
      <formula1>$I$41:$I$50</formula1>
    </dataValidation>
    <dataValidation type="list" allowBlank="1" showInputMessage="1" showErrorMessage="1" sqref="B20:B21" xr:uid="{FFD5A084-1D54-4C45-9555-7B2BA2E949C6}">
      <formula1>$K$29:$K$40</formula1>
    </dataValidation>
    <dataValidation type="list" allowBlank="1" showInputMessage="1" showErrorMessage="1" sqref="B16:B19" xr:uid="{0355235A-2867-564C-9C35-721CDF0E1034}">
      <formula1>$K$29:$K$85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F96C-C953-C545-ADE6-AF2E3A594268}">
  <dimension ref="A1:K85"/>
  <sheetViews>
    <sheetView topLeftCell="A6" workbookViewId="0">
      <selection activeCell="E18" sqref="E18"/>
    </sheetView>
  </sheetViews>
  <sheetFormatPr baseColWidth="10" defaultColWidth="9.1640625" defaultRowHeight="16" x14ac:dyDescent="0.2"/>
  <cols>
    <col min="1" max="1" width="5.1640625" style="156" customWidth="1"/>
    <col min="2" max="2" width="22.5" style="156" customWidth="1"/>
    <col min="3" max="3" width="6.1640625" style="156" customWidth="1"/>
    <col min="4" max="4" width="12.5" style="156" bestFit="1" customWidth="1"/>
    <col min="5" max="5" width="9.83203125" style="156" customWidth="1"/>
    <col min="6" max="6" width="9.33203125" style="156" bestFit="1" customWidth="1"/>
    <col min="7" max="7" width="8.6640625" style="156" customWidth="1"/>
    <col min="8" max="8" width="9.5" style="156" bestFit="1" customWidth="1"/>
    <col min="9" max="9" width="17.83203125" style="156" bestFit="1" customWidth="1"/>
    <col min="10" max="10" width="10.83203125" style="156" bestFit="1" customWidth="1"/>
    <col min="11" max="11" width="75" style="156" bestFit="1" customWidth="1"/>
    <col min="12" max="16384" width="9.1640625" style="156"/>
  </cols>
  <sheetData>
    <row r="1" spans="1:11" x14ac:dyDescent="0.2">
      <c r="A1" s="156" t="s">
        <v>0</v>
      </c>
      <c r="I1" s="170"/>
    </row>
    <row r="2" spans="1:11" x14ac:dyDescent="0.2">
      <c r="J2" s="171"/>
    </row>
    <row r="3" spans="1:11" x14ac:dyDescent="0.2">
      <c r="A3" s="170" t="s">
        <v>1</v>
      </c>
    </row>
    <row r="4" spans="1:11" x14ac:dyDescent="0.2">
      <c r="A4" s="170"/>
      <c r="I4" s="171" t="s">
        <v>2</v>
      </c>
      <c r="J4" s="172">
        <v>46112</v>
      </c>
    </row>
    <row r="5" spans="1:11" x14ac:dyDescent="0.2">
      <c r="J5" s="156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73" t="s">
        <v>10</v>
      </c>
      <c r="H6" s="173" t="s">
        <v>11</v>
      </c>
      <c r="I6" s="173" t="s">
        <v>12</v>
      </c>
      <c r="J6" s="174"/>
      <c r="K6" s="2" t="s">
        <v>13</v>
      </c>
    </row>
    <row r="7" spans="1:11" ht="34" x14ac:dyDescent="0.2">
      <c r="A7" s="173"/>
      <c r="B7" s="175"/>
      <c r="C7" s="2"/>
      <c r="D7" s="2" t="s">
        <v>14</v>
      </c>
      <c r="E7" s="2" t="s">
        <v>15</v>
      </c>
      <c r="F7" s="176" t="s">
        <v>16</v>
      </c>
      <c r="G7" s="176" t="s">
        <v>15</v>
      </c>
      <c r="H7" s="176" t="s">
        <v>17</v>
      </c>
      <c r="I7" s="2" t="s">
        <v>18</v>
      </c>
      <c r="J7" s="176" t="s">
        <v>19</v>
      </c>
      <c r="K7" s="176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40">
        <v>1</v>
      </c>
      <c r="B9" s="141" t="s">
        <v>235</v>
      </c>
      <c r="C9" s="116">
        <v>14</v>
      </c>
      <c r="D9" s="5">
        <v>2.85</v>
      </c>
      <c r="E9" s="118">
        <v>1444</v>
      </c>
      <c r="F9" s="117">
        <v>9.6999999999999993</v>
      </c>
      <c r="G9" s="6">
        <f t="shared" ref="G9:G10" si="0">E9*F9</f>
        <v>14006.8</v>
      </c>
      <c r="H9" s="7">
        <f t="shared" ref="H9:H10" si="1">F9*C9</f>
        <v>135.79999999999998</v>
      </c>
      <c r="I9" s="133" t="s">
        <v>44</v>
      </c>
      <c r="J9" s="186">
        <v>6.9444444444444441E-3</v>
      </c>
      <c r="K9" s="143" t="s">
        <v>44</v>
      </c>
    </row>
    <row r="10" spans="1:11" ht="17" x14ac:dyDescent="0.2">
      <c r="A10" s="144">
        <v>2</v>
      </c>
      <c r="B10" s="141" t="s">
        <v>235</v>
      </c>
      <c r="C10" s="116">
        <v>15</v>
      </c>
      <c r="D10" s="5">
        <v>2.85</v>
      </c>
      <c r="E10" s="118">
        <v>1444</v>
      </c>
      <c r="F10" s="117">
        <v>81.3</v>
      </c>
      <c r="G10" s="6">
        <f t="shared" si="0"/>
        <v>117397.2</v>
      </c>
      <c r="H10" s="7">
        <f t="shared" si="1"/>
        <v>1219.5</v>
      </c>
      <c r="I10" s="133"/>
      <c r="J10" s="142"/>
      <c r="K10" s="143"/>
    </row>
    <row r="11" spans="1:11" x14ac:dyDescent="0.2">
      <c r="A11" s="140"/>
      <c r="B11" s="141"/>
      <c r="C11" s="116"/>
      <c r="D11" s="5"/>
      <c r="E11" s="118"/>
      <c r="F11" s="129"/>
      <c r="G11" s="6"/>
      <c r="H11" s="7"/>
      <c r="I11" s="133"/>
      <c r="J11" s="142"/>
      <c r="K11" s="143"/>
    </row>
    <row r="12" spans="1:11" ht="19.25" customHeight="1" x14ac:dyDescent="0.2">
      <c r="A12" s="144"/>
      <c r="B12" s="141"/>
      <c r="C12" s="130"/>
      <c r="D12" s="5"/>
      <c r="E12" s="118"/>
      <c r="F12" s="132"/>
      <c r="G12" s="6"/>
      <c r="H12" s="7"/>
      <c r="I12" s="133"/>
      <c r="J12" s="142"/>
      <c r="K12" s="143"/>
    </row>
    <row r="13" spans="1:11" x14ac:dyDescent="0.2">
      <c r="A13" s="145"/>
      <c r="B13" s="141"/>
      <c r="C13" s="130"/>
      <c r="D13" s="5"/>
      <c r="E13" s="131"/>
      <c r="F13" s="132"/>
      <c r="G13" s="6"/>
      <c r="H13" s="7"/>
      <c r="I13" s="133"/>
      <c r="J13" s="142"/>
      <c r="K13" s="143"/>
    </row>
    <row r="14" spans="1:11" x14ac:dyDescent="0.2">
      <c r="A14" s="144"/>
      <c r="B14" s="141"/>
      <c r="C14" s="134"/>
      <c r="D14" s="5"/>
      <c r="E14" s="135"/>
      <c r="F14" s="136"/>
      <c r="G14" s="6"/>
      <c r="H14" s="7"/>
      <c r="I14" s="149"/>
      <c r="J14" s="142"/>
      <c r="K14" s="143"/>
    </row>
    <row r="15" spans="1:11" x14ac:dyDescent="0.2">
      <c r="A15" s="144"/>
      <c r="B15" s="141"/>
      <c r="C15" s="146"/>
      <c r="D15" s="5"/>
      <c r="E15" s="135"/>
      <c r="F15" s="147"/>
      <c r="G15" s="6"/>
      <c r="H15" s="7"/>
      <c r="I15" s="10"/>
      <c r="J15" s="9"/>
      <c r="K15" s="8"/>
    </row>
    <row r="16" spans="1:11" x14ac:dyDescent="0.2">
      <c r="A16" s="151"/>
      <c r="B16" s="152"/>
      <c r="C16" s="116"/>
      <c r="D16" s="5"/>
      <c r="E16" s="131"/>
      <c r="F16" s="116"/>
      <c r="G16" s="6"/>
      <c r="H16" s="7"/>
      <c r="I16" s="10"/>
      <c r="J16" s="9"/>
      <c r="K16" s="11"/>
    </row>
    <row r="17" spans="1:11" x14ac:dyDescent="0.2">
      <c r="A17" s="151"/>
      <c r="B17" s="152"/>
      <c r="C17" s="116"/>
      <c r="D17" s="5"/>
      <c r="E17" s="135"/>
      <c r="F17" s="116"/>
      <c r="G17" s="6"/>
      <c r="H17" s="7"/>
      <c r="I17" s="10"/>
      <c r="J17" s="9"/>
      <c r="K17" s="11"/>
    </row>
    <row r="18" spans="1:11" x14ac:dyDescent="0.2">
      <c r="A18" s="151"/>
      <c r="B18" s="152"/>
      <c r="C18" s="116"/>
      <c r="D18" s="5"/>
      <c r="E18" s="135"/>
      <c r="F18" s="116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54"/>
      <c r="E19" s="2"/>
      <c r="F19" s="3"/>
      <c r="G19" s="155"/>
      <c r="H19" s="3"/>
      <c r="I19" s="1"/>
      <c r="J19" s="4"/>
      <c r="K19" s="1"/>
    </row>
    <row r="20" spans="1:11" x14ac:dyDescent="0.2">
      <c r="A20" s="2"/>
      <c r="B20" s="1"/>
      <c r="C20" s="3"/>
      <c r="D20" s="154"/>
      <c r="E20" s="2"/>
      <c r="F20" s="3"/>
      <c r="G20" s="155"/>
      <c r="H20" s="3"/>
      <c r="I20" s="1"/>
      <c r="J20" s="4"/>
      <c r="K20" s="1"/>
    </row>
    <row r="21" spans="1:11" x14ac:dyDescent="0.2">
      <c r="A21" s="2"/>
      <c r="B21" s="1"/>
      <c r="C21" s="157"/>
      <c r="D21" s="2"/>
      <c r="E21" s="4"/>
      <c r="F21" s="157"/>
      <c r="G21" s="155"/>
      <c r="H21" s="3"/>
      <c r="I21" s="1"/>
      <c r="J21" s="4"/>
      <c r="K21" s="1"/>
    </row>
    <row r="22" spans="1:11" x14ac:dyDescent="0.2">
      <c r="A22" s="158"/>
      <c r="B22" s="159"/>
      <c r="C22" s="160"/>
      <c r="D22" s="160"/>
      <c r="E22" s="177" t="s">
        <v>21</v>
      </c>
      <c r="F22" s="178">
        <f>SUM(F9:F21)</f>
        <v>91</v>
      </c>
      <c r="G22" s="179">
        <f>SUM(G9:G21)/F22</f>
        <v>1444</v>
      </c>
      <c r="H22" s="180">
        <f>SUM(H9:H21)/F22</f>
        <v>14.893406593406594</v>
      </c>
      <c r="I22" s="161" t="s">
        <v>22</v>
      </c>
      <c r="J22" s="185">
        <v>6.9444444444444441E-3</v>
      </c>
      <c r="K22" s="159"/>
    </row>
    <row r="23" spans="1:11" x14ac:dyDescent="0.2">
      <c r="E23" s="162"/>
      <c r="F23" s="163"/>
      <c r="I23" s="181" t="s">
        <v>23</v>
      </c>
      <c r="J23" s="182">
        <v>0.17</v>
      </c>
    </row>
    <row r="24" spans="1:11" x14ac:dyDescent="0.2">
      <c r="I24" s="163"/>
      <c r="J24" s="164"/>
    </row>
    <row r="25" spans="1:11" x14ac:dyDescent="0.2">
      <c r="A25" s="1" t="s">
        <v>24</v>
      </c>
      <c r="B25" s="1"/>
      <c r="C25" s="1"/>
      <c r="D25" s="157"/>
      <c r="H25" s="171" t="s">
        <v>25</v>
      </c>
      <c r="I25" s="171"/>
      <c r="J25" s="162">
        <f>F22</f>
        <v>91</v>
      </c>
      <c r="K25" s="156" t="s">
        <v>16</v>
      </c>
    </row>
    <row r="26" spans="1:11" x14ac:dyDescent="0.2">
      <c r="A26" s="1" t="s">
        <v>26</v>
      </c>
      <c r="B26" s="1"/>
      <c r="C26" s="1"/>
      <c r="D26" s="157"/>
      <c r="H26" s="171" t="s">
        <v>27</v>
      </c>
      <c r="I26" s="171"/>
      <c r="J26" s="162">
        <f>76+71+82+91+87+82+89+87+77+76+85+87+66+74+80+87+90+80+100+103+110+93+83+83+88+77+65+72+82+88+91</f>
        <v>2602</v>
      </c>
      <c r="K26" s="156" t="s">
        <v>16</v>
      </c>
    </row>
    <row r="27" spans="1:11" ht="17" thickBot="1" x14ac:dyDescent="0.25">
      <c r="A27" s="165"/>
      <c r="B27" s="165"/>
      <c r="C27" s="165"/>
      <c r="D27" s="165"/>
      <c r="E27" s="166"/>
      <c r="F27" s="166"/>
      <c r="G27" s="165"/>
      <c r="H27" s="183" t="s">
        <v>28</v>
      </c>
      <c r="I27" s="183"/>
      <c r="J27" s="167">
        <v>56.08</v>
      </c>
      <c r="K27" s="165" t="s">
        <v>29</v>
      </c>
    </row>
    <row r="28" spans="1:11" x14ac:dyDescent="0.2">
      <c r="J28" s="156" t="s">
        <v>3</v>
      </c>
    </row>
    <row r="29" spans="1:11" hidden="1" x14ac:dyDescent="0.2">
      <c r="K29" s="156" t="s">
        <v>30</v>
      </c>
    </row>
    <row r="30" spans="1:11" hidden="1" x14ac:dyDescent="0.2">
      <c r="K30" s="156" t="s">
        <v>31</v>
      </c>
    </row>
    <row r="31" spans="1:11" hidden="1" x14ac:dyDescent="0.2">
      <c r="K31" s="156" t="s">
        <v>32</v>
      </c>
    </row>
    <row r="32" spans="1:11" hidden="1" x14ac:dyDescent="0.2">
      <c r="K32" s="156" t="s">
        <v>33</v>
      </c>
    </row>
    <row r="33" spans="9:11" hidden="1" x14ac:dyDescent="0.2">
      <c r="K33" s="156" t="s">
        <v>34</v>
      </c>
    </row>
    <row r="34" spans="9:11" hidden="1" x14ac:dyDescent="0.2">
      <c r="K34" s="156" t="s">
        <v>35</v>
      </c>
    </row>
    <row r="35" spans="9:11" hidden="1" x14ac:dyDescent="0.2">
      <c r="K35" s="156" t="s">
        <v>36</v>
      </c>
    </row>
    <row r="36" spans="9:11" hidden="1" x14ac:dyDescent="0.2">
      <c r="K36" s="156" t="s">
        <v>37</v>
      </c>
    </row>
    <row r="37" spans="9:11" hidden="1" x14ac:dyDescent="0.2">
      <c r="K37" s="156" t="s">
        <v>38</v>
      </c>
    </row>
    <row r="38" spans="9:11" hidden="1" x14ac:dyDescent="0.2">
      <c r="K38" s="156" t="s">
        <v>39</v>
      </c>
    </row>
    <row r="39" spans="9:11" hidden="1" x14ac:dyDescent="0.2">
      <c r="K39" s="156" t="s">
        <v>40</v>
      </c>
    </row>
    <row r="40" spans="9:11" hidden="1" x14ac:dyDescent="0.2">
      <c r="K40" s="156" t="s">
        <v>41</v>
      </c>
    </row>
    <row r="41" spans="9:11" ht="34" hidden="1" x14ac:dyDescent="0.2">
      <c r="I41" s="168" t="s">
        <v>42</v>
      </c>
      <c r="K41" s="156" t="s">
        <v>43</v>
      </c>
    </row>
    <row r="42" spans="9:11" ht="17" hidden="1" x14ac:dyDescent="0.2">
      <c r="I42" s="168" t="s">
        <v>44</v>
      </c>
      <c r="K42" s="156" t="s">
        <v>45</v>
      </c>
    </row>
    <row r="43" spans="9:11" hidden="1" x14ac:dyDescent="0.2">
      <c r="I43" s="169" t="s">
        <v>46</v>
      </c>
      <c r="K43" s="156" t="s">
        <v>47</v>
      </c>
    </row>
    <row r="44" spans="9:11" hidden="1" x14ac:dyDescent="0.2">
      <c r="I44" s="156" t="s">
        <v>48</v>
      </c>
      <c r="K44" s="156" t="s">
        <v>49</v>
      </c>
    </row>
    <row r="45" spans="9:11" hidden="1" x14ac:dyDescent="0.2">
      <c r="I45" s="156" t="s">
        <v>50</v>
      </c>
      <c r="K45" s="156" t="s">
        <v>51</v>
      </c>
    </row>
    <row r="46" spans="9:11" hidden="1" x14ac:dyDescent="0.2">
      <c r="I46" s="156" t="s">
        <v>52</v>
      </c>
      <c r="K46" s="156" t="s">
        <v>53</v>
      </c>
    </row>
    <row r="47" spans="9:11" hidden="1" x14ac:dyDescent="0.2">
      <c r="I47" s="156" t="s">
        <v>54</v>
      </c>
      <c r="K47" s="156" t="s">
        <v>55</v>
      </c>
    </row>
    <row r="48" spans="9:11" hidden="1" x14ac:dyDescent="0.2">
      <c r="I48" s="156" t="s">
        <v>56</v>
      </c>
      <c r="K48" s="156" t="s">
        <v>57</v>
      </c>
    </row>
    <row r="49" spans="9:11" hidden="1" x14ac:dyDescent="0.2">
      <c r="I49" s="156" t="s">
        <v>58</v>
      </c>
      <c r="K49" s="156" t="s">
        <v>59</v>
      </c>
    </row>
    <row r="50" spans="9:11" hidden="1" x14ac:dyDescent="0.2">
      <c r="I50" s="156" t="s">
        <v>60</v>
      </c>
      <c r="K50" s="156" t="s">
        <v>61</v>
      </c>
    </row>
    <row r="51" spans="9:11" hidden="1" x14ac:dyDescent="0.2">
      <c r="K51" s="156" t="s">
        <v>62</v>
      </c>
    </row>
    <row r="52" spans="9:11" hidden="1" x14ac:dyDescent="0.2">
      <c r="K52" s="156" t="s">
        <v>63</v>
      </c>
    </row>
    <row r="53" spans="9:11" hidden="1" x14ac:dyDescent="0.2">
      <c r="K53" s="156" t="s">
        <v>64</v>
      </c>
    </row>
    <row r="54" spans="9:11" hidden="1" x14ac:dyDescent="0.2">
      <c r="K54" s="156" t="s">
        <v>65</v>
      </c>
    </row>
    <row r="55" spans="9:11" hidden="1" x14ac:dyDescent="0.2">
      <c r="K55" s="156" t="s">
        <v>66</v>
      </c>
    </row>
    <row r="56" spans="9:11" hidden="1" x14ac:dyDescent="0.2">
      <c r="K56" s="156" t="s">
        <v>67</v>
      </c>
    </row>
    <row r="57" spans="9:11" hidden="1" x14ac:dyDescent="0.2">
      <c r="K57" s="156" t="s">
        <v>68</v>
      </c>
    </row>
    <row r="58" spans="9:11" hidden="1" x14ac:dyDescent="0.2">
      <c r="K58" s="156" t="s">
        <v>69</v>
      </c>
    </row>
    <row r="59" spans="9:11" hidden="1" x14ac:dyDescent="0.2">
      <c r="K59" s="156" t="s">
        <v>70</v>
      </c>
    </row>
    <row r="60" spans="9:11" hidden="1" x14ac:dyDescent="0.2">
      <c r="K60" s="156" t="s">
        <v>71</v>
      </c>
    </row>
    <row r="61" spans="9:11" hidden="1" x14ac:dyDescent="0.2">
      <c r="K61" s="156" t="s">
        <v>72</v>
      </c>
    </row>
    <row r="62" spans="9:11" hidden="1" x14ac:dyDescent="0.2">
      <c r="K62" s="156" t="s">
        <v>73</v>
      </c>
    </row>
    <row r="63" spans="9:11" hidden="1" x14ac:dyDescent="0.2">
      <c r="K63" s="156" t="s">
        <v>67</v>
      </c>
    </row>
    <row r="64" spans="9:11" hidden="1" x14ac:dyDescent="0.2">
      <c r="K64" s="156" t="s">
        <v>74</v>
      </c>
    </row>
    <row r="65" spans="11:11" hidden="1" x14ac:dyDescent="0.2">
      <c r="K65" s="156" t="s">
        <v>75</v>
      </c>
    </row>
    <row r="66" spans="11:11" hidden="1" x14ac:dyDescent="0.2">
      <c r="K66" s="156" t="s">
        <v>76</v>
      </c>
    </row>
    <row r="67" spans="11:11" hidden="1" x14ac:dyDescent="0.2">
      <c r="K67" s="156" t="s">
        <v>77</v>
      </c>
    </row>
    <row r="68" spans="11:11" hidden="1" x14ac:dyDescent="0.2">
      <c r="K68" s="156" t="s">
        <v>78</v>
      </c>
    </row>
    <row r="69" spans="11:11" hidden="1" x14ac:dyDescent="0.2">
      <c r="K69" s="156" t="s">
        <v>79</v>
      </c>
    </row>
    <row r="70" spans="11:11" hidden="1" x14ac:dyDescent="0.2">
      <c r="K70" s="156" t="s">
        <v>80</v>
      </c>
    </row>
    <row r="71" spans="11:11" hidden="1" x14ac:dyDescent="0.2">
      <c r="K71" s="156" t="s">
        <v>81</v>
      </c>
    </row>
    <row r="72" spans="11:11" hidden="1" x14ac:dyDescent="0.2">
      <c r="K72" s="156" t="s">
        <v>82</v>
      </c>
    </row>
    <row r="73" spans="11:11" hidden="1" x14ac:dyDescent="0.2">
      <c r="K73" s="156" t="s">
        <v>83</v>
      </c>
    </row>
    <row r="74" spans="11:11" hidden="1" x14ac:dyDescent="0.2">
      <c r="K74" s="156" t="s">
        <v>84</v>
      </c>
    </row>
    <row r="75" spans="11:11" hidden="1" x14ac:dyDescent="0.2">
      <c r="K75" s="156" t="s">
        <v>85</v>
      </c>
    </row>
    <row r="76" spans="11:11" hidden="1" x14ac:dyDescent="0.2">
      <c r="K76" s="156" t="s">
        <v>86</v>
      </c>
    </row>
    <row r="77" spans="11:11" hidden="1" x14ac:dyDescent="0.2">
      <c r="K77" s="156" t="s">
        <v>87</v>
      </c>
    </row>
    <row r="78" spans="11:11" hidden="1" x14ac:dyDescent="0.2">
      <c r="K78" s="156" t="s">
        <v>88</v>
      </c>
    </row>
    <row r="79" spans="11:11" hidden="1" x14ac:dyDescent="0.2">
      <c r="K79" s="156" t="s">
        <v>89</v>
      </c>
    </row>
    <row r="80" spans="11:11" hidden="1" x14ac:dyDescent="0.2">
      <c r="K80" s="156" t="s">
        <v>90</v>
      </c>
    </row>
    <row r="81" spans="11:11" hidden="1" x14ac:dyDescent="0.2">
      <c r="K81" s="156" t="s">
        <v>91</v>
      </c>
    </row>
    <row r="82" spans="11:11" hidden="1" x14ac:dyDescent="0.2">
      <c r="K82" s="156" t="s">
        <v>92</v>
      </c>
    </row>
    <row r="83" spans="11:11" hidden="1" x14ac:dyDescent="0.2">
      <c r="K83" s="156" t="s">
        <v>93</v>
      </c>
    </row>
    <row r="84" spans="11:11" hidden="1" x14ac:dyDescent="0.2">
      <c r="K84" s="156" t="s">
        <v>94</v>
      </c>
    </row>
    <row r="85" spans="11:11" hidden="1" x14ac:dyDescent="0.2">
      <c r="K85" s="156" t="s">
        <v>47</v>
      </c>
    </row>
  </sheetData>
  <dataValidations count="3">
    <dataValidation type="list" allowBlank="1" showInputMessage="1" showErrorMessage="1" sqref="I50 K15:K21" xr:uid="{561E58EB-1CF1-CE45-A9BA-38B9CD5680C0}">
      <formula1>$I$41:$I$50</formula1>
    </dataValidation>
    <dataValidation type="list" allowBlank="1" showInputMessage="1" showErrorMessage="1" sqref="B20:B21" xr:uid="{B5B91A08-3701-594B-A7A5-F4011B10C2AA}">
      <formula1>$K$29:$K$40</formula1>
    </dataValidation>
    <dataValidation type="list" allowBlank="1" showInputMessage="1" showErrorMessage="1" sqref="B16:B19" xr:uid="{745CC7B6-0900-EE4F-AFF4-2C10FAB58C9E}">
      <formula1>$K$29:$K$85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4"/>
  <dimension ref="A1:AO132"/>
  <sheetViews>
    <sheetView tabSelected="1" topLeftCell="Z56" zoomScale="68" zoomScaleNormal="78" workbookViewId="0">
      <selection activeCell="AK122" sqref="AK122:AK128"/>
    </sheetView>
  </sheetViews>
  <sheetFormatPr baseColWidth="10" defaultColWidth="9.1640625" defaultRowHeight="20" x14ac:dyDescent="0.2"/>
  <cols>
    <col min="1" max="1" width="5.5" style="113" bestFit="1" customWidth="1"/>
    <col min="2" max="2" width="65.5" style="16" bestFit="1" customWidth="1"/>
    <col min="3" max="3" width="14.83203125" style="114" hidden="1" customWidth="1"/>
    <col min="4" max="4" width="12.1640625" style="16" customWidth="1"/>
    <col min="5" max="5" width="12.6640625" style="16" hidden="1" customWidth="1"/>
    <col min="6" max="6" width="17.33203125" style="16" hidden="1" customWidth="1"/>
    <col min="7" max="7" width="16.1640625" style="16" bestFit="1" customWidth="1"/>
    <col min="8" max="8" width="14.1640625" style="16" bestFit="1" customWidth="1"/>
    <col min="9" max="9" width="14.5" style="16" bestFit="1" customWidth="1"/>
    <col min="10" max="11" width="13.1640625" style="16" bestFit="1" customWidth="1"/>
    <col min="12" max="12" width="14.5" style="16" bestFit="1" customWidth="1"/>
    <col min="13" max="17" width="12.5" style="16" bestFit="1" customWidth="1"/>
    <col min="18" max="18" width="14.6640625" style="16" bestFit="1" customWidth="1"/>
    <col min="19" max="20" width="14.5" style="16" bestFit="1" customWidth="1"/>
    <col min="21" max="21" width="13.5" style="16" bestFit="1" customWidth="1"/>
    <col min="22" max="22" width="14" style="16" bestFit="1" customWidth="1"/>
    <col min="23" max="23" width="12.83203125" style="16" bestFit="1" customWidth="1"/>
    <col min="24" max="24" width="12.5" style="16" bestFit="1" customWidth="1"/>
    <col min="25" max="26" width="14" style="16" bestFit="1" customWidth="1"/>
    <col min="27" max="29" width="12.5" style="16" bestFit="1" customWidth="1"/>
    <col min="30" max="30" width="14.5" style="16" bestFit="1" customWidth="1"/>
    <col min="31" max="31" width="12.5" style="16" bestFit="1" customWidth="1"/>
    <col min="32" max="33" width="14.5" style="16" bestFit="1" customWidth="1"/>
    <col min="34" max="34" width="12.5" style="16" bestFit="1" customWidth="1"/>
    <col min="35" max="37" width="11" style="16" customWidth="1"/>
    <col min="38" max="38" width="34.33203125" style="115" customWidth="1"/>
    <col min="39" max="39" width="14.83203125" style="16" customWidth="1"/>
    <col min="40" max="40" width="13.5" style="16" customWidth="1"/>
    <col min="41" max="41" width="17" style="16" customWidth="1"/>
    <col min="42" max="42" width="10" style="16" customWidth="1"/>
    <col min="43" max="16384" width="9.1640625" style="16"/>
  </cols>
  <sheetData>
    <row r="1" spans="1:40" ht="23" x14ac:dyDescent="0.25">
      <c r="A1" s="12" t="s">
        <v>3</v>
      </c>
      <c r="B1" s="13" t="s">
        <v>246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5"/>
    </row>
    <row r="2" spans="1:40" ht="44.25" customHeight="1" x14ac:dyDescent="0.2">
      <c r="A2" s="17"/>
      <c r="B2" s="18" t="s">
        <v>95</v>
      </c>
      <c r="C2" s="18" t="s">
        <v>96</v>
      </c>
      <c r="D2" s="19" t="s">
        <v>97</v>
      </c>
      <c r="E2" s="19">
        <v>1</v>
      </c>
      <c r="F2" s="19">
        <v>2</v>
      </c>
      <c r="G2" s="19">
        <v>1</v>
      </c>
      <c r="H2" s="19">
        <v>2</v>
      </c>
      <c r="I2" s="19">
        <v>3</v>
      </c>
      <c r="J2" s="19">
        <v>4</v>
      </c>
      <c r="K2" s="19">
        <v>5</v>
      </c>
      <c r="L2" s="19">
        <v>6</v>
      </c>
      <c r="M2" s="19">
        <v>7</v>
      </c>
      <c r="N2" s="19">
        <v>8</v>
      </c>
      <c r="O2" s="19">
        <v>9</v>
      </c>
      <c r="P2" s="19">
        <v>10</v>
      </c>
      <c r="Q2" s="19">
        <v>11</v>
      </c>
      <c r="R2" s="19">
        <v>12</v>
      </c>
      <c r="S2" s="19">
        <v>13</v>
      </c>
      <c r="T2" s="19">
        <v>14</v>
      </c>
      <c r="U2" s="19">
        <v>15</v>
      </c>
      <c r="V2" s="19">
        <v>16</v>
      </c>
      <c r="W2" s="19">
        <v>17</v>
      </c>
      <c r="X2" s="19">
        <v>18</v>
      </c>
      <c r="Y2" s="19">
        <v>19</v>
      </c>
      <c r="Z2" s="19">
        <v>20</v>
      </c>
      <c r="AA2" s="19">
        <v>21</v>
      </c>
      <c r="AB2" s="19">
        <v>22</v>
      </c>
      <c r="AC2" s="19">
        <v>23</v>
      </c>
      <c r="AD2" s="19">
        <v>24</v>
      </c>
      <c r="AE2" s="19">
        <v>25</v>
      </c>
      <c r="AF2" s="19">
        <v>26</v>
      </c>
      <c r="AG2" s="19">
        <v>27</v>
      </c>
      <c r="AH2" s="19">
        <v>28</v>
      </c>
      <c r="AI2" s="19">
        <v>29</v>
      </c>
      <c r="AJ2" s="19">
        <v>30</v>
      </c>
      <c r="AK2" s="19">
        <v>31</v>
      </c>
      <c r="AL2" s="20" t="s">
        <v>98</v>
      </c>
    </row>
    <row r="3" spans="1:40" s="27" customFormat="1" x14ac:dyDescent="0.2">
      <c r="A3" s="21" t="s">
        <v>99</v>
      </c>
      <c r="B3" s="22" t="s">
        <v>100</v>
      </c>
      <c r="C3" s="23"/>
      <c r="D3" s="24" t="s">
        <v>101</v>
      </c>
      <c r="E3" s="25"/>
      <c r="F3" s="26"/>
      <c r="G3" s="26"/>
      <c r="H3" s="26"/>
      <c r="I3" s="193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5"/>
    </row>
    <row r="4" spans="1:40" x14ac:dyDescent="0.2">
      <c r="A4" s="28">
        <v>1</v>
      </c>
      <c r="B4" s="29" t="s">
        <v>102</v>
      </c>
      <c r="C4" s="30"/>
      <c r="D4" s="31" t="s">
        <v>16</v>
      </c>
      <c r="E4" s="25">
        <v>0</v>
      </c>
      <c r="F4" s="25">
        <v>0</v>
      </c>
      <c r="G4" s="32">
        <v>3.75</v>
      </c>
      <c r="H4" s="32">
        <v>10</v>
      </c>
      <c r="I4" s="32">
        <v>3.75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4.5</v>
      </c>
      <c r="Q4" s="32">
        <v>0</v>
      </c>
      <c r="R4" s="32">
        <v>0</v>
      </c>
      <c r="S4" s="32">
        <v>4.5</v>
      </c>
      <c r="T4" s="32">
        <v>3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v>0</v>
      </c>
      <c r="AB4" s="32">
        <v>0</v>
      </c>
      <c r="AC4" s="32">
        <v>0</v>
      </c>
      <c r="AD4" s="32">
        <v>0</v>
      </c>
      <c r="AE4" s="32">
        <v>0</v>
      </c>
      <c r="AF4" s="32">
        <v>2.5</v>
      </c>
      <c r="AG4" s="32">
        <v>4.032</v>
      </c>
      <c r="AH4" s="32">
        <v>4.5</v>
      </c>
      <c r="AI4" s="32">
        <v>0.5</v>
      </c>
      <c r="AJ4" s="32">
        <v>0</v>
      </c>
      <c r="AK4" s="32">
        <v>0</v>
      </c>
      <c r="AL4" s="33">
        <f t="shared" ref="AL4:AL35" si="0">SUM(G4:AH4)</f>
        <v>40.531999999999996</v>
      </c>
      <c r="AM4" s="34"/>
    </row>
    <row r="5" spans="1:40" x14ac:dyDescent="0.2">
      <c r="A5" s="28">
        <v>2</v>
      </c>
      <c r="B5" s="29" t="s">
        <v>103</v>
      </c>
      <c r="C5" s="30"/>
      <c r="D5" s="31" t="s">
        <v>16</v>
      </c>
      <c r="E5" s="25"/>
      <c r="F5" s="25"/>
      <c r="G5" s="32">
        <v>10.06</v>
      </c>
      <c r="H5" s="32">
        <v>20.623000000000001</v>
      </c>
      <c r="I5" s="32">
        <v>8.3000000000000007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13.077999999999999</v>
      </c>
      <c r="P5" s="32">
        <v>31.186</v>
      </c>
      <c r="Q5" s="32">
        <v>0</v>
      </c>
      <c r="R5" s="32">
        <v>0</v>
      </c>
      <c r="S5" s="32">
        <v>30.683</v>
      </c>
      <c r="T5" s="32">
        <v>29.677</v>
      </c>
      <c r="U5" s="32">
        <v>16.096</v>
      </c>
      <c r="V5" s="32">
        <v>4.5270000000000001</v>
      </c>
      <c r="W5" s="32">
        <v>0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30.18</v>
      </c>
      <c r="AG5" s="32">
        <v>34.707000000000001</v>
      </c>
      <c r="AH5" s="32">
        <v>40.743000000000002</v>
      </c>
      <c r="AI5" s="32">
        <v>25.15</v>
      </c>
      <c r="AJ5" s="32">
        <v>0</v>
      </c>
      <c r="AK5" s="32">
        <v>0</v>
      </c>
      <c r="AL5" s="33">
        <f t="shared" si="0"/>
        <v>269.86</v>
      </c>
      <c r="AM5" s="34"/>
      <c r="AN5" s="57"/>
    </row>
    <row r="6" spans="1:40" x14ac:dyDescent="0.2">
      <c r="A6" s="28">
        <v>3</v>
      </c>
      <c r="B6" s="29" t="s">
        <v>104</v>
      </c>
      <c r="C6" s="30"/>
      <c r="D6" s="31" t="s">
        <v>16</v>
      </c>
      <c r="E6" s="25">
        <v>0</v>
      </c>
      <c r="F6" s="25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2">
        <v>0</v>
      </c>
      <c r="AK6" s="32">
        <v>0</v>
      </c>
      <c r="AL6" s="33">
        <f t="shared" si="0"/>
        <v>0</v>
      </c>
      <c r="AM6" s="34"/>
      <c r="AN6" s="57"/>
    </row>
    <row r="7" spans="1:40" x14ac:dyDescent="0.2">
      <c r="A7" s="28">
        <v>4</v>
      </c>
      <c r="B7" s="29" t="s">
        <v>105</v>
      </c>
      <c r="C7" s="30"/>
      <c r="D7" s="31" t="s">
        <v>16</v>
      </c>
      <c r="E7" s="25">
        <v>0</v>
      </c>
      <c r="F7" s="25">
        <v>0</v>
      </c>
      <c r="G7" s="32">
        <v>9.9600000000000009</v>
      </c>
      <c r="H7" s="32">
        <v>33.366</v>
      </c>
      <c r="I7" s="32">
        <v>13.695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46.811999999999998</v>
      </c>
      <c r="P7" s="32">
        <v>24.9</v>
      </c>
      <c r="Q7" s="32">
        <v>0</v>
      </c>
      <c r="R7" s="32">
        <v>2.4900000000000002</v>
      </c>
      <c r="S7" s="32">
        <v>21.123999999999999</v>
      </c>
      <c r="T7" s="32">
        <v>31.872</v>
      </c>
      <c r="U7" s="32">
        <v>50.795999999999999</v>
      </c>
      <c r="V7" s="32">
        <v>17.43</v>
      </c>
      <c r="W7" s="32">
        <v>3.984</v>
      </c>
      <c r="X7" s="32">
        <v>3.984</v>
      </c>
      <c r="Y7" s="32">
        <v>48.555</v>
      </c>
      <c r="Z7" s="32">
        <v>87.647999999999996</v>
      </c>
      <c r="AA7" s="32">
        <v>52.787999999999997</v>
      </c>
      <c r="AB7" s="32">
        <v>41.33</v>
      </c>
      <c r="AC7" s="32">
        <v>12.454000000000001</v>
      </c>
      <c r="AD7" s="32">
        <v>3.4860000000000002</v>
      </c>
      <c r="AE7" s="32">
        <v>3.4860000000000002</v>
      </c>
      <c r="AF7" s="32">
        <v>13.446</v>
      </c>
      <c r="AG7" s="32">
        <v>15.438000000000001</v>
      </c>
      <c r="AH7" s="32">
        <v>19.920000000000002</v>
      </c>
      <c r="AI7" s="32">
        <v>9.9600000000000009</v>
      </c>
      <c r="AJ7" s="32">
        <v>3.4860000000000002</v>
      </c>
      <c r="AK7" s="32">
        <v>3.984</v>
      </c>
      <c r="AL7" s="33">
        <f t="shared" si="0"/>
        <v>558.96399999999994</v>
      </c>
      <c r="AM7" s="34"/>
    </row>
    <row r="8" spans="1:40" x14ac:dyDescent="0.2">
      <c r="A8" s="28">
        <v>5</v>
      </c>
      <c r="B8" s="29" t="s">
        <v>106</v>
      </c>
      <c r="C8" s="30"/>
      <c r="D8" s="31" t="s">
        <v>16</v>
      </c>
      <c r="E8" s="25"/>
      <c r="F8" s="25"/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32">
        <v>0</v>
      </c>
      <c r="AJ8" s="32">
        <v>0</v>
      </c>
      <c r="AK8" s="32">
        <v>0</v>
      </c>
      <c r="AL8" s="33">
        <f t="shared" si="0"/>
        <v>0</v>
      </c>
      <c r="AM8" s="34"/>
    </row>
    <row r="9" spans="1:40" x14ac:dyDescent="0.2">
      <c r="A9" s="28">
        <v>6</v>
      </c>
      <c r="B9" s="29" t="s">
        <v>107</v>
      </c>
      <c r="C9" s="30"/>
      <c r="D9" s="31" t="s">
        <v>16</v>
      </c>
      <c r="E9" s="25"/>
      <c r="F9" s="25"/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2">
        <v>0</v>
      </c>
      <c r="AK9" s="32">
        <v>0</v>
      </c>
      <c r="AL9" s="33">
        <f t="shared" si="0"/>
        <v>0</v>
      </c>
      <c r="AM9" s="34"/>
    </row>
    <row r="10" spans="1:40" x14ac:dyDescent="0.2">
      <c r="A10" s="28">
        <v>7</v>
      </c>
      <c r="B10" s="29" t="s">
        <v>108</v>
      </c>
      <c r="C10" s="30"/>
      <c r="D10" s="31" t="s">
        <v>16</v>
      </c>
      <c r="E10" s="25"/>
      <c r="F10" s="25"/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3">
        <f t="shared" si="0"/>
        <v>0</v>
      </c>
      <c r="AM10" s="34"/>
    </row>
    <row r="11" spans="1:40" x14ac:dyDescent="0.2">
      <c r="A11" s="28">
        <v>8</v>
      </c>
      <c r="B11" s="29" t="s">
        <v>109</v>
      </c>
      <c r="C11" s="30"/>
      <c r="D11" s="31" t="s">
        <v>16</v>
      </c>
      <c r="E11" s="25"/>
      <c r="F11" s="25"/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3">
        <f t="shared" si="0"/>
        <v>0</v>
      </c>
      <c r="AM11" s="34"/>
    </row>
    <row r="12" spans="1:40" x14ac:dyDescent="0.2">
      <c r="A12" s="28">
        <v>9</v>
      </c>
      <c r="B12" s="29" t="s">
        <v>110</v>
      </c>
      <c r="C12" s="30"/>
      <c r="D12" s="31" t="s">
        <v>16</v>
      </c>
      <c r="E12" s="25"/>
      <c r="F12" s="25"/>
      <c r="G12" s="32">
        <v>3.8250000000000002</v>
      </c>
      <c r="H12" s="32">
        <v>0</v>
      </c>
      <c r="I12" s="32">
        <v>7.65</v>
      </c>
      <c r="J12" s="32">
        <v>11.475</v>
      </c>
      <c r="K12" s="32">
        <v>11.475</v>
      </c>
      <c r="L12" s="32">
        <v>6.375</v>
      </c>
      <c r="M12" s="32">
        <v>6.12</v>
      </c>
      <c r="N12" s="32">
        <v>5.3550000000000004</v>
      </c>
      <c r="O12" s="32">
        <v>5.3550000000000004</v>
      </c>
      <c r="P12" s="32">
        <v>1.536</v>
      </c>
      <c r="Q12" s="32">
        <v>4.6260000000000003</v>
      </c>
      <c r="R12" s="32">
        <v>4.6260000000000003</v>
      </c>
      <c r="S12" s="32">
        <v>0</v>
      </c>
      <c r="T12" s="32">
        <v>2.2949999999999999</v>
      </c>
      <c r="U12" s="32">
        <v>4.6260000000000003</v>
      </c>
      <c r="V12" s="32">
        <v>6.1680000000000001</v>
      </c>
      <c r="W12" s="32">
        <v>6.1680000000000001</v>
      </c>
      <c r="X12" s="32">
        <v>6.1680000000000001</v>
      </c>
      <c r="Y12" s="32">
        <v>3.0840000000000001</v>
      </c>
      <c r="Z12" s="32">
        <v>0</v>
      </c>
      <c r="AA12" s="32">
        <v>0</v>
      </c>
      <c r="AB12" s="32">
        <v>3.8250000000000002</v>
      </c>
      <c r="AC12" s="32">
        <v>5.3760000000000003</v>
      </c>
      <c r="AD12" s="32">
        <v>5.3760000000000003</v>
      </c>
      <c r="AE12" s="32">
        <v>5.3760000000000003</v>
      </c>
      <c r="AF12" s="32">
        <v>1.536</v>
      </c>
      <c r="AG12" s="32">
        <v>0</v>
      </c>
      <c r="AH12" s="32">
        <v>0</v>
      </c>
      <c r="AI12" s="32">
        <v>5.3760000000000003</v>
      </c>
      <c r="AJ12" s="32">
        <v>5.3760000000000003</v>
      </c>
      <c r="AK12" s="32">
        <v>7.3</v>
      </c>
      <c r="AL12" s="33">
        <f t="shared" si="0"/>
        <v>118.41600000000005</v>
      </c>
      <c r="AM12" s="34"/>
    </row>
    <row r="13" spans="1:40" x14ac:dyDescent="0.2">
      <c r="A13" s="28">
        <v>10</v>
      </c>
      <c r="B13" s="29" t="s">
        <v>111</v>
      </c>
      <c r="C13" s="30"/>
      <c r="D13" s="31" t="s">
        <v>16</v>
      </c>
      <c r="E13" s="25"/>
      <c r="F13" s="25"/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3">
        <f t="shared" si="0"/>
        <v>0</v>
      </c>
      <c r="AM13" s="137"/>
    </row>
    <row r="14" spans="1:40" x14ac:dyDescent="0.2">
      <c r="A14" s="28">
        <v>11</v>
      </c>
      <c r="B14" s="29" t="s">
        <v>112</v>
      </c>
      <c r="C14" s="30"/>
      <c r="D14" s="31" t="s">
        <v>16</v>
      </c>
      <c r="E14" s="25"/>
      <c r="F14" s="25"/>
      <c r="G14" s="32">
        <v>42.237000000000002</v>
      </c>
      <c r="H14" s="32">
        <v>0</v>
      </c>
      <c r="I14" s="32">
        <v>41.496000000000002</v>
      </c>
      <c r="J14" s="32">
        <v>75.087999999999994</v>
      </c>
      <c r="K14" s="32">
        <v>73.111999999999995</v>
      </c>
      <c r="L14" s="32">
        <v>63.231999999999999</v>
      </c>
      <c r="M14" s="32">
        <v>75.087999999999994</v>
      </c>
      <c r="N14" s="32">
        <v>75.087999999999994</v>
      </c>
      <c r="O14" s="32">
        <v>0</v>
      </c>
      <c r="P14" s="32">
        <v>3.952</v>
      </c>
      <c r="Q14" s="32">
        <v>69.16</v>
      </c>
      <c r="R14" s="32">
        <v>75.087999999999994</v>
      </c>
      <c r="S14" s="32">
        <v>1.976</v>
      </c>
      <c r="T14" s="32">
        <v>0</v>
      </c>
      <c r="U14" s="32">
        <v>0</v>
      </c>
      <c r="V14" s="32">
        <v>51.375999999999998</v>
      </c>
      <c r="W14" s="32">
        <v>71.135999999999996</v>
      </c>
      <c r="X14" s="32">
        <v>65.207999999999998</v>
      </c>
      <c r="Y14" s="32">
        <v>28.652000000000001</v>
      </c>
      <c r="Z14" s="32">
        <v>0</v>
      </c>
      <c r="AA14" s="32">
        <v>28.652000000000001</v>
      </c>
      <c r="AB14" s="32">
        <v>39.520000000000003</v>
      </c>
      <c r="AC14" s="32">
        <v>65.207999999999998</v>
      </c>
      <c r="AD14" s="32">
        <v>69.16</v>
      </c>
      <c r="AE14" s="32">
        <v>73.111999999999995</v>
      </c>
      <c r="AF14" s="32">
        <v>21.736000000000001</v>
      </c>
      <c r="AG14" s="32">
        <v>0</v>
      </c>
      <c r="AH14" s="32">
        <v>0</v>
      </c>
      <c r="AI14" s="32">
        <v>30.628</v>
      </c>
      <c r="AJ14" s="32">
        <v>71.135999999999996</v>
      </c>
      <c r="AK14" s="32">
        <v>72.16</v>
      </c>
      <c r="AL14" s="33">
        <f t="shared" si="0"/>
        <v>1109.2769999999998</v>
      </c>
      <c r="AM14" s="34"/>
    </row>
    <row r="15" spans="1:40" x14ac:dyDescent="0.2">
      <c r="A15" s="28">
        <v>12</v>
      </c>
      <c r="B15" s="29" t="s">
        <v>113</v>
      </c>
      <c r="C15" s="30"/>
      <c r="D15" s="31" t="s">
        <v>16</v>
      </c>
      <c r="E15" s="25"/>
      <c r="F15" s="25"/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8.61</v>
      </c>
      <c r="AA15" s="32">
        <v>17.22</v>
      </c>
      <c r="AB15" s="32">
        <v>6.15</v>
      </c>
      <c r="AC15" s="32">
        <v>0</v>
      </c>
      <c r="AD15" s="32">
        <v>0</v>
      </c>
      <c r="AE15" s="32">
        <v>0</v>
      </c>
      <c r="AF15" s="32">
        <v>1.23</v>
      </c>
      <c r="AG15" s="32">
        <v>1.968</v>
      </c>
      <c r="AH15" s="32">
        <v>2.214</v>
      </c>
      <c r="AI15" s="32">
        <v>0.246</v>
      </c>
      <c r="AJ15" s="32">
        <v>0</v>
      </c>
      <c r="AK15" s="32">
        <v>0</v>
      </c>
      <c r="AL15" s="33">
        <f t="shared" si="0"/>
        <v>37.391999999999996</v>
      </c>
      <c r="AM15" s="34"/>
    </row>
    <row r="16" spans="1:40" x14ac:dyDescent="0.2">
      <c r="A16" s="28">
        <v>13</v>
      </c>
      <c r="B16" s="29" t="s">
        <v>228</v>
      </c>
      <c r="C16" s="30"/>
      <c r="D16" s="31" t="s">
        <v>16</v>
      </c>
      <c r="E16" s="25"/>
      <c r="F16" s="25"/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4.92</v>
      </c>
      <c r="Z16" s="32">
        <v>3.69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3">
        <f t="shared" si="0"/>
        <v>8.61</v>
      </c>
      <c r="AM16" s="34"/>
    </row>
    <row r="17" spans="1:39" x14ac:dyDescent="0.2">
      <c r="A17" s="28">
        <v>14</v>
      </c>
      <c r="B17" s="29" t="s">
        <v>229</v>
      </c>
      <c r="C17" s="30"/>
      <c r="D17" s="31" t="s">
        <v>16</v>
      </c>
      <c r="E17" s="25"/>
      <c r="F17" s="25"/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3">
        <f t="shared" si="0"/>
        <v>0</v>
      </c>
      <c r="AM17" s="34"/>
    </row>
    <row r="18" spans="1:39" x14ac:dyDescent="0.2">
      <c r="A18" s="28">
        <v>15</v>
      </c>
      <c r="B18" s="29" t="s">
        <v>237</v>
      </c>
      <c r="C18" s="30"/>
      <c r="D18" s="31" t="s">
        <v>16</v>
      </c>
      <c r="E18" s="25"/>
      <c r="F18" s="25"/>
      <c r="G18" s="32">
        <v>3.78</v>
      </c>
      <c r="H18" s="32">
        <v>6.048</v>
      </c>
      <c r="I18" s="32">
        <v>6.8040000000000003</v>
      </c>
      <c r="J18" s="32">
        <v>6.8040000000000003</v>
      </c>
      <c r="K18" s="32">
        <v>6.8040000000000003</v>
      </c>
      <c r="L18" s="32">
        <v>7.8120000000000003</v>
      </c>
      <c r="M18" s="32">
        <v>10.08</v>
      </c>
      <c r="N18" s="32">
        <v>8.82</v>
      </c>
      <c r="O18" s="32">
        <v>8.82</v>
      </c>
      <c r="P18" s="32">
        <v>10.08</v>
      </c>
      <c r="Q18" s="32">
        <v>7.56</v>
      </c>
      <c r="R18" s="32">
        <v>5.04</v>
      </c>
      <c r="S18" s="32">
        <v>4.5359999999999996</v>
      </c>
      <c r="T18" s="32">
        <v>5.2919999999999998</v>
      </c>
      <c r="U18" s="32">
        <v>4.5359999999999996</v>
      </c>
      <c r="V18" s="32">
        <v>6.048</v>
      </c>
      <c r="W18" s="32">
        <v>6.048</v>
      </c>
      <c r="X18" s="32">
        <v>6.048</v>
      </c>
      <c r="Y18" s="32">
        <v>6.048</v>
      </c>
      <c r="Z18" s="32">
        <v>7.56</v>
      </c>
      <c r="AA18" s="32">
        <v>10.584</v>
      </c>
      <c r="AB18" s="32">
        <v>7.56</v>
      </c>
      <c r="AC18" s="32">
        <v>5.2919999999999998</v>
      </c>
      <c r="AD18" s="32">
        <v>5.2919999999999998</v>
      </c>
      <c r="AE18" s="32">
        <v>5.2919999999999998</v>
      </c>
      <c r="AF18" s="32">
        <v>5.2919999999999998</v>
      </c>
      <c r="AG18" s="32">
        <v>6.048</v>
      </c>
      <c r="AH18" s="32">
        <v>6.8040000000000003</v>
      </c>
      <c r="AI18" s="32">
        <v>6.048</v>
      </c>
      <c r="AJ18" s="32">
        <v>5.2919999999999998</v>
      </c>
      <c r="AK18" s="32">
        <v>6.048</v>
      </c>
      <c r="AL18" s="33">
        <f t="shared" si="0"/>
        <v>186.73200000000003</v>
      </c>
      <c r="AM18" s="34"/>
    </row>
    <row r="19" spans="1:39" x14ac:dyDescent="0.2">
      <c r="A19" s="28">
        <v>16</v>
      </c>
      <c r="B19" s="29" t="s">
        <v>238</v>
      </c>
      <c r="C19" s="30"/>
      <c r="D19" s="31" t="s">
        <v>16</v>
      </c>
      <c r="E19" s="25"/>
      <c r="F19" s="25"/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3">
        <f t="shared" si="0"/>
        <v>0</v>
      </c>
      <c r="AM19" s="34"/>
    </row>
    <row r="20" spans="1:39" x14ac:dyDescent="0.2">
      <c r="A20" s="28"/>
      <c r="B20" s="35" t="s">
        <v>114</v>
      </c>
      <c r="C20" s="36"/>
      <c r="D20" s="37" t="s">
        <v>16</v>
      </c>
      <c r="E20" s="38">
        <f>SUM(E4:E7)</f>
        <v>0</v>
      </c>
      <c r="F20" s="38">
        <f>SUM(F4:F7)</f>
        <v>0</v>
      </c>
      <c r="G20" s="38">
        <f t="shared" ref="G20:AB20" si="1">SUM(G4:G19)</f>
        <v>73.612000000000009</v>
      </c>
      <c r="H20" s="38">
        <f t="shared" si="1"/>
        <v>70.037000000000006</v>
      </c>
      <c r="I20" s="38">
        <f t="shared" si="1"/>
        <v>81.695000000000007</v>
      </c>
      <c r="J20" s="38">
        <f t="shared" si="1"/>
        <v>93.36699999999999</v>
      </c>
      <c r="K20" s="38">
        <f t="shared" si="1"/>
        <v>91.390999999999991</v>
      </c>
      <c r="L20" s="38">
        <f t="shared" si="1"/>
        <v>77.418999999999997</v>
      </c>
      <c r="M20" s="38">
        <f t="shared" si="1"/>
        <v>91.287999999999997</v>
      </c>
      <c r="N20" s="38">
        <f t="shared" si="1"/>
        <v>89.263000000000005</v>
      </c>
      <c r="O20" s="38">
        <f t="shared" si="1"/>
        <v>74.064999999999998</v>
      </c>
      <c r="P20" s="38">
        <f t="shared" si="1"/>
        <v>76.153999999999996</v>
      </c>
      <c r="Q20" s="38">
        <f t="shared" si="1"/>
        <v>81.346000000000004</v>
      </c>
      <c r="R20" s="38">
        <f t="shared" si="1"/>
        <v>87.244</v>
      </c>
      <c r="S20" s="38">
        <f t="shared" si="1"/>
        <v>62.819000000000003</v>
      </c>
      <c r="T20" s="38">
        <f t="shared" si="1"/>
        <v>72.13600000000001</v>
      </c>
      <c r="U20" s="38">
        <f t="shared" si="1"/>
        <v>76.054000000000002</v>
      </c>
      <c r="V20" s="38">
        <f t="shared" si="1"/>
        <v>85.549000000000007</v>
      </c>
      <c r="W20" s="38">
        <f t="shared" si="1"/>
        <v>87.335999999999999</v>
      </c>
      <c r="X20" s="38">
        <f t="shared" si="1"/>
        <v>81.408000000000001</v>
      </c>
      <c r="Y20" s="38">
        <f t="shared" si="1"/>
        <v>91.259</v>
      </c>
      <c r="Z20" s="38">
        <f t="shared" si="1"/>
        <v>107.508</v>
      </c>
      <c r="AA20" s="38">
        <f t="shared" si="1"/>
        <v>109.244</v>
      </c>
      <c r="AB20" s="38">
        <f t="shared" si="1"/>
        <v>98.385000000000019</v>
      </c>
      <c r="AC20" s="38">
        <f>SUM(AC4:AC19)</f>
        <v>88.33</v>
      </c>
      <c r="AD20" s="38">
        <f>SUM(AD4:AD19)</f>
        <v>83.313999999999993</v>
      </c>
      <c r="AE20" s="38">
        <f>SUM(AE4:AE19)</f>
        <v>87.265999999999991</v>
      </c>
      <c r="AF20" s="38">
        <f t="shared" ref="AF20:AK20" si="2">SUM(AF4:AF19)</f>
        <v>75.92</v>
      </c>
      <c r="AG20" s="38">
        <f t="shared" si="2"/>
        <v>62.193000000000012</v>
      </c>
      <c r="AH20" s="38">
        <f t="shared" si="2"/>
        <v>74.181000000000012</v>
      </c>
      <c r="AI20" s="38">
        <f t="shared" si="2"/>
        <v>77.908000000000001</v>
      </c>
      <c r="AJ20" s="38">
        <f t="shared" si="2"/>
        <v>85.289999999999992</v>
      </c>
      <c r="AK20" s="38">
        <f t="shared" si="2"/>
        <v>89.49199999999999</v>
      </c>
      <c r="AL20" s="33">
        <f t="shared" si="0"/>
        <v>2329.7830000000004</v>
      </c>
      <c r="AM20" s="34"/>
    </row>
    <row r="21" spans="1:39" ht="25" x14ac:dyDescent="0.25">
      <c r="A21" s="21" t="s">
        <v>115</v>
      </c>
      <c r="B21" s="39" t="s">
        <v>116</v>
      </c>
      <c r="C21" s="40"/>
      <c r="D21" s="40"/>
      <c r="E21" s="40"/>
      <c r="F21" s="40"/>
      <c r="G21" s="40"/>
      <c r="H21" s="196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41"/>
      <c r="AJ21" s="41"/>
      <c r="AK21" s="41"/>
      <c r="AL21" s="33">
        <f t="shared" si="0"/>
        <v>0</v>
      </c>
      <c r="AM21" s="34"/>
    </row>
    <row r="22" spans="1:39" x14ac:dyDescent="0.2">
      <c r="A22" s="28">
        <v>1</v>
      </c>
      <c r="B22" s="42" t="s">
        <v>117</v>
      </c>
      <c r="C22" s="30"/>
      <c r="D22" s="31" t="s">
        <v>118</v>
      </c>
      <c r="E22" s="25"/>
      <c r="F22" s="25"/>
      <c r="G22" s="25">
        <v>20</v>
      </c>
      <c r="H22" s="25">
        <v>0</v>
      </c>
      <c r="I22" s="25">
        <v>15</v>
      </c>
      <c r="J22" s="43">
        <v>30</v>
      </c>
      <c r="K22" s="43">
        <v>50</v>
      </c>
      <c r="L22" s="25">
        <v>70</v>
      </c>
      <c r="M22" s="25">
        <v>50</v>
      </c>
      <c r="N22" s="25">
        <v>20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50</v>
      </c>
      <c r="W22" s="25">
        <v>50</v>
      </c>
      <c r="X22" s="25">
        <v>100</v>
      </c>
      <c r="Y22" s="25">
        <v>50</v>
      </c>
      <c r="Z22" s="25">
        <v>50</v>
      </c>
      <c r="AA22" s="25">
        <v>100</v>
      </c>
      <c r="AB22" s="25">
        <v>50</v>
      </c>
      <c r="AC22" s="25">
        <v>50</v>
      </c>
      <c r="AD22" s="25">
        <v>80</v>
      </c>
      <c r="AE22" s="25">
        <v>170</v>
      </c>
      <c r="AF22" s="25">
        <v>80</v>
      </c>
      <c r="AG22" s="25">
        <v>0</v>
      </c>
      <c r="AH22" s="25">
        <v>0</v>
      </c>
      <c r="AI22" s="25">
        <v>20</v>
      </c>
      <c r="AJ22" s="25">
        <v>170</v>
      </c>
      <c r="AK22" s="25">
        <v>180</v>
      </c>
      <c r="AL22" s="33">
        <f t="shared" si="0"/>
        <v>1085</v>
      </c>
      <c r="AM22" s="34"/>
    </row>
    <row r="23" spans="1:39" x14ac:dyDescent="0.2">
      <c r="A23" s="28">
        <v>2</v>
      </c>
      <c r="B23" s="42" t="s">
        <v>119</v>
      </c>
      <c r="C23" s="30"/>
      <c r="D23" s="31" t="s">
        <v>118</v>
      </c>
      <c r="E23" s="25"/>
      <c r="F23" s="25"/>
      <c r="G23" s="25">
        <v>30</v>
      </c>
      <c r="H23" s="25">
        <v>30</v>
      </c>
      <c r="I23" s="25">
        <v>25</v>
      </c>
      <c r="J23" s="25">
        <v>20</v>
      </c>
      <c r="K23" s="25">
        <v>20</v>
      </c>
      <c r="L23" s="25">
        <v>15</v>
      </c>
      <c r="M23" s="25">
        <v>15</v>
      </c>
      <c r="N23" s="25">
        <v>15</v>
      </c>
      <c r="O23" s="25">
        <v>15</v>
      </c>
      <c r="P23" s="25">
        <v>20</v>
      </c>
      <c r="Q23" s="25">
        <v>20</v>
      </c>
      <c r="R23" s="25">
        <v>20</v>
      </c>
      <c r="S23" s="25">
        <v>20</v>
      </c>
      <c r="T23" s="25">
        <v>20</v>
      </c>
      <c r="U23" s="44">
        <v>20</v>
      </c>
      <c r="V23" s="25">
        <v>20</v>
      </c>
      <c r="W23" s="25">
        <v>20</v>
      </c>
      <c r="X23" s="25">
        <v>20</v>
      </c>
      <c r="Y23" s="25">
        <v>20</v>
      </c>
      <c r="Z23" s="25">
        <v>20</v>
      </c>
      <c r="AA23" s="25">
        <v>20</v>
      </c>
      <c r="AB23" s="25">
        <v>20</v>
      </c>
      <c r="AC23" s="25">
        <v>20</v>
      </c>
      <c r="AD23" s="25">
        <v>20</v>
      </c>
      <c r="AE23" s="25">
        <v>20</v>
      </c>
      <c r="AF23" s="25">
        <v>25</v>
      </c>
      <c r="AG23" s="25">
        <v>20</v>
      </c>
      <c r="AH23" s="25">
        <v>20</v>
      </c>
      <c r="AI23" s="25">
        <v>20</v>
      </c>
      <c r="AJ23" s="25">
        <v>20</v>
      </c>
      <c r="AK23" s="25">
        <v>20</v>
      </c>
      <c r="AL23" s="33">
        <f t="shared" si="0"/>
        <v>570</v>
      </c>
      <c r="AM23" s="34"/>
    </row>
    <row r="24" spans="1:39" x14ac:dyDescent="0.2">
      <c r="A24" s="28">
        <v>4</v>
      </c>
      <c r="B24" s="42" t="s">
        <v>221</v>
      </c>
      <c r="C24" s="30"/>
      <c r="D24" s="31" t="s">
        <v>118</v>
      </c>
      <c r="E24" s="25"/>
      <c r="F24" s="25"/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500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33">
        <f t="shared" si="0"/>
        <v>500</v>
      </c>
      <c r="AM24" s="34"/>
    </row>
    <row r="25" spans="1:39" x14ac:dyDescent="0.2">
      <c r="A25" s="28">
        <v>5</v>
      </c>
      <c r="B25" s="42" t="s">
        <v>120</v>
      </c>
      <c r="C25" s="30"/>
      <c r="D25" s="31" t="s">
        <v>118</v>
      </c>
      <c r="E25" s="25"/>
      <c r="F25" s="25"/>
      <c r="G25" s="25">
        <v>1</v>
      </c>
      <c r="H25" s="25">
        <v>15</v>
      </c>
      <c r="I25" s="25">
        <v>5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6</v>
      </c>
      <c r="P25" s="25">
        <v>5</v>
      </c>
      <c r="Q25" s="25">
        <v>0</v>
      </c>
      <c r="R25" s="25">
        <v>0</v>
      </c>
      <c r="S25" s="25">
        <v>13</v>
      </c>
      <c r="T25" s="44">
        <v>15</v>
      </c>
      <c r="U25" s="25">
        <v>5</v>
      </c>
      <c r="V25" s="25">
        <v>5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10</v>
      </c>
      <c r="AG25" s="25">
        <v>10</v>
      </c>
      <c r="AH25" s="25">
        <v>10</v>
      </c>
      <c r="AI25" s="25">
        <v>5</v>
      </c>
      <c r="AJ25" s="25">
        <v>0</v>
      </c>
      <c r="AK25" s="25">
        <v>0</v>
      </c>
      <c r="AL25" s="33">
        <f t="shared" si="0"/>
        <v>100</v>
      </c>
      <c r="AM25" s="34"/>
    </row>
    <row r="26" spans="1:39" x14ac:dyDescent="0.2">
      <c r="A26" s="28">
        <v>6</v>
      </c>
      <c r="B26" s="42" t="s">
        <v>121</v>
      </c>
      <c r="C26" s="30"/>
      <c r="D26" s="31" t="s">
        <v>118</v>
      </c>
      <c r="E26" s="25"/>
      <c r="F26" s="25"/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44">
        <v>0</v>
      </c>
      <c r="AJ26" s="44">
        <v>0</v>
      </c>
      <c r="AK26" s="44">
        <v>0</v>
      </c>
      <c r="AL26" s="33">
        <f t="shared" si="0"/>
        <v>0</v>
      </c>
      <c r="AM26" s="34"/>
    </row>
    <row r="27" spans="1:39" x14ac:dyDescent="0.2">
      <c r="A27" s="28">
        <v>7</v>
      </c>
      <c r="B27" s="42" t="s">
        <v>122</v>
      </c>
      <c r="C27" s="30"/>
      <c r="D27" s="31" t="s">
        <v>118</v>
      </c>
      <c r="E27" s="25"/>
      <c r="F27" s="25"/>
      <c r="G27" s="25">
        <v>12</v>
      </c>
      <c r="H27" s="25">
        <v>75</v>
      </c>
      <c r="I27" s="25">
        <v>73</v>
      </c>
      <c r="J27" s="25">
        <v>70</v>
      </c>
      <c r="K27" s="25">
        <v>15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70</v>
      </c>
      <c r="Y27" s="25">
        <v>90</v>
      </c>
      <c r="Z27" s="25">
        <v>60</v>
      </c>
      <c r="AA27" s="25">
        <v>60</v>
      </c>
      <c r="AB27" s="25">
        <v>60</v>
      </c>
      <c r="AC27" s="25">
        <v>40</v>
      </c>
      <c r="AD27" s="25">
        <v>60</v>
      </c>
      <c r="AE27" s="25">
        <v>70</v>
      </c>
      <c r="AF27" s="25">
        <v>20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33">
        <f t="shared" si="0"/>
        <v>775</v>
      </c>
      <c r="AM27" s="34"/>
    </row>
    <row r="28" spans="1:39" x14ac:dyDescent="0.2">
      <c r="A28" s="28">
        <v>9</v>
      </c>
      <c r="B28" s="42" t="s">
        <v>123</v>
      </c>
      <c r="C28" s="30"/>
      <c r="D28" s="31" t="s">
        <v>118</v>
      </c>
      <c r="E28" s="25"/>
      <c r="F28" s="25"/>
      <c r="G28" s="25">
        <v>0</v>
      </c>
      <c r="H28" s="25">
        <v>83</v>
      </c>
      <c r="I28" s="25">
        <v>60</v>
      </c>
      <c r="J28" s="25">
        <v>60</v>
      </c>
      <c r="K28" s="25">
        <v>10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10</v>
      </c>
      <c r="Y28" s="25">
        <v>30</v>
      </c>
      <c r="Z28" s="25">
        <v>50</v>
      </c>
      <c r="AA28" s="25">
        <v>30</v>
      </c>
      <c r="AB28" s="25">
        <v>50</v>
      </c>
      <c r="AC28" s="25">
        <v>70</v>
      </c>
      <c r="AD28" s="25">
        <v>30</v>
      </c>
      <c r="AE28" s="25">
        <v>80</v>
      </c>
      <c r="AF28" s="25">
        <v>70</v>
      </c>
      <c r="AG28" s="25">
        <v>30</v>
      </c>
      <c r="AH28" s="25">
        <v>0</v>
      </c>
      <c r="AI28" s="25">
        <v>0</v>
      </c>
      <c r="AJ28" s="25">
        <v>0</v>
      </c>
      <c r="AK28" s="25">
        <v>50</v>
      </c>
      <c r="AL28" s="33">
        <f t="shared" si="0"/>
        <v>663</v>
      </c>
      <c r="AM28" s="34"/>
    </row>
    <row r="29" spans="1:39" x14ac:dyDescent="0.2">
      <c r="A29" s="28">
        <v>10</v>
      </c>
      <c r="B29" s="42" t="s">
        <v>124</v>
      </c>
      <c r="C29" s="46"/>
      <c r="D29" s="31" t="s">
        <v>118</v>
      </c>
      <c r="E29" s="25"/>
      <c r="F29" s="25"/>
      <c r="G29" s="25">
        <v>5</v>
      </c>
      <c r="H29" s="25">
        <v>5</v>
      </c>
      <c r="I29" s="25">
        <v>5</v>
      </c>
      <c r="J29" s="25">
        <v>5</v>
      </c>
      <c r="K29" s="25">
        <v>5</v>
      </c>
      <c r="L29" s="25">
        <v>8</v>
      </c>
      <c r="M29" s="25">
        <v>6</v>
      </c>
      <c r="N29" s="25">
        <v>6</v>
      </c>
      <c r="O29" s="25">
        <v>6</v>
      </c>
      <c r="P29" s="25">
        <v>5</v>
      </c>
      <c r="Q29" s="25">
        <v>5</v>
      </c>
      <c r="R29" s="25">
        <v>5</v>
      </c>
      <c r="S29" s="25">
        <v>5</v>
      </c>
      <c r="T29" s="25">
        <v>5</v>
      </c>
      <c r="U29" s="25">
        <v>0</v>
      </c>
      <c r="V29" s="25">
        <v>4</v>
      </c>
      <c r="W29" s="25">
        <v>6</v>
      </c>
      <c r="X29" s="25">
        <v>5</v>
      </c>
      <c r="Y29" s="25">
        <v>9</v>
      </c>
      <c r="Z29" s="25">
        <v>8</v>
      </c>
      <c r="AA29" s="25">
        <v>10</v>
      </c>
      <c r="AB29" s="25">
        <v>10</v>
      </c>
      <c r="AC29" s="25">
        <v>5</v>
      </c>
      <c r="AD29" s="25">
        <v>5</v>
      </c>
      <c r="AE29" s="25">
        <v>5</v>
      </c>
      <c r="AF29" s="25">
        <v>5</v>
      </c>
      <c r="AG29" s="25">
        <v>5</v>
      </c>
      <c r="AH29" s="25">
        <v>5</v>
      </c>
      <c r="AI29" s="25">
        <v>5</v>
      </c>
      <c r="AJ29" s="25">
        <v>5</v>
      </c>
      <c r="AK29" s="25">
        <v>5</v>
      </c>
      <c r="AL29" s="33">
        <f t="shared" si="0"/>
        <v>158</v>
      </c>
      <c r="AM29" s="34"/>
    </row>
    <row r="30" spans="1:39" x14ac:dyDescent="0.2">
      <c r="A30" s="28">
        <v>11</v>
      </c>
      <c r="B30" s="42" t="s">
        <v>125</v>
      </c>
      <c r="C30" s="30"/>
      <c r="D30" s="31" t="s">
        <v>118</v>
      </c>
      <c r="E30" s="25"/>
      <c r="F30" s="25"/>
      <c r="G30" s="25">
        <v>5</v>
      </c>
      <c r="H30" s="25">
        <v>5</v>
      </c>
      <c r="I30" s="25">
        <v>5</v>
      </c>
      <c r="J30" s="25">
        <v>5</v>
      </c>
      <c r="K30" s="25">
        <v>5</v>
      </c>
      <c r="L30" s="25">
        <v>5</v>
      </c>
      <c r="M30" s="25">
        <v>5</v>
      </c>
      <c r="N30" s="25">
        <v>5</v>
      </c>
      <c r="O30" s="25">
        <v>5</v>
      </c>
      <c r="P30" s="25">
        <v>5</v>
      </c>
      <c r="Q30" s="25">
        <v>5</v>
      </c>
      <c r="R30" s="25">
        <v>5</v>
      </c>
      <c r="S30" s="25">
        <v>5</v>
      </c>
      <c r="T30" s="25">
        <v>5</v>
      </c>
      <c r="U30" s="25">
        <v>5</v>
      </c>
      <c r="V30" s="25">
        <v>5</v>
      </c>
      <c r="W30" s="25">
        <v>5</v>
      </c>
      <c r="X30" s="25">
        <v>5</v>
      </c>
      <c r="Y30" s="25">
        <v>5</v>
      </c>
      <c r="Z30" s="25">
        <v>5</v>
      </c>
      <c r="AA30" s="25">
        <v>5</v>
      </c>
      <c r="AB30" s="25">
        <v>5</v>
      </c>
      <c r="AC30" s="25">
        <v>5</v>
      </c>
      <c r="AD30" s="25">
        <v>5</v>
      </c>
      <c r="AE30" s="25">
        <v>5</v>
      </c>
      <c r="AF30" s="25">
        <v>5</v>
      </c>
      <c r="AG30" s="25">
        <v>5</v>
      </c>
      <c r="AH30" s="25">
        <v>5</v>
      </c>
      <c r="AI30" s="25">
        <v>5</v>
      </c>
      <c r="AJ30" s="25">
        <v>5</v>
      </c>
      <c r="AK30" s="25">
        <v>5</v>
      </c>
      <c r="AL30" s="33">
        <f t="shared" si="0"/>
        <v>140</v>
      </c>
      <c r="AM30" s="34"/>
    </row>
    <row r="31" spans="1:39" x14ac:dyDescent="0.2">
      <c r="A31" s="28">
        <v>12</v>
      </c>
      <c r="B31" s="42" t="s">
        <v>126</v>
      </c>
      <c r="C31" s="30"/>
      <c r="D31" s="31" t="s">
        <v>118</v>
      </c>
      <c r="E31" s="25"/>
      <c r="F31" s="25"/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44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33">
        <f t="shared" si="0"/>
        <v>0</v>
      </c>
      <c r="AM31" s="34"/>
    </row>
    <row r="32" spans="1:39" x14ac:dyDescent="0.2">
      <c r="A32" s="28">
        <v>13</v>
      </c>
      <c r="B32" s="42" t="s">
        <v>127</v>
      </c>
      <c r="C32" s="30"/>
      <c r="D32" s="31" t="s">
        <v>118</v>
      </c>
      <c r="E32" s="25"/>
      <c r="F32" s="25"/>
      <c r="G32" s="25">
        <v>1</v>
      </c>
      <c r="H32" s="25">
        <v>1</v>
      </c>
      <c r="I32" s="25">
        <v>1</v>
      </c>
      <c r="J32" s="25">
        <v>1</v>
      </c>
      <c r="K32" s="25">
        <v>1</v>
      </c>
      <c r="L32" s="25">
        <v>1</v>
      </c>
      <c r="M32" s="25">
        <v>1</v>
      </c>
      <c r="N32" s="25">
        <v>1</v>
      </c>
      <c r="O32" s="25">
        <v>1</v>
      </c>
      <c r="P32" s="25">
        <v>1</v>
      </c>
      <c r="Q32" s="25">
        <v>1</v>
      </c>
      <c r="R32" s="25">
        <v>1</v>
      </c>
      <c r="S32" s="25">
        <v>1</v>
      </c>
      <c r="T32" s="25">
        <v>1</v>
      </c>
      <c r="U32" s="25">
        <v>1</v>
      </c>
      <c r="V32" s="25">
        <v>1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25">
        <v>1</v>
      </c>
      <c r="AI32" s="25">
        <v>1</v>
      </c>
      <c r="AJ32" s="25">
        <v>1</v>
      </c>
      <c r="AK32" s="25">
        <v>0</v>
      </c>
      <c r="AL32" s="33">
        <f t="shared" si="0"/>
        <v>28</v>
      </c>
      <c r="AM32" s="34"/>
    </row>
    <row r="33" spans="1:41" x14ac:dyDescent="0.2">
      <c r="A33" s="28">
        <v>14</v>
      </c>
      <c r="B33" s="42" t="s">
        <v>128</v>
      </c>
      <c r="C33" s="30"/>
      <c r="D33" s="31" t="s">
        <v>118</v>
      </c>
      <c r="E33" s="25"/>
      <c r="F33" s="25"/>
      <c r="G33" s="25">
        <v>0</v>
      </c>
      <c r="H33" s="44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33">
        <f t="shared" si="0"/>
        <v>0</v>
      </c>
      <c r="AM33" s="34"/>
    </row>
    <row r="34" spans="1:41" x14ac:dyDescent="0.2">
      <c r="A34" s="28">
        <v>15</v>
      </c>
      <c r="B34" s="42" t="s">
        <v>129</v>
      </c>
      <c r="C34" s="46"/>
      <c r="D34" s="31" t="s">
        <v>118</v>
      </c>
      <c r="E34" s="25"/>
      <c r="F34" s="25"/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33">
        <f t="shared" si="0"/>
        <v>0</v>
      </c>
      <c r="AN34" s="27"/>
      <c r="AO34" s="34"/>
    </row>
    <row r="35" spans="1:41" x14ac:dyDescent="0.2">
      <c r="A35" s="28">
        <v>16</v>
      </c>
      <c r="B35" s="42" t="s">
        <v>130</v>
      </c>
      <c r="C35" s="30"/>
      <c r="D35" s="31" t="s">
        <v>118</v>
      </c>
      <c r="E35" s="25"/>
      <c r="F35" s="25"/>
      <c r="G35" s="25">
        <v>1</v>
      </c>
      <c r="H35" s="25">
        <v>1</v>
      </c>
      <c r="I35" s="25">
        <v>1</v>
      </c>
      <c r="J35" s="25">
        <v>1</v>
      </c>
      <c r="K35" s="25">
        <v>1</v>
      </c>
      <c r="L35" s="25">
        <v>1</v>
      </c>
      <c r="M35" s="25">
        <v>1</v>
      </c>
      <c r="N35" s="25">
        <v>1</v>
      </c>
      <c r="O35" s="25">
        <v>1</v>
      </c>
      <c r="P35" s="25">
        <v>1</v>
      </c>
      <c r="Q35" s="25">
        <v>1</v>
      </c>
      <c r="R35" s="25">
        <v>1</v>
      </c>
      <c r="S35" s="25">
        <v>1</v>
      </c>
      <c r="T35" s="25">
        <v>1</v>
      </c>
      <c r="U35" s="25">
        <v>1</v>
      </c>
      <c r="V35" s="25">
        <v>1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25">
        <v>1</v>
      </c>
      <c r="AI35" s="25">
        <v>1</v>
      </c>
      <c r="AJ35" s="25">
        <v>1</v>
      </c>
      <c r="AK35" s="25">
        <v>0</v>
      </c>
      <c r="AL35" s="33">
        <f t="shared" si="0"/>
        <v>28</v>
      </c>
      <c r="AN35" s="27"/>
      <c r="AO35" s="34"/>
    </row>
    <row r="36" spans="1:41" x14ac:dyDescent="0.2">
      <c r="A36" s="28">
        <v>17</v>
      </c>
      <c r="B36" s="42" t="s">
        <v>131</v>
      </c>
      <c r="C36" s="30"/>
      <c r="D36" s="31" t="s">
        <v>118</v>
      </c>
      <c r="E36" s="25"/>
      <c r="F36" s="25"/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33">
        <f t="shared" ref="AL36:AL56" si="3">SUM(G36:AH36)</f>
        <v>0</v>
      </c>
      <c r="AN36" s="27"/>
      <c r="AO36" s="34"/>
    </row>
    <row r="37" spans="1:41" x14ac:dyDescent="0.2">
      <c r="A37" s="28">
        <v>18</v>
      </c>
      <c r="B37" s="42" t="s">
        <v>132</v>
      </c>
      <c r="C37" s="30"/>
      <c r="D37" s="31" t="s">
        <v>118</v>
      </c>
      <c r="E37" s="25"/>
      <c r="F37" s="25"/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33">
        <f t="shared" si="3"/>
        <v>0</v>
      </c>
      <c r="AN37" s="27"/>
      <c r="AO37" s="34"/>
    </row>
    <row r="38" spans="1:41" x14ac:dyDescent="0.2">
      <c r="A38" s="28">
        <v>19</v>
      </c>
      <c r="B38" s="42" t="s">
        <v>133</v>
      </c>
      <c r="C38" s="46"/>
      <c r="D38" s="31" t="s">
        <v>118</v>
      </c>
      <c r="E38" s="25"/>
      <c r="F38" s="25"/>
      <c r="G38" s="25">
        <v>4</v>
      </c>
      <c r="H38" s="25">
        <v>4</v>
      </c>
      <c r="I38" s="25">
        <v>6</v>
      </c>
      <c r="J38" s="25">
        <v>5</v>
      </c>
      <c r="K38" s="25">
        <v>4</v>
      </c>
      <c r="L38" s="25">
        <v>4</v>
      </c>
      <c r="M38" s="25">
        <v>3</v>
      </c>
      <c r="N38" s="25">
        <v>4</v>
      </c>
      <c r="O38" s="25">
        <v>4</v>
      </c>
      <c r="P38" s="25">
        <v>3</v>
      </c>
      <c r="Q38" s="25">
        <v>4</v>
      </c>
      <c r="R38" s="25">
        <v>4</v>
      </c>
      <c r="S38" s="25">
        <v>4</v>
      </c>
      <c r="T38" s="25">
        <v>5</v>
      </c>
      <c r="U38" s="25">
        <v>5</v>
      </c>
      <c r="V38" s="25">
        <v>4</v>
      </c>
      <c r="W38" s="25">
        <v>4</v>
      </c>
      <c r="X38" s="25">
        <v>4</v>
      </c>
      <c r="Y38" s="25">
        <v>6</v>
      </c>
      <c r="Z38" s="25">
        <v>5</v>
      </c>
      <c r="AA38" s="25">
        <v>1</v>
      </c>
      <c r="AB38" s="25">
        <v>0</v>
      </c>
      <c r="AC38" s="25">
        <v>1</v>
      </c>
      <c r="AD38" s="25">
        <v>3</v>
      </c>
      <c r="AE38" s="25">
        <v>3</v>
      </c>
      <c r="AF38" s="25">
        <v>3</v>
      </c>
      <c r="AG38" s="25">
        <v>3</v>
      </c>
      <c r="AH38" s="25">
        <v>3</v>
      </c>
      <c r="AI38" s="25">
        <v>3</v>
      </c>
      <c r="AJ38" s="25">
        <v>3</v>
      </c>
      <c r="AK38" s="25">
        <v>3</v>
      </c>
      <c r="AL38" s="33">
        <f t="shared" si="3"/>
        <v>103</v>
      </c>
      <c r="AN38" s="27"/>
      <c r="AO38" s="34"/>
    </row>
    <row r="39" spans="1:41" x14ac:dyDescent="0.2">
      <c r="A39" s="28">
        <v>20</v>
      </c>
      <c r="B39" s="42" t="s">
        <v>134</v>
      </c>
      <c r="C39" s="46"/>
      <c r="D39" s="31" t="s">
        <v>118</v>
      </c>
      <c r="E39" s="25"/>
      <c r="F39" s="25"/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33">
        <f t="shared" si="3"/>
        <v>0</v>
      </c>
      <c r="AN39" s="27"/>
      <c r="AO39" s="34"/>
    </row>
    <row r="40" spans="1:41" x14ac:dyDescent="0.2">
      <c r="A40" s="28">
        <v>21</v>
      </c>
      <c r="B40" s="42" t="s">
        <v>135</v>
      </c>
      <c r="C40" s="30"/>
      <c r="D40" s="31" t="s">
        <v>118</v>
      </c>
      <c r="E40" s="25"/>
      <c r="F40" s="25"/>
      <c r="G40" s="25">
        <v>25</v>
      </c>
      <c r="H40" s="25">
        <v>25</v>
      </c>
      <c r="I40" s="25">
        <v>25</v>
      </c>
      <c r="J40" s="25">
        <v>25</v>
      </c>
      <c r="K40" s="25">
        <v>25</v>
      </c>
      <c r="L40" s="25">
        <v>20</v>
      </c>
      <c r="M40" s="25">
        <v>25</v>
      </c>
      <c r="N40" s="25">
        <v>25</v>
      </c>
      <c r="O40" s="25">
        <v>30</v>
      </c>
      <c r="P40" s="25">
        <v>30</v>
      </c>
      <c r="Q40" s="25">
        <v>25</v>
      </c>
      <c r="R40" s="25">
        <v>25</v>
      </c>
      <c r="S40" s="25">
        <v>25</v>
      </c>
      <c r="T40" s="25">
        <v>25</v>
      </c>
      <c r="U40" s="25">
        <v>30</v>
      </c>
      <c r="V40" s="25">
        <v>25</v>
      </c>
      <c r="W40" s="25">
        <v>30</v>
      </c>
      <c r="X40" s="25">
        <v>25</v>
      </c>
      <c r="Y40" s="25">
        <v>25</v>
      </c>
      <c r="Z40" s="25">
        <v>25</v>
      </c>
      <c r="AA40" s="25">
        <v>5</v>
      </c>
      <c r="AB40" s="25">
        <v>0</v>
      </c>
      <c r="AC40" s="25">
        <v>5</v>
      </c>
      <c r="AD40" s="25">
        <v>25</v>
      </c>
      <c r="AE40" s="25">
        <v>25</v>
      </c>
      <c r="AF40" s="25">
        <v>25</v>
      </c>
      <c r="AG40" s="25">
        <v>25</v>
      </c>
      <c r="AH40" s="25">
        <v>25</v>
      </c>
      <c r="AI40" s="25">
        <v>25</v>
      </c>
      <c r="AJ40" s="25">
        <v>25</v>
      </c>
      <c r="AK40" s="25">
        <v>25</v>
      </c>
      <c r="AL40" s="33">
        <f t="shared" si="3"/>
        <v>650</v>
      </c>
      <c r="AN40" s="47"/>
      <c r="AO40" s="34"/>
    </row>
    <row r="41" spans="1:41" x14ac:dyDescent="0.2">
      <c r="A41" s="28">
        <v>22</v>
      </c>
      <c r="B41" s="42" t="s">
        <v>136</v>
      </c>
      <c r="C41" s="30"/>
      <c r="D41" s="31" t="s">
        <v>118</v>
      </c>
      <c r="E41" s="25"/>
      <c r="F41" s="25"/>
      <c r="G41" s="25">
        <v>15</v>
      </c>
      <c r="H41" s="25">
        <v>15</v>
      </c>
      <c r="I41" s="25">
        <v>15</v>
      </c>
      <c r="J41" s="25">
        <v>15</v>
      </c>
      <c r="K41" s="25">
        <v>15</v>
      </c>
      <c r="L41" s="25">
        <v>10</v>
      </c>
      <c r="M41" s="25">
        <v>10</v>
      </c>
      <c r="N41" s="25">
        <v>10</v>
      </c>
      <c r="O41" s="25">
        <v>10</v>
      </c>
      <c r="P41" s="25">
        <v>10</v>
      </c>
      <c r="Q41" s="25">
        <v>10</v>
      </c>
      <c r="R41" s="25">
        <v>10</v>
      </c>
      <c r="S41" s="25">
        <v>10</v>
      </c>
      <c r="T41" s="25">
        <v>10</v>
      </c>
      <c r="U41" s="25">
        <v>10</v>
      </c>
      <c r="V41" s="25">
        <v>10</v>
      </c>
      <c r="W41" s="25">
        <v>10</v>
      </c>
      <c r="X41" s="25">
        <v>10</v>
      </c>
      <c r="Y41" s="25">
        <v>10</v>
      </c>
      <c r="Z41" s="25">
        <v>10</v>
      </c>
      <c r="AA41" s="25">
        <v>10</v>
      </c>
      <c r="AB41" s="25">
        <v>10</v>
      </c>
      <c r="AC41" s="25">
        <v>10</v>
      </c>
      <c r="AD41" s="25">
        <v>10</v>
      </c>
      <c r="AE41" s="25">
        <v>10</v>
      </c>
      <c r="AF41" s="25">
        <v>10</v>
      </c>
      <c r="AG41" s="25">
        <v>10</v>
      </c>
      <c r="AH41" s="25">
        <v>10</v>
      </c>
      <c r="AI41" s="25">
        <v>10</v>
      </c>
      <c r="AJ41" s="25">
        <v>10</v>
      </c>
      <c r="AK41" s="25">
        <v>10</v>
      </c>
      <c r="AL41" s="33">
        <f t="shared" si="3"/>
        <v>305</v>
      </c>
      <c r="AN41" s="47"/>
      <c r="AO41" s="34"/>
    </row>
    <row r="42" spans="1:41" x14ac:dyDescent="0.2">
      <c r="A42" s="28">
        <v>23</v>
      </c>
      <c r="B42" s="42" t="s">
        <v>137</v>
      </c>
      <c r="C42" s="30"/>
      <c r="D42" s="31" t="s">
        <v>118</v>
      </c>
      <c r="E42" s="25"/>
      <c r="F42" s="25"/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33">
        <f t="shared" si="3"/>
        <v>0</v>
      </c>
      <c r="AN42" s="47"/>
      <c r="AO42" s="34"/>
    </row>
    <row r="43" spans="1:41" x14ac:dyDescent="0.2">
      <c r="A43" s="28">
        <v>24</v>
      </c>
      <c r="B43" s="42" t="s">
        <v>138</v>
      </c>
      <c r="C43" s="30"/>
      <c r="D43" s="31" t="s">
        <v>118</v>
      </c>
      <c r="E43" s="25"/>
      <c r="F43" s="25"/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33">
        <f t="shared" si="3"/>
        <v>0</v>
      </c>
      <c r="AN43" s="47"/>
      <c r="AO43" s="34"/>
    </row>
    <row r="44" spans="1:41" x14ac:dyDescent="0.2">
      <c r="A44" s="28">
        <v>25</v>
      </c>
      <c r="B44" s="42" t="s">
        <v>139</v>
      </c>
      <c r="C44" s="30"/>
      <c r="D44" s="31" t="s">
        <v>118</v>
      </c>
      <c r="E44" s="25"/>
      <c r="F44" s="25"/>
      <c r="G44" s="25">
        <v>100</v>
      </c>
      <c r="H44" s="25">
        <v>100</v>
      </c>
      <c r="I44" s="25">
        <v>50</v>
      </c>
      <c r="J44" s="25">
        <v>50</v>
      </c>
      <c r="K44" s="25">
        <v>100</v>
      </c>
      <c r="L44" s="25">
        <v>200</v>
      </c>
      <c r="M44" s="25">
        <v>100</v>
      </c>
      <c r="N44" s="25">
        <v>50</v>
      </c>
      <c r="O44" s="25">
        <v>100</v>
      </c>
      <c r="P44" s="25">
        <v>100</v>
      </c>
      <c r="Q44" s="25">
        <v>100</v>
      </c>
      <c r="R44" s="25">
        <v>50</v>
      </c>
      <c r="S44" s="25">
        <v>100</v>
      </c>
      <c r="T44" s="25">
        <v>50</v>
      </c>
      <c r="U44" s="25">
        <v>50</v>
      </c>
      <c r="V44" s="25">
        <v>50</v>
      </c>
      <c r="W44" s="25">
        <v>100</v>
      </c>
      <c r="X44" s="25">
        <v>150</v>
      </c>
      <c r="Y44" s="25">
        <v>150</v>
      </c>
      <c r="Z44" s="25">
        <v>150</v>
      </c>
      <c r="AA44" s="25">
        <v>100</v>
      </c>
      <c r="AB44" s="25">
        <v>100</v>
      </c>
      <c r="AC44" s="25">
        <v>100</v>
      </c>
      <c r="AD44" s="25">
        <v>50</v>
      </c>
      <c r="AE44" s="25">
        <v>50</v>
      </c>
      <c r="AF44" s="25">
        <v>50</v>
      </c>
      <c r="AG44" s="25">
        <v>50</v>
      </c>
      <c r="AH44" s="25">
        <v>50</v>
      </c>
      <c r="AI44" s="25">
        <v>50</v>
      </c>
      <c r="AJ44" s="25">
        <v>50</v>
      </c>
      <c r="AK44" s="25">
        <v>50</v>
      </c>
      <c r="AL44" s="33">
        <f t="shared" si="3"/>
        <v>2450</v>
      </c>
      <c r="AN44" s="47"/>
      <c r="AO44" s="34"/>
    </row>
    <row r="45" spans="1:41" x14ac:dyDescent="0.2">
      <c r="A45" s="28">
        <v>26</v>
      </c>
      <c r="B45" s="42" t="s">
        <v>140</v>
      </c>
      <c r="C45" s="30"/>
      <c r="D45" s="31" t="s">
        <v>118</v>
      </c>
      <c r="E45" s="25"/>
      <c r="F45" s="25"/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50</v>
      </c>
      <c r="N45" s="25">
        <v>10</v>
      </c>
      <c r="O45" s="25">
        <v>10</v>
      </c>
      <c r="P45" s="25">
        <v>10</v>
      </c>
      <c r="Q45" s="25">
        <v>10</v>
      </c>
      <c r="R45" s="25">
        <v>10</v>
      </c>
      <c r="S45" s="25">
        <v>10</v>
      </c>
      <c r="T45" s="25">
        <v>10</v>
      </c>
      <c r="U45" s="25">
        <v>5</v>
      </c>
      <c r="V45" s="25">
        <v>5</v>
      </c>
      <c r="W45" s="25">
        <v>5</v>
      </c>
      <c r="X45" s="25">
        <v>25</v>
      </c>
      <c r="Y45" s="25">
        <v>25</v>
      </c>
      <c r="Z45" s="25">
        <v>25</v>
      </c>
      <c r="AA45" s="25">
        <v>10</v>
      </c>
      <c r="AB45" s="25">
        <v>10</v>
      </c>
      <c r="AC45" s="25">
        <v>5</v>
      </c>
      <c r="AD45" s="25">
        <v>5</v>
      </c>
      <c r="AE45" s="25">
        <v>5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33">
        <f t="shared" si="3"/>
        <v>245</v>
      </c>
      <c r="AN45" s="47"/>
      <c r="AO45" s="34"/>
    </row>
    <row r="46" spans="1:41" x14ac:dyDescent="0.2">
      <c r="A46" s="28">
        <v>27</v>
      </c>
      <c r="B46" s="42" t="s">
        <v>141</v>
      </c>
      <c r="C46" s="30"/>
      <c r="D46" s="31" t="s">
        <v>118</v>
      </c>
      <c r="E46" s="25"/>
      <c r="F46" s="25"/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10</v>
      </c>
      <c r="N46" s="25">
        <v>10</v>
      </c>
      <c r="O46" s="25">
        <v>10</v>
      </c>
      <c r="P46" s="25">
        <v>10</v>
      </c>
      <c r="Q46" s="25">
        <v>10</v>
      </c>
      <c r="R46" s="25">
        <v>10</v>
      </c>
      <c r="S46" s="25">
        <v>10</v>
      </c>
      <c r="T46" s="25">
        <v>10</v>
      </c>
      <c r="U46" s="25">
        <v>5</v>
      </c>
      <c r="V46" s="25">
        <v>5</v>
      </c>
      <c r="W46" s="25">
        <v>5</v>
      </c>
      <c r="X46" s="25">
        <v>10</v>
      </c>
      <c r="Y46" s="25">
        <v>10</v>
      </c>
      <c r="Z46" s="25">
        <v>10</v>
      </c>
      <c r="AA46" s="25">
        <v>10</v>
      </c>
      <c r="AB46" s="25">
        <v>5</v>
      </c>
      <c r="AC46" s="25">
        <v>5</v>
      </c>
      <c r="AD46" s="25">
        <v>5</v>
      </c>
      <c r="AE46" s="25">
        <v>5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33">
        <f t="shared" si="3"/>
        <v>155</v>
      </c>
      <c r="AN46" s="47"/>
      <c r="AO46" s="34"/>
    </row>
    <row r="47" spans="1:41" x14ac:dyDescent="0.2">
      <c r="A47" s="28">
        <v>28</v>
      </c>
      <c r="B47" s="42" t="s">
        <v>230</v>
      </c>
      <c r="C47" s="30"/>
      <c r="D47" s="138" t="s">
        <v>118</v>
      </c>
      <c r="E47" s="139"/>
      <c r="F47" s="139"/>
      <c r="G47" s="150">
        <v>3.85</v>
      </c>
      <c r="H47" s="25">
        <v>3.5</v>
      </c>
      <c r="I47" s="25">
        <v>4.2</v>
      </c>
      <c r="J47" s="150">
        <v>5.15</v>
      </c>
      <c r="K47" s="25">
        <v>5.5</v>
      </c>
      <c r="L47" s="25">
        <v>7.6</v>
      </c>
      <c r="M47" s="25">
        <v>8.1</v>
      </c>
      <c r="N47" s="25">
        <v>5.9</v>
      </c>
      <c r="O47" s="25">
        <v>5.9</v>
      </c>
      <c r="P47" s="25">
        <v>5.4</v>
      </c>
      <c r="Q47" s="25">
        <v>6</v>
      </c>
      <c r="R47" s="25">
        <v>6.4</v>
      </c>
      <c r="S47" s="25">
        <v>4.4000000000000004</v>
      </c>
      <c r="T47" s="150">
        <v>4.3</v>
      </c>
      <c r="U47" s="150">
        <v>4.4000000000000004</v>
      </c>
      <c r="V47" s="150">
        <v>6</v>
      </c>
      <c r="W47" s="25">
        <v>7</v>
      </c>
      <c r="X47" s="25">
        <v>5.7</v>
      </c>
      <c r="Y47" s="150">
        <v>6.5</v>
      </c>
      <c r="Z47" s="150">
        <v>7.4</v>
      </c>
      <c r="AA47" s="150">
        <v>6.5</v>
      </c>
      <c r="AB47" s="25">
        <v>6.2</v>
      </c>
      <c r="AC47" s="150">
        <v>5.8</v>
      </c>
      <c r="AD47" s="150">
        <v>4.9000000000000004</v>
      </c>
      <c r="AE47" s="150">
        <v>5.0999999999999996</v>
      </c>
      <c r="AF47" s="150">
        <v>5.2</v>
      </c>
      <c r="AG47" s="25">
        <v>3.9</v>
      </c>
      <c r="AH47" s="150">
        <v>4.5999999999999996</v>
      </c>
      <c r="AI47" s="150">
        <v>5.5</v>
      </c>
      <c r="AJ47" s="150">
        <v>5</v>
      </c>
      <c r="AK47" s="150">
        <v>5.9</v>
      </c>
      <c r="AL47" s="33">
        <f t="shared" si="3"/>
        <v>155.4</v>
      </c>
      <c r="AN47" s="47"/>
      <c r="AO47" s="34"/>
    </row>
    <row r="48" spans="1:41" x14ac:dyDescent="0.2">
      <c r="A48" s="28">
        <v>29</v>
      </c>
      <c r="B48" s="42" t="s">
        <v>231</v>
      </c>
      <c r="C48" s="30"/>
      <c r="D48" s="138" t="s">
        <v>118</v>
      </c>
      <c r="E48" s="139"/>
      <c r="F48" s="139"/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60</v>
      </c>
      <c r="AG48" s="25">
        <v>70</v>
      </c>
      <c r="AH48" s="25">
        <v>70</v>
      </c>
      <c r="AI48" s="25">
        <v>110</v>
      </c>
      <c r="AJ48" s="25">
        <v>90</v>
      </c>
      <c r="AK48" s="25">
        <v>80</v>
      </c>
      <c r="AL48" s="33">
        <f t="shared" si="3"/>
        <v>200</v>
      </c>
      <c r="AN48" s="47"/>
      <c r="AO48" s="34"/>
    </row>
    <row r="49" spans="1:41" x14ac:dyDescent="0.2">
      <c r="A49" s="28">
        <v>30</v>
      </c>
      <c r="B49" s="42" t="s">
        <v>232</v>
      </c>
      <c r="C49" s="30"/>
      <c r="D49" s="138" t="s">
        <v>118</v>
      </c>
      <c r="E49" s="139"/>
      <c r="F49" s="139"/>
      <c r="G49" s="25">
        <v>330</v>
      </c>
      <c r="H49" s="25">
        <v>300</v>
      </c>
      <c r="I49" s="25">
        <v>420</v>
      </c>
      <c r="J49" s="25">
        <v>400</v>
      </c>
      <c r="K49" s="25">
        <v>630</v>
      </c>
      <c r="L49" s="25">
        <v>700</v>
      </c>
      <c r="M49" s="25">
        <v>600</v>
      </c>
      <c r="N49" s="25">
        <v>400</v>
      </c>
      <c r="O49" s="25">
        <v>20</v>
      </c>
      <c r="P49" s="25">
        <v>320</v>
      </c>
      <c r="Q49" s="25">
        <v>350</v>
      </c>
      <c r="R49" s="25">
        <v>400</v>
      </c>
      <c r="S49" s="25">
        <v>300</v>
      </c>
      <c r="T49" s="25">
        <v>200</v>
      </c>
      <c r="U49" s="25">
        <v>0</v>
      </c>
      <c r="V49" s="25">
        <v>250</v>
      </c>
      <c r="W49" s="25">
        <v>700</v>
      </c>
      <c r="X49" s="25">
        <v>1100</v>
      </c>
      <c r="Y49" s="25">
        <v>1100</v>
      </c>
      <c r="Z49" s="25">
        <v>1200</v>
      </c>
      <c r="AA49" s="25">
        <v>1350</v>
      </c>
      <c r="AB49" s="25">
        <v>1100</v>
      </c>
      <c r="AC49" s="25">
        <v>750</v>
      </c>
      <c r="AD49" s="25">
        <v>650</v>
      </c>
      <c r="AE49" s="25">
        <v>550</v>
      </c>
      <c r="AF49" s="25">
        <v>500</v>
      </c>
      <c r="AG49" s="25">
        <v>350</v>
      </c>
      <c r="AH49" s="25">
        <v>360</v>
      </c>
      <c r="AI49" s="25">
        <v>100</v>
      </c>
      <c r="AJ49" s="25">
        <v>580</v>
      </c>
      <c r="AK49" s="25">
        <v>500</v>
      </c>
      <c r="AL49" s="33">
        <f t="shared" si="3"/>
        <v>15330</v>
      </c>
      <c r="AN49" s="47"/>
      <c r="AO49" s="34"/>
    </row>
    <row r="50" spans="1:41" x14ac:dyDescent="0.2">
      <c r="A50" s="28">
        <v>31</v>
      </c>
      <c r="B50" s="42" t="s">
        <v>234</v>
      </c>
      <c r="C50" s="30"/>
      <c r="D50" s="138" t="s">
        <v>118</v>
      </c>
      <c r="E50" s="139"/>
      <c r="F50" s="139"/>
      <c r="G50" s="25">
        <v>70</v>
      </c>
      <c r="H50" s="25">
        <v>0</v>
      </c>
      <c r="I50" s="25">
        <v>60</v>
      </c>
      <c r="J50" s="25">
        <v>130</v>
      </c>
      <c r="K50" s="25">
        <v>210</v>
      </c>
      <c r="L50" s="25">
        <v>230</v>
      </c>
      <c r="M50" s="25">
        <v>150</v>
      </c>
      <c r="N50" s="25">
        <v>110</v>
      </c>
      <c r="O50" s="25">
        <v>0</v>
      </c>
      <c r="P50" s="25">
        <v>20</v>
      </c>
      <c r="Q50" s="25">
        <v>150</v>
      </c>
      <c r="R50" s="25">
        <v>140</v>
      </c>
      <c r="S50" s="25">
        <v>15</v>
      </c>
      <c r="T50" s="25">
        <v>0</v>
      </c>
      <c r="U50" s="25">
        <v>0</v>
      </c>
      <c r="V50" s="25">
        <v>60</v>
      </c>
      <c r="W50" s="25">
        <v>110</v>
      </c>
      <c r="X50" s="25">
        <v>150</v>
      </c>
      <c r="Y50" s="25">
        <v>200</v>
      </c>
      <c r="Z50" s="25">
        <v>200</v>
      </c>
      <c r="AA50" s="25">
        <v>200</v>
      </c>
      <c r="AB50" s="25">
        <v>180</v>
      </c>
      <c r="AC50" s="25">
        <v>100</v>
      </c>
      <c r="AD50" s="25">
        <v>60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184">
        <f t="shared" si="3"/>
        <v>2545</v>
      </c>
      <c r="AN50" s="47"/>
      <c r="AO50" s="34"/>
    </row>
    <row r="51" spans="1:41" x14ac:dyDescent="0.2">
      <c r="A51" s="28">
        <v>32</v>
      </c>
      <c r="B51" s="42" t="s">
        <v>242</v>
      </c>
      <c r="C51" s="30"/>
      <c r="D51" s="138" t="s">
        <v>118</v>
      </c>
      <c r="E51" s="139"/>
      <c r="F51" s="139"/>
      <c r="G51" s="25">
        <v>0</v>
      </c>
      <c r="H51" s="25">
        <v>0</v>
      </c>
      <c r="I51" s="25">
        <v>0</v>
      </c>
      <c r="J51" s="25">
        <v>0</v>
      </c>
      <c r="K51" s="25">
        <v>50</v>
      </c>
      <c r="L51" s="25">
        <v>130</v>
      </c>
      <c r="M51" s="25">
        <v>75</v>
      </c>
      <c r="N51" s="25">
        <v>60</v>
      </c>
      <c r="O51" s="25">
        <v>45</v>
      </c>
      <c r="P51" s="25">
        <v>42</v>
      </c>
      <c r="Q51" s="25">
        <v>35</v>
      </c>
      <c r="R51" s="25">
        <v>35</v>
      </c>
      <c r="S51" s="25">
        <v>42</v>
      </c>
      <c r="T51" s="25">
        <v>50</v>
      </c>
      <c r="U51" s="25">
        <v>50</v>
      </c>
      <c r="V51" s="25">
        <v>52</v>
      </c>
      <c r="W51" s="25">
        <v>50</v>
      </c>
      <c r="X51" s="25">
        <v>30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184">
        <f t="shared" si="3"/>
        <v>746</v>
      </c>
      <c r="AN51" s="47"/>
      <c r="AO51" s="34"/>
    </row>
    <row r="52" spans="1:41" x14ac:dyDescent="0.2">
      <c r="A52" s="28">
        <v>33</v>
      </c>
      <c r="B52" s="42" t="s">
        <v>243</v>
      </c>
      <c r="C52" s="30"/>
      <c r="D52" s="138" t="s">
        <v>118</v>
      </c>
      <c r="E52" s="139"/>
      <c r="F52" s="139"/>
      <c r="G52" s="25">
        <v>43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184">
        <f t="shared" si="3"/>
        <v>43</v>
      </c>
      <c r="AN52" s="47"/>
      <c r="AO52" s="34"/>
    </row>
    <row r="53" spans="1:41" x14ac:dyDescent="0.2">
      <c r="A53" s="28">
        <v>34</v>
      </c>
      <c r="B53" s="42" t="s">
        <v>244</v>
      </c>
      <c r="C53" s="30"/>
      <c r="D53" s="138" t="s">
        <v>118</v>
      </c>
      <c r="E53" s="139"/>
      <c r="F53" s="139"/>
      <c r="G53" s="25">
        <v>0</v>
      </c>
      <c r="H53" s="25">
        <v>0</v>
      </c>
      <c r="I53" s="25">
        <v>0</v>
      </c>
      <c r="J53" s="25">
        <v>0</v>
      </c>
      <c r="K53" s="25">
        <v>15</v>
      </c>
      <c r="L53" s="25">
        <v>20</v>
      </c>
      <c r="M53" s="25">
        <v>45</v>
      </c>
      <c r="N53" s="25">
        <v>60</v>
      </c>
      <c r="O53" s="25">
        <v>62</v>
      </c>
      <c r="P53" s="25">
        <v>62</v>
      </c>
      <c r="Q53" s="25">
        <v>42</v>
      </c>
      <c r="R53" s="25">
        <v>62</v>
      </c>
      <c r="S53" s="25">
        <v>74</v>
      </c>
      <c r="T53" s="25">
        <v>68</v>
      </c>
      <c r="U53" s="25">
        <v>62</v>
      </c>
      <c r="V53" s="25">
        <v>55</v>
      </c>
      <c r="W53" s="25">
        <v>65</v>
      </c>
      <c r="X53" s="25">
        <v>20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40</v>
      </c>
      <c r="AH53" s="25">
        <v>65</v>
      </c>
      <c r="AI53" s="25">
        <v>70</v>
      </c>
      <c r="AJ53" s="25">
        <v>80</v>
      </c>
      <c r="AK53" s="25">
        <v>80</v>
      </c>
      <c r="AL53" s="184">
        <f t="shared" si="3"/>
        <v>817</v>
      </c>
      <c r="AN53" s="47"/>
      <c r="AO53" s="34"/>
    </row>
    <row r="54" spans="1:41" x14ac:dyDescent="0.2">
      <c r="A54" s="28">
        <v>35</v>
      </c>
      <c r="B54" s="42" t="s">
        <v>245</v>
      </c>
      <c r="C54" s="30"/>
      <c r="D54" s="138" t="s">
        <v>118</v>
      </c>
      <c r="E54" s="139"/>
      <c r="F54" s="139"/>
      <c r="G54" s="25">
        <v>66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184">
        <f t="shared" si="3"/>
        <v>66</v>
      </c>
      <c r="AN54" s="47"/>
      <c r="AO54" s="34"/>
    </row>
    <row r="55" spans="1:41" x14ac:dyDescent="0.2">
      <c r="A55" s="28">
        <v>36</v>
      </c>
      <c r="B55" s="188" t="s">
        <v>279</v>
      </c>
      <c r="C55" s="30"/>
      <c r="D55" s="138" t="s">
        <v>118</v>
      </c>
      <c r="E55" s="139"/>
      <c r="F55" s="139"/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3</v>
      </c>
      <c r="AB55" s="25">
        <v>2</v>
      </c>
      <c r="AC55" s="25">
        <v>2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184">
        <f t="shared" si="3"/>
        <v>7</v>
      </c>
      <c r="AN55" s="47"/>
      <c r="AO55" s="34"/>
    </row>
    <row r="56" spans="1:41" ht="21" thickBot="1" x14ac:dyDescent="0.25">
      <c r="A56" s="28">
        <v>37</v>
      </c>
      <c r="B56" s="189" t="s">
        <v>280</v>
      </c>
      <c r="C56" s="30"/>
      <c r="D56" s="138" t="s">
        <v>118</v>
      </c>
      <c r="E56" s="139"/>
      <c r="F56" s="139"/>
      <c r="G56" s="190">
        <v>0</v>
      </c>
      <c r="H56" s="190">
        <v>0</v>
      </c>
      <c r="I56" s="190">
        <v>0</v>
      </c>
      <c r="J56" s="190">
        <v>0</v>
      </c>
      <c r="K56" s="190">
        <v>0</v>
      </c>
      <c r="L56" s="190">
        <v>0</v>
      </c>
      <c r="M56" s="190">
        <v>0</v>
      </c>
      <c r="N56" s="190">
        <v>0</v>
      </c>
      <c r="O56" s="190">
        <v>0</v>
      </c>
      <c r="P56" s="190">
        <v>0</v>
      </c>
      <c r="Q56" s="190">
        <v>0</v>
      </c>
      <c r="R56" s="190">
        <v>0</v>
      </c>
      <c r="S56" s="190">
        <v>0</v>
      </c>
      <c r="T56" s="190">
        <v>0</v>
      </c>
      <c r="U56" s="190">
        <v>0</v>
      </c>
      <c r="V56" s="190">
        <v>0</v>
      </c>
      <c r="W56" s="190">
        <v>0</v>
      </c>
      <c r="X56" s="190">
        <v>0</v>
      </c>
      <c r="Y56" s="190">
        <v>0</v>
      </c>
      <c r="Z56" s="190">
        <v>0</v>
      </c>
      <c r="AA56" s="190">
        <v>22</v>
      </c>
      <c r="AB56" s="190">
        <v>20</v>
      </c>
      <c r="AC56" s="190">
        <v>20</v>
      </c>
      <c r="AD56" s="190">
        <v>0</v>
      </c>
      <c r="AE56" s="190">
        <v>0</v>
      </c>
      <c r="AF56" s="190">
        <v>0</v>
      </c>
      <c r="AG56" s="190">
        <v>0</v>
      </c>
      <c r="AH56" s="190">
        <v>0</v>
      </c>
      <c r="AI56" s="190">
        <v>0</v>
      </c>
      <c r="AJ56" s="190">
        <v>0</v>
      </c>
      <c r="AK56" s="190">
        <v>0</v>
      </c>
      <c r="AL56" s="184">
        <f t="shared" si="3"/>
        <v>62</v>
      </c>
      <c r="AN56" s="47"/>
      <c r="AO56" s="34"/>
    </row>
    <row r="57" spans="1:41" x14ac:dyDescent="0.2">
      <c r="A57" s="28"/>
      <c r="B57" s="119" t="s">
        <v>222</v>
      </c>
      <c r="C57" s="30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N57" s="47"/>
      <c r="AO57" s="34"/>
    </row>
    <row r="58" spans="1:41" x14ac:dyDescent="0.2">
      <c r="A58" s="28">
        <v>28</v>
      </c>
      <c r="B58" s="42" t="s">
        <v>223</v>
      </c>
      <c r="C58" s="30"/>
      <c r="D58" s="31" t="s">
        <v>226</v>
      </c>
      <c r="E58" s="25"/>
      <c r="F58" s="25"/>
      <c r="G58" s="25">
        <v>402</v>
      </c>
      <c r="H58" s="25">
        <v>1005.5</v>
      </c>
      <c r="I58" s="25">
        <v>1135.5</v>
      </c>
      <c r="J58" s="25">
        <v>1143.5999999999999</v>
      </c>
      <c r="K58" s="25">
        <v>1005.6</v>
      </c>
      <c r="L58" s="25">
        <v>1033.2</v>
      </c>
      <c r="M58" s="25">
        <v>885.5</v>
      </c>
      <c r="N58" s="25">
        <v>880</v>
      </c>
      <c r="O58" s="25">
        <v>1050.5</v>
      </c>
      <c r="P58" s="25">
        <v>1115.5999999999999</v>
      </c>
      <c r="Q58" s="25">
        <v>725</v>
      </c>
      <c r="R58" s="25">
        <v>704</v>
      </c>
      <c r="S58" s="25">
        <v>836.2</v>
      </c>
      <c r="T58" s="25">
        <v>634.79999999999995</v>
      </c>
      <c r="U58" s="25">
        <v>1350.8</v>
      </c>
      <c r="V58" s="25">
        <v>745</v>
      </c>
      <c r="W58" s="25">
        <v>825</v>
      </c>
      <c r="X58" s="25">
        <v>665.5</v>
      </c>
      <c r="Y58" s="25">
        <v>980</v>
      </c>
      <c r="Z58" s="25">
        <v>952</v>
      </c>
      <c r="AA58" s="25">
        <v>1105.5</v>
      </c>
      <c r="AB58" s="25">
        <v>959.4</v>
      </c>
      <c r="AC58" s="25">
        <v>1180.8</v>
      </c>
      <c r="AD58" s="25">
        <v>1205.4000000000001</v>
      </c>
      <c r="AE58" s="25">
        <v>1066</v>
      </c>
      <c r="AF58" s="25">
        <v>906.6</v>
      </c>
      <c r="AG58" s="25">
        <v>735.1</v>
      </c>
      <c r="AH58" s="25">
        <v>884</v>
      </c>
      <c r="AI58" s="25">
        <v>1326.5</v>
      </c>
      <c r="AJ58" s="25">
        <v>934.8</v>
      </c>
      <c r="AK58" s="25">
        <v>2033.6</v>
      </c>
      <c r="AL58" s="33">
        <f>SUM(G58:AH58)</f>
        <v>26118.1</v>
      </c>
      <c r="AN58" s="47"/>
      <c r="AO58" s="34"/>
    </row>
    <row r="59" spans="1:41" x14ac:dyDescent="0.2">
      <c r="A59" s="28">
        <v>29</v>
      </c>
      <c r="B59" s="42" t="s">
        <v>224</v>
      </c>
      <c r="C59" s="30"/>
      <c r="D59" s="31" t="s">
        <v>227</v>
      </c>
      <c r="E59" s="25"/>
      <c r="F59" s="25"/>
      <c r="G59" s="25">
        <v>0</v>
      </c>
      <c r="H59" s="25">
        <v>0</v>
      </c>
      <c r="I59" s="25">
        <v>0</v>
      </c>
      <c r="J59" s="25">
        <v>0</v>
      </c>
      <c r="K59" s="25">
        <v>8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652</v>
      </c>
      <c r="R59" s="25">
        <v>148</v>
      </c>
      <c r="S59" s="25">
        <v>0</v>
      </c>
      <c r="T59" s="25">
        <v>0</v>
      </c>
      <c r="U59" s="25">
        <v>50</v>
      </c>
      <c r="V59" s="25">
        <v>12</v>
      </c>
      <c r="W59" s="25">
        <v>96</v>
      </c>
      <c r="X59" s="25">
        <v>60</v>
      </c>
      <c r="Y59" s="25">
        <v>52</v>
      </c>
      <c r="Z59" s="25">
        <v>248</v>
      </c>
      <c r="AA59" s="25">
        <v>238</v>
      </c>
      <c r="AB59" s="25">
        <v>104</v>
      </c>
      <c r="AC59" s="25">
        <v>0</v>
      </c>
      <c r="AD59" s="25">
        <v>22</v>
      </c>
      <c r="AE59" s="25">
        <v>0</v>
      </c>
      <c r="AF59" s="25">
        <v>0</v>
      </c>
      <c r="AG59" s="25">
        <v>0</v>
      </c>
      <c r="AH59" s="25">
        <v>0</v>
      </c>
      <c r="AI59" s="25">
        <v>16</v>
      </c>
      <c r="AJ59" s="25">
        <v>0</v>
      </c>
      <c r="AK59" s="25">
        <v>0</v>
      </c>
      <c r="AL59" s="33">
        <f>SUM(G59:AH59)</f>
        <v>1690</v>
      </c>
      <c r="AN59" s="47"/>
      <c r="AO59" s="34"/>
    </row>
    <row r="60" spans="1:41" x14ac:dyDescent="0.2">
      <c r="A60" s="28">
        <v>30</v>
      </c>
      <c r="B60" s="42" t="s">
        <v>225</v>
      </c>
      <c r="C60" s="30"/>
      <c r="D60" s="31" t="s">
        <v>226</v>
      </c>
      <c r="E60" s="25"/>
      <c r="F60" s="25"/>
      <c r="G60" s="25">
        <v>148</v>
      </c>
      <c r="H60" s="25">
        <v>252</v>
      </c>
      <c r="I60" s="25">
        <v>275.5</v>
      </c>
      <c r="J60" s="25">
        <v>275.5</v>
      </c>
      <c r="K60" s="25">
        <v>272.5</v>
      </c>
      <c r="L60" s="25">
        <v>352</v>
      </c>
      <c r="M60" s="25">
        <v>285</v>
      </c>
      <c r="N60" s="25">
        <v>292.5</v>
      </c>
      <c r="O60" s="25">
        <v>288.5</v>
      </c>
      <c r="P60" s="25">
        <v>278</v>
      </c>
      <c r="Q60" s="25">
        <v>275</v>
      </c>
      <c r="R60" s="25">
        <v>295</v>
      </c>
      <c r="S60" s="25">
        <v>275.5</v>
      </c>
      <c r="T60" s="25">
        <v>222</v>
      </c>
      <c r="U60" s="25">
        <v>345</v>
      </c>
      <c r="V60" s="25">
        <v>305.5</v>
      </c>
      <c r="W60" s="25">
        <v>298</v>
      </c>
      <c r="X60" s="25">
        <v>185.5</v>
      </c>
      <c r="Y60" s="25">
        <v>285.5</v>
      </c>
      <c r="Z60" s="25">
        <v>269</v>
      </c>
      <c r="AA60" s="25">
        <v>294.5</v>
      </c>
      <c r="AB60" s="25">
        <v>323</v>
      </c>
      <c r="AC60" s="25">
        <v>282.39999999999998</v>
      </c>
      <c r="AD60" s="25">
        <v>287.3</v>
      </c>
      <c r="AE60" s="25">
        <v>294.5</v>
      </c>
      <c r="AF60" s="25">
        <v>248</v>
      </c>
      <c r="AG60" s="25">
        <v>195.5</v>
      </c>
      <c r="AH60" s="25">
        <v>205.5</v>
      </c>
      <c r="AI60" s="25">
        <v>295</v>
      </c>
      <c r="AJ60" s="25">
        <v>279</v>
      </c>
      <c r="AK60" s="25">
        <v>604.5</v>
      </c>
      <c r="AL60" s="33">
        <f>SUM(G60:AH60)</f>
        <v>7606.2</v>
      </c>
      <c r="AN60" s="47"/>
      <c r="AO60" s="34"/>
    </row>
    <row r="61" spans="1:41" x14ac:dyDescent="0.2">
      <c r="A61" s="153">
        <v>31</v>
      </c>
      <c r="B61" s="42" t="s">
        <v>233</v>
      </c>
      <c r="C61" s="30"/>
      <c r="D61" s="31" t="s">
        <v>227</v>
      </c>
      <c r="E61" s="25"/>
      <c r="F61" s="25"/>
      <c r="G61" s="25">
        <v>207</v>
      </c>
      <c r="H61" s="25">
        <v>464</v>
      </c>
      <c r="I61" s="25">
        <v>506</v>
      </c>
      <c r="J61" s="25">
        <v>723</v>
      </c>
      <c r="K61" s="25">
        <v>577</v>
      </c>
      <c r="L61" s="25">
        <v>387</v>
      </c>
      <c r="M61" s="25">
        <v>653</v>
      </c>
      <c r="N61" s="25">
        <v>485</v>
      </c>
      <c r="O61" s="25">
        <v>463</v>
      </c>
      <c r="P61" s="25">
        <v>405</v>
      </c>
      <c r="Q61" s="25">
        <v>460</v>
      </c>
      <c r="R61" s="25">
        <v>588</v>
      </c>
      <c r="S61" s="25">
        <v>552</v>
      </c>
      <c r="T61" s="25">
        <v>228</v>
      </c>
      <c r="U61" s="25">
        <v>396</v>
      </c>
      <c r="V61" s="25">
        <v>375</v>
      </c>
      <c r="W61" s="25">
        <v>394</v>
      </c>
      <c r="X61" s="25">
        <v>199</v>
      </c>
      <c r="Y61" s="25">
        <v>483</v>
      </c>
      <c r="Z61" s="25">
        <v>237</v>
      </c>
      <c r="AA61" s="25">
        <v>347</v>
      </c>
      <c r="AB61" s="25">
        <v>562</v>
      </c>
      <c r="AC61" s="25">
        <v>641</v>
      </c>
      <c r="AD61" s="25">
        <v>635</v>
      </c>
      <c r="AE61" s="25">
        <v>625</v>
      </c>
      <c r="AF61" s="25">
        <v>431</v>
      </c>
      <c r="AG61" s="25">
        <v>232</v>
      </c>
      <c r="AH61" s="25">
        <v>399</v>
      </c>
      <c r="AI61" s="25">
        <v>314</v>
      </c>
      <c r="AJ61" s="25">
        <v>514</v>
      </c>
      <c r="AK61" s="25">
        <v>1154</v>
      </c>
      <c r="AL61" s="33">
        <f>SUM(G61:AH61)</f>
        <v>12654</v>
      </c>
      <c r="AN61" s="47"/>
      <c r="AO61" s="34"/>
    </row>
    <row r="62" spans="1:41" x14ac:dyDescent="0.2">
      <c r="A62" s="208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209"/>
      <c r="AN62" s="47"/>
      <c r="AO62" s="34"/>
    </row>
    <row r="63" spans="1:41" x14ac:dyDescent="0.2">
      <c r="A63" s="28" t="s">
        <v>142</v>
      </c>
      <c r="B63" s="35" t="s">
        <v>143</v>
      </c>
      <c r="C63" s="36"/>
      <c r="D63" s="37" t="s">
        <v>16</v>
      </c>
      <c r="E63" s="48">
        <v>0</v>
      </c>
      <c r="F63" s="48">
        <v>0</v>
      </c>
      <c r="G63" s="48">
        <v>76</v>
      </c>
      <c r="H63" s="48">
        <v>71</v>
      </c>
      <c r="I63" s="48">
        <v>82</v>
      </c>
      <c r="J63" s="48">
        <v>91</v>
      </c>
      <c r="K63" s="48">
        <v>87</v>
      </c>
      <c r="L63" s="48">
        <v>82</v>
      </c>
      <c r="M63" s="48">
        <v>89</v>
      </c>
      <c r="N63" s="48">
        <v>87</v>
      </c>
      <c r="O63" s="48">
        <v>77</v>
      </c>
      <c r="P63" s="48">
        <v>76</v>
      </c>
      <c r="Q63" s="48">
        <v>85</v>
      </c>
      <c r="R63" s="48">
        <v>87</v>
      </c>
      <c r="S63" s="48">
        <v>66</v>
      </c>
      <c r="T63" s="48">
        <v>74</v>
      </c>
      <c r="U63" s="48">
        <v>80</v>
      </c>
      <c r="V63" s="48">
        <v>87</v>
      </c>
      <c r="W63" s="48">
        <v>90</v>
      </c>
      <c r="X63" s="48">
        <v>80</v>
      </c>
      <c r="Y63" s="48">
        <v>100</v>
      </c>
      <c r="Z63" s="48">
        <v>103</v>
      </c>
      <c r="AA63" s="48">
        <v>110</v>
      </c>
      <c r="AB63" s="48">
        <v>93</v>
      </c>
      <c r="AC63" s="48">
        <v>83</v>
      </c>
      <c r="AD63" s="48">
        <v>83</v>
      </c>
      <c r="AE63" s="48">
        <v>88</v>
      </c>
      <c r="AF63" s="48">
        <v>77</v>
      </c>
      <c r="AG63" s="48">
        <v>65</v>
      </c>
      <c r="AH63" s="48">
        <v>72</v>
      </c>
      <c r="AI63" s="48">
        <v>82</v>
      </c>
      <c r="AJ63" s="48">
        <v>88</v>
      </c>
      <c r="AK63" s="48">
        <v>91</v>
      </c>
      <c r="AL63" s="33">
        <f>SUM(G63:AH63)</f>
        <v>2341</v>
      </c>
      <c r="AN63" s="27"/>
      <c r="AO63" s="34"/>
    </row>
    <row r="64" spans="1:41" ht="21" thickBot="1" x14ac:dyDescent="0.25">
      <c r="A64" s="122" t="s">
        <v>144</v>
      </c>
      <c r="B64" s="123" t="s">
        <v>145</v>
      </c>
      <c r="C64" s="124"/>
      <c r="D64" s="125" t="s">
        <v>16</v>
      </c>
      <c r="E64" s="126">
        <f>E63*0.935</f>
        <v>0</v>
      </c>
      <c r="F64" s="126">
        <f t="shared" ref="F64" si="4">F63*0.935</f>
        <v>0</v>
      </c>
      <c r="G64" s="127">
        <v>36.58</v>
      </c>
      <c r="H64" s="127">
        <v>67.861999999999995</v>
      </c>
      <c r="I64" s="127">
        <v>78.165000000000006</v>
      </c>
      <c r="J64" s="127">
        <v>75.278000000000006</v>
      </c>
      <c r="K64" s="127">
        <v>85.986999999999995</v>
      </c>
      <c r="L64" s="127">
        <v>105.45699999999999</v>
      </c>
      <c r="M64" s="127">
        <v>73.938999999999993</v>
      </c>
      <c r="N64" s="127">
        <v>71.149000000000001</v>
      </c>
      <c r="O64" s="127">
        <v>79.64</v>
      </c>
      <c r="P64" s="127">
        <v>78.350999999999999</v>
      </c>
      <c r="Q64" s="127">
        <v>79.278999999999996</v>
      </c>
      <c r="R64" s="127">
        <v>75.153000000000006</v>
      </c>
      <c r="S64" s="127">
        <v>64.504999999999995</v>
      </c>
      <c r="T64" s="127">
        <v>47.350999999999999</v>
      </c>
      <c r="U64" s="127">
        <v>101.57599999999999</v>
      </c>
      <c r="V64" s="127">
        <v>77.718000000000004</v>
      </c>
      <c r="W64" s="127">
        <v>88.647000000000006</v>
      </c>
      <c r="X64" s="127">
        <v>60.781999999999996</v>
      </c>
      <c r="Y64" s="127">
        <v>73.224000000000004</v>
      </c>
      <c r="Z64" s="127">
        <v>119.428</v>
      </c>
      <c r="AA64" s="127">
        <v>101.488</v>
      </c>
      <c r="AB64" s="127">
        <v>85.885999999999996</v>
      </c>
      <c r="AC64" s="127">
        <v>78.326999999999998</v>
      </c>
      <c r="AD64" s="127">
        <v>84.296999999999997</v>
      </c>
      <c r="AE64" s="127">
        <v>84.456999999999994</v>
      </c>
      <c r="AF64" s="127">
        <v>70.828999999999994</v>
      </c>
      <c r="AG64" s="127">
        <v>43.802</v>
      </c>
      <c r="AH64" s="127">
        <v>58.811999999999998</v>
      </c>
      <c r="AI64" s="127">
        <v>83.283000000000001</v>
      </c>
      <c r="AJ64" s="127">
        <v>76.188000000000002</v>
      </c>
      <c r="AK64" s="127">
        <v>129.72</v>
      </c>
      <c r="AL64" s="128">
        <f>SUM(G64:AH64)</f>
        <v>2147.9689999999996</v>
      </c>
      <c r="AN64" s="27"/>
      <c r="AO64" s="34"/>
    </row>
    <row r="65" spans="1:41" hidden="1" x14ac:dyDescent="0.2">
      <c r="A65" s="120"/>
      <c r="B65" s="121"/>
      <c r="C65" s="198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199"/>
      <c r="AJ65" s="199"/>
      <c r="AK65" s="199"/>
      <c r="AL65" s="200"/>
      <c r="AN65" s="27"/>
      <c r="AO65" s="34"/>
    </row>
    <row r="66" spans="1:41" ht="23.25" hidden="1" customHeight="1" x14ac:dyDescent="0.25">
      <c r="A66" s="51" t="s">
        <v>146</v>
      </c>
      <c r="B66" s="52" t="s">
        <v>147</v>
      </c>
      <c r="C66" s="201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3"/>
    </row>
    <row r="67" spans="1:41" hidden="1" x14ac:dyDescent="0.2">
      <c r="A67" s="51">
        <v>1</v>
      </c>
      <c r="B67" s="50" t="s">
        <v>148</v>
      </c>
      <c r="C67" s="53"/>
      <c r="D67" s="54" t="s">
        <v>16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5"/>
      <c r="AJ67" s="45"/>
      <c r="AK67" s="45"/>
      <c r="AL67" s="55">
        <f>SUM(E67:AH67)</f>
        <v>0</v>
      </c>
      <c r="AN67" s="27"/>
      <c r="AO67" s="34"/>
    </row>
    <row r="68" spans="1:41" ht="15.75" hidden="1" customHeight="1" x14ac:dyDescent="0.2">
      <c r="A68" s="51">
        <v>2</v>
      </c>
      <c r="B68" s="50" t="s">
        <v>149</v>
      </c>
      <c r="C68" s="53"/>
      <c r="D68" s="54" t="s">
        <v>16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5"/>
      <c r="AJ68" s="45"/>
      <c r="AK68" s="45"/>
      <c r="AL68" s="55">
        <f>SUM(E68:AH68)</f>
        <v>0</v>
      </c>
      <c r="AN68" s="56"/>
      <c r="AO68" s="34"/>
    </row>
    <row r="69" spans="1:41" ht="17.25" hidden="1" customHeight="1" x14ac:dyDescent="0.2">
      <c r="A69" s="51">
        <v>3</v>
      </c>
      <c r="B69" s="50" t="s">
        <v>150</v>
      </c>
      <c r="C69" s="53"/>
      <c r="D69" s="54" t="s">
        <v>151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5"/>
      <c r="AJ69" s="45"/>
      <c r="AK69" s="45"/>
      <c r="AL69" s="55">
        <f>SUM(E69:AH69)</f>
        <v>0</v>
      </c>
      <c r="AO69" s="57"/>
    </row>
    <row r="70" spans="1:41" ht="19.5" hidden="1" customHeight="1" x14ac:dyDescent="0.2">
      <c r="A70" s="49">
        <v>4</v>
      </c>
      <c r="B70" s="58" t="s">
        <v>152</v>
      </c>
      <c r="C70" s="59"/>
      <c r="D70" s="60" t="s">
        <v>29</v>
      </c>
      <c r="E70" s="61"/>
      <c r="F70" s="61"/>
      <c r="G70" s="61"/>
      <c r="H70" s="61"/>
      <c r="I70" s="61" t="e">
        <f>#REF!</f>
        <v>#REF!</v>
      </c>
      <c r="J70" s="61" t="e">
        <f>#REF!</f>
        <v>#REF!</v>
      </c>
      <c r="K70" s="61" t="e">
        <f>#REF!</f>
        <v>#REF!</v>
      </c>
      <c r="L70" s="61" t="e">
        <f>#REF!</f>
        <v>#REF!</v>
      </c>
      <c r="M70" s="61" t="e">
        <f>#REF!</f>
        <v>#REF!</v>
      </c>
      <c r="N70" s="61" t="e">
        <f>#REF!</f>
        <v>#REF!</v>
      </c>
      <c r="O70" s="61" t="e">
        <f>#REF!</f>
        <v>#REF!</v>
      </c>
      <c r="P70" s="61" t="e">
        <f>#REF!</f>
        <v>#REF!</v>
      </c>
      <c r="Q70" s="61" t="e">
        <f>#REF!</f>
        <v>#REF!</v>
      </c>
      <c r="R70" s="61" t="e">
        <f>#REF!</f>
        <v>#REF!</v>
      </c>
      <c r="S70" s="61" t="e">
        <f>#REF!</f>
        <v>#REF!</v>
      </c>
      <c r="T70" s="61" t="e">
        <f>#REF!</f>
        <v>#REF!</v>
      </c>
      <c r="U70" s="61" t="e">
        <f>#REF!</f>
        <v>#REF!</v>
      </c>
      <c r="V70" s="61" t="e">
        <f>#REF!</f>
        <v>#REF!</v>
      </c>
      <c r="W70" s="61" t="e">
        <f>#REF!</f>
        <v>#REF!</v>
      </c>
      <c r="X70" s="61" t="e">
        <f>#REF!</f>
        <v>#REF!</v>
      </c>
      <c r="Y70" s="61" t="e">
        <f>#REF!</f>
        <v>#REF!</v>
      </c>
      <c r="Z70" s="61" t="e">
        <f>#REF!</f>
        <v>#REF!</v>
      </c>
      <c r="AA70" s="61" t="e">
        <f>#REF!</f>
        <v>#REF!</v>
      </c>
      <c r="AB70" s="61" t="e">
        <f>#REF!</f>
        <v>#REF!</v>
      </c>
      <c r="AC70" s="61" t="e">
        <f>#REF!</f>
        <v>#REF!</v>
      </c>
      <c r="AD70" s="61" t="e">
        <f>#REF!</f>
        <v>#REF!</v>
      </c>
      <c r="AE70" s="61" t="e">
        <f>#REF!</f>
        <v>#REF!</v>
      </c>
      <c r="AF70" s="61" t="e">
        <f>#REF!</f>
        <v>#REF!</v>
      </c>
      <c r="AG70" s="61" t="e">
        <f>#REF!</f>
        <v>#REF!</v>
      </c>
      <c r="AH70" s="61" t="e">
        <f>#REF!</f>
        <v>#REF!</v>
      </c>
      <c r="AI70" s="62">
        <v>2</v>
      </c>
      <c r="AJ70" s="62">
        <v>2</v>
      </c>
      <c r="AK70" s="62"/>
      <c r="AL70" s="55" t="e">
        <f>SUM(I70:AK70)</f>
        <v>#REF!</v>
      </c>
      <c r="AO70" s="57"/>
    </row>
    <row r="71" spans="1:41" ht="23.25" hidden="1" customHeight="1" x14ac:dyDescent="0.2">
      <c r="A71" s="51">
        <v>5</v>
      </c>
      <c r="B71" s="50" t="s">
        <v>153</v>
      </c>
      <c r="C71" s="53"/>
      <c r="D71" s="50" t="s">
        <v>154</v>
      </c>
      <c r="E71" s="63"/>
      <c r="F71" s="63"/>
      <c r="G71" s="63"/>
      <c r="H71" s="63"/>
      <c r="I71" s="63">
        <f t="shared" ref="I71:AH71" si="5">I20/I64</f>
        <v>1.0451608776306531</v>
      </c>
      <c r="J71" s="63">
        <f t="shared" si="5"/>
        <v>1.2402959696059936</v>
      </c>
      <c r="K71" s="63">
        <f t="shared" si="5"/>
        <v>1.0628467093863025</v>
      </c>
      <c r="L71" s="63">
        <f t="shared" si="5"/>
        <v>0.73412860217908726</v>
      </c>
      <c r="M71" s="63">
        <f t="shared" si="5"/>
        <v>1.2346393648818621</v>
      </c>
      <c r="N71" s="63">
        <f t="shared" si="5"/>
        <v>1.2545924749469424</v>
      </c>
      <c r="O71" s="63">
        <f t="shared" si="5"/>
        <v>0.92999748869914611</v>
      </c>
      <c r="P71" s="63">
        <f t="shared" si="5"/>
        <v>0.97195951551352244</v>
      </c>
      <c r="Q71" s="63">
        <f t="shared" si="5"/>
        <v>1.0260724782098665</v>
      </c>
      <c r="R71" s="63">
        <f t="shared" si="5"/>
        <v>1.1608851276728807</v>
      </c>
      <c r="S71" s="63">
        <f t="shared" si="5"/>
        <v>0.97386249127974589</v>
      </c>
      <c r="T71" s="63">
        <f t="shared" si="5"/>
        <v>1.5234313953242806</v>
      </c>
      <c r="U71" s="63">
        <f t="shared" si="5"/>
        <v>0.74873985980940383</v>
      </c>
      <c r="V71" s="63">
        <f t="shared" si="5"/>
        <v>1.1007617282997504</v>
      </c>
      <c r="W71" s="63">
        <f t="shared" si="5"/>
        <v>0.98521100544857687</v>
      </c>
      <c r="X71" s="63">
        <f t="shared" si="5"/>
        <v>1.3393438847027082</v>
      </c>
      <c r="Y71" s="63">
        <f t="shared" si="5"/>
        <v>1.2462990276412105</v>
      </c>
      <c r="Z71" s="63">
        <f t="shared" si="5"/>
        <v>0.90019091000435403</v>
      </c>
      <c r="AA71" s="63">
        <f t="shared" si="5"/>
        <v>1.0764228283146775</v>
      </c>
      <c r="AB71" s="63">
        <f t="shared" si="5"/>
        <v>1.1455301213236153</v>
      </c>
      <c r="AC71" s="63">
        <f t="shared" si="5"/>
        <v>1.1277081976840682</v>
      </c>
      <c r="AD71" s="63">
        <f t="shared" si="5"/>
        <v>0.98833884954387463</v>
      </c>
      <c r="AE71" s="63">
        <f t="shared" si="5"/>
        <v>1.0332595285174704</v>
      </c>
      <c r="AF71" s="63">
        <f t="shared" si="5"/>
        <v>1.071877338378348</v>
      </c>
      <c r="AG71" s="63">
        <f t="shared" si="5"/>
        <v>1.4198666727546689</v>
      </c>
      <c r="AH71" s="63">
        <f t="shared" si="5"/>
        <v>1.2613242195470316</v>
      </c>
      <c r="AI71" s="63">
        <f t="shared" ref="AI71:AJ71" si="6">AI20/AI64</f>
        <v>0.93546101845514695</v>
      </c>
      <c r="AJ71" s="63">
        <f t="shared" si="6"/>
        <v>1.1194676326980626</v>
      </c>
      <c r="AK71" s="64"/>
      <c r="AL71" s="65">
        <f xml:space="preserve"> AVERAGE(E71:AK71)</f>
        <v>1.0949169756590447</v>
      </c>
    </row>
    <row r="72" spans="1:41" ht="23.25" hidden="1" customHeight="1" x14ac:dyDescent="0.2">
      <c r="A72" s="51"/>
      <c r="B72" s="50"/>
      <c r="C72" s="204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6"/>
    </row>
    <row r="73" spans="1:41" hidden="1" x14ac:dyDescent="0.2">
      <c r="A73" s="51" t="s">
        <v>155</v>
      </c>
      <c r="B73" s="50" t="s">
        <v>156</v>
      </c>
      <c r="C73" s="53"/>
      <c r="D73" s="54" t="s">
        <v>157</v>
      </c>
      <c r="E73" s="61" t="e">
        <f>E67/E64</f>
        <v>#DIV/0!</v>
      </c>
      <c r="F73" s="61" t="e">
        <f>F67/F64</f>
        <v>#DIV/0!</v>
      </c>
      <c r="G73" s="61">
        <f>G67/G64</f>
        <v>0</v>
      </c>
      <c r="H73" s="61"/>
      <c r="I73" s="61">
        <f t="shared" ref="I73:K73" si="7">I67/I64</f>
        <v>0</v>
      </c>
      <c r="J73" s="61">
        <f t="shared" si="7"/>
        <v>0</v>
      </c>
      <c r="K73" s="61">
        <f t="shared" si="7"/>
        <v>0</v>
      </c>
      <c r="L73" s="61">
        <f t="shared" ref="L73:AH73" si="8">L67/L64</f>
        <v>0</v>
      </c>
      <c r="M73" s="61">
        <f t="shared" si="8"/>
        <v>0</v>
      </c>
      <c r="N73" s="61">
        <f t="shared" si="8"/>
        <v>0</v>
      </c>
      <c r="O73" s="61">
        <f t="shared" si="8"/>
        <v>0</v>
      </c>
      <c r="P73" s="61">
        <f t="shared" si="8"/>
        <v>0</v>
      </c>
      <c r="Q73" s="61">
        <f t="shared" si="8"/>
        <v>0</v>
      </c>
      <c r="R73" s="61">
        <f t="shared" si="8"/>
        <v>0</v>
      </c>
      <c r="S73" s="61">
        <f t="shared" si="8"/>
        <v>0</v>
      </c>
      <c r="T73" s="61">
        <f t="shared" si="8"/>
        <v>0</v>
      </c>
      <c r="U73" s="61">
        <f t="shared" si="8"/>
        <v>0</v>
      </c>
      <c r="V73" s="61">
        <f t="shared" si="8"/>
        <v>0</v>
      </c>
      <c r="W73" s="61">
        <f t="shared" si="8"/>
        <v>0</v>
      </c>
      <c r="X73" s="61">
        <f t="shared" si="8"/>
        <v>0</v>
      </c>
      <c r="Y73" s="61">
        <f t="shared" si="8"/>
        <v>0</v>
      </c>
      <c r="Z73" s="61">
        <f t="shared" si="8"/>
        <v>0</v>
      </c>
      <c r="AA73" s="61">
        <f t="shared" si="8"/>
        <v>0</v>
      </c>
      <c r="AB73" s="61">
        <f t="shared" si="8"/>
        <v>0</v>
      </c>
      <c r="AC73" s="61">
        <f t="shared" si="8"/>
        <v>0</v>
      </c>
      <c r="AD73" s="61">
        <f t="shared" si="8"/>
        <v>0</v>
      </c>
      <c r="AE73" s="61">
        <f t="shared" si="8"/>
        <v>0</v>
      </c>
      <c r="AF73" s="61">
        <f t="shared" si="8"/>
        <v>0</v>
      </c>
      <c r="AG73" s="61">
        <f t="shared" si="8"/>
        <v>0</v>
      </c>
      <c r="AH73" s="61">
        <f t="shared" si="8"/>
        <v>0</v>
      </c>
      <c r="AI73" s="62">
        <v>0</v>
      </c>
      <c r="AJ73" s="62">
        <v>0</v>
      </c>
      <c r="AK73" s="62"/>
      <c r="AL73" s="55">
        <f>AL67/AL64</f>
        <v>0</v>
      </c>
      <c r="AO73" s="57"/>
    </row>
    <row r="74" spans="1:41" hidden="1" x14ac:dyDescent="0.2">
      <c r="A74" s="51" t="s">
        <v>158</v>
      </c>
      <c r="B74" s="50" t="s">
        <v>159</v>
      </c>
      <c r="C74" s="53"/>
      <c r="D74" s="54" t="s">
        <v>160</v>
      </c>
      <c r="E74" s="44" t="e">
        <f>E68*1000/E64</f>
        <v>#DIV/0!</v>
      </c>
      <c r="F74" s="44" t="e">
        <f>F68*1000/F64</f>
        <v>#DIV/0!</v>
      </c>
      <c r="G74" s="44">
        <f>G68*1000/G64</f>
        <v>0</v>
      </c>
      <c r="H74" s="44"/>
      <c r="I74" s="44">
        <f t="shared" ref="I74:K74" si="9">I68*1000/I64</f>
        <v>0</v>
      </c>
      <c r="J74" s="44">
        <f t="shared" si="9"/>
        <v>0</v>
      </c>
      <c r="K74" s="44">
        <f t="shared" si="9"/>
        <v>0</v>
      </c>
      <c r="L74" s="44">
        <f t="shared" ref="L74:AH74" si="10">L68*1000/L64</f>
        <v>0</v>
      </c>
      <c r="M74" s="44">
        <f t="shared" si="10"/>
        <v>0</v>
      </c>
      <c r="N74" s="44">
        <f t="shared" si="10"/>
        <v>0</v>
      </c>
      <c r="O74" s="44">
        <f t="shared" si="10"/>
        <v>0</v>
      </c>
      <c r="P74" s="44">
        <f t="shared" si="10"/>
        <v>0</v>
      </c>
      <c r="Q74" s="44">
        <f t="shared" si="10"/>
        <v>0</v>
      </c>
      <c r="R74" s="44">
        <f t="shared" si="10"/>
        <v>0</v>
      </c>
      <c r="S74" s="44">
        <f t="shared" si="10"/>
        <v>0</v>
      </c>
      <c r="T74" s="44">
        <f t="shared" si="10"/>
        <v>0</v>
      </c>
      <c r="U74" s="44">
        <f t="shared" si="10"/>
        <v>0</v>
      </c>
      <c r="V74" s="44">
        <f t="shared" si="10"/>
        <v>0</v>
      </c>
      <c r="W74" s="44">
        <f t="shared" si="10"/>
        <v>0</v>
      </c>
      <c r="X74" s="44">
        <f t="shared" si="10"/>
        <v>0</v>
      </c>
      <c r="Y74" s="44">
        <f t="shared" si="10"/>
        <v>0</v>
      </c>
      <c r="Z74" s="44">
        <f t="shared" si="10"/>
        <v>0</v>
      </c>
      <c r="AA74" s="44">
        <f t="shared" si="10"/>
        <v>0</v>
      </c>
      <c r="AB74" s="44">
        <f t="shared" si="10"/>
        <v>0</v>
      </c>
      <c r="AC74" s="44">
        <f t="shared" si="10"/>
        <v>0</v>
      </c>
      <c r="AD74" s="44">
        <f t="shared" si="10"/>
        <v>0</v>
      </c>
      <c r="AE74" s="44">
        <f t="shared" si="10"/>
        <v>0</v>
      </c>
      <c r="AF74" s="44">
        <f t="shared" si="10"/>
        <v>0</v>
      </c>
      <c r="AG74" s="44">
        <f t="shared" si="10"/>
        <v>0</v>
      </c>
      <c r="AH74" s="44">
        <f t="shared" si="10"/>
        <v>0</v>
      </c>
      <c r="AI74" s="45">
        <v>0</v>
      </c>
      <c r="AJ74" s="45">
        <v>0</v>
      </c>
      <c r="AK74" s="45"/>
      <c r="AL74" s="55">
        <f>AL68*1000/AL64</f>
        <v>0</v>
      </c>
      <c r="AO74" s="57"/>
    </row>
    <row r="75" spans="1:41" hidden="1" x14ac:dyDescent="0.2">
      <c r="A75" s="51" t="s">
        <v>161</v>
      </c>
      <c r="B75" s="50" t="s">
        <v>162</v>
      </c>
      <c r="C75" s="53"/>
      <c r="D75" s="54" t="s">
        <v>163</v>
      </c>
      <c r="E75" s="61" t="e">
        <f>E69/E64</f>
        <v>#DIV/0!</v>
      </c>
      <c r="F75" s="61" t="e">
        <f>F69/F64</f>
        <v>#DIV/0!</v>
      </c>
      <c r="G75" s="61">
        <f>G69/G64</f>
        <v>0</v>
      </c>
      <c r="H75" s="61"/>
      <c r="I75" s="61">
        <f t="shared" ref="I75:K75" si="11">I69/I64</f>
        <v>0</v>
      </c>
      <c r="J75" s="61">
        <f t="shared" si="11"/>
        <v>0</v>
      </c>
      <c r="K75" s="61">
        <f t="shared" si="11"/>
        <v>0</v>
      </c>
      <c r="L75" s="61">
        <f t="shared" ref="L75:AH75" si="12">L69/L64</f>
        <v>0</v>
      </c>
      <c r="M75" s="61">
        <f t="shared" si="12"/>
        <v>0</v>
      </c>
      <c r="N75" s="61">
        <f t="shared" si="12"/>
        <v>0</v>
      </c>
      <c r="O75" s="61">
        <f t="shared" si="12"/>
        <v>0</v>
      </c>
      <c r="P75" s="61">
        <f t="shared" si="12"/>
        <v>0</v>
      </c>
      <c r="Q75" s="61">
        <f t="shared" si="12"/>
        <v>0</v>
      </c>
      <c r="R75" s="61">
        <f t="shared" si="12"/>
        <v>0</v>
      </c>
      <c r="S75" s="61">
        <f t="shared" si="12"/>
        <v>0</v>
      </c>
      <c r="T75" s="61">
        <f t="shared" si="12"/>
        <v>0</v>
      </c>
      <c r="U75" s="61">
        <f t="shared" si="12"/>
        <v>0</v>
      </c>
      <c r="V75" s="61">
        <f t="shared" si="12"/>
        <v>0</v>
      </c>
      <c r="W75" s="61">
        <f t="shared" si="12"/>
        <v>0</v>
      </c>
      <c r="X75" s="61">
        <f t="shared" si="12"/>
        <v>0</v>
      </c>
      <c r="Y75" s="61">
        <f t="shared" si="12"/>
        <v>0</v>
      </c>
      <c r="Z75" s="61">
        <f t="shared" si="12"/>
        <v>0</v>
      </c>
      <c r="AA75" s="61">
        <f t="shared" si="12"/>
        <v>0</v>
      </c>
      <c r="AB75" s="61">
        <f t="shared" si="12"/>
        <v>0</v>
      </c>
      <c r="AC75" s="61">
        <f t="shared" si="12"/>
        <v>0</v>
      </c>
      <c r="AD75" s="61">
        <f t="shared" si="12"/>
        <v>0</v>
      </c>
      <c r="AE75" s="61">
        <f t="shared" si="12"/>
        <v>0</v>
      </c>
      <c r="AF75" s="61">
        <f t="shared" si="12"/>
        <v>0</v>
      </c>
      <c r="AG75" s="61">
        <f t="shared" si="12"/>
        <v>0</v>
      </c>
      <c r="AH75" s="61">
        <f t="shared" si="12"/>
        <v>0</v>
      </c>
      <c r="AI75" s="62">
        <v>0</v>
      </c>
      <c r="AJ75" s="62">
        <v>0</v>
      </c>
      <c r="AK75" s="62"/>
      <c r="AL75" s="55">
        <f>AL69/AL64</f>
        <v>0</v>
      </c>
      <c r="AO75" s="57"/>
    </row>
    <row r="76" spans="1:41" hidden="1" x14ac:dyDescent="0.2">
      <c r="A76" s="51" t="s">
        <v>164</v>
      </c>
      <c r="B76" s="50" t="s">
        <v>165</v>
      </c>
      <c r="C76" s="53"/>
      <c r="D76" s="54" t="s">
        <v>166</v>
      </c>
      <c r="E76" s="66"/>
      <c r="F76" s="66"/>
      <c r="G76" s="66"/>
      <c r="H76" s="66"/>
      <c r="I76" s="66">
        <v>0</v>
      </c>
      <c r="J76" s="66">
        <v>0</v>
      </c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7"/>
      <c r="AJ76" s="67"/>
      <c r="AK76" s="67"/>
      <c r="AL76" s="68" t="e">
        <f>+#REF!</f>
        <v>#REF!</v>
      </c>
      <c r="AM76" s="57"/>
    </row>
    <row r="77" spans="1:41" hidden="1" x14ac:dyDescent="0.2">
      <c r="A77" s="51" t="s">
        <v>167</v>
      </c>
      <c r="B77" s="50" t="s">
        <v>168</v>
      </c>
      <c r="C77" s="53"/>
      <c r="D77" s="5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5"/>
      <c r="AJ77" s="45"/>
      <c r="AK77" s="45"/>
      <c r="AL77" s="69" t="s">
        <v>169</v>
      </c>
      <c r="AM77" s="57"/>
    </row>
    <row r="78" spans="1:41" hidden="1" x14ac:dyDescent="0.2">
      <c r="A78" s="51" t="s">
        <v>155</v>
      </c>
      <c r="B78" s="50" t="s">
        <v>170</v>
      </c>
      <c r="C78" s="53"/>
      <c r="D78" s="54" t="s">
        <v>171</v>
      </c>
      <c r="E78" s="44" t="e">
        <f>E64*100/#REF!</f>
        <v>#REF!</v>
      </c>
      <c r="F78" s="44" t="e">
        <f>F64*100/#REF!</f>
        <v>#REF!</v>
      </c>
      <c r="G78" s="44" t="e">
        <f>G64*100/#REF!</f>
        <v>#REF!</v>
      </c>
      <c r="H78" s="44" t="e">
        <f>H64*100/#REF!</f>
        <v>#REF!</v>
      </c>
      <c r="I78" s="44" t="e">
        <f>I64*100/#REF!</f>
        <v>#REF!</v>
      </c>
      <c r="J78" s="44" t="e">
        <f>J64*100/#REF!</f>
        <v>#REF!</v>
      </c>
      <c r="K78" s="44" t="e">
        <f>K64*100/#REF!</f>
        <v>#REF!</v>
      </c>
      <c r="L78" s="44" t="e">
        <f>L64*100/#REF!</f>
        <v>#REF!</v>
      </c>
      <c r="M78" s="44" t="e">
        <f>M64*100/#REF!</f>
        <v>#REF!</v>
      </c>
      <c r="N78" s="44" t="e">
        <f>N64*100/#REF!</f>
        <v>#REF!</v>
      </c>
      <c r="O78" s="44" t="e">
        <f>O64*100/#REF!</f>
        <v>#REF!</v>
      </c>
      <c r="P78" s="44" t="e">
        <f>P64*100/#REF!</f>
        <v>#REF!</v>
      </c>
      <c r="Q78" s="44" t="e">
        <f>Q64*100/#REF!</f>
        <v>#REF!</v>
      </c>
      <c r="R78" s="44" t="e">
        <f>R64*100/#REF!</f>
        <v>#REF!</v>
      </c>
      <c r="S78" s="44" t="e">
        <f>S64*100/#REF!</f>
        <v>#REF!</v>
      </c>
      <c r="T78" s="44" t="e">
        <f>T64*100/#REF!</f>
        <v>#REF!</v>
      </c>
      <c r="U78" s="44" t="e">
        <f>U64*100/#REF!</f>
        <v>#REF!</v>
      </c>
      <c r="V78" s="44" t="e">
        <f>V64*100/#REF!</f>
        <v>#REF!</v>
      </c>
      <c r="W78" s="44" t="e">
        <f>W64*100/#REF!</f>
        <v>#REF!</v>
      </c>
      <c r="X78" s="44" t="e">
        <f>X64*100/#REF!</f>
        <v>#REF!</v>
      </c>
      <c r="Y78" s="44" t="e">
        <f>Y64*100/#REF!</f>
        <v>#REF!</v>
      </c>
      <c r="Z78" s="44" t="e">
        <f>Z64*100/#REF!</f>
        <v>#REF!</v>
      </c>
      <c r="AA78" s="44" t="e">
        <f>AA64*100/#REF!</f>
        <v>#REF!</v>
      </c>
      <c r="AB78" s="44" t="e">
        <f>AB64*100/#REF!</f>
        <v>#REF!</v>
      </c>
      <c r="AC78" s="44" t="e">
        <f>AC64*100/#REF!</f>
        <v>#REF!</v>
      </c>
      <c r="AD78" s="44" t="e">
        <f>AD64*100/#REF!</f>
        <v>#REF!</v>
      </c>
      <c r="AE78" s="44" t="e">
        <f>AE64*100/#REF!</f>
        <v>#REF!</v>
      </c>
      <c r="AF78" s="44" t="e">
        <f>AF64*100/#REF!</f>
        <v>#REF!</v>
      </c>
      <c r="AG78" s="44" t="e">
        <f>AG64*100/#REF!</f>
        <v>#REF!</v>
      </c>
      <c r="AH78" s="44" t="e">
        <f>AH64*100/#REF!</f>
        <v>#REF!</v>
      </c>
      <c r="AI78" s="45"/>
      <c r="AJ78" s="45"/>
      <c r="AK78" s="45"/>
      <c r="AL78" s="69" t="s">
        <v>172</v>
      </c>
      <c r="AM78" s="57"/>
    </row>
    <row r="79" spans="1:41" hidden="1" x14ac:dyDescent="0.2">
      <c r="A79" s="51" t="s">
        <v>158</v>
      </c>
      <c r="B79" s="50" t="s">
        <v>173</v>
      </c>
      <c r="C79" s="53"/>
      <c r="D79" s="54" t="s">
        <v>174</v>
      </c>
      <c r="E79" s="44" t="e">
        <f>#REF!*E73</f>
        <v>#REF!</v>
      </c>
      <c r="F79" s="66" t="e">
        <f>#REF!*F73</f>
        <v>#REF!</v>
      </c>
      <c r="G79" s="66" t="e">
        <f>#REF!*G73</f>
        <v>#REF!</v>
      </c>
      <c r="H79" s="66" t="e">
        <f>#REF!*H73</f>
        <v>#REF!</v>
      </c>
      <c r="I79" s="66" t="e">
        <f>#REF!*I73</f>
        <v>#REF!</v>
      </c>
      <c r="J79" s="66" t="e">
        <f>#REF!*J73</f>
        <v>#REF!</v>
      </c>
      <c r="K79" s="66" t="e">
        <f>#REF!*K73</f>
        <v>#REF!</v>
      </c>
      <c r="L79" s="66" t="e">
        <f>#REF!*L73</f>
        <v>#REF!</v>
      </c>
      <c r="M79" s="66" t="e">
        <f>#REF!*M73</f>
        <v>#REF!</v>
      </c>
      <c r="N79" s="66" t="e">
        <f>#REF!*N73</f>
        <v>#REF!</v>
      </c>
      <c r="O79" s="66" t="e">
        <f>#REF!*O73</f>
        <v>#REF!</v>
      </c>
      <c r="P79" s="66" t="e">
        <f>#REF!*P73</f>
        <v>#REF!</v>
      </c>
      <c r="Q79" s="66" t="e">
        <f>#REF!*Q73</f>
        <v>#REF!</v>
      </c>
      <c r="R79" s="66" t="e">
        <f>#REF!*R73</f>
        <v>#REF!</v>
      </c>
      <c r="S79" s="66" t="e">
        <f>#REF!*S73</f>
        <v>#REF!</v>
      </c>
      <c r="T79" s="66" t="e">
        <f>#REF!*T73</f>
        <v>#REF!</v>
      </c>
      <c r="U79" s="66" t="e">
        <f>#REF!*U73</f>
        <v>#REF!</v>
      </c>
      <c r="V79" s="66" t="e">
        <f>#REF!*V73</f>
        <v>#REF!</v>
      </c>
      <c r="W79" s="66" t="e">
        <f>#REF!*W73</f>
        <v>#REF!</v>
      </c>
      <c r="X79" s="66" t="e">
        <f>#REF!*X73</f>
        <v>#REF!</v>
      </c>
      <c r="Y79" s="66" t="e">
        <f>#REF!*Y73</f>
        <v>#REF!</v>
      </c>
      <c r="Z79" s="66" t="e">
        <f>#REF!*Z73</f>
        <v>#REF!</v>
      </c>
      <c r="AA79" s="66" t="e">
        <f>#REF!*AA73</f>
        <v>#REF!</v>
      </c>
      <c r="AB79" s="66" t="e">
        <f>#REF!*AB73</f>
        <v>#REF!</v>
      </c>
      <c r="AC79" s="66" t="e">
        <f>#REF!*AC73</f>
        <v>#REF!</v>
      </c>
      <c r="AD79" s="66" t="e">
        <f>#REF!*AD73</f>
        <v>#REF!</v>
      </c>
      <c r="AE79" s="66" t="e">
        <f>#REF!*AE73</f>
        <v>#REF!</v>
      </c>
      <c r="AF79" s="66" t="e">
        <f>#REF!*AF73</f>
        <v>#REF!</v>
      </c>
      <c r="AG79" s="66" t="e">
        <f>#REF!*AG73</f>
        <v>#REF!</v>
      </c>
      <c r="AH79" s="66" t="e">
        <f>#REF!*AH73</f>
        <v>#REF!</v>
      </c>
      <c r="AI79" s="67"/>
      <c r="AJ79" s="67"/>
      <c r="AK79" s="67"/>
      <c r="AL79" s="70" t="e">
        <f>AL73*#REF!</f>
        <v>#REF!</v>
      </c>
      <c r="AM79" s="57"/>
    </row>
    <row r="80" spans="1:41" hidden="1" x14ac:dyDescent="0.2">
      <c r="A80" s="51" t="s">
        <v>161</v>
      </c>
      <c r="B80" s="50" t="s">
        <v>175</v>
      </c>
      <c r="C80" s="53"/>
      <c r="D80" s="54" t="s">
        <v>174</v>
      </c>
      <c r="E80" s="44" t="e">
        <f>#REF!*E74</f>
        <v>#REF!</v>
      </c>
      <c r="F80" s="66" t="e">
        <f>#REF!*F74</f>
        <v>#REF!</v>
      </c>
      <c r="G80" s="66" t="e">
        <f>#REF!*G74</f>
        <v>#REF!</v>
      </c>
      <c r="H80" s="66" t="e">
        <f>#REF!*H74</f>
        <v>#REF!</v>
      </c>
      <c r="I80" s="66" t="e">
        <f>#REF!*I74</f>
        <v>#REF!</v>
      </c>
      <c r="J80" s="66" t="e">
        <f>#REF!*J74</f>
        <v>#REF!</v>
      </c>
      <c r="K80" s="66" t="e">
        <f>#REF!*K74</f>
        <v>#REF!</v>
      </c>
      <c r="L80" s="66" t="e">
        <f>#REF!*L74</f>
        <v>#REF!</v>
      </c>
      <c r="M80" s="66" t="e">
        <f>#REF!*M74</f>
        <v>#REF!</v>
      </c>
      <c r="N80" s="66" t="e">
        <f>#REF!*N74</f>
        <v>#REF!</v>
      </c>
      <c r="O80" s="66" t="e">
        <f>#REF!*O74</f>
        <v>#REF!</v>
      </c>
      <c r="P80" s="66" t="e">
        <f>#REF!*P74</f>
        <v>#REF!</v>
      </c>
      <c r="Q80" s="66" t="e">
        <f>#REF!*Q74</f>
        <v>#REF!</v>
      </c>
      <c r="R80" s="66" t="e">
        <f>#REF!*R74</f>
        <v>#REF!</v>
      </c>
      <c r="S80" s="66" t="e">
        <f>#REF!*S74</f>
        <v>#REF!</v>
      </c>
      <c r="T80" s="66" t="e">
        <f>#REF!*T74</f>
        <v>#REF!</v>
      </c>
      <c r="U80" s="66" t="e">
        <f>#REF!*U74</f>
        <v>#REF!</v>
      </c>
      <c r="V80" s="66" t="e">
        <f>#REF!*V74</f>
        <v>#REF!</v>
      </c>
      <c r="W80" s="66" t="e">
        <f>#REF!*W74</f>
        <v>#REF!</v>
      </c>
      <c r="X80" s="66" t="e">
        <f>#REF!*X74</f>
        <v>#REF!</v>
      </c>
      <c r="Y80" s="66" t="e">
        <f>#REF!*Y74</f>
        <v>#REF!</v>
      </c>
      <c r="Z80" s="66" t="e">
        <f>#REF!*Z74</f>
        <v>#REF!</v>
      </c>
      <c r="AA80" s="66" t="e">
        <f>#REF!*AA74</f>
        <v>#REF!</v>
      </c>
      <c r="AB80" s="66" t="e">
        <f>#REF!*AB74</f>
        <v>#REF!</v>
      </c>
      <c r="AC80" s="66" t="e">
        <f>#REF!*AC74</f>
        <v>#REF!</v>
      </c>
      <c r="AD80" s="66" t="e">
        <f>#REF!*AD74</f>
        <v>#REF!</v>
      </c>
      <c r="AE80" s="66" t="e">
        <f>#REF!*AE74</f>
        <v>#REF!</v>
      </c>
      <c r="AF80" s="66" t="e">
        <f>#REF!*AF74</f>
        <v>#REF!</v>
      </c>
      <c r="AG80" s="66" t="e">
        <f>#REF!*AG74</f>
        <v>#REF!</v>
      </c>
      <c r="AH80" s="66" t="e">
        <f>#REF!*AH74</f>
        <v>#REF!</v>
      </c>
      <c r="AI80" s="67"/>
      <c r="AJ80" s="67"/>
      <c r="AK80" s="67"/>
      <c r="AL80" s="70" t="e">
        <f>AL74*#REF!</f>
        <v>#REF!</v>
      </c>
      <c r="AM80" s="57"/>
    </row>
    <row r="81" spans="1:39" hidden="1" x14ac:dyDescent="0.2">
      <c r="A81" s="51" t="s">
        <v>164</v>
      </c>
      <c r="B81" s="50" t="s">
        <v>176</v>
      </c>
      <c r="C81" s="53"/>
      <c r="D81" s="54" t="s">
        <v>174</v>
      </c>
      <c r="E81" s="44" t="e">
        <f>#REF!*E75</f>
        <v>#REF!</v>
      </c>
      <c r="F81" s="66" t="e">
        <f>#REF!*F75</f>
        <v>#REF!</v>
      </c>
      <c r="G81" s="66" t="e">
        <f>#REF!*G75</f>
        <v>#REF!</v>
      </c>
      <c r="H81" s="66" t="e">
        <f>#REF!*H75</f>
        <v>#REF!</v>
      </c>
      <c r="I81" s="66" t="e">
        <f>#REF!*I75</f>
        <v>#REF!</v>
      </c>
      <c r="J81" s="66" t="e">
        <f>#REF!*J75</f>
        <v>#REF!</v>
      </c>
      <c r="K81" s="66" t="e">
        <f>#REF!*K75</f>
        <v>#REF!</v>
      </c>
      <c r="L81" s="66" t="e">
        <f>#REF!*L75</f>
        <v>#REF!</v>
      </c>
      <c r="M81" s="66" t="e">
        <f>#REF!*M75</f>
        <v>#REF!</v>
      </c>
      <c r="N81" s="66" t="e">
        <f>#REF!*N75</f>
        <v>#REF!</v>
      </c>
      <c r="O81" s="66" t="e">
        <f>#REF!*O75</f>
        <v>#REF!</v>
      </c>
      <c r="P81" s="66" t="e">
        <f>#REF!*P75</f>
        <v>#REF!</v>
      </c>
      <c r="Q81" s="66" t="e">
        <f>#REF!*Q75</f>
        <v>#REF!</v>
      </c>
      <c r="R81" s="66" t="e">
        <f>#REF!*R75</f>
        <v>#REF!</v>
      </c>
      <c r="S81" s="66" t="e">
        <f>#REF!*S75</f>
        <v>#REF!</v>
      </c>
      <c r="T81" s="66" t="e">
        <f>#REF!*T75</f>
        <v>#REF!</v>
      </c>
      <c r="U81" s="66" t="e">
        <f>#REF!*U75</f>
        <v>#REF!</v>
      </c>
      <c r="V81" s="66" t="e">
        <f>#REF!*V75</f>
        <v>#REF!</v>
      </c>
      <c r="W81" s="66" t="e">
        <f>#REF!*W75</f>
        <v>#REF!</v>
      </c>
      <c r="X81" s="66" t="e">
        <f>#REF!*X75</f>
        <v>#REF!</v>
      </c>
      <c r="Y81" s="66" t="e">
        <f>#REF!*Y75</f>
        <v>#REF!</v>
      </c>
      <c r="Z81" s="66" t="e">
        <f>#REF!*Z75</f>
        <v>#REF!</v>
      </c>
      <c r="AA81" s="66" t="e">
        <f>#REF!*AA75</f>
        <v>#REF!</v>
      </c>
      <c r="AB81" s="66" t="e">
        <f>#REF!*AB75</f>
        <v>#REF!</v>
      </c>
      <c r="AC81" s="66" t="e">
        <f>#REF!*AC75</f>
        <v>#REF!</v>
      </c>
      <c r="AD81" s="66" t="e">
        <f>#REF!*AD75</f>
        <v>#REF!</v>
      </c>
      <c r="AE81" s="66" t="e">
        <f>#REF!*AE75</f>
        <v>#REF!</v>
      </c>
      <c r="AF81" s="66" t="e">
        <f>#REF!*AF75</f>
        <v>#REF!</v>
      </c>
      <c r="AG81" s="66" t="e">
        <f>#REF!*AG75</f>
        <v>#REF!</v>
      </c>
      <c r="AH81" s="66" t="e">
        <f>#REF!*AH75</f>
        <v>#REF!</v>
      </c>
      <c r="AI81" s="67"/>
      <c r="AJ81" s="67"/>
      <c r="AK81" s="67"/>
      <c r="AL81" s="70" t="e">
        <f>AL75*#REF!</f>
        <v>#REF!</v>
      </c>
      <c r="AM81" s="57"/>
    </row>
    <row r="82" spans="1:39" hidden="1" x14ac:dyDescent="0.2">
      <c r="A82" s="51" t="s">
        <v>177</v>
      </c>
      <c r="B82" s="50" t="s">
        <v>178</v>
      </c>
      <c r="C82" s="53"/>
      <c r="D82" s="54" t="s">
        <v>174</v>
      </c>
      <c r="E82" s="44" t="e">
        <f>#REF!*E76</f>
        <v>#REF!</v>
      </c>
      <c r="F82" s="66" t="e">
        <f>#REF!*F76</f>
        <v>#REF!</v>
      </c>
      <c r="G82" s="66" t="e">
        <f>#REF!*G76</f>
        <v>#REF!</v>
      </c>
      <c r="H82" s="66" t="e">
        <f>#REF!*H76</f>
        <v>#REF!</v>
      </c>
      <c r="I82" s="66" t="e">
        <f>#REF!*I76</f>
        <v>#REF!</v>
      </c>
      <c r="J82" s="66" t="e">
        <f>#REF!*J76</f>
        <v>#REF!</v>
      </c>
      <c r="K82" s="66" t="e">
        <f>#REF!*K76</f>
        <v>#REF!</v>
      </c>
      <c r="L82" s="66" t="e">
        <f>#REF!*L76</f>
        <v>#REF!</v>
      </c>
      <c r="M82" s="66" t="e">
        <f>#REF!*M76</f>
        <v>#REF!</v>
      </c>
      <c r="N82" s="66" t="e">
        <f>#REF!*N76</f>
        <v>#REF!</v>
      </c>
      <c r="O82" s="66" t="e">
        <f>#REF!*O76</f>
        <v>#REF!</v>
      </c>
      <c r="P82" s="66" t="e">
        <f>#REF!*P76</f>
        <v>#REF!</v>
      </c>
      <c r="Q82" s="66" t="e">
        <f>#REF!*Q76</f>
        <v>#REF!</v>
      </c>
      <c r="R82" s="66" t="e">
        <f>#REF!*R76</f>
        <v>#REF!</v>
      </c>
      <c r="S82" s="66" t="e">
        <f>#REF!*S76</f>
        <v>#REF!</v>
      </c>
      <c r="T82" s="66" t="e">
        <f>#REF!*T76</f>
        <v>#REF!</v>
      </c>
      <c r="U82" s="66" t="e">
        <f>#REF!*U76</f>
        <v>#REF!</v>
      </c>
      <c r="V82" s="66" t="e">
        <f>#REF!*V76</f>
        <v>#REF!</v>
      </c>
      <c r="W82" s="66" t="e">
        <f>#REF!*W76</f>
        <v>#REF!</v>
      </c>
      <c r="X82" s="66" t="e">
        <f>#REF!*X76</f>
        <v>#REF!</v>
      </c>
      <c r="Y82" s="66" t="e">
        <f>#REF!*Y76</f>
        <v>#REF!</v>
      </c>
      <c r="Z82" s="66" t="e">
        <f>#REF!*Z76</f>
        <v>#REF!</v>
      </c>
      <c r="AA82" s="66" t="e">
        <f>#REF!*AA76</f>
        <v>#REF!</v>
      </c>
      <c r="AB82" s="66" t="e">
        <f>#REF!*AB76</f>
        <v>#REF!</v>
      </c>
      <c r="AC82" s="66" t="e">
        <f>#REF!*AC76</f>
        <v>#REF!</v>
      </c>
      <c r="AD82" s="66" t="e">
        <f>#REF!*AD76</f>
        <v>#REF!</v>
      </c>
      <c r="AE82" s="66" t="e">
        <f>#REF!*AE76</f>
        <v>#REF!</v>
      </c>
      <c r="AF82" s="66" t="e">
        <f>#REF!*AF76</f>
        <v>#REF!</v>
      </c>
      <c r="AG82" s="66" t="e">
        <f>#REF!*AG76</f>
        <v>#REF!</v>
      </c>
      <c r="AH82" s="66" t="e">
        <f>#REF!*AH76</f>
        <v>#REF!</v>
      </c>
      <c r="AI82" s="67"/>
      <c r="AJ82" s="67"/>
      <c r="AK82" s="67"/>
      <c r="AL82" s="70" t="e">
        <f>AL76*#REF!</f>
        <v>#REF!</v>
      </c>
      <c r="AM82" s="57"/>
    </row>
    <row r="83" spans="1:39" hidden="1" x14ac:dyDescent="0.2">
      <c r="A83" s="51" t="s">
        <v>179</v>
      </c>
      <c r="B83" s="50" t="s">
        <v>180</v>
      </c>
      <c r="C83" s="53"/>
      <c r="D83" s="54" t="s">
        <v>174</v>
      </c>
      <c r="E83" s="44" t="e">
        <f>#REF!/E64</f>
        <v>#REF!</v>
      </c>
      <c r="F83" s="66" t="e">
        <f>#REF!/F64</f>
        <v>#REF!</v>
      </c>
      <c r="G83" s="66" t="e">
        <f>#REF!/G64</f>
        <v>#REF!</v>
      </c>
      <c r="H83" s="66" t="e">
        <f>#REF!/H64</f>
        <v>#REF!</v>
      </c>
      <c r="I83" s="66" t="e">
        <f>#REF!/I64</f>
        <v>#REF!</v>
      </c>
      <c r="J83" s="66" t="e">
        <f>#REF!/J64</f>
        <v>#REF!</v>
      </c>
      <c r="K83" s="66" t="e">
        <f>#REF!/K64</f>
        <v>#REF!</v>
      </c>
      <c r="L83" s="66" t="e">
        <f>#REF!/L64</f>
        <v>#REF!</v>
      </c>
      <c r="M83" s="66" t="e">
        <f>#REF!/M64</f>
        <v>#REF!</v>
      </c>
      <c r="N83" s="66" t="e">
        <f>#REF!/N64</f>
        <v>#REF!</v>
      </c>
      <c r="O83" s="66" t="e">
        <f>#REF!/O64</f>
        <v>#REF!</v>
      </c>
      <c r="P83" s="66" t="e">
        <f>#REF!/P64</f>
        <v>#REF!</v>
      </c>
      <c r="Q83" s="66" t="e">
        <f>#REF!/Q64</f>
        <v>#REF!</v>
      </c>
      <c r="R83" s="66" t="e">
        <f>#REF!/R64</f>
        <v>#REF!</v>
      </c>
      <c r="S83" s="66" t="e">
        <f>#REF!/S64</f>
        <v>#REF!</v>
      </c>
      <c r="T83" s="66" t="e">
        <f>#REF!/T64</f>
        <v>#REF!</v>
      </c>
      <c r="U83" s="66" t="e">
        <f>#REF!/U64</f>
        <v>#REF!</v>
      </c>
      <c r="V83" s="66" t="e">
        <f>#REF!/V64</f>
        <v>#REF!</v>
      </c>
      <c r="W83" s="66" t="e">
        <f>#REF!/W64</f>
        <v>#REF!</v>
      </c>
      <c r="X83" s="66" t="e">
        <f>#REF!/X64</f>
        <v>#REF!</v>
      </c>
      <c r="Y83" s="66" t="e">
        <f>#REF!/Y64</f>
        <v>#REF!</v>
      </c>
      <c r="Z83" s="66" t="e">
        <f>#REF!/Z64</f>
        <v>#REF!</v>
      </c>
      <c r="AA83" s="66" t="e">
        <f>#REF!/AA64</f>
        <v>#REF!</v>
      </c>
      <c r="AB83" s="66" t="e">
        <f>#REF!/AB64</f>
        <v>#REF!</v>
      </c>
      <c r="AC83" s="66" t="e">
        <f>#REF!/AC64</f>
        <v>#REF!</v>
      </c>
      <c r="AD83" s="66" t="e">
        <f>#REF!/AD64</f>
        <v>#REF!</v>
      </c>
      <c r="AE83" s="66" t="e">
        <f>#REF!/AE64</f>
        <v>#REF!</v>
      </c>
      <c r="AF83" s="66" t="e">
        <f>#REF!/AF64</f>
        <v>#REF!</v>
      </c>
      <c r="AG83" s="66" t="e">
        <f>#REF!/AG64</f>
        <v>#REF!</v>
      </c>
      <c r="AH83" s="66" t="e">
        <f>#REF!/AH64</f>
        <v>#REF!</v>
      </c>
      <c r="AI83" s="67"/>
      <c r="AJ83" s="67"/>
      <c r="AK83" s="67"/>
      <c r="AL83" s="70" t="e">
        <f>#REF!/AL64</f>
        <v>#REF!</v>
      </c>
      <c r="AM83" s="57"/>
    </row>
    <row r="84" spans="1:39" hidden="1" x14ac:dyDescent="0.2">
      <c r="A84" s="51" t="s">
        <v>181</v>
      </c>
      <c r="B84" s="50" t="s">
        <v>182</v>
      </c>
      <c r="C84" s="53"/>
      <c r="D84" s="54" t="s">
        <v>174</v>
      </c>
      <c r="E84" s="66">
        <v>291</v>
      </c>
      <c r="F84" s="66">
        <v>291</v>
      </c>
      <c r="G84" s="66">
        <v>291</v>
      </c>
      <c r="H84" s="66">
        <v>291</v>
      </c>
      <c r="I84" s="66">
        <v>291</v>
      </c>
      <c r="J84" s="66">
        <v>291</v>
      </c>
      <c r="K84" s="66">
        <v>291</v>
      </c>
      <c r="L84" s="66">
        <v>291</v>
      </c>
      <c r="M84" s="66">
        <v>291</v>
      </c>
      <c r="N84" s="66">
        <v>291</v>
      </c>
      <c r="O84" s="66">
        <v>291</v>
      </c>
      <c r="P84" s="66">
        <v>291</v>
      </c>
      <c r="Q84" s="66">
        <v>291</v>
      </c>
      <c r="R84" s="66">
        <v>291</v>
      </c>
      <c r="S84" s="66">
        <v>291</v>
      </c>
      <c r="T84" s="66">
        <v>291</v>
      </c>
      <c r="U84" s="66">
        <v>291</v>
      </c>
      <c r="V84" s="66">
        <v>291</v>
      </c>
      <c r="W84" s="66">
        <v>291</v>
      </c>
      <c r="X84" s="66">
        <v>291</v>
      </c>
      <c r="Y84" s="66">
        <v>291</v>
      </c>
      <c r="Z84" s="66">
        <v>291</v>
      </c>
      <c r="AA84" s="66">
        <v>291</v>
      </c>
      <c r="AB84" s="66">
        <v>291</v>
      </c>
      <c r="AC84" s="66">
        <v>291</v>
      </c>
      <c r="AD84" s="66">
        <v>291</v>
      </c>
      <c r="AE84" s="66">
        <v>291</v>
      </c>
      <c r="AF84" s="66">
        <v>291</v>
      </c>
      <c r="AG84" s="66">
        <v>291</v>
      </c>
      <c r="AH84" s="66">
        <v>291</v>
      </c>
      <c r="AI84" s="67"/>
      <c r="AJ84" s="67"/>
      <c r="AK84" s="67"/>
      <c r="AL84" s="70">
        <f>AVERAGE(E84:AH84)</f>
        <v>291</v>
      </c>
      <c r="AM84" s="57"/>
    </row>
    <row r="85" spans="1:39" ht="20.25" hidden="1" customHeight="1" x14ac:dyDescent="0.2">
      <c r="A85" s="51"/>
      <c r="B85" s="50"/>
      <c r="C85" s="53"/>
      <c r="D85" s="204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6"/>
      <c r="AM85" s="57"/>
    </row>
    <row r="86" spans="1:39" hidden="1" x14ac:dyDescent="0.2">
      <c r="A86" s="51" t="s">
        <v>177</v>
      </c>
      <c r="B86" s="50" t="s">
        <v>183</v>
      </c>
      <c r="C86" s="53"/>
      <c r="D86" s="54"/>
      <c r="E86" s="71"/>
      <c r="F86" s="72"/>
      <c r="G86" s="72"/>
      <c r="H86" s="72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4"/>
      <c r="AJ86" s="74"/>
      <c r="AK86" s="74"/>
      <c r="AL86" s="55" t="s">
        <v>184</v>
      </c>
      <c r="AM86" s="57"/>
    </row>
    <row r="87" spans="1:39" hidden="1" x14ac:dyDescent="0.2">
      <c r="A87" s="51"/>
      <c r="B87" s="75" t="s">
        <v>185</v>
      </c>
      <c r="C87" s="76"/>
      <c r="D87" s="54"/>
      <c r="E87" s="71"/>
      <c r="F87" s="72"/>
      <c r="G87" s="72"/>
      <c r="H87" s="77"/>
      <c r="I87" s="191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78"/>
      <c r="AJ87" s="78"/>
      <c r="AK87" s="78"/>
      <c r="AL87" s="79" t="s">
        <v>185</v>
      </c>
      <c r="AM87" s="57"/>
    </row>
    <row r="88" spans="1:39" hidden="1" x14ac:dyDescent="0.2">
      <c r="A88" s="80" t="s">
        <v>155</v>
      </c>
      <c r="B88" s="50" t="s">
        <v>186</v>
      </c>
      <c r="C88" s="53"/>
      <c r="D88" s="54" t="s">
        <v>16</v>
      </c>
      <c r="E88" s="44"/>
      <c r="F88" s="44"/>
      <c r="G88" s="44"/>
      <c r="H88" s="44"/>
      <c r="I88" s="81">
        <v>1.6</v>
      </c>
      <c r="J88" s="81">
        <v>3.5</v>
      </c>
      <c r="K88" s="81">
        <v>12</v>
      </c>
      <c r="L88" s="81">
        <v>26.5</v>
      </c>
      <c r="M88" s="81">
        <v>26.5</v>
      </c>
      <c r="N88" s="81">
        <v>26.5</v>
      </c>
      <c r="O88" s="81">
        <v>26.5</v>
      </c>
      <c r="P88" s="81">
        <v>26.5</v>
      </c>
      <c r="Q88" s="81">
        <v>26.5</v>
      </c>
      <c r="R88" s="81">
        <v>26.5</v>
      </c>
      <c r="S88" s="81">
        <v>26.5</v>
      </c>
      <c r="T88" s="81">
        <v>26.5</v>
      </c>
      <c r="U88" s="81">
        <v>26.5</v>
      </c>
      <c r="V88" s="81">
        <v>26.5</v>
      </c>
      <c r="W88" s="81">
        <v>26.5</v>
      </c>
      <c r="X88" s="81">
        <v>26.5</v>
      </c>
      <c r="Y88" s="81">
        <v>26.5</v>
      </c>
      <c r="Z88" s="81">
        <v>26.5</v>
      </c>
      <c r="AA88" s="81">
        <v>26.5</v>
      </c>
      <c r="AB88" s="81">
        <v>26.5</v>
      </c>
      <c r="AC88" s="81">
        <v>26.5</v>
      </c>
      <c r="AD88" s="81">
        <v>26.5</v>
      </c>
      <c r="AE88" s="81">
        <v>26.5</v>
      </c>
      <c r="AF88" s="81">
        <v>26.5</v>
      </c>
      <c r="AG88" s="81">
        <v>26.5</v>
      </c>
      <c r="AH88" s="81">
        <v>26.5</v>
      </c>
      <c r="AI88" s="82">
        <v>2.5</v>
      </c>
      <c r="AJ88" s="82">
        <v>2.5</v>
      </c>
      <c r="AK88" s="82"/>
      <c r="AL88" s="55">
        <f>SUM(I88:AK88)</f>
        <v>631.6</v>
      </c>
      <c r="AM88" s="57"/>
    </row>
    <row r="89" spans="1:39" hidden="1" x14ac:dyDescent="0.2">
      <c r="A89" s="80" t="s">
        <v>158</v>
      </c>
      <c r="B89" s="50" t="s">
        <v>187</v>
      </c>
      <c r="C89" s="53"/>
      <c r="D89" s="54" t="s">
        <v>16</v>
      </c>
      <c r="E89" s="44"/>
      <c r="F89" s="44"/>
      <c r="G89" s="44"/>
      <c r="H89" s="44"/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4">
        <v>0</v>
      </c>
      <c r="U89" s="44">
        <v>0</v>
      </c>
      <c r="V89" s="44">
        <v>0</v>
      </c>
      <c r="W89" s="44">
        <v>0</v>
      </c>
      <c r="X89" s="44">
        <v>0</v>
      </c>
      <c r="Y89" s="44">
        <v>0</v>
      </c>
      <c r="Z89" s="44">
        <v>0</v>
      </c>
      <c r="AA89" s="44">
        <v>0</v>
      </c>
      <c r="AB89" s="44">
        <v>0</v>
      </c>
      <c r="AC89" s="44">
        <v>0</v>
      </c>
      <c r="AD89" s="44">
        <v>0</v>
      </c>
      <c r="AE89" s="44">
        <v>0</v>
      </c>
      <c r="AF89" s="44">
        <v>0</v>
      </c>
      <c r="AG89" s="44">
        <v>0</v>
      </c>
      <c r="AH89" s="44">
        <v>0</v>
      </c>
      <c r="AI89" s="45">
        <v>12.5</v>
      </c>
      <c r="AJ89" s="45">
        <v>12.5</v>
      </c>
      <c r="AK89" s="45"/>
      <c r="AL89" s="55">
        <f>SUM(I89:AK89)</f>
        <v>25</v>
      </c>
      <c r="AM89" s="57"/>
    </row>
    <row r="90" spans="1:39" hidden="1" x14ac:dyDescent="0.2">
      <c r="A90" s="80" t="s">
        <v>161</v>
      </c>
      <c r="B90" s="50" t="s">
        <v>188</v>
      </c>
      <c r="C90" s="53"/>
      <c r="D90" s="54" t="s">
        <v>16</v>
      </c>
      <c r="E90" s="44"/>
      <c r="F90" s="44"/>
      <c r="G90" s="44"/>
      <c r="H90" s="44"/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4">
        <v>0</v>
      </c>
      <c r="U90" s="44">
        <v>0</v>
      </c>
      <c r="V90" s="44">
        <v>0</v>
      </c>
      <c r="W90" s="44">
        <v>0</v>
      </c>
      <c r="X90" s="44">
        <v>0</v>
      </c>
      <c r="Y90" s="44">
        <v>0</v>
      </c>
      <c r="Z90" s="44">
        <v>0</v>
      </c>
      <c r="AA90" s="44">
        <v>0</v>
      </c>
      <c r="AB90" s="44">
        <v>0</v>
      </c>
      <c r="AC90" s="44">
        <v>0</v>
      </c>
      <c r="AD90" s="44">
        <v>0</v>
      </c>
      <c r="AE90" s="44">
        <v>0</v>
      </c>
      <c r="AF90" s="44">
        <v>0</v>
      </c>
      <c r="AG90" s="44">
        <v>0</v>
      </c>
      <c r="AH90" s="44">
        <v>0</v>
      </c>
      <c r="AI90" s="45">
        <v>38</v>
      </c>
      <c r="AJ90" s="45">
        <v>38</v>
      </c>
      <c r="AK90" s="45"/>
      <c r="AL90" s="55">
        <f>SUM(I90:AK90)</f>
        <v>76</v>
      </c>
      <c r="AM90" s="57"/>
    </row>
    <row r="91" spans="1:39" hidden="1" x14ac:dyDescent="0.2">
      <c r="A91" s="80" t="s">
        <v>164</v>
      </c>
      <c r="B91" s="50" t="s">
        <v>189</v>
      </c>
      <c r="C91" s="53"/>
      <c r="D91" s="54" t="s">
        <v>16</v>
      </c>
      <c r="E91" s="44"/>
      <c r="F91" s="44"/>
      <c r="G91" s="44"/>
      <c r="H91" s="44"/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4">
        <v>0</v>
      </c>
      <c r="U91" s="44">
        <v>0</v>
      </c>
      <c r="V91" s="44">
        <v>0</v>
      </c>
      <c r="W91" s="44">
        <v>0</v>
      </c>
      <c r="X91" s="44">
        <v>0</v>
      </c>
      <c r="Y91" s="44">
        <v>0</v>
      </c>
      <c r="Z91" s="44">
        <v>0</v>
      </c>
      <c r="AA91" s="44">
        <v>0</v>
      </c>
      <c r="AB91" s="44">
        <v>0</v>
      </c>
      <c r="AC91" s="44">
        <v>0</v>
      </c>
      <c r="AD91" s="44">
        <v>0</v>
      </c>
      <c r="AE91" s="44">
        <v>0</v>
      </c>
      <c r="AF91" s="44">
        <v>0</v>
      </c>
      <c r="AG91" s="44">
        <v>0</v>
      </c>
      <c r="AH91" s="44">
        <v>0</v>
      </c>
      <c r="AI91" s="45">
        <v>0</v>
      </c>
      <c r="AJ91" s="45">
        <v>0</v>
      </c>
      <c r="AK91" s="45"/>
      <c r="AL91" s="55">
        <f>SUM(I91:AK91)</f>
        <v>0</v>
      </c>
      <c r="AM91" s="57"/>
    </row>
    <row r="92" spans="1:39" hidden="1" x14ac:dyDescent="0.2">
      <c r="A92" s="83"/>
      <c r="B92" s="50" t="s">
        <v>190</v>
      </c>
      <c r="C92" s="53"/>
      <c r="D92" s="54" t="s">
        <v>16</v>
      </c>
      <c r="E92" s="84">
        <f t="shared" ref="E92:AL92" si="13">SUM(E88:E91)</f>
        <v>0</v>
      </c>
      <c r="F92" s="84">
        <f t="shared" si="13"/>
        <v>0</v>
      </c>
      <c r="G92" s="84">
        <f t="shared" si="13"/>
        <v>0</v>
      </c>
      <c r="H92" s="84">
        <f t="shared" si="13"/>
        <v>0</v>
      </c>
      <c r="I92" s="84">
        <f t="shared" si="13"/>
        <v>1.6</v>
      </c>
      <c r="J92" s="84">
        <f t="shared" si="13"/>
        <v>3.5</v>
      </c>
      <c r="K92" s="84">
        <f t="shared" si="13"/>
        <v>12</v>
      </c>
      <c r="L92" s="84">
        <f t="shared" ref="L92:AH92" si="14">SUM(L88:L91)</f>
        <v>26.5</v>
      </c>
      <c r="M92" s="84">
        <f t="shared" si="14"/>
        <v>26.5</v>
      </c>
      <c r="N92" s="84">
        <f t="shared" si="14"/>
        <v>26.5</v>
      </c>
      <c r="O92" s="84">
        <f t="shared" si="14"/>
        <v>26.5</v>
      </c>
      <c r="P92" s="84">
        <f t="shared" si="14"/>
        <v>26.5</v>
      </c>
      <c r="Q92" s="84">
        <f t="shared" si="14"/>
        <v>26.5</v>
      </c>
      <c r="R92" s="84">
        <f t="shared" si="14"/>
        <v>26.5</v>
      </c>
      <c r="S92" s="84">
        <f t="shared" si="14"/>
        <v>26.5</v>
      </c>
      <c r="T92" s="84">
        <f t="shared" si="14"/>
        <v>26.5</v>
      </c>
      <c r="U92" s="84">
        <f t="shared" si="14"/>
        <v>26.5</v>
      </c>
      <c r="V92" s="84">
        <f t="shared" si="14"/>
        <v>26.5</v>
      </c>
      <c r="W92" s="84">
        <f t="shared" si="14"/>
        <v>26.5</v>
      </c>
      <c r="X92" s="84">
        <f t="shared" si="14"/>
        <v>26.5</v>
      </c>
      <c r="Y92" s="84">
        <f t="shared" si="14"/>
        <v>26.5</v>
      </c>
      <c r="Z92" s="84">
        <f t="shared" si="14"/>
        <v>26.5</v>
      </c>
      <c r="AA92" s="84">
        <f t="shared" si="14"/>
        <v>26.5</v>
      </c>
      <c r="AB92" s="84">
        <f t="shared" si="14"/>
        <v>26.5</v>
      </c>
      <c r="AC92" s="84">
        <f t="shared" si="14"/>
        <v>26.5</v>
      </c>
      <c r="AD92" s="84">
        <f t="shared" si="14"/>
        <v>26.5</v>
      </c>
      <c r="AE92" s="84">
        <f t="shared" si="14"/>
        <v>26.5</v>
      </c>
      <c r="AF92" s="84">
        <f t="shared" si="14"/>
        <v>26.5</v>
      </c>
      <c r="AG92" s="84">
        <f t="shared" si="14"/>
        <v>26.5</v>
      </c>
      <c r="AH92" s="84">
        <f t="shared" si="14"/>
        <v>26.5</v>
      </c>
      <c r="AI92" s="84">
        <f t="shared" si="13"/>
        <v>53</v>
      </c>
      <c r="AJ92" s="84">
        <f t="shared" si="13"/>
        <v>53</v>
      </c>
      <c r="AK92" s="85"/>
      <c r="AL92" s="69">
        <f t="shared" si="13"/>
        <v>732.6</v>
      </c>
      <c r="AM92" s="57"/>
    </row>
    <row r="93" spans="1:39" hidden="1" x14ac:dyDescent="0.2">
      <c r="A93" s="83"/>
      <c r="B93" s="75" t="s">
        <v>191</v>
      </c>
      <c r="C93" s="76"/>
      <c r="D93" s="72"/>
      <c r="E93" s="72"/>
      <c r="F93" s="72"/>
      <c r="G93" s="72"/>
      <c r="H93" s="72"/>
      <c r="I93" s="191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78"/>
      <c r="AJ93" s="78"/>
      <c r="AK93" s="78"/>
      <c r="AL93" s="86" t="s">
        <v>191</v>
      </c>
      <c r="AM93" s="57"/>
    </row>
    <row r="94" spans="1:39" hidden="1" x14ac:dyDescent="0.2">
      <c r="A94" s="80" t="s">
        <v>155</v>
      </c>
      <c r="B94" s="50" t="s">
        <v>186</v>
      </c>
      <c r="C94" s="53"/>
      <c r="D94" s="54" t="s">
        <v>16</v>
      </c>
      <c r="E94" s="44"/>
      <c r="F94" s="44"/>
      <c r="G94" s="44"/>
      <c r="H94" s="44"/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44">
        <v>0</v>
      </c>
      <c r="AH94" s="44">
        <v>0</v>
      </c>
      <c r="AI94" s="45">
        <v>0</v>
      </c>
      <c r="AJ94" s="45">
        <v>0</v>
      </c>
      <c r="AK94" s="45"/>
      <c r="AL94" s="55">
        <f>SUM(E94:AH94)</f>
        <v>0</v>
      </c>
      <c r="AM94" s="57"/>
    </row>
    <row r="95" spans="1:39" hidden="1" x14ac:dyDescent="0.2">
      <c r="A95" s="80" t="s">
        <v>158</v>
      </c>
      <c r="B95" s="50" t="s">
        <v>187</v>
      </c>
      <c r="C95" s="53"/>
      <c r="D95" s="54" t="s">
        <v>16</v>
      </c>
      <c r="E95" s="44"/>
      <c r="F95" s="44"/>
      <c r="G95" s="44"/>
      <c r="H95" s="44"/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4">
        <v>0</v>
      </c>
      <c r="U95" s="44">
        <v>0</v>
      </c>
      <c r="V95" s="44">
        <v>0</v>
      </c>
      <c r="W95" s="44">
        <v>0</v>
      </c>
      <c r="X95" s="44">
        <v>0</v>
      </c>
      <c r="Y95" s="44">
        <v>0</v>
      </c>
      <c r="Z95" s="44">
        <v>0</v>
      </c>
      <c r="AA95" s="44">
        <v>0</v>
      </c>
      <c r="AB95" s="44">
        <v>0</v>
      </c>
      <c r="AC95" s="44">
        <v>0</v>
      </c>
      <c r="AD95" s="44">
        <v>0</v>
      </c>
      <c r="AE95" s="44">
        <v>0</v>
      </c>
      <c r="AF95" s="44">
        <v>0</v>
      </c>
      <c r="AG95" s="44">
        <v>0</v>
      </c>
      <c r="AH95" s="44">
        <v>0</v>
      </c>
      <c r="AI95" s="45">
        <v>0</v>
      </c>
      <c r="AJ95" s="45">
        <v>0</v>
      </c>
      <c r="AK95" s="45"/>
      <c r="AL95" s="55">
        <f>SUM(E95:AH95)</f>
        <v>0</v>
      </c>
      <c r="AM95" s="57"/>
    </row>
    <row r="96" spans="1:39" hidden="1" x14ac:dyDescent="0.2">
      <c r="A96" s="80" t="s">
        <v>161</v>
      </c>
      <c r="B96" s="50" t="s">
        <v>188</v>
      </c>
      <c r="C96" s="53"/>
      <c r="D96" s="54" t="s">
        <v>16</v>
      </c>
      <c r="E96" s="44"/>
      <c r="F96" s="44"/>
      <c r="G96" s="44"/>
      <c r="H96" s="44"/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4">
        <v>0</v>
      </c>
      <c r="U96" s="44">
        <v>0</v>
      </c>
      <c r="V96" s="44">
        <v>0</v>
      </c>
      <c r="W96" s="44">
        <v>0</v>
      </c>
      <c r="X96" s="44">
        <v>0</v>
      </c>
      <c r="Y96" s="44">
        <v>0</v>
      </c>
      <c r="Z96" s="44">
        <v>0</v>
      </c>
      <c r="AA96" s="44">
        <v>0</v>
      </c>
      <c r="AB96" s="44">
        <v>0</v>
      </c>
      <c r="AC96" s="44">
        <v>0</v>
      </c>
      <c r="AD96" s="44">
        <v>0</v>
      </c>
      <c r="AE96" s="44">
        <v>0</v>
      </c>
      <c r="AF96" s="44">
        <v>0</v>
      </c>
      <c r="AG96" s="44">
        <v>0</v>
      </c>
      <c r="AH96" s="44">
        <v>0</v>
      </c>
      <c r="AI96" s="45">
        <v>0</v>
      </c>
      <c r="AJ96" s="45">
        <v>0</v>
      </c>
      <c r="AK96" s="45"/>
      <c r="AL96" s="55">
        <f>SUM(E96:AH96)</f>
        <v>0</v>
      </c>
      <c r="AM96" s="57"/>
    </row>
    <row r="97" spans="1:39" hidden="1" x14ac:dyDescent="0.2">
      <c r="A97" s="80" t="s">
        <v>164</v>
      </c>
      <c r="B97" s="50" t="s">
        <v>189</v>
      </c>
      <c r="C97" s="53"/>
      <c r="D97" s="54" t="s">
        <v>16</v>
      </c>
      <c r="E97" s="44"/>
      <c r="F97" s="44"/>
      <c r="G97" s="44"/>
      <c r="H97" s="44"/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4">
        <v>0</v>
      </c>
      <c r="U97" s="44">
        <v>0</v>
      </c>
      <c r="V97" s="44">
        <v>0</v>
      </c>
      <c r="W97" s="44">
        <v>0</v>
      </c>
      <c r="X97" s="44">
        <v>0</v>
      </c>
      <c r="Y97" s="44">
        <v>0</v>
      </c>
      <c r="Z97" s="44">
        <v>0</v>
      </c>
      <c r="AA97" s="44">
        <v>0</v>
      </c>
      <c r="AB97" s="44">
        <v>0</v>
      </c>
      <c r="AC97" s="44">
        <v>0</v>
      </c>
      <c r="AD97" s="44">
        <v>0</v>
      </c>
      <c r="AE97" s="44">
        <v>0</v>
      </c>
      <c r="AF97" s="44">
        <v>0</v>
      </c>
      <c r="AG97" s="44">
        <v>0</v>
      </c>
      <c r="AH97" s="44">
        <v>0</v>
      </c>
      <c r="AI97" s="45">
        <v>0</v>
      </c>
      <c r="AJ97" s="45">
        <v>0</v>
      </c>
      <c r="AK97" s="45"/>
      <c r="AL97" s="55">
        <f>SUM(E97:AH97)</f>
        <v>0</v>
      </c>
      <c r="AM97" s="57"/>
    </row>
    <row r="98" spans="1:39" hidden="1" x14ac:dyDescent="0.2">
      <c r="A98" s="80" t="s">
        <v>177</v>
      </c>
      <c r="B98" s="50" t="s">
        <v>192</v>
      </c>
      <c r="C98" s="53"/>
      <c r="D98" s="54" t="s">
        <v>16</v>
      </c>
      <c r="E98" s="44"/>
      <c r="F98" s="44"/>
      <c r="G98" s="44"/>
      <c r="H98" s="44"/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4">
        <v>0</v>
      </c>
      <c r="U98" s="44">
        <v>0</v>
      </c>
      <c r="V98" s="44">
        <v>0</v>
      </c>
      <c r="W98" s="44">
        <v>0</v>
      </c>
      <c r="X98" s="44">
        <v>0</v>
      </c>
      <c r="Y98" s="44">
        <v>0</v>
      </c>
      <c r="Z98" s="44">
        <v>0</v>
      </c>
      <c r="AA98" s="44">
        <v>0</v>
      </c>
      <c r="AB98" s="44">
        <v>0</v>
      </c>
      <c r="AC98" s="44">
        <v>0</v>
      </c>
      <c r="AD98" s="44">
        <v>0</v>
      </c>
      <c r="AE98" s="44">
        <v>0</v>
      </c>
      <c r="AF98" s="44">
        <v>0</v>
      </c>
      <c r="AG98" s="44">
        <v>0</v>
      </c>
      <c r="AH98" s="44">
        <v>0</v>
      </c>
      <c r="AI98" s="45">
        <v>0</v>
      </c>
      <c r="AJ98" s="45">
        <v>0</v>
      </c>
      <c r="AK98" s="45"/>
      <c r="AL98" s="55">
        <f>SUM(E98:AH98)</f>
        <v>0</v>
      </c>
      <c r="AM98" s="57"/>
    </row>
    <row r="99" spans="1:39" hidden="1" x14ac:dyDescent="0.2">
      <c r="A99" s="83"/>
      <c r="B99" s="50" t="s">
        <v>190</v>
      </c>
      <c r="C99" s="53"/>
      <c r="D99" s="54" t="s">
        <v>16</v>
      </c>
      <c r="E99" s="84">
        <f t="shared" ref="E99:AL99" si="15">SUM(E94:E98)</f>
        <v>0</v>
      </c>
      <c r="F99" s="84">
        <f t="shared" si="15"/>
        <v>0</v>
      </c>
      <c r="G99" s="84">
        <f t="shared" si="15"/>
        <v>0</v>
      </c>
      <c r="H99" s="84">
        <f t="shared" si="15"/>
        <v>0</v>
      </c>
      <c r="I99" s="84">
        <f t="shared" si="15"/>
        <v>0</v>
      </c>
      <c r="J99" s="84">
        <f t="shared" si="15"/>
        <v>0</v>
      </c>
      <c r="K99" s="84">
        <f t="shared" si="15"/>
        <v>0</v>
      </c>
      <c r="L99" s="84">
        <f t="shared" ref="L99:AH99" si="16">SUM(L94:L98)</f>
        <v>0</v>
      </c>
      <c r="M99" s="84">
        <f t="shared" si="16"/>
        <v>0</v>
      </c>
      <c r="N99" s="84">
        <f t="shared" si="16"/>
        <v>0</v>
      </c>
      <c r="O99" s="84">
        <f t="shared" si="16"/>
        <v>0</v>
      </c>
      <c r="P99" s="84">
        <f t="shared" si="16"/>
        <v>0</v>
      </c>
      <c r="Q99" s="84">
        <f t="shared" si="16"/>
        <v>0</v>
      </c>
      <c r="R99" s="84">
        <f t="shared" si="16"/>
        <v>0</v>
      </c>
      <c r="S99" s="84">
        <f t="shared" si="16"/>
        <v>0</v>
      </c>
      <c r="T99" s="84">
        <f t="shared" si="16"/>
        <v>0</v>
      </c>
      <c r="U99" s="84">
        <f t="shared" si="16"/>
        <v>0</v>
      </c>
      <c r="V99" s="84">
        <f t="shared" si="16"/>
        <v>0</v>
      </c>
      <c r="W99" s="84">
        <f t="shared" si="16"/>
        <v>0</v>
      </c>
      <c r="X99" s="84">
        <f t="shared" si="16"/>
        <v>0</v>
      </c>
      <c r="Y99" s="84">
        <f t="shared" si="16"/>
        <v>0</v>
      </c>
      <c r="Z99" s="84">
        <f t="shared" si="16"/>
        <v>0</v>
      </c>
      <c r="AA99" s="84">
        <f t="shared" si="16"/>
        <v>0</v>
      </c>
      <c r="AB99" s="84">
        <f t="shared" si="16"/>
        <v>0</v>
      </c>
      <c r="AC99" s="84">
        <f t="shared" si="16"/>
        <v>0</v>
      </c>
      <c r="AD99" s="84">
        <f t="shared" si="16"/>
        <v>0</v>
      </c>
      <c r="AE99" s="84">
        <f t="shared" si="16"/>
        <v>0</v>
      </c>
      <c r="AF99" s="84">
        <f t="shared" si="16"/>
        <v>0</v>
      </c>
      <c r="AG99" s="84">
        <f t="shared" si="16"/>
        <v>0</v>
      </c>
      <c r="AH99" s="84">
        <f t="shared" si="16"/>
        <v>0</v>
      </c>
      <c r="AI99" s="85">
        <v>0</v>
      </c>
      <c r="AJ99" s="85">
        <v>0</v>
      </c>
      <c r="AK99" s="85"/>
      <c r="AL99" s="55">
        <f t="shared" si="15"/>
        <v>0</v>
      </c>
    </row>
    <row r="100" spans="1:39" hidden="1" x14ac:dyDescent="0.2">
      <c r="A100" s="83"/>
      <c r="B100" s="50" t="s">
        <v>193</v>
      </c>
      <c r="C100" s="53"/>
      <c r="D100" s="54" t="s">
        <v>16</v>
      </c>
      <c r="E100" s="84">
        <f t="shared" ref="E100:AL100" si="17">E92+E99</f>
        <v>0</v>
      </c>
      <c r="F100" s="84">
        <f t="shared" si="17"/>
        <v>0</v>
      </c>
      <c r="G100" s="84">
        <f t="shared" si="17"/>
        <v>0</v>
      </c>
      <c r="H100" s="84">
        <f t="shared" si="17"/>
        <v>0</v>
      </c>
      <c r="I100" s="84">
        <f t="shared" si="17"/>
        <v>1.6</v>
      </c>
      <c r="J100" s="84">
        <f t="shared" si="17"/>
        <v>3.5</v>
      </c>
      <c r="K100" s="84">
        <f t="shared" si="17"/>
        <v>12</v>
      </c>
      <c r="L100" s="84">
        <f t="shared" ref="L100:AH100" si="18">L92+L99</f>
        <v>26.5</v>
      </c>
      <c r="M100" s="84">
        <f t="shared" si="18"/>
        <v>26.5</v>
      </c>
      <c r="N100" s="84">
        <f t="shared" si="18"/>
        <v>26.5</v>
      </c>
      <c r="O100" s="84">
        <f t="shared" si="18"/>
        <v>26.5</v>
      </c>
      <c r="P100" s="84">
        <f t="shared" si="18"/>
        <v>26.5</v>
      </c>
      <c r="Q100" s="84">
        <f t="shared" si="18"/>
        <v>26.5</v>
      </c>
      <c r="R100" s="84">
        <f t="shared" si="18"/>
        <v>26.5</v>
      </c>
      <c r="S100" s="84">
        <f t="shared" si="18"/>
        <v>26.5</v>
      </c>
      <c r="T100" s="84">
        <f t="shared" si="18"/>
        <v>26.5</v>
      </c>
      <c r="U100" s="84">
        <f t="shared" si="18"/>
        <v>26.5</v>
      </c>
      <c r="V100" s="84">
        <f t="shared" si="18"/>
        <v>26.5</v>
      </c>
      <c r="W100" s="84">
        <f t="shared" si="18"/>
        <v>26.5</v>
      </c>
      <c r="X100" s="84">
        <f t="shared" si="18"/>
        <v>26.5</v>
      </c>
      <c r="Y100" s="84">
        <f t="shared" si="18"/>
        <v>26.5</v>
      </c>
      <c r="Z100" s="84">
        <f t="shared" si="18"/>
        <v>26.5</v>
      </c>
      <c r="AA100" s="84">
        <f t="shared" si="18"/>
        <v>26.5</v>
      </c>
      <c r="AB100" s="84">
        <f t="shared" si="18"/>
        <v>26.5</v>
      </c>
      <c r="AC100" s="84">
        <f t="shared" si="18"/>
        <v>26.5</v>
      </c>
      <c r="AD100" s="84">
        <f t="shared" si="18"/>
        <v>26.5</v>
      </c>
      <c r="AE100" s="84">
        <f t="shared" si="18"/>
        <v>26.5</v>
      </c>
      <c r="AF100" s="84">
        <f t="shared" si="18"/>
        <v>26.5</v>
      </c>
      <c r="AG100" s="84">
        <f t="shared" si="18"/>
        <v>26.5</v>
      </c>
      <c r="AH100" s="84">
        <f t="shared" si="18"/>
        <v>26.5</v>
      </c>
      <c r="AI100" s="84">
        <f t="shared" si="17"/>
        <v>53</v>
      </c>
      <c r="AJ100" s="84">
        <f t="shared" si="17"/>
        <v>53</v>
      </c>
      <c r="AK100" s="85"/>
      <c r="AL100" s="55">
        <f t="shared" si="17"/>
        <v>732.6</v>
      </c>
    </row>
    <row r="101" spans="1:39" ht="21" hidden="1" thickBot="1" x14ac:dyDescent="0.25">
      <c r="A101" s="87"/>
      <c r="B101" s="88" t="s">
        <v>11</v>
      </c>
      <c r="C101" s="89"/>
      <c r="D101" s="90" t="s">
        <v>194</v>
      </c>
      <c r="E101" s="91">
        <f>E105</f>
        <v>0</v>
      </c>
      <c r="F101" s="91">
        <f t="shared" ref="F101:AJ101" si="19">F105</f>
        <v>0</v>
      </c>
      <c r="G101" s="91">
        <v>12.5</v>
      </c>
      <c r="H101" s="91">
        <f t="shared" si="19"/>
        <v>0</v>
      </c>
      <c r="I101" s="91">
        <f t="shared" si="19"/>
        <v>26</v>
      </c>
      <c r="J101" s="91">
        <f t="shared" si="19"/>
        <v>17</v>
      </c>
      <c r="K101" s="91">
        <f t="shared" si="19"/>
        <v>17</v>
      </c>
      <c r="L101" s="91">
        <f t="shared" ref="L101:AH101" si="20">L105</f>
        <v>17</v>
      </c>
      <c r="M101" s="91">
        <f t="shared" si="20"/>
        <v>17</v>
      </c>
      <c r="N101" s="91">
        <f t="shared" si="20"/>
        <v>17</v>
      </c>
      <c r="O101" s="91">
        <f t="shared" si="20"/>
        <v>17</v>
      </c>
      <c r="P101" s="91">
        <f t="shared" si="20"/>
        <v>17</v>
      </c>
      <c r="Q101" s="91">
        <f t="shared" si="20"/>
        <v>17</v>
      </c>
      <c r="R101" s="91">
        <f t="shared" si="20"/>
        <v>17</v>
      </c>
      <c r="S101" s="91">
        <f t="shared" si="20"/>
        <v>17</v>
      </c>
      <c r="T101" s="91">
        <f t="shared" si="20"/>
        <v>17</v>
      </c>
      <c r="U101" s="91">
        <f t="shared" si="20"/>
        <v>17</v>
      </c>
      <c r="V101" s="91">
        <f t="shared" si="20"/>
        <v>17</v>
      </c>
      <c r="W101" s="91">
        <f t="shared" si="20"/>
        <v>17</v>
      </c>
      <c r="X101" s="91">
        <f t="shared" si="20"/>
        <v>17</v>
      </c>
      <c r="Y101" s="91">
        <f t="shared" si="20"/>
        <v>17</v>
      </c>
      <c r="Z101" s="91">
        <f t="shared" si="20"/>
        <v>17</v>
      </c>
      <c r="AA101" s="91">
        <f t="shared" si="20"/>
        <v>17</v>
      </c>
      <c r="AB101" s="91">
        <f t="shared" si="20"/>
        <v>17</v>
      </c>
      <c r="AC101" s="91">
        <f t="shared" si="20"/>
        <v>17</v>
      </c>
      <c r="AD101" s="91">
        <f t="shared" si="20"/>
        <v>17</v>
      </c>
      <c r="AE101" s="91">
        <f t="shared" si="20"/>
        <v>17</v>
      </c>
      <c r="AF101" s="91">
        <f t="shared" si="20"/>
        <v>17</v>
      </c>
      <c r="AG101" s="91">
        <f t="shared" si="20"/>
        <v>17</v>
      </c>
      <c r="AH101" s="91">
        <f t="shared" si="20"/>
        <v>17</v>
      </c>
      <c r="AI101" s="91" t="e">
        <f t="shared" si="19"/>
        <v>#REF!</v>
      </c>
      <c r="AJ101" s="91" t="e">
        <f t="shared" si="19"/>
        <v>#REF!</v>
      </c>
      <c r="AK101" s="92"/>
      <c r="AL101" s="93">
        <f>+AL105</f>
        <v>17.346153846153847</v>
      </c>
    </row>
    <row r="102" spans="1:39" hidden="1" x14ac:dyDescent="0.2">
      <c r="A102" s="94"/>
      <c r="B102" s="95"/>
      <c r="C102" s="96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7"/>
    </row>
    <row r="103" spans="1:39" hidden="1" x14ac:dyDescent="0.2">
      <c r="A103" s="98" t="s">
        <v>195</v>
      </c>
      <c r="B103" s="99" t="s">
        <v>196</v>
      </c>
      <c r="C103" s="99"/>
      <c r="D103" s="100"/>
      <c r="E103" s="100"/>
      <c r="F103" s="101" t="s">
        <v>197</v>
      </c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2"/>
      <c r="AJ103" s="102"/>
      <c r="AK103" s="103"/>
      <c r="AL103" s="95"/>
    </row>
    <row r="104" spans="1:39" hidden="1" x14ac:dyDescent="0.2">
      <c r="A104" s="51"/>
      <c r="B104" s="72"/>
      <c r="C104" s="104"/>
      <c r="D104" s="54" t="s">
        <v>101</v>
      </c>
      <c r="E104" s="54">
        <v>1</v>
      </c>
      <c r="F104" s="54">
        <v>2</v>
      </c>
      <c r="G104" s="54">
        <v>3</v>
      </c>
      <c r="H104" s="54">
        <v>4</v>
      </c>
      <c r="I104" s="54">
        <v>5</v>
      </c>
      <c r="J104" s="54">
        <v>6</v>
      </c>
      <c r="K104" s="54">
        <v>7</v>
      </c>
      <c r="L104" s="54">
        <v>8</v>
      </c>
      <c r="M104" s="54">
        <v>8</v>
      </c>
      <c r="N104" s="54">
        <v>8</v>
      </c>
      <c r="O104" s="54">
        <v>8</v>
      </c>
      <c r="P104" s="54">
        <v>8</v>
      </c>
      <c r="Q104" s="54">
        <v>8</v>
      </c>
      <c r="R104" s="54">
        <v>8</v>
      </c>
      <c r="S104" s="54">
        <v>8</v>
      </c>
      <c r="T104" s="54">
        <v>8</v>
      </c>
      <c r="U104" s="54">
        <v>8</v>
      </c>
      <c r="V104" s="54">
        <v>8</v>
      </c>
      <c r="W104" s="54">
        <v>8</v>
      </c>
      <c r="X104" s="54">
        <v>8</v>
      </c>
      <c r="Y104" s="54">
        <v>8</v>
      </c>
      <c r="Z104" s="54">
        <v>8</v>
      </c>
      <c r="AA104" s="54">
        <v>8</v>
      </c>
      <c r="AB104" s="54">
        <v>8</v>
      </c>
      <c r="AC104" s="54">
        <v>8</v>
      </c>
      <c r="AD104" s="54">
        <v>8</v>
      </c>
      <c r="AE104" s="54">
        <v>8</v>
      </c>
      <c r="AF104" s="54">
        <v>8</v>
      </c>
      <c r="AG104" s="54">
        <v>8</v>
      </c>
      <c r="AH104" s="54">
        <v>8</v>
      </c>
      <c r="AI104" s="105">
        <v>16</v>
      </c>
      <c r="AJ104" s="105">
        <v>16</v>
      </c>
      <c r="AK104" s="105"/>
      <c r="AL104" s="106" t="s">
        <v>190</v>
      </c>
    </row>
    <row r="105" spans="1:39" hidden="1" x14ac:dyDescent="0.2">
      <c r="A105" s="80" t="s">
        <v>155</v>
      </c>
      <c r="B105" s="72" t="s">
        <v>198</v>
      </c>
      <c r="C105" s="104"/>
      <c r="D105" s="107" t="s">
        <v>194</v>
      </c>
      <c r="E105" s="61"/>
      <c r="F105" s="61"/>
      <c r="G105" s="61"/>
      <c r="H105" s="61"/>
      <c r="I105" s="61">
        <v>26</v>
      </c>
      <c r="J105" s="61">
        <v>17</v>
      </c>
      <c r="K105" s="61">
        <v>17</v>
      </c>
      <c r="L105" s="61">
        <v>17</v>
      </c>
      <c r="M105" s="61">
        <v>17</v>
      </c>
      <c r="N105" s="61">
        <v>17</v>
      </c>
      <c r="O105" s="61">
        <v>17</v>
      </c>
      <c r="P105" s="61">
        <v>17</v>
      </c>
      <c r="Q105" s="61">
        <v>17</v>
      </c>
      <c r="R105" s="61">
        <v>17</v>
      </c>
      <c r="S105" s="61">
        <v>17</v>
      </c>
      <c r="T105" s="61">
        <v>17</v>
      </c>
      <c r="U105" s="61">
        <v>17</v>
      </c>
      <c r="V105" s="61">
        <v>17</v>
      </c>
      <c r="W105" s="61">
        <v>17</v>
      </c>
      <c r="X105" s="61">
        <v>17</v>
      </c>
      <c r="Y105" s="61">
        <v>17</v>
      </c>
      <c r="Z105" s="61">
        <v>17</v>
      </c>
      <c r="AA105" s="61">
        <v>17</v>
      </c>
      <c r="AB105" s="61">
        <v>17</v>
      </c>
      <c r="AC105" s="61">
        <v>17</v>
      </c>
      <c r="AD105" s="61">
        <v>17</v>
      </c>
      <c r="AE105" s="61">
        <v>17</v>
      </c>
      <c r="AF105" s="61">
        <v>17</v>
      </c>
      <c r="AG105" s="61">
        <v>17</v>
      </c>
      <c r="AH105" s="61">
        <v>17</v>
      </c>
      <c r="AI105" s="62" t="e">
        <f>#REF!</f>
        <v>#REF!</v>
      </c>
      <c r="AJ105" s="62" t="e">
        <f>#REF!</f>
        <v>#REF!</v>
      </c>
      <c r="AK105" s="62"/>
      <c r="AL105" s="108">
        <f>AVERAGE(E105:AH105)</f>
        <v>17.346153846153847</v>
      </c>
    </row>
    <row r="106" spans="1:39" hidden="1" x14ac:dyDescent="0.2">
      <c r="A106" s="80" t="s">
        <v>158</v>
      </c>
      <c r="B106" s="72" t="s">
        <v>199</v>
      </c>
      <c r="C106" s="104"/>
      <c r="D106" s="107" t="s">
        <v>14</v>
      </c>
      <c r="E106" s="61"/>
      <c r="F106" s="61"/>
      <c r="G106" s="61"/>
      <c r="H106" s="61"/>
      <c r="I106" s="61">
        <v>2.85</v>
      </c>
      <c r="J106" s="61">
        <v>2.85</v>
      </c>
      <c r="K106" s="61">
        <v>2.85</v>
      </c>
      <c r="L106" s="61">
        <v>2.85</v>
      </c>
      <c r="M106" s="61">
        <v>2.85</v>
      </c>
      <c r="N106" s="61">
        <v>2.85</v>
      </c>
      <c r="O106" s="61">
        <v>2.85</v>
      </c>
      <c r="P106" s="61">
        <v>2.85</v>
      </c>
      <c r="Q106" s="61">
        <v>2.85</v>
      </c>
      <c r="R106" s="61">
        <v>2.85</v>
      </c>
      <c r="S106" s="61">
        <v>2.85</v>
      </c>
      <c r="T106" s="61">
        <v>2.85</v>
      </c>
      <c r="U106" s="61">
        <v>2.85</v>
      </c>
      <c r="V106" s="61">
        <v>2.85</v>
      </c>
      <c r="W106" s="61">
        <v>2.85</v>
      </c>
      <c r="X106" s="61">
        <v>2.85</v>
      </c>
      <c r="Y106" s="61">
        <v>2.85</v>
      </c>
      <c r="Z106" s="61">
        <v>2.85</v>
      </c>
      <c r="AA106" s="61">
        <v>2.85</v>
      </c>
      <c r="AB106" s="61">
        <v>2.85</v>
      </c>
      <c r="AC106" s="61">
        <v>2.85</v>
      </c>
      <c r="AD106" s="61">
        <v>2.85</v>
      </c>
      <c r="AE106" s="61">
        <v>2.85</v>
      </c>
      <c r="AF106" s="61">
        <v>2.85</v>
      </c>
      <c r="AG106" s="61">
        <v>2.85</v>
      </c>
      <c r="AH106" s="61">
        <v>2.85</v>
      </c>
      <c r="AI106" s="62">
        <v>2.85</v>
      </c>
      <c r="AJ106" s="62">
        <v>2.85</v>
      </c>
      <c r="AK106" s="62"/>
      <c r="AL106" s="108">
        <f>AVERAGE(E106:AH106)</f>
        <v>2.8500000000000005</v>
      </c>
    </row>
    <row r="107" spans="1:39" hidden="1" x14ac:dyDescent="0.2">
      <c r="A107" s="80" t="s">
        <v>161</v>
      </c>
      <c r="B107" s="72" t="s">
        <v>200</v>
      </c>
      <c r="C107" s="104"/>
      <c r="D107" s="107" t="s">
        <v>201</v>
      </c>
      <c r="E107" s="44"/>
      <c r="F107" s="44"/>
      <c r="G107" s="44"/>
      <c r="H107" s="44"/>
      <c r="I107" s="44" t="e">
        <f>#REF!</f>
        <v>#REF!</v>
      </c>
      <c r="J107" s="44" t="e">
        <f>#REF!</f>
        <v>#REF!</v>
      </c>
      <c r="K107" s="44" t="e">
        <f>#REF!</f>
        <v>#REF!</v>
      </c>
      <c r="L107" s="44" t="e">
        <f>#REF!</f>
        <v>#REF!</v>
      </c>
      <c r="M107" s="44" t="e">
        <f>#REF!</f>
        <v>#REF!</v>
      </c>
      <c r="N107" s="44" t="e">
        <f>#REF!</f>
        <v>#REF!</v>
      </c>
      <c r="O107" s="44" t="e">
        <f>#REF!</f>
        <v>#REF!</v>
      </c>
      <c r="P107" s="44" t="e">
        <f>#REF!</f>
        <v>#REF!</v>
      </c>
      <c r="Q107" s="44" t="e">
        <f>#REF!</f>
        <v>#REF!</v>
      </c>
      <c r="R107" s="44" t="e">
        <f>#REF!</f>
        <v>#REF!</v>
      </c>
      <c r="S107" s="44" t="e">
        <f>#REF!</f>
        <v>#REF!</v>
      </c>
      <c r="T107" s="44" t="e">
        <f>#REF!</f>
        <v>#REF!</v>
      </c>
      <c r="U107" s="44" t="e">
        <f>#REF!</f>
        <v>#REF!</v>
      </c>
      <c r="V107" s="44" t="e">
        <f>#REF!</f>
        <v>#REF!</v>
      </c>
      <c r="W107" s="44" t="e">
        <f>#REF!</f>
        <v>#REF!</v>
      </c>
      <c r="X107" s="44" t="e">
        <f>#REF!</f>
        <v>#REF!</v>
      </c>
      <c r="Y107" s="44" t="e">
        <f>#REF!</f>
        <v>#REF!</v>
      </c>
      <c r="Z107" s="44" t="e">
        <f>#REF!</f>
        <v>#REF!</v>
      </c>
      <c r="AA107" s="44" t="e">
        <f>#REF!</f>
        <v>#REF!</v>
      </c>
      <c r="AB107" s="44" t="e">
        <f>#REF!</f>
        <v>#REF!</v>
      </c>
      <c r="AC107" s="44" t="e">
        <f>#REF!</f>
        <v>#REF!</v>
      </c>
      <c r="AD107" s="44" t="e">
        <f>#REF!</f>
        <v>#REF!</v>
      </c>
      <c r="AE107" s="44" t="e">
        <f>#REF!</f>
        <v>#REF!</v>
      </c>
      <c r="AF107" s="44" t="e">
        <f>#REF!</f>
        <v>#REF!</v>
      </c>
      <c r="AG107" s="44" t="e">
        <f>#REF!</f>
        <v>#REF!</v>
      </c>
      <c r="AH107" s="44" t="e">
        <f>#REF!</f>
        <v>#REF!</v>
      </c>
      <c r="AI107" s="45" t="e">
        <f>#REF!</f>
        <v>#REF!</v>
      </c>
      <c r="AJ107" s="45" t="e">
        <f>#REF!</f>
        <v>#REF!</v>
      </c>
      <c r="AK107" s="45"/>
      <c r="AL107" s="108" t="e">
        <f>AVERAGE(E107:AH107)</f>
        <v>#REF!</v>
      </c>
    </row>
    <row r="108" spans="1:39" hidden="1" x14ac:dyDescent="0.2">
      <c r="A108" s="80" t="s">
        <v>164</v>
      </c>
      <c r="B108" s="72" t="s">
        <v>202</v>
      </c>
      <c r="C108" s="104"/>
      <c r="D108" s="107" t="s">
        <v>16</v>
      </c>
      <c r="E108" s="61"/>
      <c r="F108" s="61"/>
      <c r="G108" s="61"/>
      <c r="H108" s="61"/>
      <c r="I108" s="61">
        <f t="shared" ref="I108:AJ108" si="21">+I100</f>
        <v>1.6</v>
      </c>
      <c r="J108" s="61">
        <f t="shared" si="21"/>
        <v>3.5</v>
      </c>
      <c r="K108" s="61">
        <f t="shared" si="21"/>
        <v>12</v>
      </c>
      <c r="L108" s="61">
        <f t="shared" ref="L108:AH108" si="22">+L100</f>
        <v>26.5</v>
      </c>
      <c r="M108" s="61">
        <f t="shared" si="22"/>
        <v>26.5</v>
      </c>
      <c r="N108" s="61">
        <f t="shared" si="22"/>
        <v>26.5</v>
      </c>
      <c r="O108" s="61">
        <f t="shared" si="22"/>
        <v>26.5</v>
      </c>
      <c r="P108" s="61">
        <f t="shared" si="22"/>
        <v>26.5</v>
      </c>
      <c r="Q108" s="61">
        <f t="shared" si="22"/>
        <v>26.5</v>
      </c>
      <c r="R108" s="61">
        <f t="shared" si="22"/>
        <v>26.5</v>
      </c>
      <c r="S108" s="61">
        <f t="shared" si="22"/>
        <v>26.5</v>
      </c>
      <c r="T108" s="61">
        <f t="shared" si="22"/>
        <v>26.5</v>
      </c>
      <c r="U108" s="61">
        <f t="shared" si="22"/>
        <v>26.5</v>
      </c>
      <c r="V108" s="61">
        <f t="shared" si="22"/>
        <v>26.5</v>
      </c>
      <c r="W108" s="61">
        <f t="shared" si="22"/>
        <v>26.5</v>
      </c>
      <c r="X108" s="61">
        <f t="shared" si="22"/>
        <v>26.5</v>
      </c>
      <c r="Y108" s="61">
        <f t="shared" si="22"/>
        <v>26.5</v>
      </c>
      <c r="Z108" s="61">
        <f t="shared" si="22"/>
        <v>26.5</v>
      </c>
      <c r="AA108" s="61">
        <f t="shared" si="22"/>
        <v>26.5</v>
      </c>
      <c r="AB108" s="61">
        <f t="shared" si="22"/>
        <v>26.5</v>
      </c>
      <c r="AC108" s="61">
        <f t="shared" si="22"/>
        <v>26.5</v>
      </c>
      <c r="AD108" s="61">
        <f t="shared" si="22"/>
        <v>26.5</v>
      </c>
      <c r="AE108" s="61">
        <f t="shared" si="22"/>
        <v>26.5</v>
      </c>
      <c r="AF108" s="61">
        <f t="shared" si="22"/>
        <v>26.5</v>
      </c>
      <c r="AG108" s="61">
        <f t="shared" si="22"/>
        <v>26.5</v>
      </c>
      <c r="AH108" s="61">
        <f t="shared" si="22"/>
        <v>26.5</v>
      </c>
      <c r="AI108" s="61">
        <f t="shared" si="21"/>
        <v>53</v>
      </c>
      <c r="AJ108" s="61">
        <f t="shared" si="21"/>
        <v>53</v>
      </c>
      <c r="AK108" s="62"/>
      <c r="AL108" s="108">
        <f>SUM(E108:AH108)</f>
        <v>626.6</v>
      </c>
    </row>
    <row r="109" spans="1:39" hidden="1" x14ac:dyDescent="0.2">
      <c r="A109" s="80" t="s">
        <v>177</v>
      </c>
      <c r="B109" s="72" t="s">
        <v>203</v>
      </c>
      <c r="C109" s="104"/>
      <c r="D109" s="107" t="s">
        <v>204</v>
      </c>
      <c r="E109" s="44">
        <v>24</v>
      </c>
      <c r="F109" s="44">
        <v>24</v>
      </c>
      <c r="G109" s="44">
        <v>24</v>
      </c>
      <c r="H109" s="44"/>
      <c r="I109" s="44">
        <v>24</v>
      </c>
      <c r="J109" s="44">
        <v>24</v>
      </c>
      <c r="K109" s="44">
        <v>24</v>
      </c>
      <c r="L109" s="44">
        <v>24</v>
      </c>
      <c r="M109" s="44">
        <v>24</v>
      </c>
      <c r="N109" s="44">
        <v>24</v>
      </c>
      <c r="O109" s="44">
        <v>24</v>
      </c>
      <c r="P109" s="44">
        <v>24</v>
      </c>
      <c r="Q109" s="44">
        <v>24</v>
      </c>
      <c r="R109" s="44">
        <v>24</v>
      </c>
      <c r="S109" s="44">
        <v>24</v>
      </c>
      <c r="T109" s="44">
        <v>24</v>
      </c>
      <c r="U109" s="44">
        <v>24</v>
      </c>
      <c r="V109" s="44">
        <v>24</v>
      </c>
      <c r="W109" s="44">
        <v>24</v>
      </c>
      <c r="X109" s="44">
        <v>24</v>
      </c>
      <c r="Y109" s="44">
        <v>24</v>
      </c>
      <c r="Z109" s="44">
        <v>24</v>
      </c>
      <c r="AA109" s="44">
        <v>24</v>
      </c>
      <c r="AB109" s="44">
        <v>24</v>
      </c>
      <c r="AC109" s="44">
        <v>24</v>
      </c>
      <c r="AD109" s="44">
        <v>24</v>
      </c>
      <c r="AE109" s="44">
        <v>24</v>
      </c>
      <c r="AF109" s="44">
        <v>24</v>
      </c>
      <c r="AG109" s="44">
        <v>24</v>
      </c>
      <c r="AH109" s="44">
        <v>24</v>
      </c>
      <c r="AI109" s="44">
        <v>24</v>
      </c>
      <c r="AJ109" s="44">
        <v>24</v>
      </c>
      <c r="AK109" s="45"/>
      <c r="AL109" s="108">
        <f>SUM(E109:AH109)</f>
        <v>696</v>
      </c>
    </row>
    <row r="110" spans="1:39" hidden="1" x14ac:dyDescent="0.2">
      <c r="A110" s="80" t="s">
        <v>179</v>
      </c>
      <c r="B110" s="72" t="s">
        <v>205</v>
      </c>
      <c r="C110" s="104"/>
      <c r="D110" s="107" t="s">
        <v>204</v>
      </c>
      <c r="E110" s="61">
        <f t="shared" ref="E110:AJ110" si="23">E70</f>
        <v>0</v>
      </c>
      <c r="F110" s="44">
        <f t="shared" si="23"/>
        <v>0</v>
      </c>
      <c r="G110" s="44">
        <f t="shared" si="23"/>
        <v>0</v>
      </c>
      <c r="H110" s="44"/>
      <c r="I110" s="61" t="e">
        <f t="shared" si="23"/>
        <v>#REF!</v>
      </c>
      <c r="J110" s="61" t="e">
        <f t="shared" si="23"/>
        <v>#REF!</v>
      </c>
      <c r="K110" s="61" t="e">
        <f t="shared" si="23"/>
        <v>#REF!</v>
      </c>
      <c r="L110" s="61" t="e">
        <f t="shared" ref="L110:AH110" si="24">L70</f>
        <v>#REF!</v>
      </c>
      <c r="M110" s="61" t="e">
        <f t="shared" si="24"/>
        <v>#REF!</v>
      </c>
      <c r="N110" s="61" t="e">
        <f t="shared" si="24"/>
        <v>#REF!</v>
      </c>
      <c r="O110" s="61" t="e">
        <f t="shared" si="24"/>
        <v>#REF!</v>
      </c>
      <c r="P110" s="61" t="e">
        <f t="shared" si="24"/>
        <v>#REF!</v>
      </c>
      <c r="Q110" s="61" t="e">
        <f t="shared" si="24"/>
        <v>#REF!</v>
      </c>
      <c r="R110" s="61" t="e">
        <f t="shared" si="24"/>
        <v>#REF!</v>
      </c>
      <c r="S110" s="61" t="e">
        <f t="shared" si="24"/>
        <v>#REF!</v>
      </c>
      <c r="T110" s="61" t="e">
        <f t="shared" si="24"/>
        <v>#REF!</v>
      </c>
      <c r="U110" s="61" t="e">
        <f t="shared" si="24"/>
        <v>#REF!</v>
      </c>
      <c r="V110" s="61" t="e">
        <f t="shared" si="24"/>
        <v>#REF!</v>
      </c>
      <c r="W110" s="61" t="e">
        <f t="shared" si="24"/>
        <v>#REF!</v>
      </c>
      <c r="X110" s="61" t="e">
        <f t="shared" si="24"/>
        <v>#REF!</v>
      </c>
      <c r="Y110" s="61" t="e">
        <f t="shared" si="24"/>
        <v>#REF!</v>
      </c>
      <c r="Z110" s="61" t="e">
        <f t="shared" si="24"/>
        <v>#REF!</v>
      </c>
      <c r="AA110" s="61" t="e">
        <f t="shared" si="24"/>
        <v>#REF!</v>
      </c>
      <c r="AB110" s="61" t="e">
        <f t="shared" si="24"/>
        <v>#REF!</v>
      </c>
      <c r="AC110" s="61" t="e">
        <f t="shared" si="24"/>
        <v>#REF!</v>
      </c>
      <c r="AD110" s="61" t="e">
        <f t="shared" si="24"/>
        <v>#REF!</v>
      </c>
      <c r="AE110" s="61" t="e">
        <f t="shared" si="24"/>
        <v>#REF!</v>
      </c>
      <c r="AF110" s="61" t="e">
        <f t="shared" si="24"/>
        <v>#REF!</v>
      </c>
      <c r="AG110" s="61" t="e">
        <f t="shared" si="24"/>
        <v>#REF!</v>
      </c>
      <c r="AH110" s="61" t="e">
        <f t="shared" si="24"/>
        <v>#REF!</v>
      </c>
      <c r="AI110" s="61">
        <f t="shared" si="23"/>
        <v>2</v>
      </c>
      <c r="AJ110" s="61">
        <f t="shared" si="23"/>
        <v>2</v>
      </c>
      <c r="AK110" s="62"/>
      <c r="AL110" s="108" t="e">
        <f>SUM(E110:AH110)</f>
        <v>#REF!</v>
      </c>
    </row>
    <row r="111" spans="1:39" hidden="1" x14ac:dyDescent="0.2">
      <c r="A111" s="80" t="s">
        <v>181</v>
      </c>
      <c r="B111" s="72" t="s">
        <v>206</v>
      </c>
      <c r="C111" s="104"/>
      <c r="D111" s="107" t="s">
        <v>204</v>
      </c>
      <c r="E111" s="44">
        <v>0</v>
      </c>
      <c r="F111" s="44">
        <v>0</v>
      </c>
      <c r="G111" s="44">
        <v>0</v>
      </c>
      <c r="H111" s="44"/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0</v>
      </c>
      <c r="W111" s="44">
        <v>0</v>
      </c>
      <c r="X111" s="44">
        <v>0</v>
      </c>
      <c r="Y111" s="44">
        <v>0</v>
      </c>
      <c r="Z111" s="44">
        <v>0</v>
      </c>
      <c r="AA111" s="44">
        <v>0</v>
      </c>
      <c r="AB111" s="44">
        <v>0</v>
      </c>
      <c r="AC111" s="44">
        <v>0</v>
      </c>
      <c r="AD111" s="44">
        <v>0</v>
      </c>
      <c r="AE111" s="44">
        <v>0</v>
      </c>
      <c r="AF111" s="44">
        <v>0</v>
      </c>
      <c r="AG111" s="44">
        <v>0</v>
      </c>
      <c r="AH111" s="44">
        <v>0</v>
      </c>
      <c r="AI111" s="45">
        <v>0</v>
      </c>
      <c r="AJ111" s="45">
        <v>0</v>
      </c>
      <c r="AK111" s="45"/>
      <c r="AL111" s="108">
        <f>SUM(E111:AH111)</f>
        <v>0</v>
      </c>
    </row>
    <row r="112" spans="1:39" hidden="1" x14ac:dyDescent="0.2">
      <c r="A112" s="80"/>
      <c r="B112" s="72"/>
      <c r="C112" s="104"/>
      <c r="D112" s="107"/>
      <c r="E112" s="61"/>
      <c r="F112" s="107"/>
      <c r="G112" s="6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7"/>
      <c r="AJ112" s="77"/>
      <c r="AK112" s="77"/>
      <c r="AL112" s="108"/>
    </row>
    <row r="113" spans="1:38" hidden="1" x14ac:dyDescent="0.2">
      <c r="A113" s="80" t="s">
        <v>207</v>
      </c>
      <c r="B113" s="72" t="s">
        <v>208</v>
      </c>
      <c r="C113" s="104"/>
      <c r="D113" s="107" t="s">
        <v>209</v>
      </c>
      <c r="E113" s="44">
        <f>E105*E106*E107*60/1000000</f>
        <v>0</v>
      </c>
      <c r="F113" s="44">
        <f>F105*F106*F107*60/1000000</f>
        <v>0</v>
      </c>
      <c r="G113" s="44">
        <f>G105*G106*G107*60/1000000</f>
        <v>0</v>
      </c>
      <c r="H113" s="44"/>
      <c r="I113" s="44" t="e">
        <f>I105*I106*I107*60/1000000</f>
        <v>#REF!</v>
      </c>
      <c r="J113" s="44" t="e">
        <f t="shared" ref="J113:AJ113" si="25">J105*J106*J107*60/1000000</f>
        <v>#REF!</v>
      </c>
      <c r="K113" s="44" t="e">
        <f t="shared" si="25"/>
        <v>#REF!</v>
      </c>
      <c r="L113" s="44" t="e">
        <f t="shared" ref="L113:AH113" si="26">L105*L106*L107*60/1000000</f>
        <v>#REF!</v>
      </c>
      <c r="M113" s="44" t="e">
        <f t="shared" si="26"/>
        <v>#REF!</v>
      </c>
      <c r="N113" s="44" t="e">
        <f t="shared" si="26"/>
        <v>#REF!</v>
      </c>
      <c r="O113" s="44" t="e">
        <f t="shared" si="26"/>
        <v>#REF!</v>
      </c>
      <c r="P113" s="44" t="e">
        <f t="shared" si="26"/>
        <v>#REF!</v>
      </c>
      <c r="Q113" s="44" t="e">
        <f t="shared" si="26"/>
        <v>#REF!</v>
      </c>
      <c r="R113" s="44" t="e">
        <f t="shared" si="26"/>
        <v>#REF!</v>
      </c>
      <c r="S113" s="44" t="e">
        <f t="shared" si="26"/>
        <v>#REF!</v>
      </c>
      <c r="T113" s="44" t="e">
        <f t="shared" si="26"/>
        <v>#REF!</v>
      </c>
      <c r="U113" s="44" t="e">
        <f t="shared" si="26"/>
        <v>#REF!</v>
      </c>
      <c r="V113" s="44" t="e">
        <f t="shared" si="26"/>
        <v>#REF!</v>
      </c>
      <c r="W113" s="44" t="e">
        <f t="shared" si="26"/>
        <v>#REF!</v>
      </c>
      <c r="X113" s="44" t="e">
        <f t="shared" si="26"/>
        <v>#REF!</v>
      </c>
      <c r="Y113" s="44" t="e">
        <f t="shared" si="26"/>
        <v>#REF!</v>
      </c>
      <c r="Z113" s="44" t="e">
        <f t="shared" si="26"/>
        <v>#REF!</v>
      </c>
      <c r="AA113" s="44" t="e">
        <f t="shared" si="26"/>
        <v>#REF!</v>
      </c>
      <c r="AB113" s="44" t="e">
        <f t="shared" si="26"/>
        <v>#REF!</v>
      </c>
      <c r="AC113" s="44" t="e">
        <f t="shared" si="26"/>
        <v>#REF!</v>
      </c>
      <c r="AD113" s="44" t="e">
        <f t="shared" si="26"/>
        <v>#REF!</v>
      </c>
      <c r="AE113" s="44" t="e">
        <f t="shared" si="26"/>
        <v>#REF!</v>
      </c>
      <c r="AF113" s="44" t="e">
        <f t="shared" si="26"/>
        <v>#REF!</v>
      </c>
      <c r="AG113" s="44" t="e">
        <f t="shared" si="26"/>
        <v>#REF!</v>
      </c>
      <c r="AH113" s="44" t="e">
        <f t="shared" si="26"/>
        <v>#REF!</v>
      </c>
      <c r="AI113" s="44" t="e">
        <f t="shared" si="25"/>
        <v>#REF!</v>
      </c>
      <c r="AJ113" s="44" t="e">
        <f t="shared" si="25"/>
        <v>#REF!</v>
      </c>
      <c r="AK113" s="45"/>
      <c r="AL113" s="108" t="e">
        <f>AL105*AL106*AL107*60/1000000</f>
        <v>#REF!</v>
      </c>
    </row>
    <row r="114" spans="1:38" hidden="1" x14ac:dyDescent="0.2">
      <c r="A114" s="80" t="s">
        <v>210</v>
      </c>
      <c r="B114" s="72" t="s">
        <v>211</v>
      </c>
      <c r="C114" s="104"/>
      <c r="D114" s="107" t="s">
        <v>212</v>
      </c>
      <c r="E114" s="44" t="e">
        <f t="shared" ref="E114:AL114" si="27">1/E113</f>
        <v>#DIV/0!</v>
      </c>
      <c r="F114" s="44" t="e">
        <f t="shared" si="27"/>
        <v>#DIV/0!</v>
      </c>
      <c r="G114" s="44" t="e">
        <f t="shared" si="27"/>
        <v>#DIV/0!</v>
      </c>
      <c r="H114" s="44"/>
      <c r="I114" s="44" t="e">
        <f t="shared" si="27"/>
        <v>#REF!</v>
      </c>
      <c r="J114" s="44" t="e">
        <f t="shared" si="27"/>
        <v>#REF!</v>
      </c>
      <c r="K114" s="44" t="e">
        <f t="shared" si="27"/>
        <v>#REF!</v>
      </c>
      <c r="L114" s="44" t="e">
        <f t="shared" ref="L114:AH114" si="28">1/L113</f>
        <v>#REF!</v>
      </c>
      <c r="M114" s="44" t="e">
        <f t="shared" si="28"/>
        <v>#REF!</v>
      </c>
      <c r="N114" s="44" t="e">
        <f t="shared" si="28"/>
        <v>#REF!</v>
      </c>
      <c r="O114" s="44" t="e">
        <f t="shared" si="28"/>
        <v>#REF!</v>
      </c>
      <c r="P114" s="44" t="e">
        <f t="shared" si="28"/>
        <v>#REF!</v>
      </c>
      <c r="Q114" s="44" t="e">
        <f t="shared" si="28"/>
        <v>#REF!</v>
      </c>
      <c r="R114" s="44" t="e">
        <f t="shared" si="28"/>
        <v>#REF!</v>
      </c>
      <c r="S114" s="44" t="e">
        <f t="shared" si="28"/>
        <v>#REF!</v>
      </c>
      <c r="T114" s="44" t="e">
        <f t="shared" si="28"/>
        <v>#REF!</v>
      </c>
      <c r="U114" s="44" t="e">
        <f t="shared" si="28"/>
        <v>#REF!</v>
      </c>
      <c r="V114" s="44" t="e">
        <f t="shared" si="28"/>
        <v>#REF!</v>
      </c>
      <c r="W114" s="44" t="e">
        <f t="shared" si="28"/>
        <v>#REF!</v>
      </c>
      <c r="X114" s="44" t="e">
        <f t="shared" si="28"/>
        <v>#REF!</v>
      </c>
      <c r="Y114" s="44" t="e">
        <f t="shared" si="28"/>
        <v>#REF!</v>
      </c>
      <c r="Z114" s="44" t="e">
        <f t="shared" si="28"/>
        <v>#REF!</v>
      </c>
      <c r="AA114" s="44" t="e">
        <f t="shared" si="28"/>
        <v>#REF!</v>
      </c>
      <c r="AB114" s="44" t="e">
        <f t="shared" si="28"/>
        <v>#REF!</v>
      </c>
      <c r="AC114" s="44" t="e">
        <f t="shared" si="28"/>
        <v>#REF!</v>
      </c>
      <c r="AD114" s="44" t="e">
        <f t="shared" si="28"/>
        <v>#REF!</v>
      </c>
      <c r="AE114" s="44" t="e">
        <f t="shared" si="28"/>
        <v>#REF!</v>
      </c>
      <c r="AF114" s="44" t="e">
        <f t="shared" si="28"/>
        <v>#REF!</v>
      </c>
      <c r="AG114" s="44" t="e">
        <f t="shared" si="28"/>
        <v>#REF!</v>
      </c>
      <c r="AH114" s="44" t="e">
        <f t="shared" si="28"/>
        <v>#REF!</v>
      </c>
      <c r="AI114" s="44" t="e">
        <f t="shared" si="27"/>
        <v>#REF!</v>
      </c>
      <c r="AJ114" s="44" t="e">
        <f t="shared" si="27"/>
        <v>#REF!</v>
      </c>
      <c r="AK114" s="45"/>
      <c r="AL114" s="108" t="e">
        <f t="shared" si="27"/>
        <v>#REF!</v>
      </c>
    </row>
    <row r="115" spans="1:38" hidden="1" x14ac:dyDescent="0.2">
      <c r="A115" s="80" t="s">
        <v>213</v>
      </c>
      <c r="B115" s="72" t="s">
        <v>214</v>
      </c>
      <c r="C115" s="104"/>
      <c r="D115" s="107" t="s">
        <v>204</v>
      </c>
      <c r="E115" s="44">
        <f t="shared" ref="E115:AL115" si="29">E109-E111</f>
        <v>24</v>
      </c>
      <c r="F115" s="44">
        <f t="shared" si="29"/>
        <v>24</v>
      </c>
      <c r="G115" s="44">
        <f t="shared" si="29"/>
        <v>24</v>
      </c>
      <c r="H115" s="44"/>
      <c r="I115" s="44">
        <f t="shared" si="29"/>
        <v>24</v>
      </c>
      <c r="J115" s="44">
        <f t="shared" si="29"/>
        <v>24</v>
      </c>
      <c r="K115" s="44">
        <f t="shared" si="29"/>
        <v>24</v>
      </c>
      <c r="L115" s="44">
        <f t="shared" ref="L115:AH115" si="30">L109-L111</f>
        <v>24</v>
      </c>
      <c r="M115" s="44">
        <f t="shared" si="30"/>
        <v>24</v>
      </c>
      <c r="N115" s="44">
        <f t="shared" si="30"/>
        <v>24</v>
      </c>
      <c r="O115" s="44">
        <f t="shared" si="30"/>
        <v>24</v>
      </c>
      <c r="P115" s="44">
        <f t="shared" si="30"/>
        <v>24</v>
      </c>
      <c r="Q115" s="44">
        <f t="shared" si="30"/>
        <v>24</v>
      </c>
      <c r="R115" s="44">
        <f t="shared" si="30"/>
        <v>24</v>
      </c>
      <c r="S115" s="44">
        <f t="shared" si="30"/>
        <v>24</v>
      </c>
      <c r="T115" s="44">
        <f t="shared" si="30"/>
        <v>24</v>
      </c>
      <c r="U115" s="44">
        <f t="shared" si="30"/>
        <v>24</v>
      </c>
      <c r="V115" s="44">
        <f t="shared" si="30"/>
        <v>24</v>
      </c>
      <c r="W115" s="44">
        <f t="shared" si="30"/>
        <v>24</v>
      </c>
      <c r="X115" s="44">
        <f t="shared" si="30"/>
        <v>24</v>
      </c>
      <c r="Y115" s="44">
        <f t="shared" si="30"/>
        <v>24</v>
      </c>
      <c r="Z115" s="44">
        <f t="shared" si="30"/>
        <v>24</v>
      </c>
      <c r="AA115" s="44">
        <f t="shared" si="30"/>
        <v>24</v>
      </c>
      <c r="AB115" s="44">
        <f t="shared" si="30"/>
        <v>24</v>
      </c>
      <c r="AC115" s="44">
        <f t="shared" si="30"/>
        <v>24</v>
      </c>
      <c r="AD115" s="44">
        <f t="shared" si="30"/>
        <v>24</v>
      </c>
      <c r="AE115" s="44">
        <f t="shared" si="30"/>
        <v>24</v>
      </c>
      <c r="AF115" s="44">
        <f t="shared" si="30"/>
        <v>24</v>
      </c>
      <c r="AG115" s="44">
        <f t="shared" si="30"/>
        <v>24</v>
      </c>
      <c r="AH115" s="44">
        <f t="shared" si="30"/>
        <v>24</v>
      </c>
      <c r="AI115" s="44">
        <f t="shared" si="29"/>
        <v>24</v>
      </c>
      <c r="AJ115" s="44">
        <f t="shared" si="29"/>
        <v>24</v>
      </c>
      <c r="AK115" s="45"/>
      <c r="AL115" s="108">
        <f t="shared" si="29"/>
        <v>696</v>
      </c>
    </row>
    <row r="116" spans="1:38" hidden="1" x14ac:dyDescent="0.2">
      <c r="A116" s="80" t="s">
        <v>215</v>
      </c>
      <c r="B116" s="72" t="s">
        <v>216</v>
      </c>
      <c r="C116" s="104"/>
      <c r="D116" s="107" t="s">
        <v>204</v>
      </c>
      <c r="E116" s="44">
        <f t="shared" ref="E116:AL116" si="31">E109-E110</f>
        <v>24</v>
      </c>
      <c r="F116" s="44">
        <f t="shared" si="31"/>
        <v>24</v>
      </c>
      <c r="G116" s="44">
        <f t="shared" si="31"/>
        <v>24</v>
      </c>
      <c r="H116" s="44"/>
      <c r="I116" s="44" t="e">
        <f t="shared" si="31"/>
        <v>#REF!</v>
      </c>
      <c r="J116" s="44" t="e">
        <f t="shared" si="31"/>
        <v>#REF!</v>
      </c>
      <c r="K116" s="44" t="e">
        <f t="shared" si="31"/>
        <v>#REF!</v>
      </c>
      <c r="L116" s="44" t="e">
        <f t="shared" ref="L116:AH116" si="32">L109-L110</f>
        <v>#REF!</v>
      </c>
      <c r="M116" s="44" t="e">
        <f t="shared" si="32"/>
        <v>#REF!</v>
      </c>
      <c r="N116" s="44" t="e">
        <f t="shared" si="32"/>
        <v>#REF!</v>
      </c>
      <c r="O116" s="44" t="e">
        <f t="shared" si="32"/>
        <v>#REF!</v>
      </c>
      <c r="P116" s="44" t="e">
        <f t="shared" si="32"/>
        <v>#REF!</v>
      </c>
      <c r="Q116" s="44" t="e">
        <f t="shared" si="32"/>
        <v>#REF!</v>
      </c>
      <c r="R116" s="44" t="e">
        <f t="shared" si="32"/>
        <v>#REF!</v>
      </c>
      <c r="S116" s="44" t="e">
        <f t="shared" si="32"/>
        <v>#REF!</v>
      </c>
      <c r="T116" s="44" t="e">
        <f t="shared" si="32"/>
        <v>#REF!</v>
      </c>
      <c r="U116" s="44" t="e">
        <f t="shared" si="32"/>
        <v>#REF!</v>
      </c>
      <c r="V116" s="44" t="e">
        <f t="shared" si="32"/>
        <v>#REF!</v>
      </c>
      <c r="W116" s="44" t="e">
        <f t="shared" si="32"/>
        <v>#REF!</v>
      </c>
      <c r="X116" s="44" t="e">
        <f t="shared" si="32"/>
        <v>#REF!</v>
      </c>
      <c r="Y116" s="44" t="e">
        <f t="shared" si="32"/>
        <v>#REF!</v>
      </c>
      <c r="Z116" s="44" t="e">
        <f t="shared" si="32"/>
        <v>#REF!</v>
      </c>
      <c r="AA116" s="44" t="e">
        <f t="shared" si="32"/>
        <v>#REF!</v>
      </c>
      <c r="AB116" s="44" t="e">
        <f t="shared" si="32"/>
        <v>#REF!</v>
      </c>
      <c r="AC116" s="44" t="e">
        <f t="shared" si="32"/>
        <v>#REF!</v>
      </c>
      <c r="AD116" s="44" t="e">
        <f t="shared" si="32"/>
        <v>#REF!</v>
      </c>
      <c r="AE116" s="44" t="e">
        <f t="shared" si="32"/>
        <v>#REF!</v>
      </c>
      <c r="AF116" s="44" t="e">
        <f t="shared" si="32"/>
        <v>#REF!</v>
      </c>
      <c r="AG116" s="44" t="e">
        <f t="shared" si="32"/>
        <v>#REF!</v>
      </c>
      <c r="AH116" s="44" t="e">
        <f t="shared" si="32"/>
        <v>#REF!</v>
      </c>
      <c r="AI116" s="44">
        <f t="shared" si="31"/>
        <v>22</v>
      </c>
      <c r="AJ116" s="44">
        <f t="shared" si="31"/>
        <v>22</v>
      </c>
      <c r="AK116" s="45"/>
      <c r="AL116" s="108" t="e">
        <f t="shared" si="31"/>
        <v>#REF!</v>
      </c>
    </row>
    <row r="117" spans="1:38" hidden="1" x14ac:dyDescent="0.2">
      <c r="A117" s="80" t="s">
        <v>217</v>
      </c>
      <c r="B117" s="72" t="s">
        <v>218</v>
      </c>
      <c r="C117" s="104"/>
      <c r="D117" s="107"/>
      <c r="E117" s="44">
        <f t="shared" ref="E117:AL117" si="33">E116/E115</f>
        <v>1</v>
      </c>
      <c r="F117" s="44">
        <f t="shared" si="33"/>
        <v>1</v>
      </c>
      <c r="G117" s="44">
        <f t="shared" si="33"/>
        <v>1</v>
      </c>
      <c r="H117" s="44"/>
      <c r="I117" s="44" t="e">
        <f t="shared" si="33"/>
        <v>#REF!</v>
      </c>
      <c r="J117" s="44" t="e">
        <f t="shared" si="33"/>
        <v>#REF!</v>
      </c>
      <c r="K117" s="44" t="e">
        <f t="shared" si="33"/>
        <v>#REF!</v>
      </c>
      <c r="L117" s="44" t="e">
        <f t="shared" ref="L117:AH117" si="34">L116/L115</f>
        <v>#REF!</v>
      </c>
      <c r="M117" s="44" t="e">
        <f t="shared" si="34"/>
        <v>#REF!</v>
      </c>
      <c r="N117" s="44" t="e">
        <f t="shared" si="34"/>
        <v>#REF!</v>
      </c>
      <c r="O117" s="44" t="e">
        <f t="shared" si="34"/>
        <v>#REF!</v>
      </c>
      <c r="P117" s="44" t="e">
        <f t="shared" si="34"/>
        <v>#REF!</v>
      </c>
      <c r="Q117" s="44" t="e">
        <f t="shared" si="34"/>
        <v>#REF!</v>
      </c>
      <c r="R117" s="44" t="e">
        <f t="shared" si="34"/>
        <v>#REF!</v>
      </c>
      <c r="S117" s="44" t="e">
        <f t="shared" si="34"/>
        <v>#REF!</v>
      </c>
      <c r="T117" s="44" t="e">
        <f t="shared" si="34"/>
        <v>#REF!</v>
      </c>
      <c r="U117" s="44" t="e">
        <f t="shared" si="34"/>
        <v>#REF!</v>
      </c>
      <c r="V117" s="44" t="e">
        <f t="shared" si="34"/>
        <v>#REF!</v>
      </c>
      <c r="W117" s="44" t="e">
        <f t="shared" si="34"/>
        <v>#REF!</v>
      </c>
      <c r="X117" s="44" t="e">
        <f t="shared" si="34"/>
        <v>#REF!</v>
      </c>
      <c r="Y117" s="44" t="e">
        <f t="shared" si="34"/>
        <v>#REF!</v>
      </c>
      <c r="Z117" s="44" t="e">
        <f t="shared" si="34"/>
        <v>#REF!</v>
      </c>
      <c r="AA117" s="44" t="e">
        <f t="shared" si="34"/>
        <v>#REF!</v>
      </c>
      <c r="AB117" s="44" t="e">
        <f t="shared" si="34"/>
        <v>#REF!</v>
      </c>
      <c r="AC117" s="44" t="e">
        <f t="shared" si="34"/>
        <v>#REF!</v>
      </c>
      <c r="AD117" s="44" t="e">
        <f t="shared" si="34"/>
        <v>#REF!</v>
      </c>
      <c r="AE117" s="44" t="e">
        <f t="shared" si="34"/>
        <v>#REF!</v>
      </c>
      <c r="AF117" s="44" t="e">
        <f t="shared" si="34"/>
        <v>#REF!</v>
      </c>
      <c r="AG117" s="44" t="e">
        <f t="shared" si="34"/>
        <v>#REF!</v>
      </c>
      <c r="AH117" s="44" t="e">
        <f t="shared" si="34"/>
        <v>#REF!</v>
      </c>
      <c r="AI117" s="44">
        <f t="shared" si="33"/>
        <v>0.91666666666666663</v>
      </c>
      <c r="AJ117" s="44">
        <f t="shared" si="33"/>
        <v>0.91666666666666663</v>
      </c>
      <c r="AK117" s="45"/>
      <c r="AL117" s="108" t="e">
        <f t="shared" si="33"/>
        <v>#REF!</v>
      </c>
    </row>
    <row r="118" spans="1:38" hidden="1" x14ac:dyDescent="0.2">
      <c r="A118" s="80" t="s">
        <v>14</v>
      </c>
      <c r="B118" s="72" t="s">
        <v>219</v>
      </c>
      <c r="C118" s="104"/>
      <c r="D118" s="107"/>
      <c r="E118" s="44" t="e">
        <f t="shared" ref="E118:AL118" si="35">E114*E108/E116</f>
        <v>#DIV/0!</v>
      </c>
      <c r="F118" s="44" t="e">
        <f t="shared" si="35"/>
        <v>#DIV/0!</v>
      </c>
      <c r="G118" s="44" t="e">
        <f t="shared" si="35"/>
        <v>#DIV/0!</v>
      </c>
      <c r="H118" s="44"/>
      <c r="I118" s="44" t="e">
        <f t="shared" si="35"/>
        <v>#REF!</v>
      </c>
      <c r="J118" s="44" t="e">
        <f t="shared" si="35"/>
        <v>#REF!</v>
      </c>
      <c r="K118" s="44" t="e">
        <f t="shared" si="35"/>
        <v>#REF!</v>
      </c>
      <c r="L118" s="44" t="e">
        <f t="shared" ref="L118:AH118" si="36">L114*L108/L116</f>
        <v>#REF!</v>
      </c>
      <c r="M118" s="44" t="e">
        <f t="shared" si="36"/>
        <v>#REF!</v>
      </c>
      <c r="N118" s="44" t="e">
        <f t="shared" si="36"/>
        <v>#REF!</v>
      </c>
      <c r="O118" s="44" t="e">
        <f t="shared" si="36"/>
        <v>#REF!</v>
      </c>
      <c r="P118" s="44" t="e">
        <f t="shared" si="36"/>
        <v>#REF!</v>
      </c>
      <c r="Q118" s="44" t="e">
        <f t="shared" si="36"/>
        <v>#REF!</v>
      </c>
      <c r="R118" s="44" t="e">
        <f t="shared" si="36"/>
        <v>#REF!</v>
      </c>
      <c r="S118" s="44" t="e">
        <f t="shared" si="36"/>
        <v>#REF!</v>
      </c>
      <c r="T118" s="44" t="e">
        <f t="shared" si="36"/>
        <v>#REF!</v>
      </c>
      <c r="U118" s="44" t="e">
        <f t="shared" si="36"/>
        <v>#REF!</v>
      </c>
      <c r="V118" s="44" t="e">
        <f t="shared" si="36"/>
        <v>#REF!</v>
      </c>
      <c r="W118" s="44" t="e">
        <f t="shared" si="36"/>
        <v>#REF!</v>
      </c>
      <c r="X118" s="44" t="e">
        <f t="shared" si="36"/>
        <v>#REF!</v>
      </c>
      <c r="Y118" s="44" t="e">
        <f t="shared" si="36"/>
        <v>#REF!</v>
      </c>
      <c r="Z118" s="44" t="e">
        <f t="shared" si="36"/>
        <v>#REF!</v>
      </c>
      <c r="AA118" s="44" t="e">
        <f t="shared" si="36"/>
        <v>#REF!</v>
      </c>
      <c r="AB118" s="44" t="e">
        <f t="shared" si="36"/>
        <v>#REF!</v>
      </c>
      <c r="AC118" s="44" t="e">
        <f t="shared" si="36"/>
        <v>#REF!</v>
      </c>
      <c r="AD118" s="44" t="e">
        <f t="shared" si="36"/>
        <v>#REF!</v>
      </c>
      <c r="AE118" s="44" t="e">
        <f t="shared" si="36"/>
        <v>#REF!</v>
      </c>
      <c r="AF118" s="44" t="e">
        <f t="shared" si="36"/>
        <v>#REF!</v>
      </c>
      <c r="AG118" s="44" t="e">
        <f t="shared" si="36"/>
        <v>#REF!</v>
      </c>
      <c r="AH118" s="44" t="e">
        <f t="shared" si="36"/>
        <v>#REF!</v>
      </c>
      <c r="AI118" s="44" t="e">
        <f t="shared" si="35"/>
        <v>#REF!</v>
      </c>
      <c r="AJ118" s="44" t="e">
        <f t="shared" si="35"/>
        <v>#REF!</v>
      </c>
      <c r="AK118" s="45"/>
      <c r="AL118" s="108" t="e">
        <f t="shared" si="35"/>
        <v>#REF!</v>
      </c>
    </row>
    <row r="119" spans="1:38" ht="21" hidden="1" thickBot="1" x14ac:dyDescent="0.25">
      <c r="A119" s="109"/>
      <c r="B119" s="88" t="s">
        <v>220</v>
      </c>
      <c r="C119" s="89"/>
      <c r="D119" s="90" t="s">
        <v>171</v>
      </c>
      <c r="E119" s="110" t="e">
        <f t="shared" ref="E119:AL119" si="37">E118*E117*100</f>
        <v>#DIV/0!</v>
      </c>
      <c r="F119" s="110" t="e">
        <f t="shared" si="37"/>
        <v>#DIV/0!</v>
      </c>
      <c r="G119" s="110" t="e">
        <f t="shared" si="37"/>
        <v>#DIV/0!</v>
      </c>
      <c r="H119" s="110">
        <f t="shared" si="37"/>
        <v>0</v>
      </c>
      <c r="I119" s="110" t="e">
        <f t="shared" si="37"/>
        <v>#REF!</v>
      </c>
      <c r="J119" s="110" t="e">
        <f t="shared" si="37"/>
        <v>#REF!</v>
      </c>
      <c r="K119" s="110" t="e">
        <f t="shared" si="37"/>
        <v>#REF!</v>
      </c>
      <c r="L119" s="110" t="e">
        <f t="shared" ref="L119:AH119" si="38">L118*L117*100</f>
        <v>#REF!</v>
      </c>
      <c r="M119" s="110" t="e">
        <f t="shared" si="38"/>
        <v>#REF!</v>
      </c>
      <c r="N119" s="110" t="e">
        <f t="shared" si="38"/>
        <v>#REF!</v>
      </c>
      <c r="O119" s="110" t="e">
        <f t="shared" si="38"/>
        <v>#REF!</v>
      </c>
      <c r="P119" s="110" t="e">
        <f t="shared" si="38"/>
        <v>#REF!</v>
      </c>
      <c r="Q119" s="110" t="e">
        <f t="shared" si="38"/>
        <v>#REF!</v>
      </c>
      <c r="R119" s="110" t="e">
        <f t="shared" si="38"/>
        <v>#REF!</v>
      </c>
      <c r="S119" s="110" t="e">
        <f t="shared" si="38"/>
        <v>#REF!</v>
      </c>
      <c r="T119" s="110" t="e">
        <f t="shared" si="38"/>
        <v>#REF!</v>
      </c>
      <c r="U119" s="110" t="e">
        <f t="shared" si="38"/>
        <v>#REF!</v>
      </c>
      <c r="V119" s="110" t="e">
        <f t="shared" si="38"/>
        <v>#REF!</v>
      </c>
      <c r="W119" s="110" t="e">
        <f t="shared" si="38"/>
        <v>#REF!</v>
      </c>
      <c r="X119" s="110" t="e">
        <f t="shared" si="38"/>
        <v>#REF!</v>
      </c>
      <c r="Y119" s="110" t="e">
        <f t="shared" si="38"/>
        <v>#REF!</v>
      </c>
      <c r="Z119" s="110" t="e">
        <f t="shared" si="38"/>
        <v>#REF!</v>
      </c>
      <c r="AA119" s="110" t="e">
        <f t="shared" si="38"/>
        <v>#REF!</v>
      </c>
      <c r="AB119" s="110" t="e">
        <f t="shared" si="38"/>
        <v>#REF!</v>
      </c>
      <c r="AC119" s="110" t="e">
        <f t="shared" si="38"/>
        <v>#REF!</v>
      </c>
      <c r="AD119" s="110" t="e">
        <f t="shared" si="38"/>
        <v>#REF!</v>
      </c>
      <c r="AE119" s="110" t="e">
        <f t="shared" si="38"/>
        <v>#REF!</v>
      </c>
      <c r="AF119" s="110" t="e">
        <f t="shared" si="38"/>
        <v>#REF!</v>
      </c>
      <c r="AG119" s="110" t="e">
        <f t="shared" si="38"/>
        <v>#REF!</v>
      </c>
      <c r="AH119" s="110" t="e">
        <f t="shared" si="38"/>
        <v>#REF!</v>
      </c>
      <c r="AI119" s="110" t="e">
        <f t="shared" si="37"/>
        <v>#REF!</v>
      </c>
      <c r="AJ119" s="110" t="e">
        <f t="shared" si="37"/>
        <v>#REF!</v>
      </c>
      <c r="AK119" s="111"/>
      <c r="AL119" s="93" t="e">
        <f t="shared" si="37"/>
        <v>#REF!</v>
      </c>
    </row>
    <row r="120" spans="1:38" x14ac:dyDescent="0.2">
      <c r="A120" s="95"/>
      <c r="B120" s="95"/>
      <c r="C120" s="96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112"/>
      <c r="AJ120" s="112"/>
      <c r="AK120" s="112"/>
      <c r="AL120" s="95"/>
    </row>
    <row r="121" spans="1:38" x14ac:dyDescent="0.2">
      <c r="A121" s="95"/>
      <c r="B121" s="95" t="s">
        <v>250</v>
      </c>
      <c r="C121" s="96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112"/>
      <c r="AJ121" s="112"/>
      <c r="AK121" s="112"/>
      <c r="AL121" s="95"/>
    </row>
    <row r="122" spans="1:38" ht="26.25" customHeight="1" x14ac:dyDescent="0.2">
      <c r="A122" s="95"/>
      <c r="B122" s="95" t="s">
        <v>148</v>
      </c>
      <c r="C122" s="96"/>
      <c r="D122" s="95" t="s">
        <v>16</v>
      </c>
      <c r="E122" s="95"/>
      <c r="F122" s="95"/>
      <c r="G122" s="95">
        <v>111.9</v>
      </c>
      <c r="H122" s="187">
        <v>107</v>
      </c>
      <c r="I122" s="95">
        <v>117.7</v>
      </c>
      <c r="J122" s="95">
        <v>126.2</v>
      </c>
      <c r="K122" s="95">
        <v>97</v>
      </c>
      <c r="L122" s="95">
        <v>103</v>
      </c>
      <c r="M122" s="95">
        <v>117.9</v>
      </c>
      <c r="N122" s="95">
        <v>118.3</v>
      </c>
      <c r="O122" s="95">
        <v>114.2</v>
      </c>
      <c r="P122" s="95">
        <v>119.5</v>
      </c>
      <c r="Q122" s="95">
        <v>137.19999999999999</v>
      </c>
      <c r="R122" s="95">
        <v>136.9</v>
      </c>
      <c r="S122" s="95">
        <v>104.2</v>
      </c>
      <c r="T122" s="95">
        <v>112.3</v>
      </c>
      <c r="U122" s="95">
        <v>128.4</v>
      </c>
      <c r="V122" s="95">
        <v>132.4</v>
      </c>
      <c r="W122" s="95">
        <v>129.80000000000001</v>
      </c>
      <c r="X122" s="95">
        <v>92.1</v>
      </c>
      <c r="Y122" s="95">
        <v>99.2</v>
      </c>
      <c r="Z122" s="95">
        <v>107.3</v>
      </c>
      <c r="AA122" s="95">
        <v>105.9</v>
      </c>
      <c r="AB122" s="95">
        <v>124.9</v>
      </c>
      <c r="AC122" s="95">
        <v>134.6</v>
      </c>
      <c r="AD122" s="95">
        <v>137.80000000000001</v>
      </c>
      <c r="AE122" s="95">
        <v>139.19999999999999</v>
      </c>
      <c r="AF122" s="95">
        <v>119.9</v>
      </c>
      <c r="AG122" s="95">
        <v>101.4</v>
      </c>
      <c r="AH122" s="95">
        <v>108.5</v>
      </c>
      <c r="AI122" s="95">
        <v>138.1</v>
      </c>
      <c r="AJ122" s="95">
        <v>136.1</v>
      </c>
      <c r="AK122" s="95">
        <v>138</v>
      </c>
      <c r="AL122" s="112"/>
    </row>
    <row r="123" spans="1:38" ht="15.75" customHeight="1" x14ac:dyDescent="0.2">
      <c r="A123" s="95"/>
      <c r="B123" s="95" t="s">
        <v>251</v>
      </c>
      <c r="C123" s="96"/>
      <c r="D123" s="95" t="s">
        <v>257</v>
      </c>
      <c r="E123" s="95"/>
      <c r="F123" s="95"/>
      <c r="G123" s="95">
        <v>4176.2</v>
      </c>
      <c r="H123" s="95">
        <v>4484.1000000000004</v>
      </c>
      <c r="I123" s="95">
        <v>6369.9</v>
      </c>
      <c r="J123" s="95">
        <v>6608.5</v>
      </c>
      <c r="K123" s="95">
        <v>6109.3</v>
      </c>
      <c r="L123" s="95">
        <v>6104</v>
      </c>
      <c r="M123" s="95">
        <v>6118.3</v>
      </c>
      <c r="N123" s="95">
        <v>5298.1</v>
      </c>
      <c r="O123" s="95">
        <v>3983.8</v>
      </c>
      <c r="P123" s="95">
        <v>3669.4</v>
      </c>
      <c r="Q123" s="95">
        <v>3092.8</v>
      </c>
      <c r="R123" s="95">
        <v>3528.1</v>
      </c>
      <c r="S123" s="95">
        <v>3159.3</v>
      </c>
      <c r="T123" s="95">
        <v>3196.2</v>
      </c>
      <c r="U123" s="95">
        <v>3526.9</v>
      </c>
      <c r="V123" s="95">
        <v>5642.7</v>
      </c>
      <c r="W123" s="95">
        <v>5591.2</v>
      </c>
      <c r="X123" s="95">
        <v>6183.1</v>
      </c>
      <c r="Y123" s="95">
        <v>6567.6</v>
      </c>
      <c r="Z123" s="95">
        <v>6573.4</v>
      </c>
      <c r="AA123" s="95">
        <v>7133.5</v>
      </c>
      <c r="AB123" s="95">
        <v>5609.4</v>
      </c>
      <c r="AC123" s="95">
        <v>4451.8</v>
      </c>
      <c r="AD123" s="95">
        <v>3509.7</v>
      </c>
      <c r="AE123" s="95">
        <v>3698.7</v>
      </c>
      <c r="AF123" s="95">
        <v>3764</v>
      </c>
      <c r="AG123" s="95">
        <v>3254.4</v>
      </c>
      <c r="AH123" s="95">
        <v>3616.3</v>
      </c>
      <c r="AI123" s="95">
        <v>2698.1</v>
      </c>
      <c r="AJ123" s="95">
        <v>3810.4</v>
      </c>
      <c r="AK123" s="95">
        <v>3648.6</v>
      </c>
      <c r="AL123" s="112"/>
    </row>
    <row r="124" spans="1:38" x14ac:dyDescent="0.2">
      <c r="A124" s="95"/>
      <c r="B124" s="95" t="s">
        <v>252</v>
      </c>
      <c r="C124" s="96"/>
      <c r="D124" s="95" t="s">
        <v>257</v>
      </c>
      <c r="E124" s="95"/>
      <c r="F124" s="95"/>
      <c r="G124" s="95">
        <v>0</v>
      </c>
      <c r="H124" s="95">
        <v>0</v>
      </c>
      <c r="I124" s="95">
        <v>0</v>
      </c>
      <c r="J124" s="95">
        <v>0</v>
      </c>
      <c r="K124" s="95">
        <v>0</v>
      </c>
      <c r="L124" s="95">
        <v>0</v>
      </c>
      <c r="M124" s="95">
        <v>0</v>
      </c>
      <c r="N124" s="95">
        <v>0</v>
      </c>
      <c r="O124" s="95">
        <v>0</v>
      </c>
      <c r="P124" s="95">
        <v>0</v>
      </c>
      <c r="Q124" s="95">
        <v>0</v>
      </c>
      <c r="R124" s="95">
        <v>5.6</v>
      </c>
      <c r="S124" s="95">
        <v>0</v>
      </c>
      <c r="T124" s="95">
        <v>0</v>
      </c>
      <c r="U124" s="95">
        <v>0</v>
      </c>
      <c r="V124" s="95">
        <v>54.7</v>
      </c>
      <c r="W124" s="95">
        <v>0</v>
      </c>
      <c r="X124" s="95">
        <v>0</v>
      </c>
      <c r="Y124" s="95">
        <v>0</v>
      </c>
      <c r="Z124" s="95">
        <v>0</v>
      </c>
      <c r="AA124" s="95">
        <v>0</v>
      </c>
      <c r="AB124" s="95">
        <v>0</v>
      </c>
      <c r="AC124" s="95">
        <v>0</v>
      </c>
      <c r="AD124" s="95">
        <v>0</v>
      </c>
      <c r="AE124" s="95">
        <v>0</v>
      </c>
      <c r="AF124" s="95">
        <v>0</v>
      </c>
      <c r="AG124" s="95">
        <v>0</v>
      </c>
      <c r="AH124" s="95">
        <v>0</v>
      </c>
      <c r="AI124" s="95">
        <v>0</v>
      </c>
      <c r="AJ124" s="95">
        <v>0</v>
      </c>
      <c r="AK124" s="95">
        <v>0</v>
      </c>
      <c r="AL124" s="112"/>
    </row>
    <row r="125" spans="1:38" x14ac:dyDescent="0.2">
      <c r="A125" s="95"/>
      <c r="B125" s="95" t="s">
        <v>253</v>
      </c>
      <c r="C125" s="96"/>
      <c r="D125" s="95" t="s">
        <v>151</v>
      </c>
      <c r="E125" s="95"/>
      <c r="F125" s="95"/>
      <c r="G125" s="95">
        <v>617</v>
      </c>
      <c r="H125" s="95">
        <v>730</v>
      </c>
      <c r="I125" s="95">
        <v>540</v>
      </c>
      <c r="J125" s="95">
        <v>596</v>
      </c>
      <c r="K125" s="95">
        <v>679</v>
      </c>
      <c r="L125" s="95">
        <v>694</v>
      </c>
      <c r="M125" s="95">
        <v>589</v>
      </c>
      <c r="N125" s="95">
        <v>590</v>
      </c>
      <c r="O125" s="95">
        <v>923</v>
      </c>
      <c r="P125" s="95">
        <v>480</v>
      </c>
      <c r="Q125" s="95">
        <v>689</v>
      </c>
      <c r="R125" s="95">
        <v>500</v>
      </c>
      <c r="S125" s="95">
        <v>641</v>
      </c>
      <c r="T125" s="95">
        <v>650</v>
      </c>
      <c r="U125" s="95">
        <v>580</v>
      </c>
      <c r="V125" s="95">
        <v>570</v>
      </c>
      <c r="W125" s="95">
        <v>678</v>
      </c>
      <c r="X125" s="95">
        <v>683</v>
      </c>
      <c r="Y125" s="95">
        <v>647</v>
      </c>
      <c r="Z125" s="95">
        <v>670</v>
      </c>
      <c r="AA125" s="95">
        <v>692</v>
      </c>
      <c r="AB125" s="95">
        <v>690</v>
      </c>
      <c r="AC125" s="95">
        <v>629</v>
      </c>
      <c r="AD125" s="95">
        <v>668</v>
      </c>
      <c r="AE125" s="95">
        <v>667</v>
      </c>
      <c r="AF125" s="95">
        <v>684</v>
      </c>
      <c r="AG125" s="95">
        <v>650</v>
      </c>
      <c r="AH125" s="95">
        <v>625</v>
      </c>
      <c r="AI125" s="95">
        <v>721</v>
      </c>
      <c r="AJ125" s="95">
        <v>677</v>
      </c>
      <c r="AK125" s="95">
        <v>665</v>
      </c>
      <c r="AL125" s="112"/>
    </row>
    <row r="126" spans="1:38" x14ac:dyDescent="0.2">
      <c r="A126" s="95"/>
      <c r="B126" s="95" t="s">
        <v>254</v>
      </c>
      <c r="C126" s="96"/>
      <c r="D126" s="95" t="s">
        <v>151</v>
      </c>
      <c r="E126" s="95"/>
      <c r="F126" s="95"/>
      <c r="G126" s="95">
        <v>135</v>
      </c>
      <c r="H126" s="95">
        <v>96</v>
      </c>
      <c r="I126" s="95">
        <v>124</v>
      </c>
      <c r="J126" s="95">
        <v>87</v>
      </c>
      <c r="K126" s="95">
        <v>77</v>
      </c>
      <c r="L126" s="95">
        <v>232</v>
      </c>
      <c r="M126" s="95">
        <v>136</v>
      </c>
      <c r="N126" s="95">
        <v>91</v>
      </c>
      <c r="O126" s="95">
        <v>0</v>
      </c>
      <c r="P126" s="95">
        <v>177</v>
      </c>
      <c r="Q126" s="95">
        <v>64</v>
      </c>
      <c r="R126" s="95">
        <v>139</v>
      </c>
      <c r="S126" s="95">
        <v>90</v>
      </c>
      <c r="T126" s="95">
        <v>114</v>
      </c>
      <c r="U126" s="95">
        <v>111</v>
      </c>
      <c r="V126" s="95">
        <v>89</v>
      </c>
      <c r="W126" s="95">
        <v>49</v>
      </c>
      <c r="X126" s="95">
        <v>125</v>
      </c>
      <c r="Y126" s="95">
        <v>125</v>
      </c>
      <c r="Z126" s="95">
        <v>69</v>
      </c>
      <c r="AA126" s="95">
        <v>0</v>
      </c>
      <c r="AB126" s="95">
        <v>0</v>
      </c>
      <c r="AC126" s="95">
        <v>0</v>
      </c>
      <c r="AD126" s="95">
        <v>0</v>
      </c>
      <c r="AE126" s="95">
        <v>0</v>
      </c>
      <c r="AF126" s="95">
        <v>0</v>
      </c>
      <c r="AG126" s="95">
        <v>0</v>
      </c>
      <c r="AH126" s="95">
        <v>0</v>
      </c>
      <c r="AI126" s="95">
        <v>0</v>
      </c>
      <c r="AJ126" s="95">
        <v>0</v>
      </c>
      <c r="AK126" s="95">
        <v>0</v>
      </c>
      <c r="AL126" s="112"/>
    </row>
    <row r="127" spans="1:38" x14ac:dyDescent="0.2">
      <c r="A127" s="95"/>
      <c r="B127" s="95" t="s">
        <v>255</v>
      </c>
      <c r="C127" s="96"/>
      <c r="D127" s="95" t="s">
        <v>101</v>
      </c>
      <c r="E127" s="95"/>
      <c r="F127" s="95"/>
      <c r="G127" s="95">
        <v>93814</v>
      </c>
      <c r="H127" s="95">
        <v>85050</v>
      </c>
      <c r="I127" s="95">
        <v>93987</v>
      </c>
      <c r="J127" s="95">
        <v>100188</v>
      </c>
      <c r="K127" s="95">
        <v>82132</v>
      </c>
      <c r="L127" s="95">
        <v>77900</v>
      </c>
      <c r="M127" s="95">
        <v>88561</v>
      </c>
      <c r="N127" s="95">
        <v>101247</v>
      </c>
      <c r="O127" s="95">
        <v>90058</v>
      </c>
      <c r="P127" s="95">
        <v>89728</v>
      </c>
      <c r="Q127" s="95">
        <v>88087</v>
      </c>
      <c r="R127" s="95">
        <v>94175</v>
      </c>
      <c r="S127" s="95">
        <v>86714</v>
      </c>
      <c r="T127" s="95">
        <v>84711</v>
      </c>
      <c r="U127" s="95">
        <v>87617</v>
      </c>
      <c r="V127" s="95">
        <v>96322</v>
      </c>
      <c r="W127" s="95">
        <v>97045</v>
      </c>
      <c r="X127" s="95">
        <v>77550</v>
      </c>
      <c r="Y127" s="95">
        <v>81966</v>
      </c>
      <c r="Z127" s="95">
        <v>93855</v>
      </c>
      <c r="AA127" s="95">
        <v>90007</v>
      </c>
      <c r="AB127" s="95">
        <v>91921</v>
      </c>
      <c r="AC127" s="95">
        <v>96132</v>
      </c>
      <c r="AD127" s="95">
        <v>93483</v>
      </c>
      <c r="AE127" s="95">
        <v>94278</v>
      </c>
      <c r="AF127" s="95">
        <v>92991</v>
      </c>
      <c r="AG127" s="95">
        <v>81055</v>
      </c>
      <c r="AH127" s="95">
        <v>88249</v>
      </c>
      <c r="AI127" s="95">
        <v>85491</v>
      </c>
      <c r="AJ127" s="95">
        <v>97135</v>
      </c>
      <c r="AK127" s="95">
        <v>95257</v>
      </c>
      <c r="AL127" s="112"/>
    </row>
    <row r="128" spans="1:38" x14ac:dyDescent="0.2">
      <c r="A128" s="95"/>
      <c r="B128" s="95" t="s">
        <v>256</v>
      </c>
      <c r="C128" s="96"/>
      <c r="D128" s="95" t="s">
        <v>101</v>
      </c>
      <c r="E128" s="95"/>
      <c r="F128" s="95"/>
      <c r="G128" s="95">
        <v>7883</v>
      </c>
      <c r="H128" s="95">
        <v>7647</v>
      </c>
      <c r="I128" s="95">
        <v>7710</v>
      </c>
      <c r="J128" s="95">
        <v>8259</v>
      </c>
      <c r="K128" s="95">
        <v>7865</v>
      </c>
      <c r="L128" s="95">
        <v>8947</v>
      </c>
      <c r="M128" s="95">
        <v>8157</v>
      </c>
      <c r="N128" s="95">
        <v>7966</v>
      </c>
      <c r="O128" s="95">
        <v>8290</v>
      </c>
      <c r="P128" s="95">
        <v>8397</v>
      </c>
      <c r="Q128" s="95">
        <v>8660</v>
      </c>
      <c r="R128" s="95">
        <v>8422</v>
      </c>
      <c r="S128" s="95">
        <v>8683</v>
      </c>
      <c r="T128" s="95">
        <v>8886</v>
      </c>
      <c r="U128" s="95">
        <v>8680</v>
      </c>
      <c r="V128" s="95">
        <v>8975</v>
      </c>
      <c r="W128" s="95">
        <v>8252</v>
      </c>
      <c r="X128" s="95">
        <v>8847</v>
      </c>
      <c r="Y128" s="95">
        <v>8481</v>
      </c>
      <c r="Z128" s="95">
        <v>8742</v>
      </c>
      <c r="AA128" s="95">
        <v>8540</v>
      </c>
      <c r="AB128" s="95">
        <v>8426</v>
      </c>
      <c r="AC128" s="95">
        <v>8061</v>
      </c>
      <c r="AD128" s="95">
        <v>8214</v>
      </c>
      <c r="AE128" s="95">
        <v>8187</v>
      </c>
      <c r="AF128" s="95">
        <v>8516</v>
      </c>
      <c r="AG128" s="95">
        <v>8942</v>
      </c>
      <c r="AH128" s="95">
        <v>8948</v>
      </c>
      <c r="AI128" s="95">
        <v>9006</v>
      </c>
      <c r="AJ128" s="95">
        <v>8612</v>
      </c>
      <c r="AK128" s="95">
        <v>8690</v>
      </c>
      <c r="AL128" s="112"/>
    </row>
    <row r="129" spans="1:38" x14ac:dyDescent="0.2">
      <c r="A129" s="95"/>
      <c r="B129" s="95"/>
      <c r="C129" s="96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112"/>
    </row>
    <row r="130" spans="1:38" x14ac:dyDescent="0.2">
      <c r="A130" s="95"/>
      <c r="B130" s="95"/>
      <c r="C130" s="96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112"/>
    </row>
    <row r="131" spans="1:38" x14ac:dyDescent="0.2">
      <c r="A131" s="95"/>
      <c r="B131" s="95"/>
      <c r="C131" s="96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112"/>
    </row>
    <row r="132" spans="1:38" ht="20.25" customHeight="1" x14ac:dyDescent="0.2">
      <c r="A132" s="95"/>
      <c r="B132" s="95"/>
      <c r="C132" s="96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112"/>
    </row>
  </sheetData>
  <mergeCells count="9">
    <mergeCell ref="I93:AH93"/>
    <mergeCell ref="I3:AL3"/>
    <mergeCell ref="H21:AH21"/>
    <mergeCell ref="C65:AL66"/>
    <mergeCell ref="C72:AL72"/>
    <mergeCell ref="D85:AL85"/>
    <mergeCell ref="I87:AH87"/>
    <mergeCell ref="D57:AL57"/>
    <mergeCell ref="A62:AL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01-03-2026</vt:lpstr>
      <vt:lpstr>02-03-2026</vt:lpstr>
      <vt:lpstr>03-03-2026</vt:lpstr>
      <vt:lpstr>04-03-2026</vt:lpstr>
      <vt:lpstr>05-03-2026</vt:lpstr>
      <vt:lpstr>06-03-2026</vt:lpstr>
      <vt:lpstr>07-03-2026</vt:lpstr>
      <vt:lpstr>08-03-2026</vt:lpstr>
      <vt:lpstr>09-03-2026</vt:lpstr>
      <vt:lpstr>10-03-2026</vt:lpstr>
      <vt:lpstr>11-03-2026</vt:lpstr>
      <vt:lpstr>12-03-2026</vt:lpstr>
      <vt:lpstr>13-03-2026</vt:lpstr>
      <vt:lpstr>14-03-2026</vt:lpstr>
      <vt:lpstr>15-03-2026</vt:lpstr>
      <vt:lpstr>16-03-2026</vt:lpstr>
      <vt:lpstr>17-03-2026</vt:lpstr>
      <vt:lpstr>18-03-2026 </vt:lpstr>
      <vt:lpstr>19-03-2026</vt:lpstr>
      <vt:lpstr>20-03-2026</vt:lpstr>
      <vt:lpstr>21-03-2026</vt:lpstr>
      <vt:lpstr>22-03-2026</vt:lpstr>
      <vt:lpstr>23-03-2026</vt:lpstr>
      <vt:lpstr>24-03-2026</vt:lpstr>
      <vt:lpstr>25-03-2026</vt:lpstr>
      <vt:lpstr>26-03-2026</vt:lpstr>
      <vt:lpstr>27-03-2026</vt:lpstr>
      <vt:lpstr>28-03-2026</vt:lpstr>
      <vt:lpstr>29-03-2026</vt:lpstr>
      <vt:lpstr>30-03-2026 </vt:lpstr>
      <vt:lpstr>31-03-2026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2026-04-02T05:20:01Z</dcterms:modified>
</cp:coreProperties>
</file>