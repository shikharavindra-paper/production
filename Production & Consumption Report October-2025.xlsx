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vindra/Desktop/untitled folder/"/>
    </mc:Choice>
  </mc:AlternateContent>
  <xr:revisionPtr revIDLastSave="0" documentId="13_ncr:1_{A72AF2E3-866D-0C40-8EAA-06887323AF55}" xr6:coauthVersionLast="47" xr6:coauthVersionMax="47" xr10:uidLastSave="{00000000-0000-0000-0000-000000000000}"/>
  <bookViews>
    <workbookView xWindow="0" yWindow="520" windowWidth="20480" windowHeight="12800" firstSheet="26" activeTab="31" xr2:uid="{00000000-000D-0000-FFFF-FFFF00000000}"/>
  </bookViews>
  <sheets>
    <sheet name="01-10-2025" sheetId="184" r:id="rId1"/>
    <sheet name="02-10-2025" sheetId="185" r:id="rId2"/>
    <sheet name="03-10-2025" sheetId="186" r:id="rId3"/>
    <sheet name="04-10-2025" sheetId="187" r:id="rId4"/>
    <sheet name="05-10-2025" sheetId="188" r:id="rId5"/>
    <sheet name="06-10-2025" sheetId="189" r:id="rId6"/>
    <sheet name="07-10-2025" sheetId="190" r:id="rId7"/>
    <sheet name="08-10-2025" sheetId="191" r:id="rId8"/>
    <sheet name="09-10-2025" sheetId="192" r:id="rId9"/>
    <sheet name="10-10-2025" sheetId="193" r:id="rId10"/>
    <sheet name="11-10-2025" sheetId="194" r:id="rId11"/>
    <sheet name="12-10-2025" sheetId="195" r:id="rId12"/>
    <sheet name="13-10-2025" sheetId="196" r:id="rId13"/>
    <sheet name="14-10-2025" sheetId="197" r:id="rId14"/>
    <sheet name="15-10-2025" sheetId="198" r:id="rId15"/>
    <sheet name="16-10-2025" sheetId="199" r:id="rId16"/>
    <sheet name="17-10-2025" sheetId="200" r:id="rId17"/>
    <sheet name="18-10-2025" sheetId="201" r:id="rId18"/>
    <sheet name="19-10-2025" sheetId="202" r:id="rId19"/>
    <sheet name="20-10-2025" sheetId="203" r:id="rId20"/>
    <sheet name="21-10-2025" sheetId="204" r:id="rId21"/>
    <sheet name="22-10-2025" sheetId="205" r:id="rId22"/>
    <sheet name="23-10-2025" sheetId="206" r:id="rId23"/>
    <sheet name="24-10-2025" sheetId="207" r:id="rId24"/>
    <sheet name="25-10-2025" sheetId="208" r:id="rId25"/>
    <sheet name="26-10-2025" sheetId="209" r:id="rId26"/>
    <sheet name="27-10-2025" sheetId="210" r:id="rId27"/>
    <sheet name="28-10-2025" sheetId="211" r:id="rId28"/>
    <sheet name="29-10-2025" sheetId="212" r:id="rId29"/>
    <sheet name="30-10-2025" sheetId="213" r:id="rId30"/>
    <sheet name="31-10-2025" sheetId="214" r:id="rId31"/>
    <sheet name="Pulp &amp; Chemical consumption" sheetId="2" r:id="rId3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6" i="214" l="1"/>
  <c r="H12" i="214"/>
  <c r="G12" i="214"/>
  <c r="F22" i="214"/>
  <c r="J25" i="214" s="1"/>
  <c r="H11" i="214"/>
  <c r="G11" i="214"/>
  <c r="H10" i="214"/>
  <c r="G10" i="214"/>
  <c r="H9" i="214"/>
  <c r="G9" i="214"/>
  <c r="H22" i="214" l="1"/>
  <c r="G22" i="214"/>
  <c r="AJ108" i="2"/>
  <c r="AJ106" i="2"/>
  <c r="AJ107" i="2" s="1"/>
  <c r="AJ103" i="2"/>
  <c r="AJ109" i="2" s="1"/>
  <c r="AJ110" i="2" s="1"/>
  <c r="AJ100" i="2"/>
  <c r="AJ94" i="2"/>
  <c r="AJ92" i="2"/>
  <c r="AJ85" i="2"/>
  <c r="AJ93" i="2" s="1"/>
  <c r="AJ101" i="2" s="1"/>
  <c r="AJ76" i="2"/>
  <c r="AJ75" i="2"/>
  <c r="AJ73" i="2"/>
  <c r="AJ72" i="2"/>
  <c r="AJ71" i="2"/>
  <c r="AJ68" i="2"/>
  <c r="AJ74" i="2" s="1"/>
  <c r="AJ67" i="2"/>
  <c r="AJ66" i="2"/>
  <c r="AJ63" i="2"/>
  <c r="AJ18" i="2"/>
  <c r="AJ64" i="2" s="1"/>
  <c r="J26" i="213"/>
  <c r="F22" i="213"/>
  <c r="J25" i="213" s="1"/>
  <c r="H11" i="213"/>
  <c r="G11" i="213"/>
  <c r="H10" i="213"/>
  <c r="G10" i="213"/>
  <c r="H9" i="213"/>
  <c r="G9" i="213"/>
  <c r="BU12" i="2"/>
  <c r="BU13" i="2"/>
  <c r="BU14" i="2"/>
  <c r="BU15" i="2"/>
  <c r="BU16" i="2"/>
  <c r="BU17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38" i="2"/>
  <c r="BU39" i="2"/>
  <c r="BU40" i="2"/>
  <c r="BU41" i="2"/>
  <c r="BU42" i="2"/>
  <c r="BU43" i="2"/>
  <c r="BU44" i="2"/>
  <c r="BU45" i="2"/>
  <c r="BU46" i="2"/>
  <c r="BU47" i="2"/>
  <c r="BU48" i="2"/>
  <c r="BU49" i="2"/>
  <c r="J26" i="212"/>
  <c r="H13" i="212"/>
  <c r="H14" i="212"/>
  <c r="G13" i="212"/>
  <c r="G14" i="212"/>
  <c r="F22" i="212"/>
  <c r="H12" i="212"/>
  <c r="G12" i="212"/>
  <c r="H11" i="212"/>
  <c r="G11" i="212"/>
  <c r="H10" i="212"/>
  <c r="G10" i="212"/>
  <c r="H9" i="212"/>
  <c r="G9" i="212"/>
  <c r="J26" i="211"/>
  <c r="F22" i="211"/>
  <c r="J25" i="211" s="1"/>
  <c r="H12" i="211"/>
  <c r="G12" i="211"/>
  <c r="H11" i="211"/>
  <c r="G11" i="211"/>
  <c r="H10" i="211"/>
  <c r="G10" i="211"/>
  <c r="H9" i="211"/>
  <c r="G9" i="211"/>
  <c r="J26" i="210"/>
  <c r="F22" i="210"/>
  <c r="J25" i="210" s="1"/>
  <c r="H13" i="210"/>
  <c r="G13" i="210"/>
  <c r="H12" i="210"/>
  <c r="G12" i="210"/>
  <c r="H11" i="210"/>
  <c r="G11" i="210"/>
  <c r="H10" i="210"/>
  <c r="G10" i="210"/>
  <c r="H9" i="210"/>
  <c r="G9" i="210"/>
  <c r="J26" i="209"/>
  <c r="F22" i="209"/>
  <c r="J25" i="209" s="1"/>
  <c r="H13" i="209"/>
  <c r="G13" i="209"/>
  <c r="H12" i="209"/>
  <c r="G12" i="209"/>
  <c r="H11" i="209"/>
  <c r="G11" i="209"/>
  <c r="H10" i="209"/>
  <c r="G10" i="209"/>
  <c r="H9" i="209"/>
  <c r="G9" i="209"/>
  <c r="J26" i="208"/>
  <c r="H11" i="208"/>
  <c r="H12" i="208"/>
  <c r="H13" i="208"/>
  <c r="H14" i="208"/>
  <c r="H15" i="208"/>
  <c r="G11" i="208"/>
  <c r="G12" i="208"/>
  <c r="G13" i="208"/>
  <c r="G14" i="208"/>
  <c r="G15" i="208"/>
  <c r="AJ111" i="2" l="1"/>
  <c r="AJ112" i="2" s="1"/>
  <c r="G22" i="213"/>
  <c r="H22" i="213"/>
  <c r="H22" i="212"/>
  <c r="G22" i="212"/>
  <c r="J25" i="212"/>
  <c r="H22" i="211"/>
  <c r="G22" i="211"/>
  <c r="G22" i="210"/>
  <c r="H22" i="210"/>
  <c r="G22" i="209"/>
  <c r="H22" i="209"/>
  <c r="F22" i="208"/>
  <c r="J25" i="208" s="1"/>
  <c r="H10" i="208"/>
  <c r="G10" i="208"/>
  <c r="H9" i="208"/>
  <c r="G9" i="208"/>
  <c r="G22" i="208" l="1"/>
  <c r="H22" i="208"/>
  <c r="J26" i="207"/>
  <c r="F22" i="207"/>
  <c r="H10" i="207"/>
  <c r="G10" i="207"/>
  <c r="H9" i="207"/>
  <c r="G9" i="207"/>
  <c r="J26" i="206"/>
  <c r="F22" i="206"/>
  <c r="J25" i="206" s="1"/>
  <c r="H10" i="206"/>
  <c r="G10" i="206"/>
  <c r="H9" i="206"/>
  <c r="G9" i="206"/>
  <c r="J26" i="205"/>
  <c r="H11" i="205"/>
  <c r="G11" i="205"/>
  <c r="F22" i="205"/>
  <c r="H10" i="205"/>
  <c r="G10" i="205"/>
  <c r="H9" i="205"/>
  <c r="G9" i="205"/>
  <c r="J26" i="204"/>
  <c r="F22" i="204"/>
  <c r="H10" i="204"/>
  <c r="G10" i="204"/>
  <c r="H9" i="204"/>
  <c r="G9" i="204"/>
  <c r="J26" i="203"/>
  <c r="F22" i="203"/>
  <c r="J25" i="203" s="1"/>
  <c r="H10" i="203"/>
  <c r="G10" i="203"/>
  <c r="H9" i="203"/>
  <c r="G9" i="203"/>
  <c r="J26" i="202"/>
  <c r="F22" i="202"/>
  <c r="J25" i="202" s="1"/>
  <c r="H12" i="202"/>
  <c r="G12" i="202"/>
  <c r="H11" i="202"/>
  <c r="G11" i="202"/>
  <c r="H10" i="202"/>
  <c r="G10" i="202"/>
  <c r="H9" i="202"/>
  <c r="G9" i="202"/>
  <c r="J26" i="201"/>
  <c r="F22" i="201"/>
  <c r="J25" i="201" s="1"/>
  <c r="H14" i="201"/>
  <c r="G14" i="201"/>
  <c r="H13" i="201"/>
  <c r="G13" i="201"/>
  <c r="H12" i="201"/>
  <c r="G12" i="201"/>
  <c r="H11" i="201"/>
  <c r="G11" i="201"/>
  <c r="H10" i="201"/>
  <c r="G10" i="201"/>
  <c r="H9" i="201"/>
  <c r="G9" i="201"/>
  <c r="J26" i="200"/>
  <c r="H14" i="200"/>
  <c r="G14" i="200"/>
  <c r="J25" i="200"/>
  <c r="H22" i="200"/>
  <c r="F22" i="200"/>
  <c r="H13" i="200"/>
  <c r="G13" i="200"/>
  <c r="H12" i="200"/>
  <c r="G12" i="200"/>
  <c r="H11" i="200"/>
  <c r="G11" i="200"/>
  <c r="H10" i="200"/>
  <c r="G10" i="200"/>
  <c r="H9" i="200"/>
  <c r="G9" i="200"/>
  <c r="J26" i="199"/>
  <c r="H13" i="199"/>
  <c r="G13" i="199"/>
  <c r="F22" i="199"/>
  <c r="J25" i="199" s="1"/>
  <c r="H12" i="199"/>
  <c r="G12" i="199"/>
  <c r="H11" i="199"/>
  <c r="G11" i="199"/>
  <c r="H10" i="199"/>
  <c r="G10" i="199"/>
  <c r="H9" i="199"/>
  <c r="H22" i="199" s="1"/>
  <c r="G9" i="199"/>
  <c r="J26" i="198"/>
  <c r="F22" i="198"/>
  <c r="J25" i="198" s="1"/>
  <c r="H12" i="198"/>
  <c r="G12" i="198"/>
  <c r="H11" i="198"/>
  <c r="G11" i="198"/>
  <c r="H10" i="198"/>
  <c r="G10" i="198"/>
  <c r="H9" i="198"/>
  <c r="G9" i="198"/>
  <c r="J26" i="197"/>
  <c r="F22" i="197"/>
  <c r="H13" i="197"/>
  <c r="G13" i="197"/>
  <c r="H12" i="197"/>
  <c r="G12" i="197"/>
  <c r="H11" i="197"/>
  <c r="G11" i="197"/>
  <c r="H10" i="197"/>
  <c r="G10" i="197"/>
  <c r="H9" i="197"/>
  <c r="G9" i="197"/>
  <c r="J26" i="196"/>
  <c r="H12" i="196"/>
  <c r="H13" i="196"/>
  <c r="H14" i="196"/>
  <c r="H15" i="196"/>
  <c r="H16" i="196"/>
  <c r="H17" i="196"/>
  <c r="H18" i="196"/>
  <c r="G12" i="196"/>
  <c r="G13" i="196"/>
  <c r="G14" i="196"/>
  <c r="G15" i="196"/>
  <c r="G16" i="196"/>
  <c r="G17" i="196"/>
  <c r="G18" i="196"/>
  <c r="F22" i="196"/>
  <c r="J25" i="196" s="1"/>
  <c r="H11" i="196"/>
  <c r="G11" i="196"/>
  <c r="H10" i="196"/>
  <c r="G10" i="196"/>
  <c r="H9" i="196"/>
  <c r="G9" i="196"/>
  <c r="J26" i="195"/>
  <c r="F22" i="195"/>
  <c r="J25" i="195" s="1"/>
  <c r="H11" i="195"/>
  <c r="G11" i="195"/>
  <c r="H10" i="195"/>
  <c r="G10" i="195"/>
  <c r="H9" i="195"/>
  <c r="G9" i="195"/>
  <c r="J26" i="194"/>
  <c r="F22" i="194"/>
  <c r="J25" i="194" s="1"/>
  <c r="H12" i="194"/>
  <c r="G12" i="194"/>
  <c r="H11" i="194"/>
  <c r="G11" i="194"/>
  <c r="H10" i="194"/>
  <c r="G10" i="194"/>
  <c r="H9" i="194"/>
  <c r="G9" i="194"/>
  <c r="H22" i="207" l="1"/>
  <c r="G22" i="207"/>
  <c r="J25" i="207"/>
  <c r="G22" i="206"/>
  <c r="H22" i="206"/>
  <c r="H22" i="205"/>
  <c r="G22" i="205"/>
  <c r="J25" i="205"/>
  <c r="H22" i="204"/>
  <c r="J25" i="204"/>
  <c r="G22" i="204"/>
  <c r="G22" i="203"/>
  <c r="H22" i="203"/>
  <c r="G22" i="202"/>
  <c r="H22" i="202"/>
  <c r="G22" i="201"/>
  <c r="H22" i="201"/>
  <c r="G22" i="200"/>
  <c r="G22" i="199"/>
  <c r="G22" i="198"/>
  <c r="H22" i="198"/>
  <c r="G22" i="197"/>
  <c r="H22" i="197"/>
  <c r="J25" i="197"/>
  <c r="H22" i="196"/>
  <c r="G22" i="196"/>
  <c r="G22" i="195"/>
  <c r="H22" i="195"/>
  <c r="G22" i="194"/>
  <c r="H22" i="194"/>
  <c r="J26" i="193"/>
  <c r="F22" i="193"/>
  <c r="H13" i="193"/>
  <c r="G13" i="193"/>
  <c r="H12" i="193"/>
  <c r="G12" i="193"/>
  <c r="H11" i="193"/>
  <c r="G11" i="193"/>
  <c r="H10" i="193"/>
  <c r="G10" i="193"/>
  <c r="H9" i="193"/>
  <c r="G9" i="193"/>
  <c r="J26" i="192"/>
  <c r="F22" i="192"/>
  <c r="H14" i="192"/>
  <c r="G14" i="192"/>
  <c r="H13" i="192"/>
  <c r="G13" i="192"/>
  <c r="H12" i="192"/>
  <c r="G12" i="192"/>
  <c r="H11" i="192"/>
  <c r="G11" i="192"/>
  <c r="H10" i="192"/>
  <c r="G10" i="192"/>
  <c r="H9" i="192"/>
  <c r="G9" i="192"/>
  <c r="J26" i="191"/>
  <c r="H11" i="191"/>
  <c r="H12" i="191"/>
  <c r="H13" i="191"/>
  <c r="H14" i="191"/>
  <c r="G11" i="191"/>
  <c r="G12" i="191"/>
  <c r="G13" i="191"/>
  <c r="G14" i="191"/>
  <c r="F22" i="191"/>
  <c r="J25" i="191" s="1"/>
  <c r="H10" i="191"/>
  <c r="G10" i="191"/>
  <c r="H9" i="191"/>
  <c r="G9" i="191"/>
  <c r="H22" i="193" l="1"/>
  <c r="J25" i="193"/>
  <c r="G22" i="193"/>
  <c r="G22" i="192"/>
  <c r="H22" i="192"/>
  <c r="J25" i="192"/>
  <c r="H22" i="191"/>
  <c r="G22" i="191"/>
  <c r="J26" i="190"/>
  <c r="F22" i="190"/>
  <c r="J25" i="190" s="1"/>
  <c r="H10" i="190"/>
  <c r="G10" i="190"/>
  <c r="H9" i="190"/>
  <c r="G9" i="190"/>
  <c r="H22" i="190" l="1"/>
  <c r="G22" i="190"/>
  <c r="J26" i="189"/>
  <c r="H11" i="189"/>
  <c r="G11" i="189"/>
  <c r="F22" i="189"/>
  <c r="J25" i="189" s="1"/>
  <c r="H10" i="189"/>
  <c r="G10" i="189"/>
  <c r="H9" i="189"/>
  <c r="G9" i="189"/>
  <c r="J26" i="188"/>
  <c r="F22" i="188"/>
  <c r="J25" i="188" s="1"/>
  <c r="H10" i="188"/>
  <c r="G10" i="188"/>
  <c r="H9" i="188"/>
  <c r="G9" i="188"/>
  <c r="J26" i="187"/>
  <c r="F22" i="187"/>
  <c r="J25" i="187" s="1"/>
  <c r="H11" i="187"/>
  <c r="G11" i="187"/>
  <c r="H10" i="187"/>
  <c r="G10" i="187"/>
  <c r="H9" i="187"/>
  <c r="G9" i="187"/>
  <c r="J26" i="186"/>
  <c r="F22" i="186"/>
  <c r="J25" i="186" s="1"/>
  <c r="H13" i="186"/>
  <c r="G13" i="186"/>
  <c r="H12" i="186"/>
  <c r="G12" i="186"/>
  <c r="H11" i="186"/>
  <c r="G11" i="186"/>
  <c r="H10" i="186"/>
  <c r="G10" i="186"/>
  <c r="H9" i="186"/>
  <c r="G9" i="186"/>
  <c r="J26" i="185"/>
  <c r="H11" i="185"/>
  <c r="H12" i="185"/>
  <c r="H13" i="185"/>
  <c r="H14" i="185"/>
  <c r="G11" i="185"/>
  <c r="G12" i="185"/>
  <c r="G13" i="185"/>
  <c r="G14" i="185"/>
  <c r="F22" i="185"/>
  <c r="J25" i="185" s="1"/>
  <c r="H10" i="185"/>
  <c r="G10" i="185"/>
  <c r="H9" i="185"/>
  <c r="H22" i="185" s="1"/>
  <c r="G9" i="185"/>
  <c r="G22" i="185" s="1"/>
  <c r="F22" i="184"/>
  <c r="H10" i="184"/>
  <c r="G10" i="184"/>
  <c r="H9" i="184"/>
  <c r="G9" i="184"/>
  <c r="G22" i="189" l="1"/>
  <c r="H22" i="189"/>
  <c r="G22" i="188"/>
  <c r="H22" i="188"/>
  <c r="H22" i="187"/>
  <c r="G22" i="187"/>
  <c r="H22" i="186"/>
  <c r="G22" i="186"/>
  <c r="H22" i="184"/>
  <c r="J25" i="184"/>
  <c r="G22" i="184"/>
  <c r="BU54" i="2"/>
  <c r="AK108" i="2" l="1"/>
  <c r="AK100" i="2"/>
  <c r="AK106" i="2" s="1"/>
  <c r="AK107" i="2" s="1"/>
  <c r="AK94" i="2"/>
  <c r="AK92" i="2"/>
  <c r="AK85" i="2"/>
  <c r="AK93" i="2" s="1"/>
  <c r="AK101" i="2" s="1"/>
  <c r="AK76" i="2"/>
  <c r="AK75" i="2"/>
  <c r="AK71" i="2"/>
  <c r="AK68" i="2"/>
  <c r="AK74" i="2" s="1"/>
  <c r="AK67" i="2"/>
  <c r="AK73" i="2" s="1"/>
  <c r="AK66" i="2"/>
  <c r="AK72" i="2" s="1"/>
  <c r="AK63" i="2"/>
  <c r="AK103" i="2" s="1"/>
  <c r="AK109" i="2" s="1"/>
  <c r="AK110" i="2" s="1"/>
  <c r="AK18" i="2"/>
  <c r="AK64" i="2" l="1"/>
  <c r="AK111" i="2"/>
  <c r="AK112" i="2" s="1"/>
  <c r="AI18" i="2"/>
  <c r="AH18" i="2"/>
  <c r="AG18" i="2"/>
  <c r="AF18" i="2"/>
  <c r="AE18" i="2"/>
  <c r="AD18" i="2"/>
  <c r="AC18" i="2"/>
  <c r="AB18" i="2"/>
  <c r="AA18" i="2" l="1"/>
  <c r="Z18" i="2"/>
  <c r="Y18" i="2"/>
  <c r="X18" i="2"/>
  <c r="W18" i="2"/>
  <c r="V18" i="2"/>
  <c r="U18" i="2"/>
  <c r="T18" i="2"/>
  <c r="S18" i="2" l="1"/>
  <c r="R18" i="2" l="1"/>
  <c r="Q18" i="2"/>
  <c r="P18" i="2"/>
  <c r="O18" i="2"/>
  <c r="N18" i="2"/>
  <c r="M18" i="2"/>
  <c r="L18" i="2"/>
  <c r="K18" i="2"/>
  <c r="J18" i="2"/>
  <c r="I18" i="2"/>
  <c r="H18" i="2"/>
  <c r="G18" i="2"/>
  <c r="BU52" i="2" l="1"/>
  <c r="AI108" i="2"/>
  <c r="AI100" i="2"/>
  <c r="AI106" i="2" s="1"/>
  <c r="AI107" i="2" s="1"/>
  <c r="AI94" i="2"/>
  <c r="AI92" i="2"/>
  <c r="AI85" i="2"/>
  <c r="AI76" i="2"/>
  <c r="AI75" i="2"/>
  <c r="AI71" i="2"/>
  <c r="AI68" i="2"/>
  <c r="AI74" i="2" s="1"/>
  <c r="AI67" i="2"/>
  <c r="AI73" i="2" s="1"/>
  <c r="AI66" i="2"/>
  <c r="AI72" i="2" s="1"/>
  <c r="AI63" i="2"/>
  <c r="AI103" i="2" s="1"/>
  <c r="AI109" i="2" s="1"/>
  <c r="AI64" i="2"/>
  <c r="AH108" i="2"/>
  <c r="AH100" i="2"/>
  <c r="AH106" i="2" s="1"/>
  <c r="AH107" i="2" s="1"/>
  <c r="AH94" i="2"/>
  <c r="AH92" i="2"/>
  <c r="AH85" i="2"/>
  <c r="AH93" i="2" s="1"/>
  <c r="AH101" i="2" s="1"/>
  <c r="AH76" i="2"/>
  <c r="AH75" i="2"/>
  <c r="AH71" i="2"/>
  <c r="AH68" i="2"/>
  <c r="AH74" i="2" s="1"/>
  <c r="AH67" i="2"/>
  <c r="AH73" i="2" s="1"/>
  <c r="AH66" i="2"/>
  <c r="AH72" i="2" s="1"/>
  <c r="AH63" i="2"/>
  <c r="AH103" i="2" s="1"/>
  <c r="AH109" i="2" s="1"/>
  <c r="AH64" i="2"/>
  <c r="AG108" i="2"/>
  <c r="AG100" i="2"/>
  <c r="AG106" i="2" s="1"/>
  <c r="AG107" i="2" s="1"/>
  <c r="AG94" i="2"/>
  <c r="AG92" i="2"/>
  <c r="AG85" i="2"/>
  <c r="AG76" i="2"/>
  <c r="AG75" i="2"/>
  <c r="AG71" i="2"/>
  <c r="AG68" i="2"/>
  <c r="AG74" i="2" s="1"/>
  <c r="AG67" i="2"/>
  <c r="AG73" i="2" s="1"/>
  <c r="AG66" i="2"/>
  <c r="AG72" i="2" s="1"/>
  <c r="AG63" i="2"/>
  <c r="AG103" i="2" s="1"/>
  <c r="AG109" i="2" s="1"/>
  <c r="AG64" i="2"/>
  <c r="AF108" i="2"/>
  <c r="AF100" i="2"/>
  <c r="AF106" i="2" s="1"/>
  <c r="AF107" i="2" s="1"/>
  <c r="AF94" i="2"/>
  <c r="AF92" i="2"/>
  <c r="AF85" i="2"/>
  <c r="AF76" i="2"/>
  <c r="AF75" i="2"/>
  <c r="AF71" i="2"/>
  <c r="AF68" i="2"/>
  <c r="AF74" i="2" s="1"/>
  <c r="AF67" i="2"/>
  <c r="AF73" i="2" s="1"/>
  <c r="AF66" i="2"/>
  <c r="AF72" i="2" s="1"/>
  <c r="AF63" i="2"/>
  <c r="AF103" i="2" s="1"/>
  <c r="AF109" i="2" s="1"/>
  <c r="AF64" i="2"/>
  <c r="AE108" i="2"/>
  <c r="AE100" i="2"/>
  <c r="AE106" i="2" s="1"/>
  <c r="AE107" i="2" s="1"/>
  <c r="AE94" i="2"/>
  <c r="AE92" i="2"/>
  <c r="AE85" i="2"/>
  <c r="AE76" i="2"/>
  <c r="AE75" i="2"/>
  <c r="AE71" i="2"/>
  <c r="AE68" i="2"/>
  <c r="AE74" i="2" s="1"/>
  <c r="AE67" i="2"/>
  <c r="AE73" i="2" s="1"/>
  <c r="AE66" i="2"/>
  <c r="AE72" i="2" s="1"/>
  <c r="AE63" i="2"/>
  <c r="AE103" i="2" s="1"/>
  <c r="AE109" i="2" s="1"/>
  <c r="AE64" i="2"/>
  <c r="AD108" i="2"/>
  <c r="AD100" i="2"/>
  <c r="AD106" i="2" s="1"/>
  <c r="AD107" i="2" s="1"/>
  <c r="AD94" i="2"/>
  <c r="AD92" i="2"/>
  <c r="AD85" i="2"/>
  <c r="AD76" i="2"/>
  <c r="AD75" i="2"/>
  <c r="AD71" i="2"/>
  <c r="AD68" i="2"/>
  <c r="AD74" i="2" s="1"/>
  <c r="AD67" i="2"/>
  <c r="AD73" i="2" s="1"/>
  <c r="AD66" i="2"/>
  <c r="AD72" i="2" s="1"/>
  <c r="AD63" i="2"/>
  <c r="AD103" i="2" s="1"/>
  <c r="AD109" i="2" s="1"/>
  <c r="AD64" i="2"/>
  <c r="AC108" i="2"/>
  <c r="AC100" i="2"/>
  <c r="AC106" i="2" s="1"/>
  <c r="AC107" i="2" s="1"/>
  <c r="AC94" i="2"/>
  <c r="AC92" i="2"/>
  <c r="AC85" i="2"/>
  <c r="AC76" i="2"/>
  <c r="AC75" i="2"/>
  <c r="AC71" i="2"/>
  <c r="AC68" i="2"/>
  <c r="AC74" i="2" s="1"/>
  <c r="AC67" i="2"/>
  <c r="AC73" i="2" s="1"/>
  <c r="AC66" i="2"/>
  <c r="AC72" i="2" s="1"/>
  <c r="AC63" i="2"/>
  <c r="AC103" i="2" s="1"/>
  <c r="AC109" i="2" s="1"/>
  <c r="AC64" i="2"/>
  <c r="AB108" i="2"/>
  <c r="AB100" i="2"/>
  <c r="AB106" i="2" s="1"/>
  <c r="AB107" i="2" s="1"/>
  <c r="AB94" i="2"/>
  <c r="AB92" i="2"/>
  <c r="AB85" i="2"/>
  <c r="AB76" i="2"/>
  <c r="AB75" i="2"/>
  <c r="AB71" i="2"/>
  <c r="AB68" i="2"/>
  <c r="AB74" i="2" s="1"/>
  <c r="AB67" i="2"/>
  <c r="AB73" i="2" s="1"/>
  <c r="AB66" i="2"/>
  <c r="AB72" i="2" s="1"/>
  <c r="AB63" i="2"/>
  <c r="AB103" i="2" s="1"/>
  <c r="AB109" i="2" s="1"/>
  <c r="AB64" i="2"/>
  <c r="AA108" i="2"/>
  <c r="AA100" i="2"/>
  <c r="AA106" i="2" s="1"/>
  <c r="AA107" i="2" s="1"/>
  <c r="AA94" i="2"/>
  <c r="AA92" i="2"/>
  <c r="AA85" i="2"/>
  <c r="AA76" i="2"/>
  <c r="AA75" i="2"/>
  <c r="AA71" i="2"/>
  <c r="AA68" i="2"/>
  <c r="AA74" i="2" s="1"/>
  <c r="AA67" i="2"/>
  <c r="AA73" i="2" s="1"/>
  <c r="AA66" i="2"/>
  <c r="AA72" i="2" s="1"/>
  <c r="AA63" i="2"/>
  <c r="AA103" i="2" s="1"/>
  <c r="AA109" i="2" s="1"/>
  <c r="AA64" i="2"/>
  <c r="AI93" i="2" l="1"/>
  <c r="AI101" i="2" s="1"/>
  <c r="AI110" i="2"/>
  <c r="AC93" i="2"/>
  <c r="AC101" i="2" s="1"/>
  <c r="AH110" i="2"/>
  <c r="AF93" i="2"/>
  <c r="AF101" i="2" s="1"/>
  <c r="AF111" i="2" s="1"/>
  <c r="AI111" i="2"/>
  <c r="AG93" i="2"/>
  <c r="AG101" i="2" s="1"/>
  <c r="AG110" i="2"/>
  <c r="AH111" i="2"/>
  <c r="AE110" i="2"/>
  <c r="AD93" i="2"/>
  <c r="AD101" i="2" s="1"/>
  <c r="AD111" i="2" s="1"/>
  <c r="AG111" i="2"/>
  <c r="AG112" i="2" s="1"/>
  <c r="AF110" i="2"/>
  <c r="AE93" i="2"/>
  <c r="AE101" i="2" s="1"/>
  <c r="AE111" i="2" s="1"/>
  <c r="AD110" i="2"/>
  <c r="AB110" i="2"/>
  <c r="AC110" i="2"/>
  <c r="AC111" i="2"/>
  <c r="AB93" i="2"/>
  <c r="AB101" i="2" s="1"/>
  <c r="AB111" i="2" s="1"/>
  <c r="AA93" i="2"/>
  <c r="AA101" i="2" s="1"/>
  <c r="AA111" i="2" s="1"/>
  <c r="AA110" i="2"/>
  <c r="AA112" i="2" l="1"/>
  <c r="AI112" i="2"/>
  <c r="AH112" i="2"/>
  <c r="AE112" i="2"/>
  <c r="AC112" i="2"/>
  <c r="AF112" i="2"/>
  <c r="AD112" i="2"/>
  <c r="AB112" i="2"/>
  <c r="Z108" i="2"/>
  <c r="Z100" i="2"/>
  <c r="Z106" i="2" s="1"/>
  <c r="Z107" i="2" s="1"/>
  <c r="Z94" i="2"/>
  <c r="Z92" i="2"/>
  <c r="Z85" i="2"/>
  <c r="Z76" i="2"/>
  <c r="Z75" i="2"/>
  <c r="Z71" i="2"/>
  <c r="Z68" i="2"/>
  <c r="Z74" i="2" s="1"/>
  <c r="Z67" i="2"/>
  <c r="Z73" i="2" s="1"/>
  <c r="Z66" i="2"/>
  <c r="Z72" i="2" s="1"/>
  <c r="Z63" i="2"/>
  <c r="Z103" i="2" s="1"/>
  <c r="Z109" i="2" s="1"/>
  <c r="Z64" i="2"/>
  <c r="Z110" i="2" l="1"/>
  <c r="Z93" i="2"/>
  <c r="Z101" i="2" s="1"/>
  <c r="Z111" i="2" s="1"/>
  <c r="Y64" i="2"/>
  <c r="X64" i="2"/>
  <c r="W64" i="2"/>
  <c r="V64" i="2"/>
  <c r="U64" i="2"/>
  <c r="T64" i="2"/>
  <c r="S64" i="2"/>
  <c r="R64" i="2"/>
  <c r="Q64" i="2"/>
  <c r="P64" i="2"/>
  <c r="O64" i="2"/>
  <c r="Y108" i="2"/>
  <c r="Y100" i="2"/>
  <c r="Y106" i="2" s="1"/>
  <c r="Y107" i="2" s="1"/>
  <c r="Y94" i="2"/>
  <c r="Y92" i="2"/>
  <c r="Y85" i="2"/>
  <c r="Y76" i="2"/>
  <c r="Y75" i="2"/>
  <c r="Y71" i="2"/>
  <c r="Y68" i="2"/>
  <c r="Y74" i="2" s="1"/>
  <c r="Y67" i="2"/>
  <c r="Y73" i="2" s="1"/>
  <c r="Y66" i="2"/>
  <c r="Y72" i="2" s="1"/>
  <c r="Y63" i="2"/>
  <c r="Y103" i="2" s="1"/>
  <c r="Y109" i="2" s="1"/>
  <c r="X108" i="2"/>
  <c r="X100" i="2"/>
  <c r="X106" i="2" s="1"/>
  <c r="X107" i="2" s="1"/>
  <c r="X94" i="2"/>
  <c r="X92" i="2"/>
  <c r="X85" i="2"/>
  <c r="X76" i="2"/>
  <c r="X75" i="2"/>
  <c r="X71" i="2"/>
  <c r="X68" i="2"/>
  <c r="X74" i="2" s="1"/>
  <c r="X67" i="2"/>
  <c r="X73" i="2" s="1"/>
  <c r="X66" i="2"/>
  <c r="X72" i="2" s="1"/>
  <c r="X63" i="2"/>
  <c r="X103" i="2" s="1"/>
  <c r="X109" i="2" s="1"/>
  <c r="W108" i="2"/>
  <c r="W100" i="2"/>
  <c r="W106" i="2" s="1"/>
  <c r="W107" i="2" s="1"/>
  <c r="W94" i="2"/>
  <c r="W92" i="2"/>
  <c r="W85" i="2"/>
  <c r="W93" i="2" s="1"/>
  <c r="W101" i="2" s="1"/>
  <c r="W76" i="2"/>
  <c r="W75" i="2"/>
  <c r="W71" i="2"/>
  <c r="W68" i="2"/>
  <c r="W74" i="2" s="1"/>
  <c r="W67" i="2"/>
  <c r="W73" i="2" s="1"/>
  <c r="W66" i="2"/>
  <c r="W72" i="2" s="1"/>
  <c r="W63" i="2"/>
  <c r="W103" i="2" s="1"/>
  <c r="W109" i="2" s="1"/>
  <c r="V108" i="2"/>
  <c r="V100" i="2"/>
  <c r="V106" i="2" s="1"/>
  <c r="V107" i="2" s="1"/>
  <c r="V94" i="2"/>
  <c r="V92" i="2"/>
  <c r="V85" i="2"/>
  <c r="V93" i="2" s="1"/>
  <c r="V101" i="2" s="1"/>
  <c r="V76" i="2"/>
  <c r="V75" i="2"/>
  <c r="V71" i="2"/>
  <c r="V68" i="2"/>
  <c r="V74" i="2" s="1"/>
  <c r="V67" i="2"/>
  <c r="V73" i="2" s="1"/>
  <c r="V66" i="2"/>
  <c r="V72" i="2" s="1"/>
  <c r="V63" i="2"/>
  <c r="V103" i="2" s="1"/>
  <c r="V109" i="2" s="1"/>
  <c r="U108" i="2"/>
  <c r="U100" i="2"/>
  <c r="U106" i="2" s="1"/>
  <c r="U107" i="2" s="1"/>
  <c r="U94" i="2"/>
  <c r="U92" i="2"/>
  <c r="U85" i="2"/>
  <c r="U76" i="2"/>
  <c r="U75" i="2"/>
  <c r="U71" i="2"/>
  <c r="U68" i="2"/>
  <c r="U74" i="2" s="1"/>
  <c r="U67" i="2"/>
  <c r="U73" i="2" s="1"/>
  <c r="U66" i="2"/>
  <c r="U72" i="2" s="1"/>
  <c r="U63" i="2"/>
  <c r="U103" i="2" s="1"/>
  <c r="U109" i="2" s="1"/>
  <c r="T108" i="2"/>
  <c r="T100" i="2"/>
  <c r="T106" i="2" s="1"/>
  <c r="T107" i="2" s="1"/>
  <c r="T94" i="2"/>
  <c r="T92" i="2"/>
  <c r="T85" i="2"/>
  <c r="T76" i="2"/>
  <c r="T75" i="2"/>
  <c r="T71" i="2"/>
  <c r="T68" i="2"/>
  <c r="T74" i="2" s="1"/>
  <c r="T67" i="2"/>
  <c r="T73" i="2" s="1"/>
  <c r="T66" i="2"/>
  <c r="T72" i="2" s="1"/>
  <c r="T63" i="2"/>
  <c r="T103" i="2" s="1"/>
  <c r="T109" i="2" s="1"/>
  <c r="S108" i="2"/>
  <c r="S100" i="2"/>
  <c r="S106" i="2" s="1"/>
  <c r="S107" i="2" s="1"/>
  <c r="S94" i="2"/>
  <c r="S92" i="2"/>
  <c r="S85" i="2"/>
  <c r="S76" i="2"/>
  <c r="S75" i="2"/>
  <c r="S71" i="2"/>
  <c r="S68" i="2"/>
  <c r="S74" i="2" s="1"/>
  <c r="S67" i="2"/>
  <c r="S73" i="2" s="1"/>
  <c r="S66" i="2"/>
  <c r="S72" i="2" s="1"/>
  <c r="S63" i="2"/>
  <c r="S103" i="2" s="1"/>
  <c r="S109" i="2" s="1"/>
  <c r="R108" i="2"/>
  <c r="R100" i="2"/>
  <c r="R106" i="2" s="1"/>
  <c r="R107" i="2" s="1"/>
  <c r="R94" i="2"/>
  <c r="R92" i="2"/>
  <c r="R85" i="2"/>
  <c r="R76" i="2"/>
  <c r="R75" i="2"/>
  <c r="R71" i="2"/>
  <c r="R68" i="2"/>
  <c r="R74" i="2" s="1"/>
  <c r="R67" i="2"/>
  <c r="R73" i="2" s="1"/>
  <c r="R66" i="2"/>
  <c r="R72" i="2" s="1"/>
  <c r="R63" i="2"/>
  <c r="R103" i="2" s="1"/>
  <c r="R109" i="2" s="1"/>
  <c r="Q108" i="2"/>
  <c r="Q100" i="2"/>
  <c r="Q106" i="2" s="1"/>
  <c r="Q107" i="2" s="1"/>
  <c r="Q94" i="2"/>
  <c r="Q92" i="2"/>
  <c r="Q85" i="2"/>
  <c r="Q76" i="2"/>
  <c r="Q75" i="2"/>
  <c r="Q71" i="2"/>
  <c r="Q68" i="2"/>
  <c r="Q74" i="2" s="1"/>
  <c r="Q67" i="2"/>
  <c r="Q73" i="2" s="1"/>
  <c r="Q66" i="2"/>
  <c r="Q72" i="2" s="1"/>
  <c r="Q63" i="2"/>
  <c r="Q103" i="2" s="1"/>
  <c r="Q109" i="2" s="1"/>
  <c r="P108" i="2"/>
  <c r="P100" i="2"/>
  <c r="P106" i="2" s="1"/>
  <c r="P107" i="2" s="1"/>
  <c r="P94" i="2"/>
  <c r="P92" i="2"/>
  <c r="P85" i="2"/>
  <c r="P76" i="2"/>
  <c r="P75" i="2"/>
  <c r="P71" i="2"/>
  <c r="P68" i="2"/>
  <c r="P74" i="2" s="1"/>
  <c r="P67" i="2"/>
  <c r="P73" i="2" s="1"/>
  <c r="P66" i="2"/>
  <c r="P72" i="2" s="1"/>
  <c r="P63" i="2"/>
  <c r="P103" i="2" s="1"/>
  <c r="P109" i="2" s="1"/>
  <c r="O108" i="2"/>
  <c r="O100" i="2"/>
  <c r="O106" i="2" s="1"/>
  <c r="O107" i="2" s="1"/>
  <c r="O94" i="2"/>
  <c r="O92" i="2"/>
  <c r="O85" i="2"/>
  <c r="O76" i="2"/>
  <c r="O75" i="2"/>
  <c r="O71" i="2"/>
  <c r="O68" i="2"/>
  <c r="O74" i="2" s="1"/>
  <c r="O67" i="2"/>
  <c r="O73" i="2" s="1"/>
  <c r="O66" i="2"/>
  <c r="O72" i="2" s="1"/>
  <c r="O63" i="2"/>
  <c r="O103" i="2" s="1"/>
  <c r="O109" i="2" s="1"/>
  <c r="U93" i="2" l="1"/>
  <c r="U101" i="2" s="1"/>
  <c r="S110" i="2"/>
  <c r="Z112" i="2"/>
  <c r="X93" i="2"/>
  <c r="X101" i="2" s="1"/>
  <c r="X111" i="2" s="1"/>
  <c r="X110" i="2"/>
  <c r="Q93" i="2"/>
  <c r="Q101" i="2" s="1"/>
  <c r="Q111" i="2" s="1"/>
  <c r="S93" i="2"/>
  <c r="S101" i="2" s="1"/>
  <c r="S111" i="2" s="1"/>
  <c r="V110" i="2"/>
  <c r="Y110" i="2"/>
  <c r="Y93" i="2"/>
  <c r="Y101" i="2" s="1"/>
  <c r="Y111" i="2" s="1"/>
  <c r="Y112" i="2" s="1"/>
  <c r="O110" i="2"/>
  <c r="W110" i="2"/>
  <c r="W111" i="2"/>
  <c r="T93" i="2"/>
  <c r="T101" i="2" s="1"/>
  <c r="T111" i="2" s="1"/>
  <c r="U110" i="2"/>
  <c r="V111" i="2"/>
  <c r="U111" i="2"/>
  <c r="T110" i="2"/>
  <c r="R93" i="2"/>
  <c r="R101" i="2" s="1"/>
  <c r="R111" i="2" s="1"/>
  <c r="Q110" i="2"/>
  <c r="R110" i="2"/>
  <c r="P110" i="2"/>
  <c r="P93" i="2"/>
  <c r="P101" i="2" s="1"/>
  <c r="P111" i="2" s="1"/>
  <c r="P112" i="2" s="1"/>
  <c r="O93" i="2"/>
  <c r="O101" i="2" s="1"/>
  <c r="O111" i="2" s="1"/>
  <c r="O112" i="2" s="1"/>
  <c r="N108" i="2"/>
  <c r="N100" i="2"/>
  <c r="N106" i="2" s="1"/>
  <c r="N107" i="2" s="1"/>
  <c r="N94" i="2"/>
  <c r="N92" i="2"/>
  <c r="N85" i="2"/>
  <c r="N76" i="2"/>
  <c r="N75" i="2"/>
  <c r="N71" i="2"/>
  <c r="N68" i="2"/>
  <c r="N74" i="2" s="1"/>
  <c r="N67" i="2"/>
  <c r="N73" i="2" s="1"/>
  <c r="N66" i="2"/>
  <c r="N72" i="2" s="1"/>
  <c r="N63" i="2"/>
  <c r="N103" i="2" s="1"/>
  <c r="N109" i="2" s="1"/>
  <c r="N64" i="2"/>
  <c r="M108" i="2"/>
  <c r="M100" i="2"/>
  <c r="M106" i="2" s="1"/>
  <c r="M107" i="2" s="1"/>
  <c r="M94" i="2"/>
  <c r="M92" i="2"/>
  <c r="M85" i="2"/>
  <c r="M76" i="2"/>
  <c r="M75" i="2"/>
  <c r="M71" i="2"/>
  <c r="M68" i="2"/>
  <c r="M74" i="2" s="1"/>
  <c r="M67" i="2"/>
  <c r="M73" i="2" s="1"/>
  <c r="M66" i="2"/>
  <c r="M72" i="2" s="1"/>
  <c r="M63" i="2"/>
  <c r="M103" i="2" s="1"/>
  <c r="M109" i="2" s="1"/>
  <c r="M64" i="2"/>
  <c r="L108" i="2"/>
  <c r="L100" i="2"/>
  <c r="L106" i="2" s="1"/>
  <c r="L107" i="2" s="1"/>
  <c r="L94" i="2"/>
  <c r="L92" i="2"/>
  <c r="L85" i="2"/>
  <c r="L76" i="2"/>
  <c r="L75" i="2"/>
  <c r="L71" i="2"/>
  <c r="L68" i="2"/>
  <c r="L74" i="2" s="1"/>
  <c r="L67" i="2"/>
  <c r="L73" i="2" s="1"/>
  <c r="L66" i="2"/>
  <c r="L72" i="2" s="1"/>
  <c r="L63" i="2"/>
  <c r="L103" i="2" s="1"/>
  <c r="L109" i="2" s="1"/>
  <c r="L64" i="2"/>
  <c r="BU53" i="2"/>
  <c r="BU51" i="2"/>
  <c r="V112" i="2" l="1"/>
  <c r="S112" i="2"/>
  <c r="X112" i="2"/>
  <c r="R112" i="2"/>
  <c r="W112" i="2"/>
  <c r="T112" i="2"/>
  <c r="U112" i="2"/>
  <c r="Q112" i="2"/>
  <c r="M110" i="2"/>
  <c r="N110" i="2"/>
  <c r="L110" i="2"/>
  <c r="N93" i="2"/>
  <c r="N101" i="2" s="1"/>
  <c r="N111" i="2" s="1"/>
  <c r="M93" i="2"/>
  <c r="M101" i="2" s="1"/>
  <c r="M111" i="2" s="1"/>
  <c r="L93" i="2"/>
  <c r="L101" i="2" s="1"/>
  <c r="L111" i="2" s="1"/>
  <c r="N112" i="2" l="1"/>
  <c r="M112" i="2"/>
  <c r="L112" i="2"/>
  <c r="H112" i="2" l="1"/>
  <c r="BR108" i="2"/>
  <c r="BQ108" i="2"/>
  <c r="BP108" i="2"/>
  <c r="BO108" i="2"/>
  <c r="BN108" i="2"/>
  <c r="BM108" i="2"/>
  <c r="BL108" i="2"/>
  <c r="BK108" i="2"/>
  <c r="BJ108" i="2"/>
  <c r="BI108" i="2"/>
  <c r="BH108" i="2"/>
  <c r="BG108" i="2"/>
  <c r="BF108" i="2"/>
  <c r="BE108" i="2"/>
  <c r="BD108" i="2"/>
  <c r="BC108" i="2"/>
  <c r="BB108" i="2"/>
  <c r="BA108" i="2"/>
  <c r="AZ108" i="2"/>
  <c r="AY108" i="2"/>
  <c r="AX108" i="2"/>
  <c r="AW108" i="2"/>
  <c r="AV108" i="2"/>
  <c r="AU108" i="2"/>
  <c r="AT108" i="2"/>
  <c r="AS108" i="2"/>
  <c r="AR108" i="2"/>
  <c r="AQ108" i="2"/>
  <c r="AP108" i="2"/>
  <c r="AO108" i="2"/>
  <c r="AN108" i="2"/>
  <c r="AM108" i="2"/>
  <c r="AL108" i="2"/>
  <c r="K108" i="2"/>
  <c r="J108" i="2"/>
  <c r="I108" i="2"/>
  <c r="G108" i="2"/>
  <c r="F108" i="2"/>
  <c r="E108" i="2"/>
  <c r="G106" i="2"/>
  <c r="G107" i="2" s="1"/>
  <c r="F106" i="2"/>
  <c r="F107" i="2" s="1"/>
  <c r="E106" i="2"/>
  <c r="E107" i="2" s="1"/>
  <c r="BU104" i="2"/>
  <c r="BR103" i="2"/>
  <c r="BR109" i="2" s="1"/>
  <c r="BQ103" i="2"/>
  <c r="BQ109" i="2" s="1"/>
  <c r="BP103" i="2"/>
  <c r="BP109" i="2" s="1"/>
  <c r="BO103" i="2"/>
  <c r="BO109" i="2" s="1"/>
  <c r="BN103" i="2"/>
  <c r="BN109" i="2" s="1"/>
  <c r="BM103" i="2"/>
  <c r="BM109" i="2" s="1"/>
  <c r="BL103" i="2"/>
  <c r="BL109" i="2" s="1"/>
  <c r="BK103" i="2"/>
  <c r="BK109" i="2" s="1"/>
  <c r="BJ103" i="2"/>
  <c r="BJ109" i="2" s="1"/>
  <c r="G103" i="2"/>
  <c r="G109" i="2" s="1"/>
  <c r="F103" i="2"/>
  <c r="F109" i="2" s="1"/>
  <c r="E103" i="2"/>
  <c r="E109" i="2" s="1"/>
  <c r="BU102" i="2"/>
  <c r="BR100" i="2"/>
  <c r="BQ100" i="2"/>
  <c r="BP100" i="2"/>
  <c r="BO100" i="2"/>
  <c r="BN100" i="2"/>
  <c r="BM100" i="2"/>
  <c r="BL100" i="2"/>
  <c r="BK100" i="2"/>
  <c r="BJ100" i="2"/>
  <c r="BI100" i="2"/>
  <c r="BH100" i="2"/>
  <c r="BG100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Q100" i="2"/>
  <c r="AP100" i="2"/>
  <c r="AP106" i="2" s="1"/>
  <c r="AP107" i="2" s="1"/>
  <c r="AO100" i="2"/>
  <c r="AO106" i="2" s="1"/>
  <c r="AO107" i="2" s="1"/>
  <c r="AN100" i="2"/>
  <c r="AN106" i="2" s="1"/>
  <c r="AN107" i="2" s="1"/>
  <c r="AM100" i="2"/>
  <c r="AM106" i="2" s="1"/>
  <c r="AM107" i="2" s="1"/>
  <c r="AL100" i="2"/>
  <c r="AL106" i="2" s="1"/>
  <c r="AL107" i="2" s="1"/>
  <c r="K100" i="2"/>
  <c r="K106" i="2" s="1"/>
  <c r="K107" i="2" s="1"/>
  <c r="J100" i="2"/>
  <c r="J106" i="2" s="1"/>
  <c r="J107" i="2" s="1"/>
  <c r="I100" i="2"/>
  <c r="I106" i="2" s="1"/>
  <c r="I107" i="2" s="1"/>
  <c r="BU99" i="2"/>
  <c r="BU98" i="2"/>
  <c r="BU94" i="2" s="1"/>
  <c r="BR98" i="2"/>
  <c r="BQ98" i="2"/>
  <c r="BP98" i="2"/>
  <c r="BO98" i="2"/>
  <c r="BO94" i="2" s="1"/>
  <c r="BN98" i="2"/>
  <c r="BN94" i="2" s="1"/>
  <c r="BM98" i="2"/>
  <c r="BM94" i="2" s="1"/>
  <c r="BL98" i="2"/>
  <c r="BL94" i="2" s="1"/>
  <c r="BK98" i="2"/>
  <c r="BK94" i="2" s="1"/>
  <c r="BJ98" i="2"/>
  <c r="BI98" i="2"/>
  <c r="BI94" i="2" s="1"/>
  <c r="BH98" i="2"/>
  <c r="BG98" i="2"/>
  <c r="BG94" i="2" s="1"/>
  <c r="BF98" i="2"/>
  <c r="BE98" i="2"/>
  <c r="BE94" i="2" s="1"/>
  <c r="BD98" i="2"/>
  <c r="BC98" i="2"/>
  <c r="BC94" i="2" s="1"/>
  <c r="BB98" i="2"/>
  <c r="BA98" i="2"/>
  <c r="BA94" i="2" s="1"/>
  <c r="AZ98" i="2"/>
  <c r="AZ94" i="2" s="1"/>
  <c r="AY98" i="2"/>
  <c r="AY94" i="2" s="1"/>
  <c r="AX98" i="2"/>
  <c r="AX94" i="2" s="1"/>
  <c r="AW98" i="2"/>
  <c r="AW94" i="2" s="1"/>
  <c r="AV98" i="2"/>
  <c r="AU98" i="2"/>
  <c r="AU94" i="2" s="1"/>
  <c r="AT98" i="2"/>
  <c r="AS98" i="2"/>
  <c r="AS94" i="2" s="1"/>
  <c r="AR98" i="2"/>
  <c r="AQ98" i="2"/>
  <c r="AQ94" i="2" s="1"/>
  <c r="AP94" i="2"/>
  <c r="AO94" i="2"/>
  <c r="AN94" i="2"/>
  <c r="AM94" i="2"/>
  <c r="AL94" i="2"/>
  <c r="K94" i="2"/>
  <c r="J94" i="2"/>
  <c r="I94" i="2"/>
  <c r="H94" i="2"/>
  <c r="F94" i="2"/>
  <c r="E94" i="2"/>
  <c r="AN92" i="2"/>
  <c r="AM92" i="2"/>
  <c r="AL92" i="2"/>
  <c r="K92" i="2"/>
  <c r="J92" i="2"/>
  <c r="I92" i="2"/>
  <c r="H92" i="2"/>
  <c r="G92" i="2"/>
  <c r="F92" i="2"/>
  <c r="E92" i="2"/>
  <c r="BU91" i="2"/>
  <c r="BU90" i="2"/>
  <c r="BU89" i="2"/>
  <c r="BU88" i="2"/>
  <c r="BU87" i="2"/>
  <c r="BR85" i="2"/>
  <c r="BR93" i="2" s="1"/>
  <c r="BR101" i="2" s="1"/>
  <c r="BQ85" i="2"/>
  <c r="BQ93" i="2" s="1"/>
  <c r="BQ101" i="2" s="1"/>
  <c r="BP85" i="2"/>
  <c r="BP93" i="2" s="1"/>
  <c r="BP101" i="2" s="1"/>
  <c r="BO85" i="2"/>
  <c r="BO93" i="2" s="1"/>
  <c r="BO101" i="2" s="1"/>
  <c r="BN85" i="2"/>
  <c r="BN93" i="2" s="1"/>
  <c r="BN101" i="2" s="1"/>
  <c r="BM85" i="2"/>
  <c r="BM93" i="2" s="1"/>
  <c r="BM101" i="2" s="1"/>
  <c r="BL85" i="2"/>
  <c r="BL93" i="2" s="1"/>
  <c r="BL101" i="2" s="1"/>
  <c r="BK85" i="2"/>
  <c r="BK93" i="2" s="1"/>
  <c r="BK101" i="2" s="1"/>
  <c r="BJ85" i="2"/>
  <c r="BJ93" i="2" s="1"/>
  <c r="BJ101" i="2" s="1"/>
  <c r="BI85" i="2"/>
  <c r="BI93" i="2" s="1"/>
  <c r="BI101" i="2" s="1"/>
  <c r="BH85" i="2"/>
  <c r="BH93" i="2" s="1"/>
  <c r="BH101" i="2" s="1"/>
  <c r="BG85" i="2"/>
  <c r="BG93" i="2" s="1"/>
  <c r="BG101" i="2" s="1"/>
  <c r="BF85" i="2"/>
  <c r="BF93" i="2" s="1"/>
  <c r="BF101" i="2" s="1"/>
  <c r="BE85" i="2"/>
  <c r="BE93" i="2" s="1"/>
  <c r="BE101" i="2" s="1"/>
  <c r="BD85" i="2"/>
  <c r="BD93" i="2" s="1"/>
  <c r="BD101" i="2" s="1"/>
  <c r="BC85" i="2"/>
  <c r="BC93" i="2" s="1"/>
  <c r="BC101" i="2" s="1"/>
  <c r="BB85" i="2"/>
  <c r="BB93" i="2" s="1"/>
  <c r="BB101" i="2" s="1"/>
  <c r="BA85" i="2"/>
  <c r="BA93" i="2" s="1"/>
  <c r="BA101" i="2" s="1"/>
  <c r="AZ85" i="2"/>
  <c r="AZ93" i="2" s="1"/>
  <c r="AZ101" i="2" s="1"/>
  <c r="AY85" i="2"/>
  <c r="AY93" i="2" s="1"/>
  <c r="AY101" i="2" s="1"/>
  <c r="AX85" i="2"/>
  <c r="AX93" i="2" s="1"/>
  <c r="AX101" i="2" s="1"/>
  <c r="AW85" i="2"/>
  <c r="AW93" i="2" s="1"/>
  <c r="AW101" i="2" s="1"/>
  <c r="AV85" i="2"/>
  <c r="AV93" i="2" s="1"/>
  <c r="AV101" i="2" s="1"/>
  <c r="AU85" i="2"/>
  <c r="AU93" i="2" s="1"/>
  <c r="AU101" i="2" s="1"/>
  <c r="AT85" i="2"/>
  <c r="AT93" i="2" s="1"/>
  <c r="AT101" i="2" s="1"/>
  <c r="AS85" i="2"/>
  <c r="AS93" i="2" s="1"/>
  <c r="AS101" i="2" s="1"/>
  <c r="AR85" i="2"/>
  <c r="AR93" i="2" s="1"/>
  <c r="AR101" i="2" s="1"/>
  <c r="AQ85" i="2"/>
  <c r="AQ93" i="2" s="1"/>
  <c r="AQ101" i="2" s="1"/>
  <c r="AP85" i="2"/>
  <c r="AP93" i="2" s="1"/>
  <c r="AP101" i="2" s="1"/>
  <c r="AO85" i="2"/>
  <c r="AO93" i="2" s="1"/>
  <c r="AO101" i="2" s="1"/>
  <c r="AN85" i="2"/>
  <c r="AM85" i="2"/>
  <c r="AL85" i="2"/>
  <c r="K85" i="2"/>
  <c r="J85" i="2"/>
  <c r="I85" i="2"/>
  <c r="H85" i="2"/>
  <c r="G85" i="2"/>
  <c r="F85" i="2"/>
  <c r="E85" i="2"/>
  <c r="BU84" i="2"/>
  <c r="BU83" i="2"/>
  <c r="BU82" i="2"/>
  <c r="BU81" i="2"/>
  <c r="BU77" i="2"/>
  <c r="AM76" i="2"/>
  <c r="AL76" i="2"/>
  <c r="K76" i="2"/>
  <c r="J76" i="2"/>
  <c r="I76" i="2"/>
  <c r="H76" i="2"/>
  <c r="G76" i="2"/>
  <c r="AM75" i="2"/>
  <c r="AL75" i="2"/>
  <c r="K75" i="2"/>
  <c r="J75" i="2"/>
  <c r="I75" i="2"/>
  <c r="H75" i="2"/>
  <c r="G75" i="2"/>
  <c r="F75" i="2"/>
  <c r="E75" i="2"/>
  <c r="H74" i="2"/>
  <c r="H73" i="2"/>
  <c r="H72" i="2"/>
  <c r="AM71" i="2"/>
  <c r="AL71" i="2"/>
  <c r="K71" i="2"/>
  <c r="J71" i="2"/>
  <c r="I71" i="2"/>
  <c r="H71" i="2"/>
  <c r="G71" i="2"/>
  <c r="BU69" i="2"/>
  <c r="BU75" i="2" s="1"/>
  <c r="AQ68" i="2"/>
  <c r="AP68" i="2"/>
  <c r="AO68" i="2"/>
  <c r="AN68" i="2"/>
  <c r="AM68" i="2"/>
  <c r="AM74" i="2" s="1"/>
  <c r="AL68" i="2"/>
  <c r="AL74" i="2" s="1"/>
  <c r="K68" i="2"/>
  <c r="K74" i="2" s="1"/>
  <c r="J68" i="2"/>
  <c r="J74" i="2" s="1"/>
  <c r="I68" i="2"/>
  <c r="I74" i="2" s="1"/>
  <c r="G68" i="2"/>
  <c r="G74" i="2" s="1"/>
  <c r="AQ67" i="2"/>
  <c r="AP67" i="2"/>
  <c r="AO67" i="2"/>
  <c r="AN67" i="2"/>
  <c r="AM67" i="2"/>
  <c r="AM73" i="2" s="1"/>
  <c r="AL67" i="2"/>
  <c r="AL73" i="2" s="1"/>
  <c r="K67" i="2"/>
  <c r="K73" i="2" s="1"/>
  <c r="J67" i="2"/>
  <c r="J73" i="2" s="1"/>
  <c r="I67" i="2"/>
  <c r="I73" i="2" s="1"/>
  <c r="G67" i="2"/>
  <c r="G73" i="2" s="1"/>
  <c r="AQ66" i="2"/>
  <c r="AP66" i="2"/>
  <c r="AO66" i="2"/>
  <c r="AN66" i="2"/>
  <c r="AM66" i="2"/>
  <c r="AM72" i="2" s="1"/>
  <c r="AL66" i="2"/>
  <c r="AL72" i="2" s="1"/>
  <c r="K66" i="2"/>
  <c r="K72" i="2" s="1"/>
  <c r="J66" i="2"/>
  <c r="J72" i="2" s="1"/>
  <c r="I66" i="2"/>
  <c r="I72" i="2" s="1"/>
  <c r="G66" i="2"/>
  <c r="G72" i="2" s="1"/>
  <c r="BI63" i="2"/>
  <c r="BI103" i="2" s="1"/>
  <c r="BI109" i="2" s="1"/>
  <c r="BH63" i="2"/>
  <c r="BH103" i="2" s="1"/>
  <c r="BH109" i="2" s="1"/>
  <c r="BG63" i="2"/>
  <c r="BG103" i="2" s="1"/>
  <c r="BG109" i="2" s="1"/>
  <c r="BF63" i="2"/>
  <c r="BF103" i="2" s="1"/>
  <c r="BF109" i="2" s="1"/>
  <c r="BE63" i="2"/>
  <c r="BE103" i="2" s="1"/>
  <c r="BE109" i="2" s="1"/>
  <c r="BD63" i="2"/>
  <c r="BD103" i="2" s="1"/>
  <c r="BD109" i="2" s="1"/>
  <c r="BC63" i="2"/>
  <c r="BC103" i="2" s="1"/>
  <c r="BC109" i="2" s="1"/>
  <c r="BB63" i="2"/>
  <c r="BB103" i="2" s="1"/>
  <c r="BB109" i="2" s="1"/>
  <c r="BA63" i="2"/>
  <c r="BA103" i="2" s="1"/>
  <c r="BA109" i="2" s="1"/>
  <c r="AZ63" i="2"/>
  <c r="AZ103" i="2" s="1"/>
  <c r="AZ109" i="2" s="1"/>
  <c r="AY63" i="2"/>
  <c r="AY103" i="2" s="1"/>
  <c r="AY109" i="2" s="1"/>
  <c r="AX63" i="2"/>
  <c r="AX103" i="2" s="1"/>
  <c r="AX109" i="2" s="1"/>
  <c r="AW63" i="2"/>
  <c r="AW103" i="2" s="1"/>
  <c r="AW109" i="2" s="1"/>
  <c r="AV63" i="2"/>
  <c r="AV103" i="2" s="1"/>
  <c r="AV109" i="2" s="1"/>
  <c r="AU63" i="2"/>
  <c r="AU103" i="2" s="1"/>
  <c r="AU109" i="2" s="1"/>
  <c r="AT63" i="2"/>
  <c r="AT103" i="2" s="1"/>
  <c r="AT109" i="2" s="1"/>
  <c r="AS63" i="2"/>
  <c r="AS103" i="2" s="1"/>
  <c r="AS109" i="2" s="1"/>
  <c r="AR63" i="2"/>
  <c r="AR103" i="2" s="1"/>
  <c r="AR109" i="2" s="1"/>
  <c r="AQ63" i="2"/>
  <c r="AQ103" i="2" s="1"/>
  <c r="AQ109" i="2" s="1"/>
  <c r="AP63" i="2"/>
  <c r="AP103" i="2" s="1"/>
  <c r="AP109" i="2" s="1"/>
  <c r="AO63" i="2"/>
  <c r="AO103" i="2" s="1"/>
  <c r="AO109" i="2" s="1"/>
  <c r="AN63" i="2"/>
  <c r="AN103" i="2" s="1"/>
  <c r="AN109" i="2" s="1"/>
  <c r="AM63" i="2"/>
  <c r="AM103" i="2" s="1"/>
  <c r="AM109" i="2" s="1"/>
  <c r="AL63" i="2"/>
  <c r="AL103" i="2" s="1"/>
  <c r="AL109" i="2" s="1"/>
  <c r="K63" i="2"/>
  <c r="K103" i="2" s="1"/>
  <c r="K109" i="2" s="1"/>
  <c r="J63" i="2"/>
  <c r="J103" i="2" s="1"/>
  <c r="J109" i="2" s="1"/>
  <c r="I63" i="2"/>
  <c r="BU63" i="2" s="1"/>
  <c r="BU62" i="2"/>
  <c r="BU61" i="2"/>
  <c r="BU60" i="2"/>
  <c r="BU57" i="2"/>
  <c r="BU76" i="2" s="1"/>
  <c r="BR57" i="2"/>
  <c r="BQ57" i="2"/>
  <c r="BP57" i="2"/>
  <c r="BO57" i="2"/>
  <c r="BN57" i="2"/>
  <c r="BM57" i="2"/>
  <c r="BL57" i="2"/>
  <c r="BK57" i="2"/>
  <c r="BJ57" i="2"/>
  <c r="BI57" i="2"/>
  <c r="BH57" i="2"/>
  <c r="F57" i="2"/>
  <c r="F66" i="2" s="1"/>
  <c r="F72" i="2" s="1"/>
  <c r="E57" i="2"/>
  <c r="E71" i="2" s="1"/>
  <c r="BU56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G64" i="2" s="1"/>
  <c r="BF18" i="2"/>
  <c r="BF64" i="2" s="1"/>
  <c r="BE18" i="2"/>
  <c r="BE64" i="2" s="1"/>
  <c r="BD18" i="2"/>
  <c r="BD64" i="2" s="1"/>
  <c r="BC18" i="2"/>
  <c r="BC64" i="2" s="1"/>
  <c r="BB18" i="2"/>
  <c r="BB64" i="2" s="1"/>
  <c r="BA18" i="2"/>
  <c r="BA64" i="2" s="1"/>
  <c r="AZ18" i="2"/>
  <c r="AZ64" i="2" s="1"/>
  <c r="AY18" i="2"/>
  <c r="AY64" i="2" s="1"/>
  <c r="AX18" i="2"/>
  <c r="AX64" i="2" s="1"/>
  <c r="AW18" i="2"/>
  <c r="AW64" i="2" s="1"/>
  <c r="AV18" i="2"/>
  <c r="AV64" i="2" s="1"/>
  <c r="AU18" i="2"/>
  <c r="AU64" i="2" s="1"/>
  <c r="AT18" i="2"/>
  <c r="AT64" i="2" s="1"/>
  <c r="AS18" i="2"/>
  <c r="AS64" i="2" s="1"/>
  <c r="AR18" i="2"/>
  <c r="AR64" i="2" s="1"/>
  <c r="AQ18" i="2"/>
  <c r="AQ64" i="2" s="1"/>
  <c r="AP18" i="2"/>
  <c r="AP64" i="2" s="1"/>
  <c r="AO18" i="2"/>
  <c r="AO64" i="2" s="1"/>
  <c r="AN18" i="2"/>
  <c r="AN64" i="2" s="1"/>
  <c r="AM18" i="2"/>
  <c r="AM64" i="2" s="1"/>
  <c r="AL18" i="2"/>
  <c r="K64" i="2"/>
  <c r="J64" i="2"/>
  <c r="I64" i="2"/>
  <c r="F18" i="2"/>
  <c r="E18" i="2"/>
  <c r="BU11" i="2"/>
  <c r="BU10" i="2"/>
  <c r="BU9" i="2"/>
  <c r="BU8" i="2"/>
  <c r="BU7" i="2"/>
  <c r="BU6" i="2"/>
  <c r="BU5" i="2"/>
  <c r="BU4" i="2"/>
  <c r="AL64" i="2" l="1"/>
  <c r="BU64" i="2" s="1"/>
  <c r="BU18" i="2"/>
  <c r="AQ110" i="2"/>
  <c r="BC110" i="2"/>
  <c r="BQ110" i="2"/>
  <c r="AR106" i="2"/>
  <c r="AR107" i="2" s="1"/>
  <c r="AR111" i="2" s="1"/>
  <c r="BD106" i="2"/>
  <c r="BD107" i="2" s="1"/>
  <c r="BD111" i="2" s="1"/>
  <c r="BP106" i="2"/>
  <c r="BP107" i="2" s="1"/>
  <c r="BP111" i="2" s="1"/>
  <c r="E110" i="2"/>
  <c r="F110" i="2"/>
  <c r="G110" i="2"/>
  <c r="BQ106" i="2"/>
  <c r="BQ107" i="2" s="1"/>
  <c r="BQ111" i="2" s="1"/>
  <c r="BI106" i="2"/>
  <c r="BI107" i="2" s="1"/>
  <c r="BI111" i="2" s="1"/>
  <c r="BO110" i="2"/>
  <c r="F93" i="2"/>
  <c r="BK106" i="2"/>
  <c r="BK107" i="2" s="1"/>
  <c r="BK111" i="2" s="1"/>
  <c r="BM64" i="2"/>
  <c r="BN64" i="2"/>
  <c r="AO110" i="2"/>
  <c r="BA110" i="2"/>
  <c r="BA106" i="2"/>
  <c r="BA107" i="2" s="1"/>
  <c r="BA111" i="2" s="1"/>
  <c r="AX106" i="2"/>
  <c r="AX107" i="2" s="1"/>
  <c r="AX111" i="2" s="1"/>
  <c r="BH64" i="2"/>
  <c r="AP110" i="2"/>
  <c r="BB110" i="2"/>
  <c r="E93" i="2"/>
  <c r="BP64" i="2"/>
  <c r="AT106" i="2"/>
  <c r="AT107" i="2" s="1"/>
  <c r="AT111" i="2" s="1"/>
  <c r="BF106" i="2"/>
  <c r="BF107" i="2" s="1"/>
  <c r="BF111" i="2" s="1"/>
  <c r="BR106" i="2"/>
  <c r="BR107" i="2" s="1"/>
  <c r="BR111" i="2" s="1"/>
  <c r="BQ64" i="2"/>
  <c r="AR110" i="2"/>
  <c r="BD110" i="2"/>
  <c r="AS110" i="2"/>
  <c r="BE110" i="2"/>
  <c r="AV106" i="2"/>
  <c r="AV107" i="2" s="1"/>
  <c r="AV111" i="2" s="1"/>
  <c r="BH106" i="2"/>
  <c r="BH107" i="2" s="1"/>
  <c r="BH111" i="2" s="1"/>
  <c r="BP110" i="2"/>
  <c r="AS106" i="2"/>
  <c r="AS107" i="2" s="1"/>
  <c r="AS111" i="2" s="1"/>
  <c r="H93" i="2"/>
  <c r="BK64" i="2"/>
  <c r="BU92" i="2"/>
  <c r="K93" i="2"/>
  <c r="K101" i="2" s="1"/>
  <c r="K111" i="2" s="1"/>
  <c r="AV94" i="2"/>
  <c r="BJ106" i="2"/>
  <c r="BJ107" i="2" s="1"/>
  <c r="BJ111" i="2" s="1"/>
  <c r="AL93" i="2"/>
  <c r="AL101" i="2" s="1"/>
  <c r="AL111" i="2" s="1"/>
  <c r="BU108" i="2"/>
  <c r="G93" i="2"/>
  <c r="AN110" i="2"/>
  <c r="AZ110" i="2"/>
  <c r="BQ94" i="2"/>
  <c r="BB106" i="2"/>
  <c r="BB107" i="2" s="1"/>
  <c r="BB111" i="2" s="1"/>
  <c r="F111" i="2"/>
  <c r="BF110" i="2"/>
  <c r="AU106" i="2"/>
  <c r="AU107" i="2" s="1"/>
  <c r="AU111" i="2" s="1"/>
  <c r="BU100" i="2"/>
  <c r="BU106" i="2" s="1"/>
  <c r="BU107" i="2" s="1"/>
  <c r="BL110" i="2"/>
  <c r="BD94" i="2"/>
  <c r="BN106" i="2"/>
  <c r="BN107" i="2" s="1"/>
  <c r="BN111" i="2" s="1"/>
  <c r="BJ110" i="2"/>
  <c r="BG110" i="2"/>
  <c r="AV110" i="2"/>
  <c r="F67" i="2"/>
  <c r="F73" i="2" s="1"/>
  <c r="AM93" i="2"/>
  <c r="AM101" i="2" s="1"/>
  <c r="AM111" i="2" s="1"/>
  <c r="BO64" i="2"/>
  <c r="AW110" i="2"/>
  <c r="BI110" i="2"/>
  <c r="F76" i="2"/>
  <c r="BU85" i="2"/>
  <c r="AN93" i="2"/>
  <c r="AN101" i="2" s="1"/>
  <c r="AN111" i="2" s="1"/>
  <c r="BM110" i="2"/>
  <c r="BF94" i="2"/>
  <c r="J110" i="2"/>
  <c r="BH110" i="2"/>
  <c r="AL110" i="2"/>
  <c r="AX110" i="2"/>
  <c r="AZ106" i="2"/>
  <c r="AZ107" i="2" s="1"/>
  <c r="AZ111" i="2" s="1"/>
  <c r="BL106" i="2"/>
  <c r="BL107" i="2" s="1"/>
  <c r="BL111" i="2" s="1"/>
  <c r="BN110" i="2"/>
  <c r="J93" i="2"/>
  <c r="J101" i="2" s="1"/>
  <c r="J111" i="2" s="1"/>
  <c r="BR64" i="2"/>
  <c r="AT110" i="2"/>
  <c r="AU110" i="2"/>
  <c r="BH94" i="2"/>
  <c r="BI64" i="2"/>
  <c r="K110" i="2"/>
  <c r="BJ64" i="2"/>
  <c r="BL64" i="2"/>
  <c r="AM110" i="2"/>
  <c r="AY110" i="2"/>
  <c r="AR94" i="2"/>
  <c r="BP94" i="2"/>
  <c r="BR110" i="2"/>
  <c r="BK110" i="2"/>
  <c r="I93" i="2"/>
  <c r="I101" i="2" s="1"/>
  <c r="BC106" i="2"/>
  <c r="BC107" i="2" s="1"/>
  <c r="BC111" i="2" s="1"/>
  <c r="BC112" i="2" s="1"/>
  <c r="E111" i="2"/>
  <c r="BU66" i="2"/>
  <c r="BU72" i="2" s="1"/>
  <c r="BU67" i="2"/>
  <c r="BU73" i="2" s="1"/>
  <c r="BU68" i="2"/>
  <c r="BU74" i="2" s="1"/>
  <c r="AO111" i="2"/>
  <c r="AP111" i="2"/>
  <c r="G111" i="2"/>
  <c r="E68" i="2"/>
  <c r="E74" i="2" s="1"/>
  <c r="F71" i="2"/>
  <c r="F68" i="2"/>
  <c r="F74" i="2" s="1"/>
  <c r="AT94" i="2"/>
  <c r="BB94" i="2"/>
  <c r="BJ94" i="2"/>
  <c r="BR94" i="2"/>
  <c r="I103" i="2"/>
  <c r="I109" i="2" s="1"/>
  <c r="I110" i="2" s="1"/>
  <c r="E67" i="2"/>
  <c r="E73" i="2" s="1"/>
  <c r="AW106" i="2"/>
  <c r="AW107" i="2" s="1"/>
  <c r="AW111" i="2" s="1"/>
  <c r="BE106" i="2"/>
  <c r="BE107" i="2" s="1"/>
  <c r="BE111" i="2" s="1"/>
  <c r="BM106" i="2"/>
  <c r="BM107" i="2" s="1"/>
  <c r="BM111" i="2" s="1"/>
  <c r="E66" i="2"/>
  <c r="E72" i="2" s="1"/>
  <c r="AQ106" i="2"/>
  <c r="AQ107" i="2" s="1"/>
  <c r="AQ111" i="2" s="1"/>
  <c r="AQ112" i="2" s="1"/>
  <c r="AY106" i="2"/>
  <c r="AY107" i="2" s="1"/>
  <c r="AY111" i="2" s="1"/>
  <c r="BG106" i="2"/>
  <c r="BG107" i="2" s="1"/>
  <c r="BG111" i="2" s="1"/>
  <c r="BO106" i="2"/>
  <c r="BO107" i="2" s="1"/>
  <c r="BO111" i="2" s="1"/>
  <c r="E76" i="2"/>
  <c r="E112" i="2" l="1"/>
  <c r="BQ112" i="2"/>
  <c r="BP112" i="2"/>
  <c r="F112" i="2"/>
  <c r="J112" i="2"/>
  <c r="AT112" i="2"/>
  <c r="G112" i="2"/>
  <c r="BA112" i="2"/>
  <c r="BR112" i="2"/>
  <c r="BF112" i="2"/>
  <c r="BO112" i="2"/>
  <c r="AN112" i="2"/>
  <c r="AO112" i="2"/>
  <c r="BN112" i="2"/>
  <c r="BD112" i="2"/>
  <c r="BU93" i="2"/>
  <c r="AL112" i="2"/>
  <c r="BG112" i="2"/>
  <c r="BJ112" i="2"/>
  <c r="AR112" i="2"/>
  <c r="AM112" i="2"/>
  <c r="BB112" i="2"/>
  <c r="BI112" i="2"/>
  <c r="AP112" i="2"/>
  <c r="AS112" i="2"/>
  <c r="BE112" i="2"/>
  <c r="BU101" i="2"/>
  <c r="BM112" i="2"/>
  <c r="BL112" i="2"/>
  <c r="AU112" i="2"/>
  <c r="AZ112" i="2"/>
  <c r="AY112" i="2"/>
  <c r="BH112" i="2"/>
  <c r="BK112" i="2"/>
  <c r="AX112" i="2"/>
  <c r="AW112" i="2"/>
  <c r="AV112" i="2"/>
  <c r="K112" i="2"/>
  <c r="I111" i="2"/>
  <c r="I112" i="2" s="1"/>
  <c r="BU103" i="2"/>
  <c r="BU109" i="2" s="1"/>
  <c r="BU110" i="2" s="1"/>
  <c r="BU111" i="2" l="1"/>
  <c r="BU112" i="2" s="1"/>
</calcChain>
</file>

<file path=xl/sharedStrings.xml><?xml version="1.0" encoding="utf-8"?>
<sst xmlns="http://schemas.openxmlformats.org/spreadsheetml/2006/main" count="3692" uniqueCount="284">
  <si>
    <t>GAYATRISHALTI TISSUE PRIVATE LIMITED</t>
  </si>
  <si>
    <t>DAILY PRODUCTION REPORT OF TISSUE</t>
  </si>
  <si>
    <t>Date:</t>
  </si>
  <si>
    <t xml:space="preserve"> </t>
  </si>
  <si>
    <t>S.N.</t>
  </si>
  <si>
    <t>QUALITY</t>
  </si>
  <si>
    <t>GSM</t>
  </si>
  <si>
    <t>M/C DECKLE</t>
  </si>
  <si>
    <t>M/C Reel SPEED</t>
  </si>
  <si>
    <t>M/C PROD.</t>
  </si>
  <si>
    <t>Avg. speed</t>
  </si>
  <si>
    <t>Avg. Gsm</t>
  </si>
  <si>
    <t>Production Loss Details</t>
  </si>
  <si>
    <t>REMARKS</t>
  </si>
  <si>
    <t>m</t>
  </si>
  <si>
    <t>MPM</t>
  </si>
  <si>
    <t>MT</t>
  </si>
  <si>
    <t xml:space="preserve">  </t>
  </si>
  <si>
    <t>Dept.</t>
  </si>
  <si>
    <t>Time loss,    Hrs.   Min.</t>
  </si>
  <si>
    <t>Process</t>
  </si>
  <si>
    <t>Day total</t>
  </si>
  <si>
    <t>Day Total Hrs.: min.</t>
  </si>
  <si>
    <t>Day Total Hrs.</t>
  </si>
  <si>
    <t xml:space="preserve">Tissue Paper Moisture, % </t>
  </si>
  <si>
    <t>Today M/c Production</t>
  </si>
  <si>
    <t>Tissue Paper Brightness, %</t>
  </si>
  <si>
    <t>Todate M/c Production</t>
  </si>
  <si>
    <t>Todate Down Time</t>
  </si>
  <si>
    <t>HRS</t>
  </si>
  <si>
    <t>MR-20-J</t>
  </si>
  <si>
    <t>CT-16-J</t>
  </si>
  <si>
    <t>EN-15-J</t>
  </si>
  <si>
    <t>EN-16-J</t>
  </si>
  <si>
    <t>EN-17-J</t>
  </si>
  <si>
    <t>EN-18-J</t>
  </si>
  <si>
    <t>ET-15-J</t>
  </si>
  <si>
    <t>ET-16-J</t>
  </si>
  <si>
    <t>ET-17-J</t>
  </si>
  <si>
    <t>ET-18-J</t>
  </si>
  <si>
    <t>FT-12.5-J</t>
  </si>
  <si>
    <t>FT-13-J</t>
  </si>
  <si>
    <t>yankee doctor blade change</t>
  </si>
  <si>
    <t>FT-13.5-J</t>
  </si>
  <si>
    <t>Grade change</t>
  </si>
  <si>
    <t>FT-14-J</t>
  </si>
  <si>
    <t>Fan pump tripped</t>
  </si>
  <si>
    <t>TT-21-J</t>
  </si>
  <si>
    <t>Power fluctuation/tripped</t>
  </si>
  <si>
    <t>KT-17-J</t>
  </si>
  <si>
    <t>Wire &amp; felt cleaning</t>
  </si>
  <si>
    <t>KT-18-J</t>
  </si>
  <si>
    <t>paper feeding airshower nozzle jammed</t>
  </si>
  <si>
    <t>KT-19-J</t>
  </si>
  <si>
    <t>dcs communication failed</t>
  </si>
  <si>
    <t>KT-20-J</t>
  </si>
  <si>
    <t>Felt change</t>
  </si>
  <si>
    <t>KT-22-J</t>
  </si>
  <si>
    <t>Wire change</t>
  </si>
  <si>
    <t>KT-24-J</t>
  </si>
  <si>
    <t>CNG changwe over</t>
  </si>
  <si>
    <t>KT-26-J</t>
  </si>
  <si>
    <t>KT-30-J</t>
  </si>
  <si>
    <t>KT-32-J</t>
  </si>
  <si>
    <t>KT-34-J</t>
  </si>
  <si>
    <t>KT-35-J</t>
  </si>
  <si>
    <t>KT-36-J</t>
  </si>
  <si>
    <t>CSTT-23-J</t>
  </si>
  <si>
    <t>KT-38-J</t>
  </si>
  <si>
    <t>KT-40-J</t>
  </si>
  <si>
    <t>KT-42-J</t>
  </si>
  <si>
    <t>MR-17-J</t>
  </si>
  <si>
    <t>MR-18-J</t>
  </si>
  <si>
    <t>MR-19-J</t>
  </si>
  <si>
    <t>NT-14-J</t>
  </si>
  <si>
    <t>NT-15-J</t>
  </si>
  <si>
    <t>NT-16-J</t>
  </si>
  <si>
    <t>NT-17-J</t>
  </si>
  <si>
    <t>NT-18-J</t>
  </si>
  <si>
    <t>NT-19-J</t>
  </si>
  <si>
    <t>NT-20-J</t>
  </si>
  <si>
    <t>MR-15-J</t>
  </si>
  <si>
    <t>TC-32-J</t>
  </si>
  <si>
    <t>TC-35-J</t>
  </si>
  <si>
    <t>TC-37-J</t>
  </si>
  <si>
    <t>TC-38-J</t>
  </si>
  <si>
    <t>TC-40-J</t>
  </si>
  <si>
    <t>TC-42-J</t>
  </si>
  <si>
    <t>TT-14-J</t>
  </si>
  <si>
    <t>TT-15-J</t>
  </si>
  <si>
    <t>TT-15.5-J</t>
  </si>
  <si>
    <t>TT-16-J</t>
  </si>
  <si>
    <t>TT-16.5-J</t>
  </si>
  <si>
    <t>TT-17-J</t>
  </si>
  <si>
    <t>TT-18-J</t>
  </si>
  <si>
    <t>Particulars</t>
  </si>
  <si>
    <t>Item code</t>
  </si>
  <si>
    <t>Date</t>
  </si>
  <si>
    <t>Todate consumption</t>
  </si>
  <si>
    <t>A</t>
  </si>
  <si>
    <t>RAW MATERIAL</t>
  </si>
  <si>
    <t>Unit</t>
  </si>
  <si>
    <t>Imported Softwood Pulp SODRA (AD)</t>
  </si>
  <si>
    <t>Imported Hardwood Pulp Acacia (AD)April</t>
  </si>
  <si>
    <t>Imported Hardwood Pulp Acacia (AD)Exman</t>
  </si>
  <si>
    <t>Imported Hardwood Pulp CMPC (AD)Domestic</t>
  </si>
  <si>
    <t>Imported Hardwood Pulp Baycel</t>
  </si>
  <si>
    <t>Imported Softwood Pulp Mercer(AD)</t>
  </si>
  <si>
    <t>Imported Softwood Pulp Laja (AD)</t>
  </si>
  <si>
    <t>Imported Softwood Pulp Pacifico (AD)</t>
  </si>
  <si>
    <t>Imported Softwood Pulp KOMI (AD)</t>
  </si>
  <si>
    <t>Wet strength white Tissue</t>
  </si>
  <si>
    <t>Imported Hardwood Pulp Suzano (AD)</t>
  </si>
  <si>
    <t>Imported Softwood Pulp STORA (AD)</t>
  </si>
  <si>
    <t>Total Pulp</t>
  </si>
  <si>
    <t>B</t>
  </si>
  <si>
    <t>Solenise Chemicals</t>
  </si>
  <si>
    <t>Hercobond 2515AP (DSR)</t>
  </si>
  <si>
    <t>Kg.</t>
  </si>
  <si>
    <t>Rezosol M278 (MAP)</t>
  </si>
  <si>
    <t>Kyemene 777LX (WSR)</t>
  </si>
  <si>
    <t>SOFTING AGENT - PROSOFT TQ 218</t>
  </si>
  <si>
    <t>Creptrol A9915 (Yankee coating)</t>
  </si>
  <si>
    <t>Creptrol 3718 (Yankee coating)</t>
  </si>
  <si>
    <t>Rezosol 1400 ( Yankee Release)</t>
  </si>
  <si>
    <t>Rezosol 150 (Yankee Release)</t>
  </si>
  <si>
    <t xml:space="preserve">Afranil MTC( Defoamer) </t>
  </si>
  <si>
    <t>Prestige FP 7883 AP (Felt Cleaning)</t>
  </si>
  <si>
    <t>M B (Biocide) Spectrum RX 4700</t>
  </si>
  <si>
    <t>MB (Preservative) Spectrum RX 9098</t>
  </si>
  <si>
    <t>Hercobond 8922 AP (Refining Enzyme)</t>
  </si>
  <si>
    <t>Zenix FP 6313 (Wire Passivation)</t>
  </si>
  <si>
    <t>Infinity SL 4620 ( Vacuum scale Control)</t>
  </si>
  <si>
    <t>Renew SC 7450 ( Alkaline Boilout)</t>
  </si>
  <si>
    <t>Telofin OF (Boilout)</t>
  </si>
  <si>
    <t>Praestaret OMA 2520 (Anionic Flocculant)</t>
  </si>
  <si>
    <t>Kybreak 505 (Repulping Aid)</t>
  </si>
  <si>
    <t>Catiofast 160 (Coagulant)</t>
  </si>
  <si>
    <t>DeTac DC 779 F (Sticky control)</t>
  </si>
  <si>
    <t>Mix Xylene</t>
  </si>
  <si>
    <t>Retarder (Ethenol)</t>
  </si>
  <si>
    <t>Caustic soda flakes</t>
  </si>
  <si>
    <t>Sodium hypochlorite</t>
  </si>
  <si>
    <t>Anmosuper DIS (Liquid soap)</t>
  </si>
  <si>
    <t>C</t>
  </si>
  <si>
    <t>MACHINE PRODUCTION</t>
  </si>
  <si>
    <t>D</t>
  </si>
  <si>
    <t>FINISHED PRODUCTION TO WARE HOUSE</t>
  </si>
  <si>
    <t>F</t>
  </si>
  <si>
    <t>Utility</t>
  </si>
  <si>
    <t>Steam consumption</t>
  </si>
  <si>
    <t>LPG consumption</t>
  </si>
  <si>
    <t>Water consumption</t>
  </si>
  <si>
    <t>m3</t>
  </si>
  <si>
    <t>Down Time</t>
  </si>
  <si>
    <t>Pulp Ratio</t>
  </si>
  <si>
    <t>Ratio</t>
  </si>
  <si>
    <t>a</t>
  </si>
  <si>
    <t>Steam,T/T</t>
  </si>
  <si>
    <t>T/T</t>
  </si>
  <si>
    <t>b</t>
  </si>
  <si>
    <t>LPG, Kg/T</t>
  </si>
  <si>
    <t>Kg./T</t>
  </si>
  <si>
    <t>c</t>
  </si>
  <si>
    <t>Water, m3/T</t>
  </si>
  <si>
    <t>m3/T</t>
  </si>
  <si>
    <t>d</t>
  </si>
  <si>
    <t>Power, KWH/T</t>
  </si>
  <si>
    <t>U/T</t>
  </si>
  <si>
    <t>H</t>
  </si>
  <si>
    <t>KPI(Key performance indicators)</t>
  </si>
  <si>
    <t>Actual, Rs./T</t>
  </si>
  <si>
    <t>Production Compliance</t>
  </si>
  <si>
    <t>%</t>
  </si>
  <si>
    <t>Prod. Compl.</t>
  </si>
  <si>
    <t>Steam cost</t>
  </si>
  <si>
    <t>Rs./T</t>
  </si>
  <si>
    <t>LPG cost</t>
  </si>
  <si>
    <t>Water cost</t>
  </si>
  <si>
    <t>e</t>
  </si>
  <si>
    <t>Power cost</t>
  </si>
  <si>
    <t>f</t>
  </si>
  <si>
    <t>Variable Man power cost(VLC)</t>
  </si>
  <si>
    <t>g</t>
  </si>
  <si>
    <t>Fixed man power (per ton basis)cost</t>
  </si>
  <si>
    <t>Quality Manufactured</t>
  </si>
  <si>
    <t>M/c</t>
  </si>
  <si>
    <t>Domestic</t>
  </si>
  <si>
    <t>Toilet</t>
  </si>
  <si>
    <t>Facial</t>
  </si>
  <si>
    <t>Napkin</t>
  </si>
  <si>
    <t>k.Towel</t>
  </si>
  <si>
    <t>Total</t>
  </si>
  <si>
    <t xml:space="preserve">Export </t>
  </si>
  <si>
    <t>Kt  (Maxi roll)</t>
  </si>
  <si>
    <t>G.Total</t>
  </si>
  <si>
    <t>gsm</t>
  </si>
  <si>
    <t>J</t>
  </si>
  <si>
    <t>O.E.E. CALCULATION Tissue</t>
  </si>
  <si>
    <t>Month - july`2022</t>
  </si>
  <si>
    <t>AVERAGE GSM</t>
  </si>
  <si>
    <t>AVERAGE DECKLE</t>
  </si>
  <si>
    <t>AVERAGE SPEED</t>
  </si>
  <si>
    <t>mpm</t>
  </si>
  <si>
    <t>PRODUCTION</t>
  </si>
  <si>
    <t>TOTAL AVAILABLE TIME</t>
  </si>
  <si>
    <t>hrs.</t>
  </si>
  <si>
    <t>TOTAL DOWN TIME</t>
  </si>
  <si>
    <t>SCHEDULE SHUT</t>
  </si>
  <si>
    <t>h</t>
  </si>
  <si>
    <t>PRODUCTION RATE</t>
  </si>
  <si>
    <t>T/hr</t>
  </si>
  <si>
    <t>i</t>
  </si>
  <si>
    <t>STANDARD CYCLE</t>
  </si>
  <si>
    <t>hr/MT</t>
  </si>
  <si>
    <t>j</t>
  </si>
  <si>
    <t>CALANDER TIME</t>
  </si>
  <si>
    <t>k</t>
  </si>
  <si>
    <t>LOADING TIME</t>
  </si>
  <si>
    <t>l</t>
  </si>
  <si>
    <t>AVAILABILITY</t>
  </si>
  <si>
    <t>PERFORMANCE</t>
  </si>
  <si>
    <t>O.E.E.</t>
  </si>
  <si>
    <t>Kyemene 821 AP(WSR)</t>
  </si>
  <si>
    <t>PACKING MATERIALS</t>
  </si>
  <si>
    <t>Core pipes</t>
  </si>
  <si>
    <t>Core Plugs</t>
  </si>
  <si>
    <t>Stretch film</t>
  </si>
  <si>
    <t>Kg</t>
  </si>
  <si>
    <t>NOS</t>
  </si>
  <si>
    <t>Imported Softwood Pulp METSA (AD)</t>
  </si>
  <si>
    <t>Imported Hardwood April XP (AD)</t>
  </si>
  <si>
    <t>BCHEM Rzym E - TR</t>
  </si>
  <si>
    <t>Power</t>
  </si>
  <si>
    <t>Creptrol 9258 AP (Yankee coating)</t>
  </si>
  <si>
    <t>Anmosuper PAE (WSR)</t>
  </si>
  <si>
    <t>TOWEL</t>
  </si>
  <si>
    <t>Packing lables</t>
  </si>
  <si>
    <t>Power failure</t>
  </si>
  <si>
    <t>Yankee doctor blade change and machine rolls cleaning</t>
  </si>
  <si>
    <t>DAILY REPORT  Month (October-2025)</t>
  </si>
  <si>
    <t>NT</t>
  </si>
  <si>
    <t>Elect</t>
  </si>
  <si>
    <t>Paper feeding delay due to tail cutter stuck at B/S</t>
  </si>
  <si>
    <t>Instt</t>
  </si>
  <si>
    <t>Maintt</t>
  </si>
  <si>
    <t>C-MAX</t>
  </si>
  <si>
    <t>System wash up</t>
  </si>
  <si>
    <t>Felt wire cleaning</t>
  </si>
  <si>
    <t>Paper feeding delay due to tail cutter stuck at B/S &amp; Tail cutter work attended</t>
  </si>
  <si>
    <t>FT</t>
  </si>
  <si>
    <t>Others</t>
  </si>
  <si>
    <t>Turbo dryer trial in facial 12.5 gsm</t>
  </si>
  <si>
    <t>ULTRALUX (NT)</t>
  </si>
  <si>
    <t>Felt &amp; Wire cleaning done</t>
  </si>
  <si>
    <t>TT</t>
  </si>
  <si>
    <t>ULTRASOFT (FT)</t>
  </si>
  <si>
    <t>Sheet break</t>
  </si>
  <si>
    <t>Electrical</t>
  </si>
  <si>
    <t>Machine speed slow due to (R/W-1), 3 rd unwinding stand drive fault issue</t>
  </si>
  <si>
    <t>Maintainance</t>
  </si>
  <si>
    <t>KT</t>
  </si>
  <si>
    <t>Wet end burner tripped</t>
  </si>
  <si>
    <t>Stock cut due to felt carried the stock</t>
  </si>
  <si>
    <t>Stock off due to felt carried the stock</t>
  </si>
  <si>
    <t>Felt and wire cleaning done</t>
  </si>
  <si>
    <t>AQUA (TT)</t>
  </si>
  <si>
    <t>ULTRA SOFT (FT)</t>
  </si>
  <si>
    <t>ULTRALUX (FT)</t>
  </si>
  <si>
    <t>Turbo dryer stopped due to loading position sensor fault</t>
  </si>
  <si>
    <t>Cleaning blade osscilation tripped</t>
  </si>
  <si>
    <t>Felt and wire cleaning</t>
  </si>
  <si>
    <t>CMAX</t>
  </si>
  <si>
    <t>Felt &amp; wire cleaned</t>
  </si>
  <si>
    <t>RW-1 moving guard gear box changed</t>
  </si>
  <si>
    <t>Instruments</t>
  </si>
  <si>
    <t>Natural Gas consumption (Tissue Machine)</t>
  </si>
  <si>
    <t>Natural Gas consumption (Boiler)</t>
  </si>
  <si>
    <t>Fresh Water consumption</t>
  </si>
  <si>
    <t>RO water consumption</t>
  </si>
  <si>
    <t>Power (MACHINE)</t>
  </si>
  <si>
    <t>Power (BOILER+ETP)</t>
  </si>
  <si>
    <t>SCM</t>
  </si>
  <si>
    <t>UTILITY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</si>
</sst>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h:mm;@"/>
    <numFmt numFmtId="166" formatCode="[$-409]d\-mmm\-yy;@"/>
    <numFmt numFmtId="167" formatCode="0.000"/>
  </numFmts>
  <fonts count="17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name val="Times New Roman"/>
      <family val="1"/>
    </font>
    <font>
      <b/>
      <u/>
      <sz val="11"/>
      <name val="Times New Roman"/>
      <family val="1"/>
    </font>
    <font>
      <sz val="12"/>
      <name val="Times New Roman"/>
      <family val="1"/>
    </font>
    <font>
      <sz val="10"/>
      <name val="Arial"/>
      <family val="2"/>
    </font>
    <font>
      <sz val="12"/>
      <color theme="1"/>
      <name val="Times New Roman"/>
      <family val="1"/>
    </font>
    <font>
      <sz val="16"/>
      <name val="Times New Roman"/>
      <family val="1"/>
    </font>
    <font>
      <b/>
      <u/>
      <sz val="18"/>
      <name val="Times New Roman"/>
      <family val="1"/>
    </font>
    <font>
      <b/>
      <sz val="16"/>
      <name val="Times New Roman"/>
      <family val="1"/>
    </font>
    <font>
      <b/>
      <u/>
      <sz val="20"/>
      <name val="Times New Roman"/>
      <family val="1"/>
    </font>
    <font>
      <b/>
      <u/>
      <sz val="16"/>
      <name val="Times New Roman"/>
      <family val="1"/>
    </font>
    <font>
      <sz val="16"/>
      <color rgb="FFFF0000"/>
      <name val="Times New Roman"/>
      <family val="1"/>
    </font>
    <font>
      <b/>
      <sz val="18"/>
      <name val="Times New Roman"/>
      <family val="1"/>
    </font>
    <font>
      <u/>
      <sz val="12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2060"/>
      </right>
      <top/>
      <bottom style="thin">
        <color rgb="FF002060"/>
      </bottom>
      <diagonal/>
    </border>
    <border>
      <left style="thin">
        <color rgb="FF002060"/>
      </left>
      <right/>
      <top/>
      <bottom style="thin">
        <color rgb="FF00206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medium">
        <color indexed="64"/>
      </right>
      <top style="thin">
        <color rgb="FF002060"/>
      </top>
      <bottom style="thin">
        <color rgb="FF002060"/>
      </bottom>
      <diagonal/>
    </border>
    <border>
      <left style="medium">
        <color indexed="64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medium">
        <color indexed="64"/>
      </right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/>
      <diagonal/>
    </border>
    <border>
      <left/>
      <right/>
      <top style="thin">
        <color rgb="FF00206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26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0" fontId="4" fillId="0" borderId="16" xfId="1" applyFont="1" applyBorder="1" applyAlignment="1">
      <alignment vertical="center"/>
    </xf>
    <xf numFmtId="165" fontId="4" fillId="0" borderId="1" xfId="1" applyNumberFormat="1" applyFont="1" applyBorder="1" applyAlignment="1">
      <alignment horizontal="center" vertical="center"/>
    </xf>
    <xf numFmtId="0" fontId="4" fillId="0" borderId="1" xfId="1" applyFont="1" applyBorder="1" applyAlignment="1">
      <alignment horizontal="center"/>
    </xf>
    <xf numFmtId="0" fontId="4" fillId="0" borderId="21" xfId="1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164" fontId="2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22" xfId="0" applyFont="1" applyBorder="1"/>
    <xf numFmtId="0" fontId="2" fillId="0" borderId="8" xfId="0" applyFont="1" applyBorder="1"/>
    <xf numFmtId="2" fontId="2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 vertical="center" wrapText="1"/>
    </xf>
    <xf numFmtId="2" fontId="1" fillId="0" borderId="8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/>
    </xf>
    <xf numFmtId="164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2" fontId="1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1" fillId="0" borderId="1" xfId="0" applyFont="1" applyBorder="1"/>
    <xf numFmtId="0" fontId="2" fillId="0" borderId="23" xfId="0" applyFont="1" applyBorder="1"/>
    <xf numFmtId="0" fontId="2" fillId="0" borderId="24" xfId="0" applyFont="1" applyBorder="1"/>
    <xf numFmtId="0" fontId="1" fillId="0" borderId="23" xfId="0" applyFont="1" applyBorder="1" applyAlignment="1">
      <alignment horizontal="right"/>
    </xf>
    <xf numFmtId="2" fontId="2" fillId="0" borderId="23" xfId="0" applyNumberFormat="1" applyFont="1" applyBorder="1" applyAlignment="1">
      <alignment horizontal="center"/>
    </xf>
    <xf numFmtId="0" fontId="1" fillId="0" borderId="23" xfId="0" applyFont="1" applyBorder="1"/>
    <xf numFmtId="0" fontId="2" fillId="0" borderId="25" xfId="0" applyFont="1" applyBorder="1" applyAlignment="1">
      <alignment vertical="center" wrapText="1"/>
    </xf>
    <xf numFmtId="0" fontId="2" fillId="0" borderId="0" xfId="0" applyFont="1" applyAlignment="1">
      <alignment horizontal="left"/>
    </xf>
    <xf numFmtId="166" fontId="1" fillId="0" borderId="0" xfId="0" applyNumberFormat="1" applyFont="1" applyAlignment="1">
      <alignment horizontal="center"/>
    </xf>
    <xf numFmtId="0" fontId="7" fillId="2" borderId="26" xfId="0" applyFont="1" applyFill="1" applyBorder="1"/>
    <xf numFmtId="0" fontId="8" fillId="0" borderId="27" xfId="0" applyFont="1" applyBorder="1"/>
    <xf numFmtId="0" fontId="8" fillId="0" borderId="28" xfId="0" applyFont="1" applyBorder="1"/>
    <xf numFmtId="0" fontId="8" fillId="0" borderId="29" xfId="0" applyFont="1" applyBorder="1"/>
    <xf numFmtId="0" fontId="7" fillId="0" borderId="0" xfId="0" applyFont="1"/>
    <xf numFmtId="0" fontId="7" fillId="3" borderId="20" xfId="0" applyFont="1" applyFill="1" applyBorder="1"/>
    <xf numFmtId="0" fontId="9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1" xfId="0" applyFont="1" applyFill="1" applyBorder="1" applyAlignment="1">
      <alignment horizontal="center" vertical="center" wrapText="1"/>
    </xf>
    <xf numFmtId="0" fontId="9" fillId="3" borderId="20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left"/>
    </xf>
    <xf numFmtId="0" fontId="9" fillId="5" borderId="1" xfId="0" applyFont="1" applyFill="1" applyBorder="1" applyAlignment="1">
      <alignment horizontal="left"/>
    </xf>
    <xf numFmtId="0" fontId="9" fillId="5" borderId="1" xfId="0" applyFont="1" applyFill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3" borderId="20" xfId="0" applyFont="1" applyFill="1" applyBorder="1" applyAlignment="1">
      <alignment horizontal="center"/>
    </xf>
    <xf numFmtId="0" fontId="7" fillId="4" borderId="1" xfId="0" applyFont="1" applyFill="1" applyBorder="1"/>
    <xf numFmtId="0" fontId="7" fillId="5" borderId="1" xfId="0" applyFont="1" applyFill="1" applyBorder="1" applyAlignment="1">
      <alignment horizontal="left"/>
    </xf>
    <xf numFmtId="0" fontId="7" fillId="5" borderId="1" xfId="0" applyFont="1" applyFill="1" applyBorder="1" applyAlignment="1">
      <alignment horizontal="center"/>
    </xf>
    <xf numFmtId="167" fontId="7" fillId="0" borderId="1" xfId="0" applyNumberFormat="1" applyFont="1" applyBorder="1" applyAlignment="1">
      <alignment horizontal="center"/>
    </xf>
    <xf numFmtId="167" fontId="7" fillId="0" borderId="2" xfId="0" applyNumberFormat="1" applyFont="1" applyBorder="1" applyAlignment="1">
      <alignment horizontal="center"/>
    </xf>
    <xf numFmtId="164" fontId="7" fillId="0" borderId="2" xfId="0" applyNumberFormat="1" applyFont="1" applyBorder="1" applyAlignment="1">
      <alignment horizontal="center"/>
    </xf>
    <xf numFmtId="167" fontId="9" fillId="6" borderId="21" xfId="0" applyNumberFormat="1" applyFont="1" applyFill="1" applyBorder="1" applyAlignment="1">
      <alignment horizontal="center" vertical="center"/>
    </xf>
    <xf numFmtId="164" fontId="7" fillId="0" borderId="0" xfId="0" applyNumberFormat="1" applyFont="1" applyAlignment="1">
      <alignment horizontal="center"/>
    </xf>
    <xf numFmtId="0" fontId="9" fillId="7" borderId="1" xfId="0" applyFont="1" applyFill="1" applyBorder="1"/>
    <xf numFmtId="0" fontId="9" fillId="7" borderId="1" xfId="0" applyFont="1" applyFill="1" applyBorder="1" applyAlignment="1">
      <alignment horizontal="left"/>
    </xf>
    <xf numFmtId="0" fontId="9" fillId="7" borderId="1" xfId="0" applyFont="1" applyFill="1" applyBorder="1" applyAlignment="1">
      <alignment horizontal="center"/>
    </xf>
    <xf numFmtId="167" fontId="9" fillId="7" borderId="1" xfId="0" applyNumberFormat="1" applyFont="1" applyFill="1" applyBorder="1" applyAlignment="1">
      <alignment horizontal="center" vertical="center"/>
    </xf>
    <xf numFmtId="0" fontId="10" fillId="4" borderId="2" xfId="0" applyFont="1" applyFill="1" applyBorder="1"/>
    <xf numFmtId="0" fontId="10" fillId="4" borderId="1" xfId="0" applyFont="1" applyFill="1" applyBorder="1"/>
    <xf numFmtId="0" fontId="10" fillId="4" borderId="30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left"/>
    </xf>
    <xf numFmtId="164" fontId="7" fillId="0" borderId="1" xfId="0" applyNumberFormat="1" applyFont="1" applyBorder="1" applyAlignment="1">
      <alignment horizontal="center" vertical="center" wrapText="1"/>
    </xf>
    <xf numFmtId="164" fontId="7" fillId="2" borderId="1" xfId="0" applyNumberFormat="1" applyFont="1" applyFill="1" applyBorder="1" applyAlignment="1">
      <alignment horizontal="center"/>
    </xf>
    <xf numFmtId="164" fontId="7" fillId="2" borderId="2" xfId="0" applyNumberFormat="1" applyFont="1" applyFill="1" applyBorder="1" applyAlignment="1">
      <alignment horizontal="center"/>
    </xf>
    <xf numFmtId="0" fontId="11" fillId="5" borderId="1" xfId="0" applyFont="1" applyFill="1" applyBorder="1" applyAlignment="1">
      <alignment horizontal="left"/>
    </xf>
    <xf numFmtId="164" fontId="9" fillId="0" borderId="2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2" fontId="9" fillId="7" borderId="1" xfId="0" applyNumberFormat="1" applyFont="1" applyFill="1" applyBorder="1" applyAlignment="1">
      <alignment horizontal="center"/>
    </xf>
    <xf numFmtId="2" fontId="9" fillId="7" borderId="2" xfId="0" applyNumberFormat="1" applyFont="1" applyFill="1" applyBorder="1" applyAlignment="1">
      <alignment horizontal="center"/>
    </xf>
    <xf numFmtId="0" fontId="7" fillId="2" borderId="20" xfId="0" applyFont="1" applyFill="1" applyBorder="1" applyAlignment="1">
      <alignment horizontal="center" vertical="center" wrapText="1"/>
    </xf>
    <xf numFmtId="0" fontId="9" fillId="2" borderId="1" xfId="0" applyFont="1" applyFill="1" applyBorder="1"/>
    <xf numFmtId="0" fontId="7" fillId="2" borderId="20" xfId="0" applyFont="1" applyFill="1" applyBorder="1" applyAlignment="1">
      <alignment horizontal="center"/>
    </xf>
    <xf numFmtId="0" fontId="13" fillId="2" borderId="1" xfId="0" applyFont="1" applyFill="1" applyBorder="1"/>
    <xf numFmtId="0" fontId="9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center"/>
    </xf>
    <xf numFmtId="2" fontId="9" fillId="2" borderId="21" xfId="0" applyNumberFormat="1" applyFont="1" applyFill="1" applyBorder="1" applyAlignment="1">
      <alignment horizontal="center" vertical="center"/>
    </xf>
    <xf numFmtId="167" fontId="12" fillId="0" borderId="0" xfId="0" applyNumberFormat="1" applyFont="1" applyAlignment="1">
      <alignment horizontal="center"/>
    </xf>
    <xf numFmtId="167" fontId="7" fillId="0" borderId="0" xfId="0" applyNumberFormat="1" applyFont="1"/>
    <xf numFmtId="0" fontId="9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2" fontId="7" fillId="2" borderId="1" xfId="0" applyNumberFormat="1" applyFont="1" applyFill="1" applyBorder="1" applyAlignment="1">
      <alignment horizontal="center"/>
    </xf>
    <xf numFmtId="2" fontId="7" fillId="2" borderId="2" xfId="0" applyNumberFormat="1" applyFont="1" applyFill="1" applyBorder="1" applyAlignment="1">
      <alignment horizontal="center"/>
    </xf>
    <xf numFmtId="167" fontId="7" fillId="2" borderId="1" xfId="0" applyNumberFormat="1" applyFont="1" applyFill="1" applyBorder="1" applyAlignment="1">
      <alignment horizontal="center"/>
    </xf>
    <xf numFmtId="167" fontId="7" fillId="2" borderId="2" xfId="0" applyNumberFormat="1" applyFont="1" applyFill="1" applyBorder="1" applyAlignment="1">
      <alignment horizontal="center"/>
    </xf>
    <xf numFmtId="167" fontId="9" fillId="2" borderId="21" xfId="0" applyNumberFormat="1" applyFont="1" applyFill="1" applyBorder="1" applyAlignment="1">
      <alignment horizontal="center" vertical="center"/>
    </xf>
    <xf numFmtId="1" fontId="7" fillId="2" borderId="1" xfId="0" applyNumberFormat="1" applyFont="1" applyFill="1" applyBorder="1" applyAlignment="1">
      <alignment horizontal="center"/>
    </xf>
    <xf numFmtId="1" fontId="7" fillId="2" borderId="2" xfId="0" applyNumberFormat="1" applyFont="1" applyFill="1" applyBorder="1" applyAlignment="1">
      <alignment horizontal="center"/>
    </xf>
    <xf numFmtId="1" fontId="7" fillId="2" borderId="21" xfId="0" applyNumberFormat="1" applyFont="1" applyFill="1" applyBorder="1" applyAlignment="1">
      <alignment horizontal="center"/>
    </xf>
    <xf numFmtId="164" fontId="9" fillId="2" borderId="21" xfId="0" applyNumberFormat="1" applyFont="1" applyFill="1" applyBorder="1" applyAlignment="1">
      <alignment horizontal="center" vertical="center"/>
    </xf>
    <xf numFmtId="1" fontId="9" fillId="2" borderId="2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/>
    <xf numFmtId="0" fontId="7" fillId="2" borderId="5" xfId="0" applyFont="1" applyFill="1" applyBorder="1"/>
    <xf numFmtId="0" fontId="7" fillId="2" borderId="4" xfId="0" applyFont="1" applyFill="1" applyBorder="1"/>
    <xf numFmtId="0" fontId="11" fillId="2" borderId="1" xfId="0" applyFont="1" applyFill="1" applyBorder="1"/>
    <xf numFmtId="0" fontId="11" fillId="2" borderId="1" xfId="0" applyFont="1" applyFill="1" applyBorder="1" applyAlignment="1">
      <alignment horizontal="left"/>
    </xf>
    <xf numFmtId="0" fontId="7" fillId="2" borderId="2" xfId="0" applyFont="1" applyFill="1" applyBorder="1"/>
    <xf numFmtId="0" fontId="7" fillId="2" borderId="30" xfId="0" applyFont="1" applyFill="1" applyBorder="1" applyAlignment="1">
      <alignment horizontal="center"/>
    </xf>
    <xf numFmtId="0" fontId="11" fillId="2" borderId="31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right"/>
    </xf>
    <xf numFmtId="164" fontId="7" fillId="2" borderId="8" xfId="0" applyNumberFormat="1" applyFont="1" applyFill="1" applyBorder="1" applyAlignment="1">
      <alignment horizontal="center"/>
    </xf>
    <xf numFmtId="164" fontId="7" fillId="2" borderId="22" xfId="0" applyNumberFormat="1" applyFont="1" applyFill="1" applyBorder="1" applyAlignment="1">
      <alignment horizontal="center"/>
    </xf>
    <xf numFmtId="0" fontId="7" fillId="2" borderId="20" xfId="0" applyFont="1" applyFill="1" applyBorder="1"/>
    <xf numFmtId="164" fontId="9" fillId="2" borderId="1" xfId="0" applyNumberFormat="1" applyFont="1" applyFill="1" applyBorder="1" applyAlignment="1">
      <alignment horizontal="center"/>
    </xf>
    <xf numFmtId="164" fontId="9" fillId="2" borderId="2" xfId="0" applyNumberFormat="1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 vertical="center"/>
    </xf>
    <xf numFmtId="0" fontId="7" fillId="2" borderId="33" xfId="0" applyFont="1" applyFill="1" applyBorder="1"/>
    <xf numFmtId="0" fontId="9" fillId="2" borderId="34" xfId="0" applyFont="1" applyFill="1" applyBorder="1"/>
    <xf numFmtId="0" fontId="9" fillId="2" borderId="34" xfId="0" applyFont="1" applyFill="1" applyBorder="1" applyAlignment="1">
      <alignment horizontal="left"/>
    </xf>
    <xf numFmtId="0" fontId="9" fillId="2" borderId="34" xfId="0" applyFont="1" applyFill="1" applyBorder="1" applyAlignment="1">
      <alignment horizontal="center"/>
    </xf>
    <xf numFmtId="2" fontId="7" fillId="2" borderId="34" xfId="0" applyNumberFormat="1" applyFont="1" applyFill="1" applyBorder="1" applyAlignment="1">
      <alignment horizontal="center"/>
    </xf>
    <xf numFmtId="2" fontId="7" fillId="2" borderId="35" xfId="0" applyNumberFormat="1" applyFont="1" applyFill="1" applyBorder="1" applyAlignment="1">
      <alignment horizontal="center"/>
    </xf>
    <xf numFmtId="2" fontId="9" fillId="2" borderId="36" xfId="0" applyNumberFormat="1" applyFont="1" applyFill="1" applyBorder="1" applyAlignment="1">
      <alignment horizontal="center" vertical="center"/>
    </xf>
    <xf numFmtId="0" fontId="7" fillId="2" borderId="37" xfId="0" applyFont="1" applyFill="1" applyBorder="1"/>
    <xf numFmtId="0" fontId="7" fillId="2" borderId="0" xfId="0" applyFont="1" applyFill="1"/>
    <xf numFmtId="0" fontId="7" fillId="2" borderId="0" xfId="0" applyFont="1" applyFill="1" applyAlignment="1">
      <alignment horizontal="left"/>
    </xf>
    <xf numFmtId="0" fontId="7" fillId="2" borderId="38" xfId="0" applyFont="1" applyFill="1" applyBorder="1" applyAlignment="1">
      <alignment vertical="center"/>
    </xf>
    <xf numFmtId="0" fontId="7" fillId="2" borderId="26" xfId="0" applyFont="1" applyFill="1" applyBorder="1" applyAlignment="1">
      <alignment horizontal="center"/>
    </xf>
    <xf numFmtId="0" fontId="11" fillId="2" borderId="39" xfId="0" applyFont="1" applyFill="1" applyBorder="1" applyAlignment="1">
      <alignment horizontal="left"/>
    </xf>
    <xf numFmtId="0" fontId="7" fillId="2" borderId="39" xfId="0" applyFont="1" applyFill="1" applyBorder="1"/>
    <xf numFmtId="0" fontId="9" fillId="2" borderId="39" xfId="0" applyFont="1" applyFill="1" applyBorder="1" applyAlignment="1">
      <alignment horizontal="left"/>
    </xf>
    <xf numFmtId="0" fontId="7" fillId="2" borderId="27" xfId="0" applyFont="1" applyFill="1" applyBorder="1"/>
    <xf numFmtId="0" fontId="9" fillId="2" borderId="40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left"/>
    </xf>
    <xf numFmtId="0" fontId="9" fillId="2" borderId="2" xfId="0" applyFont="1" applyFill="1" applyBorder="1" applyAlignment="1">
      <alignment horizontal="center"/>
    </xf>
    <xf numFmtId="0" fontId="9" fillId="2" borderId="2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2" fontId="7" fillId="2" borderId="21" xfId="0" applyNumberFormat="1" applyFont="1" applyFill="1" applyBorder="1" applyAlignment="1">
      <alignment horizontal="center" vertical="center"/>
    </xf>
    <xf numFmtId="0" fontId="7" fillId="2" borderId="33" xfId="0" applyFont="1" applyFill="1" applyBorder="1" applyAlignment="1">
      <alignment horizontal="center"/>
    </xf>
    <xf numFmtId="164" fontId="9" fillId="2" borderId="34" xfId="0" applyNumberFormat="1" applyFont="1" applyFill="1" applyBorder="1" applyAlignment="1">
      <alignment horizontal="center"/>
    </xf>
    <xf numFmtId="164" fontId="9" fillId="2" borderId="35" xfId="0" applyNumberFormat="1" applyFont="1" applyFill="1" applyBorder="1" applyAlignment="1">
      <alignment horizontal="center"/>
    </xf>
    <xf numFmtId="0" fontId="7" fillId="2" borderId="0" xfId="0" applyFont="1" applyFill="1" applyAlignment="1">
      <alignment vertical="center"/>
    </xf>
    <xf numFmtId="0" fontId="7" fillId="3" borderId="0" xfId="0" applyFont="1" applyFill="1"/>
    <xf numFmtId="0" fontId="7" fillId="0" borderId="0" xfId="0" applyFont="1" applyAlignment="1">
      <alignment horizontal="left"/>
    </xf>
    <xf numFmtId="0" fontId="7" fillId="0" borderId="0" xfId="0" applyFont="1" applyAlignment="1">
      <alignment vertical="center"/>
    </xf>
    <xf numFmtId="165" fontId="2" fillId="0" borderId="22" xfId="0" applyNumberFormat="1" applyFont="1" applyBorder="1" applyAlignment="1">
      <alignment horizontal="center"/>
    </xf>
    <xf numFmtId="164" fontId="4" fillId="0" borderId="1" xfId="2" applyNumberFormat="1" applyFont="1" applyBorder="1" applyAlignment="1">
      <alignment horizontal="center" vertical="center" wrapText="1"/>
    </xf>
    <xf numFmtId="164" fontId="6" fillId="0" borderId="14" xfId="2" applyNumberFormat="1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/>
    </xf>
    <xf numFmtId="0" fontId="7" fillId="2" borderId="42" xfId="0" applyFont="1" applyFill="1" applyBorder="1" applyAlignment="1">
      <alignment horizontal="center" vertical="center" wrapText="1"/>
    </xf>
    <xf numFmtId="0" fontId="9" fillId="2" borderId="8" xfId="0" applyFont="1" applyFill="1" applyBorder="1"/>
    <xf numFmtId="0" fontId="7" fillId="3" borderId="33" xfId="0" applyFont="1" applyFill="1" applyBorder="1" applyAlignment="1">
      <alignment horizontal="center"/>
    </xf>
    <xf numFmtId="0" fontId="9" fillId="7" borderId="34" xfId="0" applyFont="1" applyFill="1" applyBorder="1"/>
    <xf numFmtId="0" fontId="9" fillId="7" borderId="34" xfId="0" applyFont="1" applyFill="1" applyBorder="1" applyAlignment="1">
      <alignment horizontal="left"/>
    </xf>
    <xf numFmtId="0" fontId="9" fillId="7" borderId="34" xfId="0" applyFont="1" applyFill="1" applyBorder="1" applyAlignment="1">
      <alignment horizontal="center"/>
    </xf>
    <xf numFmtId="2" fontId="9" fillId="7" borderId="34" xfId="0" applyNumberFormat="1" applyFont="1" applyFill="1" applyBorder="1" applyAlignment="1">
      <alignment horizontal="center"/>
    </xf>
    <xf numFmtId="167" fontId="9" fillId="7" borderId="34" xfId="0" applyNumberFormat="1" applyFont="1" applyFill="1" applyBorder="1" applyAlignment="1">
      <alignment horizontal="center"/>
    </xf>
    <xf numFmtId="2" fontId="9" fillId="7" borderId="35" xfId="0" applyNumberFormat="1" applyFont="1" applyFill="1" applyBorder="1" applyAlignment="1">
      <alignment horizontal="center"/>
    </xf>
    <xf numFmtId="167" fontId="9" fillId="6" borderId="36" xfId="0" applyNumberFormat="1" applyFont="1" applyFill="1" applyBorder="1" applyAlignment="1">
      <alignment horizontal="center" vertical="center"/>
    </xf>
    <xf numFmtId="164" fontId="6" fillId="0" borderId="3" xfId="2" applyNumberFormat="1" applyFont="1" applyBorder="1" applyAlignment="1">
      <alignment horizontal="center" vertical="center" wrapText="1"/>
    </xf>
    <xf numFmtId="164" fontId="4" fillId="0" borderId="7" xfId="2" applyNumberFormat="1" applyFont="1" applyBorder="1" applyAlignment="1">
      <alignment horizontal="center" vertical="center" wrapText="1"/>
    </xf>
    <xf numFmtId="0" fontId="4" fillId="0" borderId="8" xfId="2" applyFont="1" applyBorder="1" applyAlignment="1">
      <alignment horizontal="center" vertical="center" wrapText="1"/>
    </xf>
    <xf numFmtId="164" fontId="4" fillId="0" borderId="9" xfId="2" applyNumberFormat="1" applyFont="1" applyBorder="1" applyAlignment="1">
      <alignment horizontal="center" vertical="center" wrapText="1"/>
    </xf>
    <xf numFmtId="0" fontId="4" fillId="2" borderId="15" xfId="2" applyFont="1" applyFill="1" applyBorder="1" applyAlignment="1">
      <alignment horizontal="center" vertical="center"/>
    </xf>
    <xf numFmtId="164" fontId="4" fillId="0" borderId="13" xfId="2" applyNumberFormat="1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164" fontId="4" fillId="0" borderId="17" xfId="2" applyNumberFormat="1" applyFont="1" applyBorder="1" applyAlignment="1">
      <alignment horizontal="center" vertical="center" wrapText="1"/>
    </xf>
    <xf numFmtId="167" fontId="7" fillId="0" borderId="0" xfId="0" applyNumberFormat="1" applyFont="1" applyAlignment="1">
      <alignment horizontal="center"/>
    </xf>
    <xf numFmtId="0" fontId="7" fillId="5" borderId="2" xfId="0" applyFont="1" applyFill="1" applyBorder="1" applyAlignment="1">
      <alignment horizontal="center"/>
    </xf>
    <xf numFmtId="164" fontId="7" fillId="0" borderId="30" xfId="0" applyNumberFormat="1" applyFont="1" applyBorder="1" applyAlignment="1">
      <alignment horizontal="center"/>
    </xf>
    <xf numFmtId="0" fontId="4" fillId="0" borderId="6" xfId="2" applyFont="1" applyBorder="1" applyAlignment="1">
      <alignment horizontal="center" vertical="center"/>
    </xf>
    <xf numFmtId="0" fontId="4" fillId="0" borderId="7" xfId="2" applyFont="1" applyBorder="1" applyAlignment="1">
      <alignment horizontal="center" vertical="center" wrapText="1"/>
    </xf>
    <xf numFmtId="165" fontId="4" fillId="2" borderId="15" xfId="2" applyNumberFormat="1" applyFont="1" applyFill="1" applyBorder="1" applyAlignment="1">
      <alignment horizontal="center" vertical="center"/>
    </xf>
    <xf numFmtId="0" fontId="4" fillId="2" borderId="16" xfId="2" applyFont="1" applyFill="1" applyBorder="1" applyAlignment="1">
      <alignment vertical="center"/>
    </xf>
    <xf numFmtId="0" fontId="4" fillId="0" borderId="12" xfId="2" applyFont="1" applyBorder="1" applyAlignment="1">
      <alignment horizontal="center" vertical="center" wrapText="1"/>
    </xf>
    <xf numFmtId="0" fontId="4" fillId="0" borderId="6" xfId="2" applyFont="1" applyBorder="1" applyAlignment="1">
      <alignment horizontal="center" vertical="center" wrapText="1"/>
    </xf>
    <xf numFmtId="164" fontId="4" fillId="0" borderId="18" xfId="2" applyNumberFormat="1" applyFont="1" applyBorder="1" applyAlignment="1">
      <alignment horizontal="center" vertical="center" wrapText="1"/>
    </xf>
    <xf numFmtId="164" fontId="4" fillId="0" borderId="19" xfId="2" applyNumberFormat="1" applyFont="1" applyBorder="1" applyAlignment="1">
      <alignment horizontal="center" vertical="center" wrapText="1"/>
    </xf>
    <xf numFmtId="20" fontId="4" fillId="0" borderId="10" xfId="0" applyNumberFormat="1" applyFont="1" applyBorder="1" applyAlignment="1">
      <alignment horizontal="center" vertical="center"/>
    </xf>
    <xf numFmtId="0" fontId="4" fillId="0" borderId="15" xfId="2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/>
    </xf>
    <xf numFmtId="0" fontId="4" fillId="0" borderId="20" xfId="2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/>
    </xf>
    <xf numFmtId="2" fontId="4" fillId="0" borderId="1" xfId="0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vertical="center"/>
    </xf>
    <xf numFmtId="0" fontId="4" fillId="0" borderId="11" xfId="0" applyFont="1" applyBorder="1" applyAlignment="1">
      <alignment horizontal="left" vertical="center"/>
    </xf>
    <xf numFmtId="0" fontId="4" fillId="0" borderId="0" xfId="0" applyFont="1"/>
    <xf numFmtId="164" fontId="4" fillId="0" borderId="1" xfId="0" applyNumberFormat="1" applyFont="1" applyBorder="1" applyAlignment="1">
      <alignment horizontal="center"/>
    </xf>
    <xf numFmtId="0" fontId="4" fillId="0" borderId="22" xfId="0" applyFont="1" applyBorder="1"/>
    <xf numFmtId="0" fontId="4" fillId="0" borderId="8" xfId="0" applyFont="1" applyBorder="1"/>
    <xf numFmtId="2" fontId="4" fillId="0" borderId="8" xfId="0" applyNumberFormat="1" applyFont="1" applyBorder="1" applyAlignment="1">
      <alignment horizontal="center"/>
    </xf>
    <xf numFmtId="0" fontId="4" fillId="0" borderId="8" xfId="0" applyFont="1" applyBorder="1" applyAlignment="1">
      <alignment horizontal="left"/>
    </xf>
    <xf numFmtId="165" fontId="4" fillId="0" borderId="22" xfId="0" applyNumberFormat="1" applyFont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4" fillId="0" borderId="23" xfId="0" applyFont="1" applyBorder="1"/>
    <xf numFmtId="0" fontId="4" fillId="0" borderId="24" xfId="0" applyFont="1" applyBorder="1"/>
    <xf numFmtId="2" fontId="4" fillId="0" borderId="23" xfId="0" applyNumberFormat="1" applyFont="1" applyBorder="1" applyAlignment="1">
      <alignment horizontal="center"/>
    </xf>
    <xf numFmtId="0" fontId="4" fillId="0" borderId="25" xfId="0" applyFont="1" applyBorder="1" applyAlignment="1">
      <alignment vertical="center" wrapText="1"/>
    </xf>
    <xf numFmtId="0" fontId="4" fillId="0" borderId="0" xfId="0" applyFont="1" applyAlignment="1">
      <alignment horizontal="left"/>
    </xf>
    <xf numFmtId="0" fontId="14" fillId="0" borderId="0" xfId="0" applyFont="1"/>
    <xf numFmtId="0" fontId="4" fillId="0" borderId="0" xfId="0" applyFont="1" applyAlignment="1">
      <alignment horizontal="right"/>
    </xf>
    <xf numFmtId="166" fontId="4" fillId="0" borderId="0" xfId="0" applyNumberFormat="1" applyFont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/>
    </xf>
    <xf numFmtId="164" fontId="4" fillId="0" borderId="8" xfId="0" applyNumberFormat="1" applyFont="1" applyBorder="1" applyAlignment="1">
      <alignment horizontal="center"/>
    </xf>
    <xf numFmtId="1" fontId="4" fillId="0" borderId="8" xfId="0" applyNumberFormat="1" applyFont="1" applyBorder="1" applyAlignment="1">
      <alignment horizontal="center" vertical="center" wrapText="1"/>
    </xf>
    <xf numFmtId="2" fontId="4" fillId="0" borderId="8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/>
    </xf>
    <xf numFmtId="2" fontId="4" fillId="0" borderId="1" xfId="0" applyNumberFormat="1" applyFont="1" applyBorder="1" applyAlignment="1">
      <alignment horizontal="center"/>
    </xf>
    <xf numFmtId="0" fontId="4" fillId="0" borderId="23" xfId="0" applyFont="1" applyBorder="1" applyAlignment="1">
      <alignment horizontal="right"/>
    </xf>
    <xf numFmtId="0" fontId="15" fillId="2" borderId="15" xfId="2" applyFont="1" applyFill="1" applyBorder="1" applyAlignment="1">
      <alignment horizontal="center" vertical="center"/>
    </xf>
    <xf numFmtId="165" fontId="15" fillId="2" borderId="15" xfId="2" applyNumberFormat="1" applyFont="1" applyFill="1" applyBorder="1" applyAlignment="1">
      <alignment horizontal="center" vertical="center"/>
    </xf>
    <xf numFmtId="0" fontId="15" fillId="2" borderId="16" xfId="2" applyFont="1" applyFill="1" applyBorder="1" applyAlignment="1">
      <alignment vertical="center"/>
    </xf>
    <xf numFmtId="0" fontId="15" fillId="0" borderId="15" xfId="2" applyFont="1" applyBorder="1" applyAlignment="1">
      <alignment horizontal="center" vertical="center"/>
    </xf>
    <xf numFmtId="20" fontId="15" fillId="0" borderId="10" xfId="0" applyNumberFormat="1" applyFont="1" applyBorder="1" applyAlignment="1">
      <alignment horizontal="center" vertical="center"/>
    </xf>
    <xf numFmtId="0" fontId="16" fillId="0" borderId="11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center"/>
    </xf>
    <xf numFmtId="0" fontId="7" fillId="2" borderId="30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0" xfId="0" applyFont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10" fillId="4" borderId="2" xfId="0" applyFont="1" applyFill="1" applyBorder="1" applyAlignment="1">
      <alignment horizontal="center"/>
    </xf>
    <xf numFmtId="0" fontId="10" fillId="4" borderId="30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0" fontId="9" fillId="2" borderId="43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38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9" fillId="2" borderId="24" xfId="0" applyFont="1" applyFill="1" applyBorder="1" applyAlignment="1">
      <alignment horizontal="center"/>
    </xf>
    <xf numFmtId="0" fontId="9" fillId="2" borderId="3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9" fillId="2" borderId="30" xfId="0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41" xfId="0" applyFont="1" applyFill="1" applyBorder="1" applyAlignment="1">
      <alignment horizontal="center"/>
    </xf>
    <xf numFmtId="0" fontId="7" fillId="2" borderId="31" xfId="0" applyFont="1" applyFill="1" applyBorder="1" applyAlignment="1">
      <alignment horizontal="center"/>
    </xf>
  </cellXfs>
  <cellStyles count="3">
    <cellStyle name="Normal" xfId="0" builtinId="0"/>
    <cellStyle name="Normal 4" xfId="1" xr:uid="{00000000-0005-0000-0000-000001000000}"/>
    <cellStyle name="Normal 4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C7A03-0D0F-4FA8-BCC1-C24D575FDEDF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50">
        <v>45931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186">
        <v>1</v>
      </c>
      <c r="B9" s="187" t="s">
        <v>236</v>
      </c>
      <c r="C9" s="161">
        <v>19</v>
      </c>
      <c r="D9" s="14">
        <v>2.85</v>
      </c>
      <c r="E9" s="163">
        <v>1428</v>
      </c>
      <c r="F9" s="162">
        <v>73.599999999999994</v>
      </c>
      <c r="G9" s="15">
        <f t="shared" ref="G9:G10" si="0">E9*F9</f>
        <v>105100.79999999999</v>
      </c>
      <c r="H9" s="16">
        <f>F9*C9</f>
        <v>1398.3999999999999</v>
      </c>
      <c r="I9" s="179" t="s">
        <v>20</v>
      </c>
      <c r="J9" s="188">
        <v>2.0833333333333332E-2</v>
      </c>
      <c r="K9" s="202" t="s">
        <v>239</v>
      </c>
    </row>
    <row r="10" spans="1:11" ht="17" x14ac:dyDescent="0.15">
      <c r="A10" s="190">
        <v>2</v>
      </c>
      <c r="B10" s="187" t="s">
        <v>236</v>
      </c>
      <c r="C10" s="161">
        <v>17</v>
      </c>
      <c r="D10" s="14">
        <v>2.85</v>
      </c>
      <c r="E10" s="163">
        <v>1467</v>
      </c>
      <c r="F10" s="162">
        <v>26.4</v>
      </c>
      <c r="G10" s="15">
        <f t="shared" si="0"/>
        <v>38728.799999999996</v>
      </c>
      <c r="H10" s="16">
        <f t="shared" ref="H10" si="1">F10*C10</f>
        <v>448.79999999999995</v>
      </c>
      <c r="I10" s="179" t="s">
        <v>44</v>
      </c>
      <c r="J10" s="188">
        <v>6.9444444444444441E-3</v>
      </c>
      <c r="K10" s="189" t="s">
        <v>44</v>
      </c>
    </row>
    <row r="11" spans="1:11" ht="16" x14ac:dyDescent="0.15">
      <c r="A11" s="186"/>
      <c r="B11" s="187"/>
      <c r="C11" s="161"/>
      <c r="D11" s="14"/>
      <c r="E11" s="163"/>
      <c r="F11" s="175"/>
      <c r="G11" s="15"/>
      <c r="H11" s="16"/>
      <c r="I11" s="179" t="s">
        <v>233</v>
      </c>
      <c r="J11" s="188">
        <v>4.1666666666666664E-2</v>
      </c>
      <c r="K11" s="189" t="s">
        <v>238</v>
      </c>
    </row>
    <row r="12" spans="1:11" ht="19.25" customHeight="1" x14ac:dyDescent="0.15">
      <c r="A12" s="190"/>
      <c r="B12" s="187"/>
      <c r="C12" s="176"/>
      <c r="D12" s="14"/>
      <c r="E12" s="177"/>
      <c r="F12" s="178"/>
      <c r="G12" s="15"/>
      <c r="H12" s="16"/>
      <c r="I12" s="195"/>
      <c r="J12" s="194"/>
      <c r="K12" s="189"/>
    </row>
    <row r="13" spans="1:11" ht="16" x14ac:dyDescent="0.15">
      <c r="A13" s="191"/>
      <c r="B13" s="187"/>
      <c r="C13" s="176"/>
      <c r="D13" s="14"/>
      <c r="E13" s="177"/>
      <c r="F13" s="178"/>
      <c r="G13" s="15"/>
      <c r="H13" s="16"/>
      <c r="I13" s="179"/>
      <c r="J13" s="188"/>
      <c r="K13" s="202"/>
    </row>
    <row r="14" spans="1:11" ht="16" x14ac:dyDescent="0.15">
      <c r="A14" s="186"/>
      <c r="B14" s="187"/>
      <c r="C14" s="180"/>
      <c r="D14" s="14"/>
      <c r="E14" s="181"/>
      <c r="F14" s="182"/>
      <c r="G14" s="15"/>
      <c r="H14" s="16"/>
      <c r="I14" s="195"/>
      <c r="J14" s="194"/>
      <c r="K14" s="203"/>
    </row>
    <row r="15" spans="1:11" ht="16" x14ac:dyDescent="0.2">
      <c r="A15" s="190"/>
      <c r="B15" s="187"/>
      <c r="C15" s="192"/>
      <c r="D15" s="14"/>
      <c r="E15" s="181"/>
      <c r="F15" s="193"/>
      <c r="G15" s="15"/>
      <c r="H15" s="16"/>
      <c r="I15" s="19"/>
      <c r="J15" s="18"/>
      <c r="K15" s="17"/>
    </row>
    <row r="16" spans="1:11" ht="16" x14ac:dyDescent="0.2">
      <c r="A16" s="197"/>
      <c r="B16" s="198"/>
      <c r="C16" s="161"/>
      <c r="D16" s="14"/>
      <c r="E16" s="177"/>
      <c r="F16" s="161"/>
      <c r="G16" s="15"/>
      <c r="H16" s="16"/>
      <c r="I16" s="19"/>
      <c r="J16" s="18"/>
      <c r="K16" s="20"/>
    </row>
    <row r="17" spans="1:11" ht="16" x14ac:dyDescent="0.2">
      <c r="A17" s="197"/>
      <c r="B17" s="198"/>
      <c r="C17" s="161"/>
      <c r="D17" s="14"/>
      <c r="E17" s="181"/>
      <c r="F17" s="161"/>
      <c r="G17" s="15"/>
      <c r="H17" s="16"/>
      <c r="I17" s="19"/>
      <c r="J17" s="18"/>
      <c r="K17" s="20"/>
    </row>
    <row r="18" spans="1:11" ht="16" x14ac:dyDescent="0.2">
      <c r="A18" s="197"/>
      <c r="B18" s="198"/>
      <c r="C18" s="161"/>
      <c r="D18" s="14"/>
      <c r="E18" s="181"/>
      <c r="F18" s="161"/>
      <c r="G18" s="15"/>
      <c r="H18" s="16"/>
      <c r="I18" s="10"/>
      <c r="J18" s="13"/>
      <c r="K18" s="10"/>
    </row>
    <row r="19" spans="1:11" ht="16" x14ac:dyDescent="0.2">
      <c r="A19" s="11"/>
      <c r="B19" s="10"/>
      <c r="C19" s="12"/>
      <c r="D19" s="200"/>
      <c r="E19" s="11"/>
      <c r="F19" s="12"/>
      <c r="G19" s="201"/>
      <c r="H19" s="12"/>
      <c r="I19" s="10"/>
      <c r="J19" s="13"/>
      <c r="K19" s="10"/>
    </row>
    <row r="20" spans="1:11" x14ac:dyDescent="0.15">
      <c r="A20" s="21"/>
      <c r="B20" s="22"/>
      <c r="C20" s="23"/>
      <c r="D20" s="24"/>
      <c r="E20" s="21"/>
      <c r="F20" s="23"/>
      <c r="G20" s="25"/>
      <c r="H20" s="23"/>
      <c r="I20" s="22"/>
      <c r="J20" s="26"/>
      <c r="K20" s="22"/>
    </row>
    <row r="21" spans="1:11" x14ac:dyDescent="0.15">
      <c r="A21" s="21"/>
      <c r="B21" s="22"/>
      <c r="C21" s="27"/>
      <c r="D21" s="21"/>
      <c r="E21" s="26"/>
      <c r="F21" s="27"/>
      <c r="G21" s="25"/>
      <c r="H21" s="23"/>
      <c r="I21" s="22"/>
      <c r="J21" s="26"/>
      <c r="K21" s="22"/>
    </row>
    <row r="22" spans="1:11" x14ac:dyDescent="0.15">
      <c r="A22" s="28"/>
      <c r="B22" s="29"/>
      <c r="C22" s="30"/>
      <c r="D22" s="30"/>
      <c r="E22" s="31" t="s">
        <v>21</v>
      </c>
      <c r="F22" s="32">
        <f>SUM(F9:F21)</f>
        <v>100</v>
      </c>
      <c r="G22" s="33">
        <f>SUM(G9:G21)/F22</f>
        <v>1438.2959999999998</v>
      </c>
      <c r="H22" s="34">
        <f>SUM(H9:H21)/F22</f>
        <v>18.471999999999998</v>
      </c>
      <c r="I22" s="35" t="s">
        <v>22</v>
      </c>
      <c r="J22" s="160">
        <v>6.9444444444444448E-2</v>
      </c>
      <c r="K22" s="29"/>
    </row>
    <row r="23" spans="1:11" x14ac:dyDescent="0.15">
      <c r="E23" s="36"/>
      <c r="F23" s="37"/>
      <c r="I23" s="38" t="s">
        <v>23</v>
      </c>
      <c r="J23" s="39">
        <v>1.67</v>
      </c>
    </row>
    <row r="24" spans="1:11" x14ac:dyDescent="0.15">
      <c r="A24" s="1"/>
      <c r="I24" s="40"/>
      <c r="J24" s="41"/>
    </row>
    <row r="25" spans="1:11" x14ac:dyDescent="0.15">
      <c r="A25" s="42" t="s">
        <v>24</v>
      </c>
      <c r="B25" s="42"/>
      <c r="C25" s="42"/>
      <c r="D25" s="27"/>
      <c r="H25" s="4" t="s">
        <v>25</v>
      </c>
      <c r="I25" s="4"/>
      <c r="J25" s="36">
        <f>F22</f>
        <v>100</v>
      </c>
      <c r="K25" s="1" t="s">
        <v>16</v>
      </c>
    </row>
    <row r="26" spans="1:11" x14ac:dyDescent="0.15">
      <c r="A26" s="42" t="s">
        <v>26</v>
      </c>
      <c r="B26" s="42"/>
      <c r="C26" s="42"/>
      <c r="D26" s="27"/>
      <c r="H26" s="4" t="s">
        <v>27</v>
      </c>
      <c r="I26" s="4"/>
      <c r="J26" s="36">
        <v>100</v>
      </c>
      <c r="K26" s="1" t="s">
        <v>16</v>
      </c>
    </row>
    <row r="27" spans="1:11" ht="15" thickBot="1" x14ac:dyDescent="0.2">
      <c r="A27" s="43"/>
      <c r="B27" s="43"/>
      <c r="C27" s="43"/>
      <c r="D27" s="43"/>
      <c r="E27" s="44"/>
      <c r="F27" s="44"/>
      <c r="G27" s="43"/>
      <c r="H27" s="45" t="s">
        <v>28</v>
      </c>
      <c r="I27" s="45"/>
      <c r="J27" s="46">
        <v>1.67</v>
      </c>
      <c r="K27" s="47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48" t="s">
        <v>42</v>
      </c>
      <c r="K41" s="2" t="s">
        <v>43</v>
      </c>
    </row>
    <row r="42" spans="9:11" ht="15" hidden="1" x14ac:dyDescent="0.15">
      <c r="I42" s="48" t="s">
        <v>44</v>
      </c>
      <c r="K42" s="2" t="s">
        <v>45</v>
      </c>
    </row>
    <row r="43" spans="9:11" hidden="1" x14ac:dyDescent="0.15">
      <c r="I43" s="49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I50 K15:K21" xr:uid="{30302940-419E-4335-9E8F-5A729E2E8F7A}">
      <formula1>$I$41:$I$50</formula1>
    </dataValidation>
    <dataValidation type="list" allowBlank="1" showInputMessage="1" showErrorMessage="1" sqref="B20:B21" xr:uid="{2F7B0B3F-3167-47AE-8681-DF96A1199C33}">
      <formula1>$K$29:$K$40</formula1>
    </dataValidation>
    <dataValidation type="list" allowBlank="1" showInputMessage="1" showErrorMessage="1" sqref="B16:B19" xr:uid="{DCFF24FA-24EC-49A5-8B44-AF22BC66A900}">
      <formula1>$K$29:$K$85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4E3BB-4CA4-48CB-AE51-490EA3AE29D0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50">
        <v>45932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186">
        <v>1</v>
      </c>
      <c r="B9" s="187" t="s">
        <v>236</v>
      </c>
      <c r="C9" s="161">
        <v>19</v>
      </c>
      <c r="D9" s="14">
        <v>2.85</v>
      </c>
      <c r="E9" s="163">
        <v>1385</v>
      </c>
      <c r="F9" s="162">
        <v>14.2</v>
      </c>
      <c r="G9" s="15">
        <f t="shared" ref="G9:G14" si="0">E9*F9</f>
        <v>19667</v>
      </c>
      <c r="H9" s="16">
        <f>F9*C9</f>
        <v>269.8</v>
      </c>
      <c r="I9" s="179" t="s">
        <v>20</v>
      </c>
      <c r="J9" s="188">
        <v>2.0833333333333332E-2</v>
      </c>
      <c r="K9" s="202" t="s">
        <v>239</v>
      </c>
    </row>
    <row r="10" spans="1:11" ht="17" x14ac:dyDescent="0.15">
      <c r="A10" s="190">
        <v>2</v>
      </c>
      <c r="B10" s="187" t="s">
        <v>236</v>
      </c>
      <c r="C10" s="161">
        <v>17</v>
      </c>
      <c r="D10" s="14">
        <v>2.85</v>
      </c>
      <c r="E10" s="163">
        <v>1458</v>
      </c>
      <c r="F10" s="162">
        <v>7.4</v>
      </c>
      <c r="G10" s="15">
        <f t="shared" si="0"/>
        <v>10789.2</v>
      </c>
      <c r="H10" s="16">
        <f t="shared" ref="H10:H14" si="1">F10*C10</f>
        <v>125.80000000000001</v>
      </c>
      <c r="I10" s="179" t="s">
        <v>44</v>
      </c>
      <c r="J10" s="188">
        <v>1.3888888888888888E-2</v>
      </c>
      <c r="K10" s="189" t="s">
        <v>44</v>
      </c>
    </row>
    <row r="11" spans="1:11" ht="17" x14ac:dyDescent="0.15">
      <c r="A11" s="186">
        <v>3</v>
      </c>
      <c r="B11" s="187" t="s">
        <v>241</v>
      </c>
      <c r="C11" s="161">
        <v>16</v>
      </c>
      <c r="D11" s="14">
        <v>2.85</v>
      </c>
      <c r="E11" s="163">
        <v>1494</v>
      </c>
      <c r="F11" s="175">
        <v>28.2</v>
      </c>
      <c r="G11" s="15">
        <f t="shared" si="0"/>
        <v>42130.799999999996</v>
      </c>
      <c r="H11" s="16">
        <f t="shared" si="1"/>
        <v>451.2</v>
      </c>
      <c r="I11" s="179" t="s">
        <v>242</v>
      </c>
      <c r="J11" s="188">
        <v>1.0416666666666666E-2</v>
      </c>
      <c r="K11" s="189" t="s">
        <v>243</v>
      </c>
    </row>
    <row r="12" spans="1:11" ht="19.25" customHeight="1" x14ac:dyDescent="0.15">
      <c r="A12" s="190">
        <v>4</v>
      </c>
      <c r="B12" s="187" t="s">
        <v>241</v>
      </c>
      <c r="C12" s="176">
        <v>17</v>
      </c>
      <c r="D12" s="14">
        <v>2.85</v>
      </c>
      <c r="E12" s="177">
        <v>1476</v>
      </c>
      <c r="F12" s="178">
        <v>24.4</v>
      </c>
      <c r="G12" s="15">
        <f t="shared" si="0"/>
        <v>36014.400000000001</v>
      </c>
      <c r="H12" s="16">
        <f t="shared" si="1"/>
        <v>414.79999999999995</v>
      </c>
      <c r="I12" s="195" t="s">
        <v>244</v>
      </c>
      <c r="J12" s="194">
        <v>1.0416666666666666E-2</v>
      </c>
      <c r="K12" s="189" t="s">
        <v>243</v>
      </c>
    </row>
    <row r="13" spans="1:11" ht="17" x14ac:dyDescent="0.15">
      <c r="A13" s="191">
        <v>5</v>
      </c>
      <c r="B13" s="187" t="s">
        <v>241</v>
      </c>
      <c r="C13" s="176">
        <v>18</v>
      </c>
      <c r="D13" s="14">
        <v>2.85</v>
      </c>
      <c r="E13" s="177">
        <v>1470</v>
      </c>
      <c r="F13" s="178">
        <v>2</v>
      </c>
      <c r="G13" s="15">
        <f t="shared" si="0"/>
        <v>2940</v>
      </c>
      <c r="H13" s="16">
        <f t="shared" si="1"/>
        <v>36</v>
      </c>
      <c r="I13" s="179" t="s">
        <v>245</v>
      </c>
      <c r="J13" s="188">
        <v>1.0416666666666666E-2</v>
      </c>
      <c r="K13" s="189" t="s">
        <v>243</v>
      </c>
    </row>
    <row r="14" spans="1:11" ht="17" x14ac:dyDescent="0.15">
      <c r="A14" s="186">
        <v>6</v>
      </c>
      <c r="B14" s="187" t="s">
        <v>241</v>
      </c>
      <c r="C14" s="180">
        <v>19</v>
      </c>
      <c r="D14" s="14">
        <v>2.85</v>
      </c>
      <c r="E14" s="181">
        <v>1436</v>
      </c>
      <c r="F14" s="182">
        <v>19.8</v>
      </c>
      <c r="G14" s="15">
        <f t="shared" si="0"/>
        <v>28432.799999999999</v>
      </c>
      <c r="H14" s="16">
        <f t="shared" si="1"/>
        <v>376.2</v>
      </c>
      <c r="I14" s="195"/>
      <c r="J14" s="194"/>
      <c r="K14" s="203"/>
    </row>
    <row r="15" spans="1:11" ht="16" x14ac:dyDescent="0.2">
      <c r="A15" s="190"/>
      <c r="B15" s="187"/>
      <c r="C15" s="192"/>
      <c r="D15" s="14"/>
      <c r="E15" s="181"/>
      <c r="F15" s="193"/>
      <c r="G15" s="15"/>
      <c r="H15" s="16"/>
      <c r="I15" s="19"/>
      <c r="J15" s="18"/>
      <c r="K15" s="17"/>
    </row>
    <row r="16" spans="1:11" ht="16" x14ac:dyDescent="0.2">
      <c r="A16" s="197"/>
      <c r="B16" s="198"/>
      <c r="C16" s="161"/>
      <c r="D16" s="14"/>
      <c r="E16" s="177"/>
      <c r="F16" s="161"/>
      <c r="G16" s="15"/>
      <c r="H16" s="16"/>
      <c r="I16" s="19"/>
      <c r="J16" s="18"/>
      <c r="K16" s="20"/>
    </row>
    <row r="17" spans="1:11" ht="16" x14ac:dyDescent="0.2">
      <c r="A17" s="197"/>
      <c r="B17" s="198"/>
      <c r="C17" s="161"/>
      <c r="D17" s="14"/>
      <c r="E17" s="181"/>
      <c r="F17" s="161"/>
      <c r="G17" s="15"/>
      <c r="H17" s="16"/>
      <c r="I17" s="19"/>
      <c r="J17" s="18"/>
      <c r="K17" s="20"/>
    </row>
    <row r="18" spans="1:11" ht="16" x14ac:dyDescent="0.2">
      <c r="A18" s="197"/>
      <c r="B18" s="198"/>
      <c r="C18" s="161"/>
      <c r="D18" s="14"/>
      <c r="E18" s="181"/>
      <c r="F18" s="161"/>
      <c r="G18" s="15"/>
      <c r="H18" s="16"/>
      <c r="I18" s="10"/>
      <c r="J18" s="13"/>
      <c r="K18" s="10"/>
    </row>
    <row r="19" spans="1:11" ht="16" x14ac:dyDescent="0.2">
      <c r="A19" s="11"/>
      <c r="B19" s="10"/>
      <c r="C19" s="12"/>
      <c r="D19" s="200"/>
      <c r="E19" s="11"/>
      <c r="F19" s="12"/>
      <c r="G19" s="201"/>
      <c r="H19" s="12"/>
      <c r="I19" s="10"/>
      <c r="J19" s="13"/>
      <c r="K19" s="10"/>
    </row>
    <row r="20" spans="1:11" x14ac:dyDescent="0.15">
      <c r="A20" s="21"/>
      <c r="B20" s="22"/>
      <c r="C20" s="23"/>
      <c r="D20" s="24"/>
      <c r="E20" s="21"/>
      <c r="F20" s="23"/>
      <c r="G20" s="25"/>
      <c r="H20" s="23"/>
      <c r="I20" s="22"/>
      <c r="J20" s="26"/>
      <c r="K20" s="22"/>
    </row>
    <row r="21" spans="1:11" x14ac:dyDescent="0.15">
      <c r="A21" s="21"/>
      <c r="B21" s="22"/>
      <c r="C21" s="27"/>
      <c r="D21" s="21"/>
      <c r="E21" s="26"/>
      <c r="F21" s="27"/>
      <c r="G21" s="25"/>
      <c r="H21" s="23"/>
      <c r="I21" s="22"/>
      <c r="J21" s="26"/>
      <c r="K21" s="22"/>
    </row>
    <row r="22" spans="1:11" x14ac:dyDescent="0.15">
      <c r="A22" s="28"/>
      <c r="B22" s="29"/>
      <c r="C22" s="30"/>
      <c r="D22" s="30"/>
      <c r="E22" s="31" t="s">
        <v>21</v>
      </c>
      <c r="F22" s="32">
        <f>SUM(F9:F21)</f>
        <v>95.999999999999986</v>
      </c>
      <c r="G22" s="33">
        <f>SUM(G9:G21)/F22</f>
        <v>1458.0645833333333</v>
      </c>
      <c r="H22" s="34">
        <f>SUM(H9:H21)/F22</f>
        <v>17.435416666666669</v>
      </c>
      <c r="I22" s="35" t="s">
        <v>22</v>
      </c>
      <c r="J22" s="160">
        <v>6.5972222222222224E-2</v>
      </c>
      <c r="K22" s="29"/>
    </row>
    <row r="23" spans="1:11" x14ac:dyDescent="0.15">
      <c r="E23" s="36"/>
      <c r="F23" s="37"/>
      <c r="I23" s="38" t="s">
        <v>23</v>
      </c>
      <c r="J23" s="39">
        <v>1.58</v>
      </c>
    </row>
    <row r="24" spans="1:11" x14ac:dyDescent="0.15">
      <c r="A24" s="1"/>
      <c r="I24" s="40"/>
      <c r="J24" s="41"/>
    </row>
    <row r="25" spans="1:11" x14ac:dyDescent="0.15">
      <c r="A25" s="42" t="s">
        <v>24</v>
      </c>
      <c r="B25" s="42"/>
      <c r="C25" s="42"/>
      <c r="D25" s="27"/>
      <c r="H25" s="4" t="s">
        <v>25</v>
      </c>
      <c r="I25" s="4"/>
      <c r="J25" s="36">
        <f>F22</f>
        <v>95.999999999999986</v>
      </c>
      <c r="K25" s="1" t="s">
        <v>16</v>
      </c>
    </row>
    <row r="26" spans="1:11" x14ac:dyDescent="0.15">
      <c r="A26" s="42" t="s">
        <v>26</v>
      </c>
      <c r="B26" s="42"/>
      <c r="C26" s="42"/>
      <c r="D26" s="27"/>
      <c r="H26" s="4" t="s">
        <v>27</v>
      </c>
      <c r="I26" s="4"/>
      <c r="J26" s="36">
        <f>100+96</f>
        <v>196</v>
      </c>
      <c r="K26" s="1" t="s">
        <v>16</v>
      </c>
    </row>
    <row r="27" spans="1:11" ht="15" thickBot="1" x14ac:dyDescent="0.2">
      <c r="A27" s="43"/>
      <c r="B27" s="43"/>
      <c r="C27" s="43"/>
      <c r="D27" s="43"/>
      <c r="E27" s="44"/>
      <c r="F27" s="44"/>
      <c r="G27" s="43"/>
      <c r="H27" s="45" t="s">
        <v>28</v>
      </c>
      <c r="I27" s="45"/>
      <c r="J27" s="46">
        <v>3.25</v>
      </c>
      <c r="K27" s="47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48" t="s">
        <v>42</v>
      </c>
      <c r="K41" s="2" t="s">
        <v>43</v>
      </c>
    </row>
    <row r="42" spans="9:11" ht="15" hidden="1" x14ac:dyDescent="0.15">
      <c r="I42" s="48" t="s">
        <v>44</v>
      </c>
      <c r="K42" s="2" t="s">
        <v>45</v>
      </c>
    </row>
    <row r="43" spans="9:11" hidden="1" x14ac:dyDescent="0.15">
      <c r="I43" s="49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B16:B19" xr:uid="{5940AF5D-EDFA-4AD0-B050-A1AB207DE6A1}">
      <formula1>$K$29:$K$85</formula1>
    </dataValidation>
    <dataValidation type="list" allowBlank="1" showInputMessage="1" showErrorMessage="1" sqref="B20:B21" xr:uid="{C50A38BB-482C-420D-BD0F-05BBB9779FEB}">
      <formula1>$K$29:$K$40</formula1>
    </dataValidation>
    <dataValidation type="list" allowBlank="1" showInputMessage="1" showErrorMessage="1" sqref="I50 K15:K21" xr:uid="{6E0268C9-FC79-4AE1-A902-709EA0F47755}">
      <formula1>$I$41:$I$50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7A77B-F8E1-40D2-B6E0-BA4E257B3B7C}">
  <dimension ref="A1:K85"/>
  <sheetViews>
    <sheetView workbookViewId="0">
      <selection activeCell="F19" sqref="F19"/>
    </sheetView>
  </sheetViews>
  <sheetFormatPr baseColWidth="10" defaultColWidth="9.1640625" defaultRowHeight="16" x14ac:dyDescent="0.2"/>
  <cols>
    <col min="1" max="1" width="5.1640625" style="204" customWidth="1"/>
    <col min="2" max="2" width="22.5" style="204" customWidth="1"/>
    <col min="3" max="3" width="6.1640625" style="204" customWidth="1"/>
    <col min="4" max="4" width="12.5" style="204" bestFit="1" customWidth="1"/>
    <col min="5" max="5" width="9.83203125" style="204" customWidth="1"/>
    <col min="6" max="6" width="9.33203125" style="204" bestFit="1" customWidth="1"/>
    <col min="7" max="7" width="8.6640625" style="204" customWidth="1"/>
    <col min="8" max="8" width="9.5" style="204" bestFit="1" customWidth="1"/>
    <col min="9" max="9" width="17.83203125" style="204" bestFit="1" customWidth="1"/>
    <col min="10" max="10" width="10.33203125" style="204" bestFit="1" customWidth="1"/>
    <col min="11" max="11" width="75" style="204" bestFit="1" customWidth="1"/>
    <col min="12" max="16384" width="9.1640625" style="204"/>
  </cols>
  <sheetData>
    <row r="1" spans="1:11" x14ac:dyDescent="0.2">
      <c r="A1" s="204" t="s">
        <v>0</v>
      </c>
      <c r="I1" s="219"/>
    </row>
    <row r="2" spans="1:11" x14ac:dyDescent="0.2">
      <c r="J2" s="220"/>
    </row>
    <row r="3" spans="1:11" x14ac:dyDescent="0.2">
      <c r="A3" s="219" t="s">
        <v>1</v>
      </c>
    </row>
    <row r="4" spans="1:11" x14ac:dyDescent="0.2">
      <c r="A4" s="219"/>
      <c r="I4" s="220" t="s">
        <v>2</v>
      </c>
      <c r="J4" s="221">
        <v>45932</v>
      </c>
    </row>
    <row r="5" spans="1:11" x14ac:dyDescent="0.2">
      <c r="J5" s="204" t="s">
        <v>3</v>
      </c>
    </row>
    <row r="6" spans="1:11" ht="34" x14ac:dyDescent="0.2">
      <c r="A6" s="11" t="s">
        <v>4</v>
      </c>
      <c r="B6" s="11" t="s">
        <v>5</v>
      </c>
      <c r="C6" s="11" t="s">
        <v>6</v>
      </c>
      <c r="D6" s="11" t="s">
        <v>7</v>
      </c>
      <c r="E6" s="11" t="s">
        <v>8</v>
      </c>
      <c r="F6" s="11" t="s">
        <v>9</v>
      </c>
      <c r="G6" s="222" t="s">
        <v>10</v>
      </c>
      <c r="H6" s="222" t="s">
        <v>11</v>
      </c>
      <c r="I6" s="222" t="s">
        <v>12</v>
      </c>
      <c r="J6" s="223"/>
      <c r="K6" s="11" t="s">
        <v>13</v>
      </c>
    </row>
    <row r="7" spans="1:11" ht="34" x14ac:dyDescent="0.2">
      <c r="A7" s="222"/>
      <c r="B7" s="224"/>
      <c r="C7" s="11"/>
      <c r="D7" s="11" t="s">
        <v>14</v>
      </c>
      <c r="E7" s="11" t="s">
        <v>15</v>
      </c>
      <c r="F7" s="225" t="s">
        <v>16</v>
      </c>
      <c r="G7" s="225" t="s">
        <v>15</v>
      </c>
      <c r="H7" s="225" t="s">
        <v>17</v>
      </c>
      <c r="I7" s="11" t="s">
        <v>18</v>
      </c>
      <c r="J7" s="225" t="s">
        <v>19</v>
      </c>
      <c r="K7" s="225"/>
    </row>
    <row r="8" spans="1:11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2">
      <c r="A9" s="186">
        <v>1</v>
      </c>
      <c r="B9" s="187" t="s">
        <v>241</v>
      </c>
      <c r="C9" s="161">
        <v>15</v>
      </c>
      <c r="D9" s="14">
        <v>2.85</v>
      </c>
      <c r="E9" s="163">
        <v>1494</v>
      </c>
      <c r="F9" s="162">
        <v>8.9</v>
      </c>
      <c r="G9" s="15">
        <f t="shared" ref="G9:G13" si="0">E9*F9</f>
        <v>13296.6</v>
      </c>
      <c r="H9" s="16">
        <f>F9*C9</f>
        <v>133.5</v>
      </c>
      <c r="I9" s="179" t="s">
        <v>20</v>
      </c>
      <c r="J9" s="188">
        <v>2.0833333333333332E-2</v>
      </c>
      <c r="K9" s="202" t="s">
        <v>239</v>
      </c>
    </row>
    <row r="10" spans="1:11" ht="17" x14ac:dyDescent="0.2">
      <c r="A10" s="190">
        <v>2</v>
      </c>
      <c r="B10" s="187" t="s">
        <v>241</v>
      </c>
      <c r="C10" s="161">
        <v>16</v>
      </c>
      <c r="D10" s="14">
        <v>2.85</v>
      </c>
      <c r="E10" s="163">
        <v>1411</v>
      </c>
      <c r="F10" s="162">
        <v>43.1</v>
      </c>
      <c r="G10" s="15">
        <f t="shared" si="0"/>
        <v>60814.1</v>
      </c>
      <c r="H10" s="16">
        <f t="shared" ref="H10:H13" si="1">F10*C10</f>
        <v>689.6</v>
      </c>
      <c r="I10" s="179" t="s">
        <v>44</v>
      </c>
      <c r="J10" s="188">
        <v>1.3888888888888888E-2</v>
      </c>
      <c r="K10" s="189" t="s">
        <v>44</v>
      </c>
    </row>
    <row r="11" spans="1:11" ht="17" x14ac:dyDescent="0.2">
      <c r="A11" s="186">
        <v>3</v>
      </c>
      <c r="B11" s="187" t="s">
        <v>241</v>
      </c>
      <c r="C11" s="161">
        <v>17</v>
      </c>
      <c r="D11" s="14">
        <v>2.85</v>
      </c>
      <c r="E11" s="163">
        <v>1414</v>
      </c>
      <c r="F11" s="175">
        <v>3</v>
      </c>
      <c r="G11" s="15">
        <f t="shared" si="0"/>
        <v>4242</v>
      </c>
      <c r="H11" s="16">
        <f t="shared" si="1"/>
        <v>51</v>
      </c>
      <c r="I11" s="179" t="s">
        <v>247</v>
      </c>
      <c r="J11" s="188">
        <v>2.0833333333333332E-2</v>
      </c>
      <c r="K11" s="189" t="s">
        <v>248</v>
      </c>
    </row>
    <row r="12" spans="1:11" ht="19.25" customHeight="1" x14ac:dyDescent="0.2">
      <c r="A12" s="190">
        <v>4</v>
      </c>
      <c r="B12" s="187" t="s">
        <v>241</v>
      </c>
      <c r="C12" s="176">
        <v>17.5</v>
      </c>
      <c r="D12" s="14">
        <v>2.85</v>
      </c>
      <c r="E12" s="177">
        <v>1411</v>
      </c>
      <c r="F12" s="178">
        <v>12.5</v>
      </c>
      <c r="G12" s="15">
        <f t="shared" si="0"/>
        <v>17637.5</v>
      </c>
      <c r="H12" s="16">
        <f t="shared" si="1"/>
        <v>218.75</v>
      </c>
      <c r="I12" s="195" t="s">
        <v>244</v>
      </c>
      <c r="J12" s="194">
        <v>3.125E-2</v>
      </c>
      <c r="K12" s="189" t="s">
        <v>249</v>
      </c>
    </row>
    <row r="13" spans="1:11" ht="17" x14ac:dyDescent="0.2">
      <c r="A13" s="191">
        <v>5</v>
      </c>
      <c r="B13" s="187" t="s">
        <v>246</v>
      </c>
      <c r="C13" s="176">
        <v>17</v>
      </c>
      <c r="D13" s="14">
        <v>2.85</v>
      </c>
      <c r="E13" s="177">
        <v>1411</v>
      </c>
      <c r="F13" s="178">
        <v>10.5</v>
      </c>
      <c r="G13" s="15">
        <f t="shared" si="0"/>
        <v>14815.5</v>
      </c>
      <c r="H13" s="16">
        <f t="shared" si="1"/>
        <v>178.5</v>
      </c>
      <c r="I13" s="179" t="s">
        <v>245</v>
      </c>
      <c r="J13" s="188">
        <v>3.125E-2</v>
      </c>
      <c r="K13" s="189" t="s">
        <v>249</v>
      </c>
    </row>
    <row r="14" spans="1:11" x14ac:dyDescent="0.2">
      <c r="A14" s="186"/>
      <c r="B14" s="187"/>
      <c r="C14" s="180"/>
      <c r="D14" s="14"/>
      <c r="E14" s="181"/>
      <c r="F14" s="182"/>
      <c r="G14" s="15"/>
      <c r="H14" s="16"/>
      <c r="I14" s="195"/>
      <c r="J14" s="194"/>
      <c r="K14" s="203"/>
    </row>
    <row r="15" spans="1:11" x14ac:dyDescent="0.2">
      <c r="A15" s="190"/>
      <c r="B15" s="187"/>
      <c r="C15" s="192"/>
      <c r="D15" s="14"/>
      <c r="E15" s="181"/>
      <c r="F15" s="193"/>
      <c r="G15" s="15"/>
      <c r="H15" s="16"/>
      <c r="I15" s="19"/>
      <c r="J15" s="18"/>
      <c r="K15" s="17"/>
    </row>
    <row r="16" spans="1:11" x14ac:dyDescent="0.2">
      <c r="A16" s="197"/>
      <c r="B16" s="198"/>
      <c r="C16" s="161"/>
      <c r="D16" s="14"/>
      <c r="E16" s="177"/>
      <c r="F16" s="161"/>
      <c r="G16" s="15"/>
      <c r="H16" s="16"/>
      <c r="I16" s="19"/>
      <c r="J16" s="18"/>
      <c r="K16" s="20"/>
    </row>
    <row r="17" spans="1:11" x14ac:dyDescent="0.2">
      <c r="A17" s="197"/>
      <c r="B17" s="198"/>
      <c r="C17" s="161"/>
      <c r="D17" s="14"/>
      <c r="E17" s="181"/>
      <c r="F17" s="161"/>
      <c r="G17" s="15"/>
      <c r="H17" s="16"/>
      <c r="I17" s="19"/>
      <c r="J17" s="18"/>
      <c r="K17" s="20"/>
    </row>
    <row r="18" spans="1:11" x14ac:dyDescent="0.2">
      <c r="A18" s="197"/>
      <c r="B18" s="198"/>
      <c r="C18" s="161"/>
      <c r="D18" s="14"/>
      <c r="E18" s="181"/>
      <c r="F18" s="161"/>
      <c r="G18" s="15"/>
      <c r="H18" s="16"/>
      <c r="I18" s="10"/>
      <c r="J18" s="13"/>
      <c r="K18" s="10"/>
    </row>
    <row r="19" spans="1:11" x14ac:dyDescent="0.2">
      <c r="A19" s="11"/>
      <c r="B19" s="10"/>
      <c r="C19" s="12"/>
      <c r="D19" s="200"/>
      <c r="E19" s="11"/>
      <c r="F19" s="12"/>
      <c r="G19" s="201"/>
      <c r="H19" s="12"/>
      <c r="I19" s="10"/>
      <c r="J19" s="13"/>
      <c r="K19" s="10"/>
    </row>
    <row r="20" spans="1:11" x14ac:dyDescent="0.2">
      <c r="A20" s="11"/>
      <c r="B20" s="10"/>
      <c r="C20" s="12"/>
      <c r="D20" s="200"/>
      <c r="E20" s="11"/>
      <c r="F20" s="12"/>
      <c r="G20" s="201"/>
      <c r="H20" s="12"/>
      <c r="I20" s="10"/>
      <c r="J20" s="13"/>
      <c r="K20" s="10"/>
    </row>
    <row r="21" spans="1:11" x14ac:dyDescent="0.2">
      <c r="A21" s="11"/>
      <c r="B21" s="10"/>
      <c r="C21" s="205"/>
      <c r="D21" s="11"/>
      <c r="E21" s="13"/>
      <c r="F21" s="205"/>
      <c r="G21" s="201"/>
      <c r="H21" s="12"/>
      <c r="I21" s="10"/>
      <c r="J21" s="13"/>
      <c r="K21" s="10"/>
    </row>
    <row r="22" spans="1:11" x14ac:dyDescent="0.2">
      <c r="A22" s="206"/>
      <c r="B22" s="207"/>
      <c r="C22" s="208"/>
      <c r="D22" s="208"/>
      <c r="E22" s="226" t="s">
        <v>21</v>
      </c>
      <c r="F22" s="227">
        <f>SUM(F9:F21)</f>
        <v>78</v>
      </c>
      <c r="G22" s="228">
        <f>SUM(G9:G21)/F22</f>
        <v>1420.5858974358973</v>
      </c>
      <c r="H22" s="229">
        <f>SUM(H9:H21)/F22</f>
        <v>16.299358974358974</v>
      </c>
      <c r="I22" s="209" t="s">
        <v>22</v>
      </c>
      <c r="J22" s="210">
        <v>0.11805555555555555</v>
      </c>
      <c r="K22" s="207"/>
    </row>
    <row r="23" spans="1:11" x14ac:dyDescent="0.2">
      <c r="E23" s="211"/>
      <c r="F23" s="212"/>
      <c r="I23" s="230" t="s">
        <v>23</v>
      </c>
      <c r="J23" s="231">
        <v>2.83</v>
      </c>
    </row>
    <row r="24" spans="1:11" x14ac:dyDescent="0.2">
      <c r="I24" s="212"/>
      <c r="J24" s="213"/>
    </row>
    <row r="25" spans="1:11" x14ac:dyDescent="0.2">
      <c r="A25" s="10" t="s">
        <v>24</v>
      </c>
      <c r="B25" s="10"/>
      <c r="C25" s="10"/>
      <c r="D25" s="205"/>
      <c r="H25" s="220" t="s">
        <v>25</v>
      </c>
      <c r="I25" s="220"/>
      <c r="J25" s="211">
        <f>F22</f>
        <v>78</v>
      </c>
      <c r="K25" s="204" t="s">
        <v>16</v>
      </c>
    </row>
    <row r="26" spans="1:11" x14ac:dyDescent="0.2">
      <c r="A26" s="10" t="s">
        <v>26</v>
      </c>
      <c r="B26" s="10"/>
      <c r="C26" s="10"/>
      <c r="D26" s="205"/>
      <c r="H26" s="220" t="s">
        <v>27</v>
      </c>
      <c r="I26" s="220"/>
      <c r="J26" s="211">
        <f>100+96+78</f>
        <v>274</v>
      </c>
      <c r="K26" s="204" t="s">
        <v>16</v>
      </c>
    </row>
    <row r="27" spans="1:11" ht="17" thickBot="1" x14ac:dyDescent="0.25">
      <c r="A27" s="214"/>
      <c r="B27" s="214"/>
      <c r="C27" s="214"/>
      <c r="D27" s="214"/>
      <c r="E27" s="215"/>
      <c r="F27" s="215"/>
      <c r="G27" s="214"/>
      <c r="H27" s="232" t="s">
        <v>28</v>
      </c>
      <c r="I27" s="232"/>
      <c r="J27" s="216">
        <v>6.08</v>
      </c>
      <c r="K27" s="214" t="s">
        <v>29</v>
      </c>
    </row>
    <row r="28" spans="1:11" x14ac:dyDescent="0.2">
      <c r="J28" s="204" t="s">
        <v>3</v>
      </c>
    </row>
    <row r="29" spans="1:11" hidden="1" x14ac:dyDescent="0.2">
      <c r="K29" s="204" t="s">
        <v>30</v>
      </c>
    </row>
    <row r="30" spans="1:11" hidden="1" x14ac:dyDescent="0.2">
      <c r="K30" s="204" t="s">
        <v>31</v>
      </c>
    </row>
    <row r="31" spans="1:11" hidden="1" x14ac:dyDescent="0.2">
      <c r="K31" s="204" t="s">
        <v>32</v>
      </c>
    </row>
    <row r="32" spans="1:11" hidden="1" x14ac:dyDescent="0.2">
      <c r="K32" s="204" t="s">
        <v>33</v>
      </c>
    </row>
    <row r="33" spans="9:11" hidden="1" x14ac:dyDescent="0.2">
      <c r="K33" s="204" t="s">
        <v>34</v>
      </c>
    </row>
    <row r="34" spans="9:11" hidden="1" x14ac:dyDescent="0.2">
      <c r="K34" s="204" t="s">
        <v>35</v>
      </c>
    </row>
    <row r="35" spans="9:11" hidden="1" x14ac:dyDescent="0.2">
      <c r="K35" s="204" t="s">
        <v>36</v>
      </c>
    </row>
    <row r="36" spans="9:11" hidden="1" x14ac:dyDescent="0.2">
      <c r="K36" s="204" t="s">
        <v>37</v>
      </c>
    </row>
    <row r="37" spans="9:11" hidden="1" x14ac:dyDescent="0.2">
      <c r="K37" s="204" t="s">
        <v>38</v>
      </c>
    </row>
    <row r="38" spans="9:11" hidden="1" x14ac:dyDescent="0.2">
      <c r="K38" s="204" t="s">
        <v>39</v>
      </c>
    </row>
    <row r="39" spans="9:11" hidden="1" x14ac:dyDescent="0.2">
      <c r="K39" s="204" t="s">
        <v>40</v>
      </c>
    </row>
    <row r="40" spans="9:11" hidden="1" x14ac:dyDescent="0.2">
      <c r="K40" s="204" t="s">
        <v>41</v>
      </c>
    </row>
    <row r="41" spans="9:11" ht="34" hidden="1" x14ac:dyDescent="0.2">
      <c r="I41" s="217" t="s">
        <v>42</v>
      </c>
      <c r="K41" s="204" t="s">
        <v>43</v>
      </c>
    </row>
    <row r="42" spans="9:11" ht="17" hidden="1" x14ac:dyDescent="0.2">
      <c r="I42" s="217" t="s">
        <v>44</v>
      </c>
      <c r="K42" s="204" t="s">
        <v>45</v>
      </c>
    </row>
    <row r="43" spans="9:11" hidden="1" x14ac:dyDescent="0.2">
      <c r="I43" s="218" t="s">
        <v>46</v>
      </c>
      <c r="K43" s="204" t="s">
        <v>47</v>
      </c>
    </row>
    <row r="44" spans="9:11" hidden="1" x14ac:dyDescent="0.2">
      <c r="I44" s="204" t="s">
        <v>48</v>
      </c>
      <c r="K44" s="204" t="s">
        <v>49</v>
      </c>
    </row>
    <row r="45" spans="9:11" hidden="1" x14ac:dyDescent="0.2">
      <c r="I45" s="204" t="s">
        <v>50</v>
      </c>
      <c r="K45" s="204" t="s">
        <v>51</v>
      </c>
    </row>
    <row r="46" spans="9:11" hidden="1" x14ac:dyDescent="0.2">
      <c r="I46" s="204" t="s">
        <v>52</v>
      </c>
      <c r="K46" s="204" t="s">
        <v>53</v>
      </c>
    </row>
    <row r="47" spans="9:11" hidden="1" x14ac:dyDescent="0.2">
      <c r="I47" s="204" t="s">
        <v>54</v>
      </c>
      <c r="K47" s="204" t="s">
        <v>55</v>
      </c>
    </row>
    <row r="48" spans="9:11" hidden="1" x14ac:dyDescent="0.2">
      <c r="I48" s="204" t="s">
        <v>56</v>
      </c>
      <c r="K48" s="204" t="s">
        <v>57</v>
      </c>
    </row>
    <row r="49" spans="9:11" hidden="1" x14ac:dyDescent="0.2">
      <c r="I49" s="204" t="s">
        <v>58</v>
      </c>
      <c r="K49" s="204" t="s">
        <v>59</v>
      </c>
    </row>
    <row r="50" spans="9:11" hidden="1" x14ac:dyDescent="0.2">
      <c r="I50" s="204" t="s">
        <v>60</v>
      </c>
      <c r="K50" s="204" t="s">
        <v>61</v>
      </c>
    </row>
    <row r="51" spans="9:11" hidden="1" x14ac:dyDescent="0.2">
      <c r="K51" s="204" t="s">
        <v>62</v>
      </c>
    </row>
    <row r="52" spans="9:11" hidden="1" x14ac:dyDescent="0.2">
      <c r="K52" s="204" t="s">
        <v>63</v>
      </c>
    </row>
    <row r="53" spans="9:11" hidden="1" x14ac:dyDescent="0.2">
      <c r="K53" s="204" t="s">
        <v>64</v>
      </c>
    </row>
    <row r="54" spans="9:11" hidden="1" x14ac:dyDescent="0.2">
      <c r="K54" s="204" t="s">
        <v>65</v>
      </c>
    </row>
    <row r="55" spans="9:11" hidden="1" x14ac:dyDescent="0.2">
      <c r="K55" s="204" t="s">
        <v>66</v>
      </c>
    </row>
    <row r="56" spans="9:11" hidden="1" x14ac:dyDescent="0.2">
      <c r="K56" s="204" t="s">
        <v>67</v>
      </c>
    </row>
    <row r="57" spans="9:11" hidden="1" x14ac:dyDescent="0.2">
      <c r="K57" s="204" t="s">
        <v>68</v>
      </c>
    </row>
    <row r="58" spans="9:11" hidden="1" x14ac:dyDescent="0.2">
      <c r="K58" s="204" t="s">
        <v>69</v>
      </c>
    </row>
    <row r="59" spans="9:11" hidden="1" x14ac:dyDescent="0.2">
      <c r="K59" s="204" t="s">
        <v>70</v>
      </c>
    </row>
    <row r="60" spans="9:11" hidden="1" x14ac:dyDescent="0.2">
      <c r="K60" s="204" t="s">
        <v>71</v>
      </c>
    </row>
    <row r="61" spans="9:11" hidden="1" x14ac:dyDescent="0.2">
      <c r="K61" s="204" t="s">
        <v>72</v>
      </c>
    </row>
    <row r="62" spans="9:11" hidden="1" x14ac:dyDescent="0.2">
      <c r="K62" s="204" t="s">
        <v>73</v>
      </c>
    </row>
    <row r="63" spans="9:11" hidden="1" x14ac:dyDescent="0.2">
      <c r="K63" s="204" t="s">
        <v>67</v>
      </c>
    </row>
    <row r="64" spans="9:11" hidden="1" x14ac:dyDescent="0.2">
      <c r="K64" s="204" t="s">
        <v>74</v>
      </c>
    </row>
    <row r="65" spans="11:11" hidden="1" x14ac:dyDescent="0.2">
      <c r="K65" s="204" t="s">
        <v>75</v>
      </c>
    </row>
    <row r="66" spans="11:11" hidden="1" x14ac:dyDescent="0.2">
      <c r="K66" s="204" t="s">
        <v>76</v>
      </c>
    </row>
    <row r="67" spans="11:11" hidden="1" x14ac:dyDescent="0.2">
      <c r="K67" s="204" t="s">
        <v>77</v>
      </c>
    </row>
    <row r="68" spans="11:11" hidden="1" x14ac:dyDescent="0.2">
      <c r="K68" s="204" t="s">
        <v>78</v>
      </c>
    </row>
    <row r="69" spans="11:11" hidden="1" x14ac:dyDescent="0.2">
      <c r="K69" s="204" t="s">
        <v>79</v>
      </c>
    </row>
    <row r="70" spans="11:11" hidden="1" x14ac:dyDescent="0.2">
      <c r="K70" s="204" t="s">
        <v>80</v>
      </c>
    </row>
    <row r="71" spans="11:11" hidden="1" x14ac:dyDescent="0.2">
      <c r="K71" s="204" t="s">
        <v>81</v>
      </c>
    </row>
    <row r="72" spans="11:11" hidden="1" x14ac:dyDescent="0.2">
      <c r="K72" s="204" t="s">
        <v>82</v>
      </c>
    </row>
    <row r="73" spans="11:11" hidden="1" x14ac:dyDescent="0.2">
      <c r="K73" s="204" t="s">
        <v>83</v>
      </c>
    </row>
    <row r="74" spans="11:11" hidden="1" x14ac:dyDescent="0.2">
      <c r="K74" s="204" t="s">
        <v>84</v>
      </c>
    </row>
    <row r="75" spans="11:11" hidden="1" x14ac:dyDescent="0.2">
      <c r="K75" s="204" t="s">
        <v>85</v>
      </c>
    </row>
    <row r="76" spans="11:11" hidden="1" x14ac:dyDescent="0.2">
      <c r="K76" s="204" t="s">
        <v>86</v>
      </c>
    </row>
    <row r="77" spans="11:11" hidden="1" x14ac:dyDescent="0.2">
      <c r="K77" s="204" t="s">
        <v>87</v>
      </c>
    </row>
    <row r="78" spans="11:11" hidden="1" x14ac:dyDescent="0.2">
      <c r="K78" s="204" t="s">
        <v>88</v>
      </c>
    </row>
    <row r="79" spans="11:11" hidden="1" x14ac:dyDescent="0.2">
      <c r="K79" s="204" t="s">
        <v>89</v>
      </c>
    </row>
    <row r="80" spans="11:11" hidden="1" x14ac:dyDescent="0.2">
      <c r="K80" s="204" t="s">
        <v>90</v>
      </c>
    </row>
    <row r="81" spans="11:11" hidden="1" x14ac:dyDescent="0.2">
      <c r="K81" s="204" t="s">
        <v>91</v>
      </c>
    </row>
    <row r="82" spans="11:11" hidden="1" x14ac:dyDescent="0.2">
      <c r="K82" s="204" t="s">
        <v>92</v>
      </c>
    </row>
    <row r="83" spans="11:11" hidden="1" x14ac:dyDescent="0.2">
      <c r="K83" s="204" t="s">
        <v>93</v>
      </c>
    </row>
    <row r="84" spans="11:11" hidden="1" x14ac:dyDescent="0.2">
      <c r="K84" s="204" t="s">
        <v>94</v>
      </c>
    </row>
    <row r="85" spans="11:11" hidden="1" x14ac:dyDescent="0.2">
      <c r="K85" s="204" t="s">
        <v>47</v>
      </c>
    </row>
  </sheetData>
  <dataValidations count="3">
    <dataValidation type="list" allowBlank="1" showInputMessage="1" showErrorMessage="1" sqref="I50 K15:K21" xr:uid="{1C579EBD-6706-44ED-B704-A375970A6D9F}">
      <formula1>$I$41:$I$50</formula1>
    </dataValidation>
    <dataValidation type="list" allowBlank="1" showInputMessage="1" showErrorMessage="1" sqref="B20:B21" xr:uid="{7A0A945C-81D8-4724-A67B-092250BEAD9D}">
      <formula1>$K$29:$K$40</formula1>
    </dataValidation>
    <dataValidation type="list" allowBlank="1" showInputMessage="1" showErrorMessage="1" sqref="B16:B19" xr:uid="{6CD032BB-5467-4B42-BF15-ACB41211B123}">
      <formula1>$K$29:$K$85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5D3CE-7DEA-466A-9221-2A13E2746A5F}">
  <dimension ref="A1:K85"/>
  <sheetViews>
    <sheetView workbookViewId="0">
      <selection sqref="A1:XFD1048576"/>
    </sheetView>
  </sheetViews>
  <sheetFormatPr baseColWidth="10" defaultColWidth="9.1640625" defaultRowHeight="16" x14ac:dyDescent="0.2"/>
  <cols>
    <col min="1" max="1" width="5.1640625" style="204" customWidth="1"/>
    <col min="2" max="2" width="22.5" style="204" customWidth="1"/>
    <col min="3" max="3" width="6.1640625" style="204" customWidth="1"/>
    <col min="4" max="4" width="12.5" style="204" bestFit="1" customWidth="1"/>
    <col min="5" max="5" width="9.83203125" style="204" customWidth="1"/>
    <col min="6" max="6" width="9.33203125" style="204" bestFit="1" customWidth="1"/>
    <col min="7" max="7" width="8.6640625" style="204" customWidth="1"/>
    <col min="8" max="8" width="9.5" style="204" bestFit="1" customWidth="1"/>
    <col min="9" max="9" width="17.83203125" style="204" bestFit="1" customWidth="1"/>
    <col min="10" max="10" width="10.33203125" style="204" bestFit="1" customWidth="1"/>
    <col min="11" max="11" width="75" style="204" bestFit="1" customWidth="1"/>
    <col min="12" max="16384" width="9.1640625" style="204"/>
  </cols>
  <sheetData>
    <row r="1" spans="1:11" x14ac:dyDescent="0.2">
      <c r="A1" s="204" t="s">
        <v>0</v>
      </c>
      <c r="I1" s="219"/>
    </row>
    <row r="2" spans="1:11" x14ac:dyDescent="0.2">
      <c r="J2" s="220"/>
    </row>
    <row r="3" spans="1:11" x14ac:dyDescent="0.2">
      <c r="A3" s="219" t="s">
        <v>1</v>
      </c>
    </row>
    <row r="4" spans="1:11" x14ac:dyDescent="0.2">
      <c r="A4" s="219"/>
      <c r="I4" s="220" t="s">
        <v>2</v>
      </c>
      <c r="J4" s="221">
        <v>45934</v>
      </c>
    </row>
    <row r="5" spans="1:11" x14ac:dyDescent="0.2">
      <c r="J5" s="204" t="s">
        <v>3</v>
      </c>
    </row>
    <row r="6" spans="1:11" ht="34" x14ac:dyDescent="0.2">
      <c r="A6" s="11" t="s">
        <v>4</v>
      </c>
      <c r="B6" s="11" t="s">
        <v>5</v>
      </c>
      <c r="C6" s="11" t="s">
        <v>6</v>
      </c>
      <c r="D6" s="11" t="s">
        <v>7</v>
      </c>
      <c r="E6" s="11" t="s">
        <v>8</v>
      </c>
      <c r="F6" s="11" t="s">
        <v>9</v>
      </c>
      <c r="G6" s="222" t="s">
        <v>10</v>
      </c>
      <c r="H6" s="222" t="s">
        <v>11</v>
      </c>
      <c r="I6" s="222" t="s">
        <v>12</v>
      </c>
      <c r="J6" s="223"/>
      <c r="K6" s="11" t="s">
        <v>13</v>
      </c>
    </row>
    <row r="7" spans="1:11" ht="34" x14ac:dyDescent="0.2">
      <c r="A7" s="222"/>
      <c r="B7" s="224"/>
      <c r="C7" s="11"/>
      <c r="D7" s="11" t="s">
        <v>14</v>
      </c>
      <c r="E7" s="11" t="s">
        <v>15</v>
      </c>
      <c r="F7" s="225" t="s">
        <v>16</v>
      </c>
      <c r="G7" s="225" t="s">
        <v>15</v>
      </c>
      <c r="H7" s="225" t="s">
        <v>17</v>
      </c>
      <c r="I7" s="11" t="s">
        <v>18</v>
      </c>
      <c r="J7" s="225" t="s">
        <v>19</v>
      </c>
      <c r="K7" s="225"/>
    </row>
    <row r="8" spans="1:11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2">
      <c r="A9" s="186">
        <v>1</v>
      </c>
      <c r="B9" s="187" t="s">
        <v>241</v>
      </c>
      <c r="C9" s="161">
        <v>14</v>
      </c>
      <c r="D9" s="14">
        <v>2.85</v>
      </c>
      <c r="E9" s="163">
        <v>1498</v>
      </c>
      <c r="F9" s="162">
        <v>25.2</v>
      </c>
      <c r="G9" s="15">
        <f t="shared" ref="G9:G11" si="0">E9*F9</f>
        <v>37749.599999999999</v>
      </c>
      <c r="H9" s="16">
        <f>F9*C9</f>
        <v>352.8</v>
      </c>
      <c r="I9" s="179" t="s">
        <v>20</v>
      </c>
      <c r="J9" s="188">
        <v>2.0833333333333332E-2</v>
      </c>
      <c r="K9" s="202" t="s">
        <v>239</v>
      </c>
    </row>
    <row r="10" spans="1:11" ht="17" x14ac:dyDescent="0.2">
      <c r="A10" s="190">
        <v>2</v>
      </c>
      <c r="B10" s="187" t="s">
        <v>241</v>
      </c>
      <c r="C10" s="161">
        <v>15</v>
      </c>
      <c r="D10" s="14">
        <v>2.85</v>
      </c>
      <c r="E10" s="163">
        <v>1494</v>
      </c>
      <c r="F10" s="162">
        <v>41.3</v>
      </c>
      <c r="G10" s="15">
        <f t="shared" si="0"/>
        <v>61702.2</v>
      </c>
      <c r="H10" s="16">
        <f t="shared" ref="H10:H11" si="1">F10*C10</f>
        <v>619.5</v>
      </c>
      <c r="I10" s="179" t="s">
        <v>44</v>
      </c>
      <c r="J10" s="188">
        <v>6.9444444444444441E-3</v>
      </c>
      <c r="K10" s="189" t="s">
        <v>44</v>
      </c>
    </row>
    <row r="11" spans="1:11" ht="17" x14ac:dyDescent="0.2">
      <c r="A11" s="186">
        <v>3</v>
      </c>
      <c r="B11" s="187" t="s">
        <v>241</v>
      </c>
      <c r="C11" s="161">
        <v>16</v>
      </c>
      <c r="D11" s="14">
        <v>2.85</v>
      </c>
      <c r="E11" s="163">
        <v>1494</v>
      </c>
      <c r="F11" s="175">
        <v>3.5</v>
      </c>
      <c r="G11" s="15">
        <f t="shared" si="0"/>
        <v>5229</v>
      </c>
      <c r="H11" s="16">
        <f t="shared" si="1"/>
        <v>56</v>
      </c>
      <c r="I11" s="179" t="s">
        <v>233</v>
      </c>
      <c r="J11" s="188">
        <v>0.16666666666666666</v>
      </c>
      <c r="K11" s="189" t="s">
        <v>238</v>
      </c>
    </row>
    <row r="12" spans="1:11" ht="19.25" customHeight="1" x14ac:dyDescent="0.2">
      <c r="A12" s="190"/>
      <c r="B12" s="187"/>
      <c r="C12" s="176"/>
      <c r="D12" s="14"/>
      <c r="E12" s="177"/>
      <c r="F12" s="178"/>
      <c r="G12" s="15"/>
      <c r="H12" s="16"/>
      <c r="I12" s="195"/>
      <c r="J12" s="194"/>
      <c r="K12" s="189"/>
    </row>
    <row r="13" spans="1:11" x14ac:dyDescent="0.2">
      <c r="A13" s="191"/>
      <c r="B13" s="187"/>
      <c r="C13" s="176"/>
      <c r="D13" s="14"/>
      <c r="E13" s="177"/>
      <c r="F13" s="178"/>
      <c r="G13" s="15"/>
      <c r="H13" s="16"/>
      <c r="I13" s="179"/>
      <c r="J13" s="188"/>
      <c r="K13" s="189"/>
    </row>
    <row r="14" spans="1:11" x14ac:dyDescent="0.2">
      <c r="A14" s="186"/>
      <c r="B14" s="187"/>
      <c r="C14" s="180"/>
      <c r="D14" s="14"/>
      <c r="E14" s="181"/>
      <c r="F14" s="182"/>
      <c r="G14" s="15"/>
      <c r="H14" s="16"/>
      <c r="I14" s="195"/>
      <c r="J14" s="194"/>
      <c r="K14" s="203"/>
    </row>
    <row r="15" spans="1:11" x14ac:dyDescent="0.2">
      <c r="A15" s="190"/>
      <c r="B15" s="187"/>
      <c r="C15" s="192"/>
      <c r="D15" s="14"/>
      <c r="E15" s="181"/>
      <c r="F15" s="193"/>
      <c r="G15" s="15"/>
      <c r="H15" s="16"/>
      <c r="I15" s="19"/>
      <c r="J15" s="18"/>
      <c r="K15" s="17"/>
    </row>
    <row r="16" spans="1:11" x14ac:dyDescent="0.2">
      <c r="A16" s="197"/>
      <c r="B16" s="198"/>
      <c r="C16" s="161"/>
      <c r="D16" s="14"/>
      <c r="E16" s="177"/>
      <c r="F16" s="161"/>
      <c r="G16" s="15"/>
      <c r="H16" s="16"/>
      <c r="I16" s="19"/>
      <c r="J16" s="18"/>
      <c r="K16" s="20"/>
    </row>
    <row r="17" spans="1:11" x14ac:dyDescent="0.2">
      <c r="A17" s="197"/>
      <c r="B17" s="198"/>
      <c r="C17" s="161"/>
      <c r="D17" s="14"/>
      <c r="E17" s="181"/>
      <c r="F17" s="161"/>
      <c r="G17" s="15"/>
      <c r="H17" s="16"/>
      <c r="I17" s="19"/>
      <c r="J17" s="18"/>
      <c r="K17" s="20"/>
    </row>
    <row r="18" spans="1:11" x14ac:dyDescent="0.2">
      <c r="A18" s="197"/>
      <c r="B18" s="198"/>
      <c r="C18" s="161"/>
      <c r="D18" s="14"/>
      <c r="E18" s="181"/>
      <c r="F18" s="161"/>
      <c r="G18" s="15"/>
      <c r="H18" s="16"/>
      <c r="I18" s="10"/>
      <c r="J18" s="13"/>
      <c r="K18" s="10"/>
    </row>
    <row r="19" spans="1:11" x14ac:dyDescent="0.2">
      <c r="A19" s="11"/>
      <c r="B19" s="10"/>
      <c r="C19" s="12"/>
      <c r="D19" s="200"/>
      <c r="E19" s="11"/>
      <c r="F19" s="12"/>
      <c r="G19" s="201"/>
      <c r="H19" s="12"/>
      <c r="I19" s="10"/>
      <c r="J19" s="13"/>
      <c r="K19" s="10"/>
    </row>
    <row r="20" spans="1:11" x14ac:dyDescent="0.2">
      <c r="A20" s="11"/>
      <c r="B20" s="10"/>
      <c r="C20" s="12"/>
      <c r="D20" s="200"/>
      <c r="E20" s="11"/>
      <c r="F20" s="12"/>
      <c r="G20" s="201"/>
      <c r="H20" s="12"/>
      <c r="I20" s="10"/>
      <c r="J20" s="13"/>
      <c r="K20" s="10"/>
    </row>
    <row r="21" spans="1:11" x14ac:dyDescent="0.2">
      <c r="A21" s="11"/>
      <c r="B21" s="10"/>
      <c r="C21" s="205"/>
      <c r="D21" s="11"/>
      <c r="E21" s="13"/>
      <c r="F21" s="205"/>
      <c r="G21" s="201"/>
      <c r="H21" s="12"/>
      <c r="I21" s="10"/>
      <c r="J21" s="13"/>
      <c r="K21" s="10"/>
    </row>
    <row r="22" spans="1:11" x14ac:dyDescent="0.2">
      <c r="A22" s="206"/>
      <c r="B22" s="207"/>
      <c r="C22" s="208"/>
      <c r="D22" s="208"/>
      <c r="E22" s="226" t="s">
        <v>21</v>
      </c>
      <c r="F22" s="227">
        <f>SUM(F9:F21)</f>
        <v>70</v>
      </c>
      <c r="G22" s="228">
        <f>SUM(G9:G21)/F22</f>
        <v>1495.4399999999998</v>
      </c>
      <c r="H22" s="229">
        <f>SUM(H9:H21)/F22</f>
        <v>14.69</v>
      </c>
      <c r="I22" s="209" t="s">
        <v>22</v>
      </c>
      <c r="J22" s="210">
        <v>0.19444444444444445</v>
      </c>
      <c r="K22" s="207"/>
    </row>
    <row r="23" spans="1:11" x14ac:dyDescent="0.2">
      <c r="E23" s="211"/>
      <c r="F23" s="212"/>
      <c r="I23" s="230" t="s">
        <v>23</v>
      </c>
      <c r="J23" s="231">
        <v>4.67</v>
      </c>
    </row>
    <row r="24" spans="1:11" x14ac:dyDescent="0.2">
      <c r="I24" s="212"/>
      <c r="J24" s="213"/>
    </row>
    <row r="25" spans="1:11" x14ac:dyDescent="0.2">
      <c r="A25" s="10" t="s">
        <v>24</v>
      </c>
      <c r="B25" s="10"/>
      <c r="C25" s="10"/>
      <c r="D25" s="205"/>
      <c r="H25" s="220" t="s">
        <v>25</v>
      </c>
      <c r="I25" s="220"/>
      <c r="J25" s="211">
        <f>F22</f>
        <v>70</v>
      </c>
      <c r="K25" s="204" t="s">
        <v>16</v>
      </c>
    </row>
    <row r="26" spans="1:11" x14ac:dyDescent="0.2">
      <c r="A26" s="10" t="s">
        <v>26</v>
      </c>
      <c r="B26" s="10"/>
      <c r="C26" s="10"/>
      <c r="D26" s="205"/>
      <c r="H26" s="220" t="s">
        <v>27</v>
      </c>
      <c r="I26" s="220"/>
      <c r="J26" s="211">
        <f>100+96+78+70</f>
        <v>344</v>
      </c>
      <c r="K26" s="204" t="s">
        <v>16</v>
      </c>
    </row>
    <row r="27" spans="1:11" ht="17" thickBot="1" x14ac:dyDescent="0.25">
      <c r="A27" s="214"/>
      <c r="B27" s="214"/>
      <c r="C27" s="214"/>
      <c r="D27" s="214"/>
      <c r="E27" s="215"/>
      <c r="F27" s="215"/>
      <c r="G27" s="214"/>
      <c r="H27" s="232" t="s">
        <v>28</v>
      </c>
      <c r="I27" s="232"/>
      <c r="J27" s="216">
        <v>10.75</v>
      </c>
      <c r="K27" s="214" t="s">
        <v>29</v>
      </c>
    </row>
    <row r="28" spans="1:11" x14ac:dyDescent="0.2">
      <c r="J28" s="204" t="s">
        <v>3</v>
      </c>
    </row>
    <row r="29" spans="1:11" hidden="1" x14ac:dyDescent="0.2">
      <c r="K29" s="204" t="s">
        <v>30</v>
      </c>
    </row>
    <row r="30" spans="1:11" hidden="1" x14ac:dyDescent="0.2">
      <c r="K30" s="204" t="s">
        <v>31</v>
      </c>
    </row>
    <row r="31" spans="1:11" hidden="1" x14ac:dyDescent="0.2">
      <c r="K31" s="204" t="s">
        <v>32</v>
      </c>
    </row>
    <row r="32" spans="1:11" hidden="1" x14ac:dyDescent="0.2">
      <c r="K32" s="204" t="s">
        <v>33</v>
      </c>
    </row>
    <row r="33" spans="9:11" hidden="1" x14ac:dyDescent="0.2">
      <c r="K33" s="204" t="s">
        <v>34</v>
      </c>
    </row>
    <row r="34" spans="9:11" hidden="1" x14ac:dyDescent="0.2">
      <c r="K34" s="204" t="s">
        <v>35</v>
      </c>
    </row>
    <row r="35" spans="9:11" hidden="1" x14ac:dyDescent="0.2">
      <c r="K35" s="204" t="s">
        <v>36</v>
      </c>
    </row>
    <row r="36" spans="9:11" hidden="1" x14ac:dyDescent="0.2">
      <c r="K36" s="204" t="s">
        <v>37</v>
      </c>
    </row>
    <row r="37" spans="9:11" hidden="1" x14ac:dyDescent="0.2">
      <c r="K37" s="204" t="s">
        <v>38</v>
      </c>
    </row>
    <row r="38" spans="9:11" hidden="1" x14ac:dyDescent="0.2">
      <c r="K38" s="204" t="s">
        <v>39</v>
      </c>
    </row>
    <row r="39" spans="9:11" hidden="1" x14ac:dyDescent="0.2">
      <c r="K39" s="204" t="s">
        <v>40</v>
      </c>
    </row>
    <row r="40" spans="9:11" hidden="1" x14ac:dyDescent="0.2">
      <c r="K40" s="204" t="s">
        <v>41</v>
      </c>
    </row>
    <row r="41" spans="9:11" ht="34" hidden="1" x14ac:dyDescent="0.2">
      <c r="I41" s="217" t="s">
        <v>42</v>
      </c>
      <c r="K41" s="204" t="s">
        <v>43</v>
      </c>
    </row>
    <row r="42" spans="9:11" ht="17" hidden="1" x14ac:dyDescent="0.2">
      <c r="I42" s="217" t="s">
        <v>44</v>
      </c>
      <c r="K42" s="204" t="s">
        <v>45</v>
      </c>
    </row>
    <row r="43" spans="9:11" hidden="1" x14ac:dyDescent="0.2">
      <c r="I43" s="218" t="s">
        <v>46</v>
      </c>
      <c r="K43" s="204" t="s">
        <v>47</v>
      </c>
    </row>
    <row r="44" spans="9:11" hidden="1" x14ac:dyDescent="0.2">
      <c r="I44" s="204" t="s">
        <v>48</v>
      </c>
      <c r="K44" s="204" t="s">
        <v>49</v>
      </c>
    </row>
    <row r="45" spans="9:11" hidden="1" x14ac:dyDescent="0.2">
      <c r="I45" s="204" t="s">
        <v>50</v>
      </c>
      <c r="K45" s="204" t="s">
        <v>51</v>
      </c>
    </row>
    <row r="46" spans="9:11" hidden="1" x14ac:dyDescent="0.2">
      <c r="I46" s="204" t="s">
        <v>52</v>
      </c>
      <c r="K46" s="204" t="s">
        <v>53</v>
      </c>
    </row>
    <row r="47" spans="9:11" hidden="1" x14ac:dyDescent="0.2">
      <c r="I47" s="204" t="s">
        <v>54</v>
      </c>
      <c r="K47" s="204" t="s">
        <v>55</v>
      </c>
    </row>
    <row r="48" spans="9:11" hidden="1" x14ac:dyDescent="0.2">
      <c r="I48" s="204" t="s">
        <v>56</v>
      </c>
      <c r="K48" s="204" t="s">
        <v>57</v>
      </c>
    </row>
    <row r="49" spans="9:11" hidden="1" x14ac:dyDescent="0.2">
      <c r="I49" s="204" t="s">
        <v>58</v>
      </c>
      <c r="K49" s="204" t="s">
        <v>59</v>
      </c>
    </row>
    <row r="50" spans="9:11" hidden="1" x14ac:dyDescent="0.2">
      <c r="I50" s="204" t="s">
        <v>60</v>
      </c>
      <c r="K50" s="204" t="s">
        <v>61</v>
      </c>
    </row>
    <row r="51" spans="9:11" hidden="1" x14ac:dyDescent="0.2">
      <c r="K51" s="204" t="s">
        <v>62</v>
      </c>
    </row>
    <row r="52" spans="9:11" hidden="1" x14ac:dyDescent="0.2">
      <c r="K52" s="204" t="s">
        <v>63</v>
      </c>
    </row>
    <row r="53" spans="9:11" hidden="1" x14ac:dyDescent="0.2">
      <c r="K53" s="204" t="s">
        <v>64</v>
      </c>
    </row>
    <row r="54" spans="9:11" hidden="1" x14ac:dyDescent="0.2">
      <c r="K54" s="204" t="s">
        <v>65</v>
      </c>
    </row>
    <row r="55" spans="9:11" hidden="1" x14ac:dyDescent="0.2">
      <c r="K55" s="204" t="s">
        <v>66</v>
      </c>
    </row>
    <row r="56" spans="9:11" hidden="1" x14ac:dyDescent="0.2">
      <c r="K56" s="204" t="s">
        <v>67</v>
      </c>
    </row>
    <row r="57" spans="9:11" hidden="1" x14ac:dyDescent="0.2">
      <c r="K57" s="204" t="s">
        <v>68</v>
      </c>
    </row>
    <row r="58" spans="9:11" hidden="1" x14ac:dyDescent="0.2">
      <c r="K58" s="204" t="s">
        <v>69</v>
      </c>
    </row>
    <row r="59" spans="9:11" hidden="1" x14ac:dyDescent="0.2">
      <c r="K59" s="204" t="s">
        <v>70</v>
      </c>
    </row>
    <row r="60" spans="9:11" hidden="1" x14ac:dyDescent="0.2">
      <c r="K60" s="204" t="s">
        <v>71</v>
      </c>
    </row>
    <row r="61" spans="9:11" hidden="1" x14ac:dyDescent="0.2">
      <c r="K61" s="204" t="s">
        <v>72</v>
      </c>
    </row>
    <row r="62" spans="9:11" hidden="1" x14ac:dyDescent="0.2">
      <c r="K62" s="204" t="s">
        <v>73</v>
      </c>
    </row>
    <row r="63" spans="9:11" hidden="1" x14ac:dyDescent="0.2">
      <c r="K63" s="204" t="s">
        <v>67</v>
      </c>
    </row>
    <row r="64" spans="9:11" hidden="1" x14ac:dyDescent="0.2">
      <c r="K64" s="204" t="s">
        <v>74</v>
      </c>
    </row>
    <row r="65" spans="11:11" hidden="1" x14ac:dyDescent="0.2">
      <c r="K65" s="204" t="s">
        <v>75</v>
      </c>
    </row>
    <row r="66" spans="11:11" hidden="1" x14ac:dyDescent="0.2">
      <c r="K66" s="204" t="s">
        <v>76</v>
      </c>
    </row>
    <row r="67" spans="11:11" hidden="1" x14ac:dyDescent="0.2">
      <c r="K67" s="204" t="s">
        <v>77</v>
      </c>
    </row>
    <row r="68" spans="11:11" hidden="1" x14ac:dyDescent="0.2">
      <c r="K68" s="204" t="s">
        <v>78</v>
      </c>
    </row>
    <row r="69" spans="11:11" hidden="1" x14ac:dyDescent="0.2">
      <c r="K69" s="204" t="s">
        <v>79</v>
      </c>
    </row>
    <row r="70" spans="11:11" hidden="1" x14ac:dyDescent="0.2">
      <c r="K70" s="204" t="s">
        <v>80</v>
      </c>
    </row>
    <row r="71" spans="11:11" hidden="1" x14ac:dyDescent="0.2">
      <c r="K71" s="204" t="s">
        <v>81</v>
      </c>
    </row>
    <row r="72" spans="11:11" hidden="1" x14ac:dyDescent="0.2">
      <c r="K72" s="204" t="s">
        <v>82</v>
      </c>
    </row>
    <row r="73" spans="11:11" hidden="1" x14ac:dyDescent="0.2">
      <c r="K73" s="204" t="s">
        <v>83</v>
      </c>
    </row>
    <row r="74" spans="11:11" hidden="1" x14ac:dyDescent="0.2">
      <c r="K74" s="204" t="s">
        <v>84</v>
      </c>
    </row>
    <row r="75" spans="11:11" hidden="1" x14ac:dyDescent="0.2">
      <c r="K75" s="204" t="s">
        <v>85</v>
      </c>
    </row>
    <row r="76" spans="11:11" hidden="1" x14ac:dyDescent="0.2">
      <c r="K76" s="204" t="s">
        <v>86</v>
      </c>
    </row>
    <row r="77" spans="11:11" hidden="1" x14ac:dyDescent="0.2">
      <c r="K77" s="204" t="s">
        <v>87</v>
      </c>
    </row>
    <row r="78" spans="11:11" hidden="1" x14ac:dyDescent="0.2">
      <c r="K78" s="204" t="s">
        <v>88</v>
      </c>
    </row>
    <row r="79" spans="11:11" hidden="1" x14ac:dyDescent="0.2">
      <c r="K79" s="204" t="s">
        <v>89</v>
      </c>
    </row>
    <row r="80" spans="11:11" hidden="1" x14ac:dyDescent="0.2">
      <c r="K80" s="204" t="s">
        <v>90</v>
      </c>
    </row>
    <row r="81" spans="11:11" hidden="1" x14ac:dyDescent="0.2">
      <c r="K81" s="204" t="s">
        <v>91</v>
      </c>
    </row>
    <row r="82" spans="11:11" hidden="1" x14ac:dyDescent="0.2">
      <c r="K82" s="204" t="s">
        <v>92</v>
      </c>
    </row>
    <row r="83" spans="11:11" hidden="1" x14ac:dyDescent="0.2">
      <c r="K83" s="204" t="s">
        <v>93</v>
      </c>
    </row>
    <row r="84" spans="11:11" hidden="1" x14ac:dyDescent="0.2">
      <c r="K84" s="204" t="s">
        <v>94</v>
      </c>
    </row>
    <row r="85" spans="11:11" hidden="1" x14ac:dyDescent="0.2">
      <c r="K85" s="204" t="s">
        <v>47</v>
      </c>
    </row>
  </sheetData>
  <dataValidations count="3">
    <dataValidation type="list" allowBlank="1" showInputMessage="1" showErrorMessage="1" sqref="B16:B19" xr:uid="{AEABD4DE-1376-4212-ABB9-D83139FE2E35}">
      <formula1>$K$29:$K$85</formula1>
    </dataValidation>
    <dataValidation type="list" allowBlank="1" showInputMessage="1" showErrorMessage="1" sqref="B20:B21" xr:uid="{7CC89B14-66B9-4119-84DD-C4327175340D}">
      <formula1>$K$29:$K$40</formula1>
    </dataValidation>
    <dataValidation type="list" allowBlank="1" showInputMessage="1" showErrorMessage="1" sqref="I50 K15:K21" xr:uid="{C888E1E0-90D1-4071-8663-E422231BB809}">
      <formula1>$I$41:$I$50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BD424-235C-41F3-A3BD-14F510610087}">
  <dimension ref="A1:K85"/>
  <sheetViews>
    <sheetView workbookViewId="0">
      <selection sqref="A1:XFD1048576"/>
    </sheetView>
  </sheetViews>
  <sheetFormatPr baseColWidth="10" defaultColWidth="9.1640625" defaultRowHeight="16" x14ac:dyDescent="0.2"/>
  <cols>
    <col min="1" max="1" width="5.1640625" style="204" customWidth="1"/>
    <col min="2" max="2" width="22.5" style="204" customWidth="1"/>
    <col min="3" max="3" width="6.1640625" style="204" customWidth="1"/>
    <col min="4" max="4" width="12.5" style="204" bestFit="1" customWidth="1"/>
    <col min="5" max="5" width="9.83203125" style="204" customWidth="1"/>
    <col min="6" max="6" width="9.33203125" style="204" bestFit="1" customWidth="1"/>
    <col min="7" max="7" width="8.6640625" style="204" customWidth="1"/>
    <col min="8" max="8" width="9.5" style="204" bestFit="1" customWidth="1"/>
    <col min="9" max="9" width="17.83203125" style="204" bestFit="1" customWidth="1"/>
    <col min="10" max="10" width="10.33203125" style="204" bestFit="1" customWidth="1"/>
    <col min="11" max="11" width="75" style="204" bestFit="1" customWidth="1"/>
    <col min="12" max="16384" width="9.1640625" style="204"/>
  </cols>
  <sheetData>
    <row r="1" spans="1:11" x14ac:dyDescent="0.2">
      <c r="A1" s="204" t="s">
        <v>0</v>
      </c>
      <c r="I1" s="219"/>
    </row>
    <row r="2" spans="1:11" x14ac:dyDescent="0.2">
      <c r="J2" s="220"/>
    </row>
    <row r="3" spans="1:11" x14ac:dyDescent="0.2">
      <c r="A3" s="219" t="s">
        <v>1</v>
      </c>
    </row>
    <row r="4" spans="1:11" x14ac:dyDescent="0.2">
      <c r="A4" s="219"/>
      <c r="I4" s="220" t="s">
        <v>2</v>
      </c>
      <c r="J4" s="221">
        <v>45935</v>
      </c>
    </row>
    <row r="5" spans="1:11" x14ac:dyDescent="0.2">
      <c r="J5" s="204" t="s">
        <v>3</v>
      </c>
    </row>
    <row r="6" spans="1:11" ht="34" x14ac:dyDescent="0.2">
      <c r="A6" s="11" t="s">
        <v>4</v>
      </c>
      <c r="B6" s="11" t="s">
        <v>5</v>
      </c>
      <c r="C6" s="11" t="s">
        <v>6</v>
      </c>
      <c r="D6" s="11" t="s">
        <v>7</v>
      </c>
      <c r="E6" s="11" t="s">
        <v>8</v>
      </c>
      <c r="F6" s="11" t="s">
        <v>9</v>
      </c>
      <c r="G6" s="222" t="s">
        <v>10</v>
      </c>
      <c r="H6" s="222" t="s">
        <v>11</v>
      </c>
      <c r="I6" s="222" t="s">
        <v>12</v>
      </c>
      <c r="J6" s="223"/>
      <c r="K6" s="11" t="s">
        <v>13</v>
      </c>
    </row>
    <row r="7" spans="1:11" ht="34" x14ac:dyDescent="0.2">
      <c r="A7" s="222"/>
      <c r="B7" s="224"/>
      <c r="C7" s="11"/>
      <c r="D7" s="11" t="s">
        <v>14</v>
      </c>
      <c r="E7" s="11" t="s">
        <v>15</v>
      </c>
      <c r="F7" s="225" t="s">
        <v>16</v>
      </c>
      <c r="G7" s="225" t="s">
        <v>15</v>
      </c>
      <c r="H7" s="225" t="s">
        <v>17</v>
      </c>
      <c r="I7" s="11" t="s">
        <v>18</v>
      </c>
      <c r="J7" s="225" t="s">
        <v>19</v>
      </c>
      <c r="K7" s="225"/>
    </row>
    <row r="8" spans="1:11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2">
      <c r="A9" s="186">
        <v>1</v>
      </c>
      <c r="B9" s="187" t="s">
        <v>241</v>
      </c>
      <c r="C9" s="161">
        <v>14</v>
      </c>
      <c r="D9" s="14">
        <v>2.85</v>
      </c>
      <c r="E9" s="163">
        <v>1494</v>
      </c>
      <c r="F9" s="162">
        <v>65.400000000000006</v>
      </c>
      <c r="G9" s="15">
        <f t="shared" ref="G9:G10" si="0">E9*F9</f>
        <v>97707.6</v>
      </c>
      <c r="H9" s="16">
        <f>F9*C9</f>
        <v>915.60000000000014</v>
      </c>
      <c r="I9" s="179" t="s">
        <v>20</v>
      </c>
      <c r="J9" s="188">
        <v>2.0833333333333332E-2</v>
      </c>
      <c r="K9" s="202" t="s">
        <v>239</v>
      </c>
    </row>
    <row r="10" spans="1:11" ht="17" x14ac:dyDescent="0.2">
      <c r="A10" s="190">
        <v>2</v>
      </c>
      <c r="B10" s="187" t="s">
        <v>241</v>
      </c>
      <c r="C10" s="161">
        <v>15</v>
      </c>
      <c r="D10" s="14">
        <v>2.85</v>
      </c>
      <c r="E10" s="163">
        <v>1494</v>
      </c>
      <c r="F10" s="162">
        <v>17.600000000000001</v>
      </c>
      <c r="G10" s="15">
        <f t="shared" si="0"/>
        <v>26294.400000000001</v>
      </c>
      <c r="H10" s="16">
        <f t="shared" ref="H10" si="1">F10*C10</f>
        <v>264</v>
      </c>
      <c r="I10" s="179" t="s">
        <v>44</v>
      </c>
      <c r="J10" s="188">
        <v>6.9444444444444441E-3</v>
      </c>
      <c r="K10" s="189" t="s">
        <v>44</v>
      </c>
    </row>
    <row r="11" spans="1:11" x14ac:dyDescent="0.2">
      <c r="A11" s="186"/>
      <c r="B11" s="187"/>
      <c r="C11" s="161"/>
      <c r="D11" s="14"/>
      <c r="E11" s="163"/>
      <c r="F11" s="175"/>
      <c r="G11" s="15"/>
      <c r="H11" s="16"/>
      <c r="I11" s="179"/>
      <c r="J11" s="188"/>
      <c r="K11" s="189"/>
    </row>
    <row r="12" spans="1:11" ht="19.25" customHeight="1" x14ac:dyDescent="0.2">
      <c r="A12" s="190"/>
      <c r="B12" s="187"/>
      <c r="C12" s="176"/>
      <c r="D12" s="14"/>
      <c r="E12" s="177"/>
      <c r="F12" s="178"/>
      <c r="G12" s="15"/>
      <c r="H12" s="16"/>
      <c r="I12" s="195"/>
      <c r="J12" s="194"/>
      <c r="K12" s="189"/>
    </row>
    <row r="13" spans="1:11" x14ac:dyDescent="0.2">
      <c r="A13" s="191"/>
      <c r="B13" s="187"/>
      <c r="C13" s="176"/>
      <c r="D13" s="14"/>
      <c r="E13" s="177"/>
      <c r="F13" s="178"/>
      <c r="G13" s="15"/>
      <c r="H13" s="16"/>
      <c r="I13" s="179"/>
      <c r="J13" s="188"/>
      <c r="K13" s="189"/>
    </row>
    <row r="14" spans="1:11" x14ac:dyDescent="0.2">
      <c r="A14" s="186"/>
      <c r="B14" s="187"/>
      <c r="C14" s="180"/>
      <c r="D14" s="14"/>
      <c r="E14" s="181"/>
      <c r="F14" s="182"/>
      <c r="G14" s="15"/>
      <c r="H14" s="16"/>
      <c r="I14" s="195"/>
      <c r="J14" s="194"/>
      <c r="K14" s="203"/>
    </row>
    <row r="15" spans="1:11" x14ac:dyDescent="0.2">
      <c r="A15" s="190"/>
      <c r="B15" s="187"/>
      <c r="C15" s="192"/>
      <c r="D15" s="14"/>
      <c r="E15" s="181"/>
      <c r="F15" s="193"/>
      <c r="G15" s="15"/>
      <c r="H15" s="16"/>
      <c r="I15" s="19"/>
      <c r="J15" s="18"/>
      <c r="K15" s="17"/>
    </row>
    <row r="16" spans="1:11" x14ac:dyDescent="0.2">
      <c r="A16" s="197"/>
      <c r="B16" s="198"/>
      <c r="C16" s="161"/>
      <c r="D16" s="14"/>
      <c r="E16" s="177"/>
      <c r="F16" s="161"/>
      <c r="G16" s="15"/>
      <c r="H16" s="16"/>
      <c r="I16" s="19"/>
      <c r="J16" s="18"/>
      <c r="K16" s="20"/>
    </row>
    <row r="17" spans="1:11" x14ac:dyDescent="0.2">
      <c r="A17" s="197"/>
      <c r="B17" s="198"/>
      <c r="C17" s="161"/>
      <c r="D17" s="14"/>
      <c r="E17" s="181"/>
      <c r="F17" s="161"/>
      <c r="G17" s="15"/>
      <c r="H17" s="16"/>
      <c r="I17" s="19"/>
      <c r="J17" s="18"/>
      <c r="K17" s="20"/>
    </row>
    <row r="18" spans="1:11" x14ac:dyDescent="0.2">
      <c r="A18" s="197"/>
      <c r="B18" s="198"/>
      <c r="C18" s="161"/>
      <c r="D18" s="14"/>
      <c r="E18" s="181"/>
      <c r="F18" s="161"/>
      <c r="G18" s="15"/>
      <c r="H18" s="16"/>
      <c r="I18" s="10"/>
      <c r="J18" s="13"/>
      <c r="K18" s="10"/>
    </row>
    <row r="19" spans="1:11" x14ac:dyDescent="0.2">
      <c r="A19" s="11"/>
      <c r="B19" s="10"/>
      <c r="C19" s="12"/>
      <c r="D19" s="200"/>
      <c r="E19" s="11"/>
      <c r="F19" s="12"/>
      <c r="G19" s="201"/>
      <c r="H19" s="12"/>
      <c r="I19" s="10"/>
      <c r="J19" s="13"/>
      <c r="K19" s="10"/>
    </row>
    <row r="20" spans="1:11" x14ac:dyDescent="0.2">
      <c r="A20" s="11"/>
      <c r="B20" s="10"/>
      <c r="C20" s="12"/>
      <c r="D20" s="200"/>
      <c r="E20" s="11"/>
      <c r="F20" s="12"/>
      <c r="G20" s="201"/>
      <c r="H20" s="12"/>
      <c r="I20" s="10"/>
      <c r="J20" s="13"/>
      <c r="K20" s="10"/>
    </row>
    <row r="21" spans="1:11" x14ac:dyDescent="0.2">
      <c r="A21" s="11"/>
      <c r="B21" s="10"/>
      <c r="C21" s="205"/>
      <c r="D21" s="11"/>
      <c r="E21" s="13"/>
      <c r="F21" s="205"/>
      <c r="G21" s="201"/>
      <c r="H21" s="12"/>
      <c r="I21" s="10"/>
      <c r="J21" s="13"/>
      <c r="K21" s="10"/>
    </row>
    <row r="22" spans="1:11" x14ac:dyDescent="0.2">
      <c r="A22" s="206"/>
      <c r="B22" s="207"/>
      <c r="C22" s="208"/>
      <c r="D22" s="208"/>
      <c r="E22" s="226" t="s">
        <v>21</v>
      </c>
      <c r="F22" s="227">
        <f>SUM(F9:F21)</f>
        <v>83</v>
      </c>
      <c r="G22" s="228">
        <f>SUM(G9:G21)/F22</f>
        <v>1494</v>
      </c>
      <c r="H22" s="229">
        <f>SUM(H9:H21)/F22</f>
        <v>14.212048192771086</v>
      </c>
      <c r="I22" s="209" t="s">
        <v>22</v>
      </c>
      <c r="J22" s="210">
        <v>2.7777777777777776E-2</v>
      </c>
      <c r="K22" s="207"/>
    </row>
    <row r="23" spans="1:11" x14ac:dyDescent="0.2">
      <c r="E23" s="211"/>
      <c r="F23" s="212"/>
      <c r="I23" s="230" t="s">
        <v>23</v>
      </c>
      <c r="J23" s="231">
        <v>0.67</v>
      </c>
    </row>
    <row r="24" spans="1:11" x14ac:dyDescent="0.2">
      <c r="I24" s="212"/>
      <c r="J24" s="213"/>
    </row>
    <row r="25" spans="1:11" x14ac:dyDescent="0.2">
      <c r="A25" s="10" t="s">
        <v>24</v>
      </c>
      <c r="B25" s="10"/>
      <c r="C25" s="10"/>
      <c r="D25" s="205"/>
      <c r="H25" s="220" t="s">
        <v>25</v>
      </c>
      <c r="I25" s="220"/>
      <c r="J25" s="211">
        <f>F22</f>
        <v>83</v>
      </c>
      <c r="K25" s="204" t="s">
        <v>16</v>
      </c>
    </row>
    <row r="26" spans="1:11" x14ac:dyDescent="0.2">
      <c r="A26" s="10" t="s">
        <v>26</v>
      </c>
      <c r="B26" s="10"/>
      <c r="C26" s="10"/>
      <c r="D26" s="205"/>
      <c r="H26" s="220" t="s">
        <v>27</v>
      </c>
      <c r="I26" s="220"/>
      <c r="J26" s="211">
        <f>100+96+78+70+83</f>
        <v>427</v>
      </c>
      <c r="K26" s="204" t="s">
        <v>16</v>
      </c>
    </row>
    <row r="27" spans="1:11" ht="17" thickBot="1" x14ac:dyDescent="0.25">
      <c r="A27" s="214"/>
      <c r="B27" s="214"/>
      <c r="C27" s="214"/>
      <c r="D27" s="214"/>
      <c r="E27" s="215"/>
      <c r="F27" s="215"/>
      <c r="G27" s="214"/>
      <c r="H27" s="232" t="s">
        <v>28</v>
      </c>
      <c r="I27" s="232"/>
      <c r="J27" s="216">
        <v>11.42</v>
      </c>
      <c r="K27" s="214" t="s">
        <v>29</v>
      </c>
    </row>
    <row r="28" spans="1:11" x14ac:dyDescent="0.2">
      <c r="J28" s="204" t="s">
        <v>3</v>
      </c>
    </row>
    <row r="29" spans="1:11" hidden="1" x14ac:dyDescent="0.2">
      <c r="K29" s="204" t="s">
        <v>30</v>
      </c>
    </row>
    <row r="30" spans="1:11" hidden="1" x14ac:dyDescent="0.2">
      <c r="K30" s="204" t="s">
        <v>31</v>
      </c>
    </row>
    <row r="31" spans="1:11" hidden="1" x14ac:dyDescent="0.2">
      <c r="K31" s="204" t="s">
        <v>32</v>
      </c>
    </row>
    <row r="32" spans="1:11" hidden="1" x14ac:dyDescent="0.2">
      <c r="K32" s="204" t="s">
        <v>33</v>
      </c>
    </row>
    <row r="33" spans="9:11" hidden="1" x14ac:dyDescent="0.2">
      <c r="K33" s="204" t="s">
        <v>34</v>
      </c>
    </row>
    <row r="34" spans="9:11" hidden="1" x14ac:dyDescent="0.2">
      <c r="K34" s="204" t="s">
        <v>35</v>
      </c>
    </row>
    <row r="35" spans="9:11" hidden="1" x14ac:dyDescent="0.2">
      <c r="K35" s="204" t="s">
        <v>36</v>
      </c>
    </row>
    <row r="36" spans="9:11" hidden="1" x14ac:dyDescent="0.2">
      <c r="K36" s="204" t="s">
        <v>37</v>
      </c>
    </row>
    <row r="37" spans="9:11" hidden="1" x14ac:dyDescent="0.2">
      <c r="K37" s="204" t="s">
        <v>38</v>
      </c>
    </row>
    <row r="38" spans="9:11" hidden="1" x14ac:dyDescent="0.2">
      <c r="K38" s="204" t="s">
        <v>39</v>
      </c>
    </row>
    <row r="39" spans="9:11" hidden="1" x14ac:dyDescent="0.2">
      <c r="K39" s="204" t="s">
        <v>40</v>
      </c>
    </row>
    <row r="40" spans="9:11" hidden="1" x14ac:dyDescent="0.2">
      <c r="K40" s="204" t="s">
        <v>41</v>
      </c>
    </row>
    <row r="41" spans="9:11" ht="34" hidden="1" x14ac:dyDescent="0.2">
      <c r="I41" s="217" t="s">
        <v>42</v>
      </c>
      <c r="K41" s="204" t="s">
        <v>43</v>
      </c>
    </row>
    <row r="42" spans="9:11" ht="17" hidden="1" x14ac:dyDescent="0.2">
      <c r="I42" s="217" t="s">
        <v>44</v>
      </c>
      <c r="K42" s="204" t="s">
        <v>45</v>
      </c>
    </row>
    <row r="43" spans="9:11" hidden="1" x14ac:dyDescent="0.2">
      <c r="I43" s="218" t="s">
        <v>46</v>
      </c>
      <c r="K43" s="204" t="s">
        <v>47</v>
      </c>
    </row>
    <row r="44" spans="9:11" hidden="1" x14ac:dyDescent="0.2">
      <c r="I44" s="204" t="s">
        <v>48</v>
      </c>
      <c r="K44" s="204" t="s">
        <v>49</v>
      </c>
    </row>
    <row r="45" spans="9:11" hidden="1" x14ac:dyDescent="0.2">
      <c r="I45" s="204" t="s">
        <v>50</v>
      </c>
      <c r="K45" s="204" t="s">
        <v>51</v>
      </c>
    </row>
    <row r="46" spans="9:11" hidden="1" x14ac:dyDescent="0.2">
      <c r="I46" s="204" t="s">
        <v>52</v>
      </c>
      <c r="K46" s="204" t="s">
        <v>53</v>
      </c>
    </row>
    <row r="47" spans="9:11" hidden="1" x14ac:dyDescent="0.2">
      <c r="I47" s="204" t="s">
        <v>54</v>
      </c>
      <c r="K47" s="204" t="s">
        <v>55</v>
      </c>
    </row>
    <row r="48" spans="9:11" hidden="1" x14ac:dyDescent="0.2">
      <c r="I48" s="204" t="s">
        <v>56</v>
      </c>
      <c r="K48" s="204" t="s">
        <v>57</v>
      </c>
    </row>
    <row r="49" spans="9:11" hidden="1" x14ac:dyDescent="0.2">
      <c r="I49" s="204" t="s">
        <v>58</v>
      </c>
      <c r="K49" s="204" t="s">
        <v>59</v>
      </c>
    </row>
    <row r="50" spans="9:11" hidden="1" x14ac:dyDescent="0.2">
      <c r="I50" s="204" t="s">
        <v>60</v>
      </c>
      <c r="K50" s="204" t="s">
        <v>61</v>
      </c>
    </row>
    <row r="51" spans="9:11" hidden="1" x14ac:dyDescent="0.2">
      <c r="K51" s="204" t="s">
        <v>62</v>
      </c>
    </row>
    <row r="52" spans="9:11" hidden="1" x14ac:dyDescent="0.2">
      <c r="K52" s="204" t="s">
        <v>63</v>
      </c>
    </row>
    <row r="53" spans="9:11" hidden="1" x14ac:dyDescent="0.2">
      <c r="K53" s="204" t="s">
        <v>64</v>
      </c>
    </row>
    <row r="54" spans="9:11" hidden="1" x14ac:dyDescent="0.2">
      <c r="K54" s="204" t="s">
        <v>65</v>
      </c>
    </row>
    <row r="55" spans="9:11" hidden="1" x14ac:dyDescent="0.2">
      <c r="K55" s="204" t="s">
        <v>66</v>
      </c>
    </row>
    <row r="56" spans="9:11" hidden="1" x14ac:dyDescent="0.2">
      <c r="K56" s="204" t="s">
        <v>67</v>
      </c>
    </row>
    <row r="57" spans="9:11" hidden="1" x14ac:dyDescent="0.2">
      <c r="K57" s="204" t="s">
        <v>68</v>
      </c>
    </row>
    <row r="58" spans="9:11" hidden="1" x14ac:dyDescent="0.2">
      <c r="K58" s="204" t="s">
        <v>69</v>
      </c>
    </row>
    <row r="59" spans="9:11" hidden="1" x14ac:dyDescent="0.2">
      <c r="K59" s="204" t="s">
        <v>70</v>
      </c>
    </row>
    <row r="60" spans="9:11" hidden="1" x14ac:dyDescent="0.2">
      <c r="K60" s="204" t="s">
        <v>71</v>
      </c>
    </row>
    <row r="61" spans="9:11" hidden="1" x14ac:dyDescent="0.2">
      <c r="K61" s="204" t="s">
        <v>72</v>
      </c>
    </row>
    <row r="62" spans="9:11" hidden="1" x14ac:dyDescent="0.2">
      <c r="K62" s="204" t="s">
        <v>73</v>
      </c>
    </row>
    <row r="63" spans="9:11" hidden="1" x14ac:dyDescent="0.2">
      <c r="K63" s="204" t="s">
        <v>67</v>
      </c>
    </row>
    <row r="64" spans="9:11" hidden="1" x14ac:dyDescent="0.2">
      <c r="K64" s="204" t="s">
        <v>74</v>
      </c>
    </row>
    <row r="65" spans="11:11" hidden="1" x14ac:dyDescent="0.2">
      <c r="K65" s="204" t="s">
        <v>75</v>
      </c>
    </row>
    <row r="66" spans="11:11" hidden="1" x14ac:dyDescent="0.2">
      <c r="K66" s="204" t="s">
        <v>76</v>
      </c>
    </row>
    <row r="67" spans="11:11" hidden="1" x14ac:dyDescent="0.2">
      <c r="K67" s="204" t="s">
        <v>77</v>
      </c>
    </row>
    <row r="68" spans="11:11" hidden="1" x14ac:dyDescent="0.2">
      <c r="K68" s="204" t="s">
        <v>78</v>
      </c>
    </row>
    <row r="69" spans="11:11" hidden="1" x14ac:dyDescent="0.2">
      <c r="K69" s="204" t="s">
        <v>79</v>
      </c>
    </row>
    <row r="70" spans="11:11" hidden="1" x14ac:dyDescent="0.2">
      <c r="K70" s="204" t="s">
        <v>80</v>
      </c>
    </row>
    <row r="71" spans="11:11" hidden="1" x14ac:dyDescent="0.2">
      <c r="K71" s="204" t="s">
        <v>81</v>
      </c>
    </row>
    <row r="72" spans="11:11" hidden="1" x14ac:dyDescent="0.2">
      <c r="K72" s="204" t="s">
        <v>82</v>
      </c>
    </row>
    <row r="73" spans="11:11" hidden="1" x14ac:dyDescent="0.2">
      <c r="K73" s="204" t="s">
        <v>83</v>
      </c>
    </row>
    <row r="74" spans="11:11" hidden="1" x14ac:dyDescent="0.2">
      <c r="K74" s="204" t="s">
        <v>84</v>
      </c>
    </row>
    <row r="75" spans="11:11" hidden="1" x14ac:dyDescent="0.2">
      <c r="K75" s="204" t="s">
        <v>85</v>
      </c>
    </row>
    <row r="76" spans="11:11" hidden="1" x14ac:dyDescent="0.2">
      <c r="K76" s="204" t="s">
        <v>86</v>
      </c>
    </row>
    <row r="77" spans="11:11" hidden="1" x14ac:dyDescent="0.2">
      <c r="K77" s="204" t="s">
        <v>87</v>
      </c>
    </row>
    <row r="78" spans="11:11" hidden="1" x14ac:dyDescent="0.2">
      <c r="K78" s="204" t="s">
        <v>88</v>
      </c>
    </row>
    <row r="79" spans="11:11" hidden="1" x14ac:dyDescent="0.2">
      <c r="K79" s="204" t="s">
        <v>89</v>
      </c>
    </row>
    <row r="80" spans="11:11" hidden="1" x14ac:dyDescent="0.2">
      <c r="K80" s="204" t="s">
        <v>90</v>
      </c>
    </row>
    <row r="81" spans="11:11" hidden="1" x14ac:dyDescent="0.2">
      <c r="K81" s="204" t="s">
        <v>91</v>
      </c>
    </row>
    <row r="82" spans="11:11" hidden="1" x14ac:dyDescent="0.2">
      <c r="K82" s="204" t="s">
        <v>92</v>
      </c>
    </row>
    <row r="83" spans="11:11" hidden="1" x14ac:dyDescent="0.2">
      <c r="K83" s="204" t="s">
        <v>93</v>
      </c>
    </row>
    <row r="84" spans="11:11" hidden="1" x14ac:dyDescent="0.2">
      <c r="K84" s="204" t="s">
        <v>94</v>
      </c>
    </row>
    <row r="85" spans="11:11" hidden="1" x14ac:dyDescent="0.2">
      <c r="K85" s="204" t="s">
        <v>47</v>
      </c>
    </row>
  </sheetData>
  <dataValidations count="3">
    <dataValidation type="list" allowBlank="1" showInputMessage="1" showErrorMessage="1" sqref="I50 K15:K21" xr:uid="{BE0978F9-A72D-49EA-B6E1-3769EFBDFCF0}">
      <formula1>$I$41:$I$50</formula1>
    </dataValidation>
    <dataValidation type="list" allowBlank="1" showInputMessage="1" showErrorMessage="1" sqref="B20:B21" xr:uid="{CA13ECA8-2F23-47D0-AB51-948B0BFF611A}">
      <formula1>$K$29:$K$40</formula1>
    </dataValidation>
    <dataValidation type="list" allowBlank="1" showInputMessage="1" showErrorMessage="1" sqref="B16:B19" xr:uid="{646242D3-6C41-4A47-BD0D-3416F8DCC12F}">
      <formula1>$K$29:$K$85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1BF79-84B5-42B1-A08E-678E3CBF02D4}">
  <dimension ref="A1:K85"/>
  <sheetViews>
    <sheetView workbookViewId="0">
      <selection sqref="A1:XFD1048576"/>
    </sheetView>
  </sheetViews>
  <sheetFormatPr baseColWidth="10" defaultColWidth="9.1640625" defaultRowHeight="16" x14ac:dyDescent="0.2"/>
  <cols>
    <col min="1" max="1" width="5.1640625" style="204" customWidth="1"/>
    <col min="2" max="2" width="22.5" style="204" customWidth="1"/>
    <col min="3" max="3" width="6.1640625" style="204" customWidth="1"/>
    <col min="4" max="4" width="12.5" style="204" bestFit="1" customWidth="1"/>
    <col min="5" max="5" width="9.83203125" style="204" customWidth="1"/>
    <col min="6" max="6" width="9.33203125" style="204" bestFit="1" customWidth="1"/>
    <col min="7" max="7" width="8.6640625" style="204" customWidth="1"/>
    <col min="8" max="8" width="9.5" style="204" bestFit="1" customWidth="1"/>
    <col min="9" max="9" width="17.83203125" style="204" bestFit="1" customWidth="1"/>
    <col min="10" max="10" width="10.33203125" style="204" bestFit="1" customWidth="1"/>
    <col min="11" max="11" width="75" style="204" bestFit="1" customWidth="1"/>
    <col min="12" max="16384" width="9.1640625" style="204"/>
  </cols>
  <sheetData>
    <row r="1" spans="1:11" x14ac:dyDescent="0.2">
      <c r="A1" s="204" t="s">
        <v>0</v>
      </c>
      <c r="I1" s="219"/>
    </row>
    <row r="2" spans="1:11" x14ac:dyDescent="0.2">
      <c r="J2" s="220"/>
    </row>
    <row r="3" spans="1:11" x14ac:dyDescent="0.2">
      <c r="A3" s="219" t="s">
        <v>1</v>
      </c>
    </row>
    <row r="4" spans="1:11" x14ac:dyDescent="0.2">
      <c r="A4" s="219"/>
      <c r="I4" s="220" t="s">
        <v>2</v>
      </c>
      <c r="J4" s="221">
        <v>45936</v>
      </c>
    </row>
    <row r="5" spans="1:11" x14ac:dyDescent="0.2">
      <c r="J5" s="204" t="s">
        <v>3</v>
      </c>
    </row>
    <row r="6" spans="1:11" ht="34" x14ac:dyDescent="0.2">
      <c r="A6" s="11" t="s">
        <v>4</v>
      </c>
      <c r="B6" s="11" t="s">
        <v>5</v>
      </c>
      <c r="C6" s="11" t="s">
        <v>6</v>
      </c>
      <c r="D6" s="11" t="s">
        <v>7</v>
      </c>
      <c r="E6" s="11" t="s">
        <v>8</v>
      </c>
      <c r="F6" s="11" t="s">
        <v>9</v>
      </c>
      <c r="G6" s="222" t="s">
        <v>10</v>
      </c>
      <c r="H6" s="222" t="s">
        <v>11</v>
      </c>
      <c r="I6" s="222" t="s">
        <v>12</v>
      </c>
      <c r="J6" s="223"/>
      <c r="K6" s="11" t="s">
        <v>13</v>
      </c>
    </row>
    <row r="7" spans="1:11" ht="34" x14ac:dyDescent="0.2">
      <c r="A7" s="222"/>
      <c r="B7" s="224"/>
      <c r="C7" s="11"/>
      <c r="D7" s="11" t="s">
        <v>14</v>
      </c>
      <c r="E7" s="11" t="s">
        <v>15</v>
      </c>
      <c r="F7" s="225" t="s">
        <v>16</v>
      </c>
      <c r="G7" s="225" t="s">
        <v>15</v>
      </c>
      <c r="H7" s="225" t="s">
        <v>17</v>
      </c>
      <c r="I7" s="11" t="s">
        <v>18</v>
      </c>
      <c r="J7" s="225" t="s">
        <v>19</v>
      </c>
      <c r="K7" s="225"/>
    </row>
    <row r="8" spans="1:11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2">
      <c r="A9" s="186">
        <v>1</v>
      </c>
      <c r="B9" s="187" t="s">
        <v>250</v>
      </c>
      <c r="C9" s="161">
        <v>12.5</v>
      </c>
      <c r="D9" s="14">
        <v>2.85</v>
      </c>
      <c r="E9" s="163">
        <v>1467</v>
      </c>
      <c r="F9" s="162">
        <v>49.6</v>
      </c>
      <c r="G9" s="15">
        <f t="shared" ref="G9:G11" si="0">E9*F9</f>
        <v>72763.199999999997</v>
      </c>
      <c r="H9" s="16">
        <f>F9*C9</f>
        <v>620</v>
      </c>
      <c r="I9" s="179" t="s">
        <v>20</v>
      </c>
      <c r="J9" s="188">
        <v>2.0833333333333332E-2</v>
      </c>
      <c r="K9" s="202" t="s">
        <v>239</v>
      </c>
    </row>
    <row r="10" spans="1:11" ht="17" x14ac:dyDescent="0.2">
      <c r="A10" s="190">
        <v>2</v>
      </c>
      <c r="B10" s="187" t="s">
        <v>250</v>
      </c>
      <c r="C10" s="161">
        <v>14</v>
      </c>
      <c r="D10" s="14">
        <v>2.85</v>
      </c>
      <c r="E10" s="163">
        <v>1431</v>
      </c>
      <c r="F10" s="162">
        <v>12.8</v>
      </c>
      <c r="G10" s="15">
        <f t="shared" si="0"/>
        <v>18316.8</v>
      </c>
      <c r="H10" s="16">
        <f t="shared" ref="H10" si="1">F10*C10</f>
        <v>179.20000000000002</v>
      </c>
      <c r="I10" s="179" t="s">
        <v>44</v>
      </c>
      <c r="J10" s="188">
        <v>1.3888888888888888E-2</v>
      </c>
      <c r="K10" s="189" t="s">
        <v>44</v>
      </c>
    </row>
    <row r="11" spans="1:11" ht="17" x14ac:dyDescent="0.2">
      <c r="A11" s="186">
        <v>3</v>
      </c>
      <c r="B11" s="187" t="s">
        <v>241</v>
      </c>
      <c r="C11" s="161">
        <v>15</v>
      </c>
      <c r="D11" s="14">
        <v>2.85</v>
      </c>
      <c r="E11" s="163">
        <v>1498</v>
      </c>
      <c r="F11" s="175">
        <v>9.6</v>
      </c>
      <c r="G11" s="15">
        <f t="shared" si="0"/>
        <v>14380.8</v>
      </c>
      <c r="H11" s="16">
        <f>F11*C11</f>
        <v>144</v>
      </c>
      <c r="I11" s="179" t="s">
        <v>251</v>
      </c>
      <c r="J11" s="188">
        <v>1.0416666666666666E-2</v>
      </c>
      <c r="K11" s="189" t="s">
        <v>252</v>
      </c>
    </row>
    <row r="12" spans="1:11" ht="19.25" customHeight="1" x14ac:dyDescent="0.2">
      <c r="A12" s="190"/>
      <c r="B12" s="187"/>
      <c r="C12" s="176"/>
      <c r="D12" s="14"/>
      <c r="E12" s="177"/>
      <c r="F12" s="178"/>
      <c r="G12" s="15"/>
      <c r="H12" s="16"/>
      <c r="I12" s="195"/>
      <c r="J12" s="194"/>
      <c r="K12" s="189"/>
    </row>
    <row r="13" spans="1:11" x14ac:dyDescent="0.2">
      <c r="A13" s="191"/>
      <c r="B13" s="187"/>
      <c r="C13" s="176"/>
      <c r="D13" s="14"/>
      <c r="E13" s="177"/>
      <c r="F13" s="178"/>
      <c r="G13" s="15"/>
      <c r="H13" s="16"/>
      <c r="I13" s="179"/>
      <c r="J13" s="188"/>
      <c r="K13" s="189"/>
    </row>
    <row r="14" spans="1:11" x14ac:dyDescent="0.2">
      <c r="A14" s="186"/>
      <c r="B14" s="187"/>
      <c r="C14" s="180"/>
      <c r="D14" s="14"/>
      <c r="E14" s="181"/>
      <c r="F14" s="182"/>
      <c r="G14" s="15"/>
      <c r="H14" s="16"/>
      <c r="I14" s="195"/>
      <c r="J14" s="194"/>
      <c r="K14" s="203"/>
    </row>
    <row r="15" spans="1:11" x14ac:dyDescent="0.2">
      <c r="A15" s="190"/>
      <c r="B15" s="187"/>
      <c r="C15" s="192"/>
      <c r="D15" s="14"/>
      <c r="E15" s="181"/>
      <c r="F15" s="193"/>
      <c r="G15" s="15"/>
      <c r="H15" s="16"/>
      <c r="I15" s="19"/>
      <c r="J15" s="18"/>
      <c r="K15" s="17"/>
    </row>
    <row r="16" spans="1:11" x14ac:dyDescent="0.2">
      <c r="A16" s="197"/>
      <c r="B16" s="198"/>
      <c r="C16" s="161"/>
      <c r="D16" s="14"/>
      <c r="E16" s="177"/>
      <c r="F16" s="161"/>
      <c r="G16" s="15"/>
      <c r="H16" s="16"/>
      <c r="I16" s="19"/>
      <c r="J16" s="18"/>
      <c r="K16" s="20"/>
    </row>
    <row r="17" spans="1:11" x14ac:dyDescent="0.2">
      <c r="A17" s="197"/>
      <c r="B17" s="198"/>
      <c r="C17" s="161"/>
      <c r="D17" s="14"/>
      <c r="E17" s="181"/>
      <c r="F17" s="161"/>
      <c r="G17" s="15"/>
      <c r="H17" s="16"/>
      <c r="I17" s="19"/>
      <c r="J17" s="18"/>
      <c r="K17" s="20"/>
    </row>
    <row r="18" spans="1:11" x14ac:dyDescent="0.2">
      <c r="A18" s="197"/>
      <c r="B18" s="198"/>
      <c r="C18" s="161"/>
      <c r="D18" s="14"/>
      <c r="E18" s="181"/>
      <c r="F18" s="161"/>
      <c r="G18" s="15"/>
      <c r="H18" s="16"/>
      <c r="I18" s="10"/>
      <c r="J18" s="13"/>
      <c r="K18" s="10"/>
    </row>
    <row r="19" spans="1:11" x14ac:dyDescent="0.2">
      <c r="A19" s="11"/>
      <c r="B19" s="10"/>
      <c r="C19" s="12"/>
      <c r="D19" s="200"/>
      <c r="E19" s="11"/>
      <c r="F19" s="12"/>
      <c r="G19" s="201"/>
      <c r="H19" s="12"/>
      <c r="I19" s="10"/>
      <c r="J19" s="13"/>
      <c r="K19" s="10"/>
    </row>
    <row r="20" spans="1:11" x14ac:dyDescent="0.2">
      <c r="A20" s="11"/>
      <c r="B20" s="10"/>
      <c r="C20" s="12"/>
      <c r="D20" s="200"/>
      <c r="E20" s="11"/>
      <c r="F20" s="12"/>
      <c r="G20" s="201"/>
      <c r="H20" s="12"/>
      <c r="I20" s="10"/>
      <c r="J20" s="13"/>
      <c r="K20" s="10"/>
    </row>
    <row r="21" spans="1:11" x14ac:dyDescent="0.2">
      <c r="A21" s="11"/>
      <c r="B21" s="10"/>
      <c r="C21" s="205"/>
      <c r="D21" s="11"/>
      <c r="E21" s="13"/>
      <c r="F21" s="205"/>
      <c r="G21" s="201"/>
      <c r="H21" s="12"/>
      <c r="I21" s="10"/>
      <c r="J21" s="13"/>
      <c r="K21" s="10"/>
    </row>
    <row r="22" spans="1:11" x14ac:dyDescent="0.2">
      <c r="A22" s="206"/>
      <c r="B22" s="207"/>
      <c r="C22" s="208"/>
      <c r="D22" s="208"/>
      <c r="E22" s="226" t="s">
        <v>21</v>
      </c>
      <c r="F22" s="227">
        <f>SUM(F9:F21)</f>
        <v>72</v>
      </c>
      <c r="G22" s="228">
        <f>SUM(G9:G21)/F22</f>
        <v>1464.7333333333333</v>
      </c>
      <c r="H22" s="229">
        <f>SUM(H9:H21)/F22</f>
        <v>13.100000000000001</v>
      </c>
      <c r="I22" s="209" t="s">
        <v>22</v>
      </c>
      <c r="J22" s="210">
        <v>4.5138888888888888E-2</v>
      </c>
      <c r="K22" s="207"/>
    </row>
    <row r="23" spans="1:11" x14ac:dyDescent="0.2">
      <c r="E23" s="211"/>
      <c r="F23" s="212"/>
      <c r="I23" s="230" t="s">
        <v>23</v>
      </c>
      <c r="J23" s="231">
        <v>1.08</v>
      </c>
    </row>
    <row r="24" spans="1:11" x14ac:dyDescent="0.2">
      <c r="I24" s="212"/>
      <c r="J24" s="213"/>
    </row>
    <row r="25" spans="1:11" x14ac:dyDescent="0.2">
      <c r="A25" s="10" t="s">
        <v>24</v>
      </c>
      <c r="B25" s="10"/>
      <c r="C25" s="10"/>
      <c r="D25" s="205"/>
      <c r="H25" s="220" t="s">
        <v>25</v>
      </c>
      <c r="I25" s="220"/>
      <c r="J25" s="211">
        <f>F22</f>
        <v>72</v>
      </c>
      <c r="K25" s="204" t="s">
        <v>16</v>
      </c>
    </row>
    <row r="26" spans="1:11" x14ac:dyDescent="0.2">
      <c r="A26" s="10" t="s">
        <v>26</v>
      </c>
      <c r="B26" s="10"/>
      <c r="C26" s="10"/>
      <c r="D26" s="205"/>
      <c r="H26" s="220" t="s">
        <v>27</v>
      </c>
      <c r="I26" s="220"/>
      <c r="J26" s="211">
        <f>100+96+78+70+83+72</f>
        <v>499</v>
      </c>
      <c r="K26" s="204" t="s">
        <v>16</v>
      </c>
    </row>
    <row r="27" spans="1:11" ht="17" thickBot="1" x14ac:dyDescent="0.25">
      <c r="A27" s="214"/>
      <c r="B27" s="214"/>
      <c r="C27" s="214"/>
      <c r="D27" s="214"/>
      <c r="E27" s="215"/>
      <c r="F27" s="215"/>
      <c r="G27" s="214"/>
      <c r="H27" s="232" t="s">
        <v>28</v>
      </c>
      <c r="I27" s="232"/>
      <c r="J27" s="216">
        <v>12.5</v>
      </c>
      <c r="K27" s="214" t="s">
        <v>29</v>
      </c>
    </row>
    <row r="28" spans="1:11" x14ac:dyDescent="0.2">
      <c r="J28" s="204" t="s">
        <v>3</v>
      </c>
    </row>
    <row r="29" spans="1:11" hidden="1" x14ac:dyDescent="0.2">
      <c r="K29" s="204" t="s">
        <v>30</v>
      </c>
    </row>
    <row r="30" spans="1:11" hidden="1" x14ac:dyDescent="0.2">
      <c r="K30" s="204" t="s">
        <v>31</v>
      </c>
    </row>
    <row r="31" spans="1:11" hidden="1" x14ac:dyDescent="0.2">
      <c r="K31" s="204" t="s">
        <v>32</v>
      </c>
    </row>
    <row r="32" spans="1:11" hidden="1" x14ac:dyDescent="0.2">
      <c r="K32" s="204" t="s">
        <v>33</v>
      </c>
    </row>
    <row r="33" spans="9:11" hidden="1" x14ac:dyDescent="0.2">
      <c r="K33" s="204" t="s">
        <v>34</v>
      </c>
    </row>
    <row r="34" spans="9:11" hidden="1" x14ac:dyDescent="0.2">
      <c r="K34" s="204" t="s">
        <v>35</v>
      </c>
    </row>
    <row r="35" spans="9:11" hidden="1" x14ac:dyDescent="0.2">
      <c r="K35" s="204" t="s">
        <v>36</v>
      </c>
    </row>
    <row r="36" spans="9:11" hidden="1" x14ac:dyDescent="0.2">
      <c r="K36" s="204" t="s">
        <v>37</v>
      </c>
    </row>
    <row r="37" spans="9:11" hidden="1" x14ac:dyDescent="0.2">
      <c r="K37" s="204" t="s">
        <v>38</v>
      </c>
    </row>
    <row r="38" spans="9:11" hidden="1" x14ac:dyDescent="0.2">
      <c r="K38" s="204" t="s">
        <v>39</v>
      </c>
    </row>
    <row r="39" spans="9:11" hidden="1" x14ac:dyDescent="0.2">
      <c r="K39" s="204" t="s">
        <v>40</v>
      </c>
    </row>
    <row r="40" spans="9:11" hidden="1" x14ac:dyDescent="0.2">
      <c r="K40" s="204" t="s">
        <v>41</v>
      </c>
    </row>
    <row r="41" spans="9:11" ht="34" hidden="1" x14ac:dyDescent="0.2">
      <c r="I41" s="217" t="s">
        <v>42</v>
      </c>
      <c r="K41" s="204" t="s">
        <v>43</v>
      </c>
    </row>
    <row r="42" spans="9:11" ht="17" hidden="1" x14ac:dyDescent="0.2">
      <c r="I42" s="217" t="s">
        <v>44</v>
      </c>
      <c r="K42" s="204" t="s">
        <v>45</v>
      </c>
    </row>
    <row r="43" spans="9:11" hidden="1" x14ac:dyDescent="0.2">
      <c r="I43" s="218" t="s">
        <v>46</v>
      </c>
      <c r="K43" s="204" t="s">
        <v>47</v>
      </c>
    </row>
    <row r="44" spans="9:11" hidden="1" x14ac:dyDescent="0.2">
      <c r="I44" s="204" t="s">
        <v>48</v>
      </c>
      <c r="K44" s="204" t="s">
        <v>49</v>
      </c>
    </row>
    <row r="45" spans="9:11" hidden="1" x14ac:dyDescent="0.2">
      <c r="I45" s="204" t="s">
        <v>50</v>
      </c>
      <c r="K45" s="204" t="s">
        <v>51</v>
      </c>
    </row>
    <row r="46" spans="9:11" hidden="1" x14ac:dyDescent="0.2">
      <c r="I46" s="204" t="s">
        <v>52</v>
      </c>
      <c r="K46" s="204" t="s">
        <v>53</v>
      </c>
    </row>
    <row r="47" spans="9:11" hidden="1" x14ac:dyDescent="0.2">
      <c r="I47" s="204" t="s">
        <v>54</v>
      </c>
      <c r="K47" s="204" t="s">
        <v>55</v>
      </c>
    </row>
    <row r="48" spans="9:11" hidden="1" x14ac:dyDescent="0.2">
      <c r="I48" s="204" t="s">
        <v>56</v>
      </c>
      <c r="K48" s="204" t="s">
        <v>57</v>
      </c>
    </row>
    <row r="49" spans="9:11" hidden="1" x14ac:dyDescent="0.2">
      <c r="I49" s="204" t="s">
        <v>58</v>
      </c>
      <c r="K49" s="204" t="s">
        <v>59</v>
      </c>
    </row>
    <row r="50" spans="9:11" hidden="1" x14ac:dyDescent="0.2">
      <c r="I50" s="204" t="s">
        <v>60</v>
      </c>
      <c r="K50" s="204" t="s">
        <v>61</v>
      </c>
    </row>
    <row r="51" spans="9:11" hidden="1" x14ac:dyDescent="0.2">
      <c r="K51" s="204" t="s">
        <v>62</v>
      </c>
    </row>
    <row r="52" spans="9:11" hidden="1" x14ac:dyDescent="0.2">
      <c r="K52" s="204" t="s">
        <v>63</v>
      </c>
    </row>
    <row r="53" spans="9:11" hidden="1" x14ac:dyDescent="0.2">
      <c r="K53" s="204" t="s">
        <v>64</v>
      </c>
    </row>
    <row r="54" spans="9:11" hidden="1" x14ac:dyDescent="0.2">
      <c r="K54" s="204" t="s">
        <v>65</v>
      </c>
    </row>
    <row r="55" spans="9:11" hidden="1" x14ac:dyDescent="0.2">
      <c r="K55" s="204" t="s">
        <v>66</v>
      </c>
    </row>
    <row r="56" spans="9:11" hidden="1" x14ac:dyDescent="0.2">
      <c r="K56" s="204" t="s">
        <v>67</v>
      </c>
    </row>
    <row r="57" spans="9:11" hidden="1" x14ac:dyDescent="0.2">
      <c r="K57" s="204" t="s">
        <v>68</v>
      </c>
    </row>
    <row r="58" spans="9:11" hidden="1" x14ac:dyDescent="0.2">
      <c r="K58" s="204" t="s">
        <v>69</v>
      </c>
    </row>
    <row r="59" spans="9:11" hidden="1" x14ac:dyDescent="0.2">
      <c r="K59" s="204" t="s">
        <v>70</v>
      </c>
    </row>
    <row r="60" spans="9:11" hidden="1" x14ac:dyDescent="0.2">
      <c r="K60" s="204" t="s">
        <v>71</v>
      </c>
    </row>
    <row r="61" spans="9:11" hidden="1" x14ac:dyDescent="0.2">
      <c r="K61" s="204" t="s">
        <v>72</v>
      </c>
    </row>
    <row r="62" spans="9:11" hidden="1" x14ac:dyDescent="0.2">
      <c r="K62" s="204" t="s">
        <v>73</v>
      </c>
    </row>
    <row r="63" spans="9:11" hidden="1" x14ac:dyDescent="0.2">
      <c r="K63" s="204" t="s">
        <v>67</v>
      </c>
    </row>
    <row r="64" spans="9:11" hidden="1" x14ac:dyDescent="0.2">
      <c r="K64" s="204" t="s">
        <v>74</v>
      </c>
    </row>
    <row r="65" spans="11:11" hidden="1" x14ac:dyDescent="0.2">
      <c r="K65" s="204" t="s">
        <v>75</v>
      </c>
    </row>
    <row r="66" spans="11:11" hidden="1" x14ac:dyDescent="0.2">
      <c r="K66" s="204" t="s">
        <v>76</v>
      </c>
    </row>
    <row r="67" spans="11:11" hidden="1" x14ac:dyDescent="0.2">
      <c r="K67" s="204" t="s">
        <v>77</v>
      </c>
    </row>
    <row r="68" spans="11:11" hidden="1" x14ac:dyDescent="0.2">
      <c r="K68" s="204" t="s">
        <v>78</v>
      </c>
    </row>
    <row r="69" spans="11:11" hidden="1" x14ac:dyDescent="0.2">
      <c r="K69" s="204" t="s">
        <v>79</v>
      </c>
    </row>
    <row r="70" spans="11:11" hidden="1" x14ac:dyDescent="0.2">
      <c r="K70" s="204" t="s">
        <v>80</v>
      </c>
    </row>
    <row r="71" spans="11:11" hidden="1" x14ac:dyDescent="0.2">
      <c r="K71" s="204" t="s">
        <v>81</v>
      </c>
    </row>
    <row r="72" spans="11:11" hidden="1" x14ac:dyDescent="0.2">
      <c r="K72" s="204" t="s">
        <v>82</v>
      </c>
    </row>
    <row r="73" spans="11:11" hidden="1" x14ac:dyDescent="0.2">
      <c r="K73" s="204" t="s">
        <v>83</v>
      </c>
    </row>
    <row r="74" spans="11:11" hidden="1" x14ac:dyDescent="0.2">
      <c r="K74" s="204" t="s">
        <v>84</v>
      </c>
    </row>
    <row r="75" spans="11:11" hidden="1" x14ac:dyDescent="0.2">
      <c r="K75" s="204" t="s">
        <v>85</v>
      </c>
    </row>
    <row r="76" spans="11:11" hidden="1" x14ac:dyDescent="0.2">
      <c r="K76" s="204" t="s">
        <v>86</v>
      </c>
    </row>
    <row r="77" spans="11:11" hidden="1" x14ac:dyDescent="0.2">
      <c r="K77" s="204" t="s">
        <v>87</v>
      </c>
    </row>
    <row r="78" spans="11:11" hidden="1" x14ac:dyDescent="0.2">
      <c r="K78" s="204" t="s">
        <v>88</v>
      </c>
    </row>
    <row r="79" spans="11:11" hidden="1" x14ac:dyDescent="0.2">
      <c r="K79" s="204" t="s">
        <v>89</v>
      </c>
    </row>
    <row r="80" spans="11:11" hidden="1" x14ac:dyDescent="0.2">
      <c r="K80" s="204" t="s">
        <v>90</v>
      </c>
    </row>
    <row r="81" spans="11:11" hidden="1" x14ac:dyDescent="0.2">
      <c r="K81" s="204" t="s">
        <v>91</v>
      </c>
    </row>
    <row r="82" spans="11:11" hidden="1" x14ac:dyDescent="0.2">
      <c r="K82" s="204" t="s">
        <v>92</v>
      </c>
    </row>
    <row r="83" spans="11:11" hidden="1" x14ac:dyDescent="0.2">
      <c r="K83" s="204" t="s">
        <v>93</v>
      </c>
    </row>
    <row r="84" spans="11:11" hidden="1" x14ac:dyDescent="0.2">
      <c r="K84" s="204" t="s">
        <v>94</v>
      </c>
    </row>
    <row r="85" spans="11:11" hidden="1" x14ac:dyDescent="0.2">
      <c r="K85" s="204" t="s">
        <v>47</v>
      </c>
    </row>
  </sheetData>
  <dataValidations count="3">
    <dataValidation type="list" allowBlank="1" showInputMessage="1" showErrorMessage="1" sqref="B16:B19" xr:uid="{DB8AA339-2CB7-4CDF-9645-0046A9D70885}">
      <formula1>$K$29:$K$85</formula1>
    </dataValidation>
    <dataValidation type="list" allowBlank="1" showInputMessage="1" showErrorMessage="1" sqref="B20:B21" xr:uid="{F132CB2F-46DB-45D2-9479-349EFA80A0AF}">
      <formula1>$K$29:$K$40</formula1>
    </dataValidation>
    <dataValidation type="list" allowBlank="1" showInputMessage="1" showErrorMessage="1" sqref="I50 K15:K21" xr:uid="{A2C6389C-4F75-455A-9FEE-2692A210192E}">
      <formula1>$I$41:$I$50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008BC-496D-49E7-A1A8-84203EA2637E}">
  <dimension ref="A1:K85"/>
  <sheetViews>
    <sheetView workbookViewId="0">
      <selection sqref="A1:XFD1048576"/>
    </sheetView>
  </sheetViews>
  <sheetFormatPr baseColWidth="10" defaultColWidth="9.1640625" defaultRowHeight="16" x14ac:dyDescent="0.2"/>
  <cols>
    <col min="1" max="1" width="5.1640625" style="204" customWidth="1"/>
    <col min="2" max="2" width="22.5" style="204" customWidth="1"/>
    <col min="3" max="3" width="6.1640625" style="204" customWidth="1"/>
    <col min="4" max="4" width="12.5" style="204" bestFit="1" customWidth="1"/>
    <col min="5" max="5" width="9.83203125" style="204" customWidth="1"/>
    <col min="6" max="6" width="9.33203125" style="204" bestFit="1" customWidth="1"/>
    <col min="7" max="7" width="8.6640625" style="204" customWidth="1"/>
    <col min="8" max="8" width="9.5" style="204" bestFit="1" customWidth="1"/>
    <col min="9" max="9" width="17.83203125" style="204" bestFit="1" customWidth="1"/>
    <col min="10" max="10" width="10.33203125" style="204" bestFit="1" customWidth="1"/>
    <col min="11" max="11" width="75" style="204" bestFit="1" customWidth="1"/>
    <col min="12" max="16384" width="9.1640625" style="204"/>
  </cols>
  <sheetData>
    <row r="1" spans="1:11" x14ac:dyDescent="0.2">
      <c r="A1" s="204" t="s">
        <v>0</v>
      </c>
      <c r="I1" s="219"/>
    </row>
    <row r="2" spans="1:11" x14ac:dyDescent="0.2">
      <c r="J2" s="220"/>
    </row>
    <row r="3" spans="1:11" x14ac:dyDescent="0.2">
      <c r="A3" s="219" t="s">
        <v>1</v>
      </c>
    </row>
    <row r="4" spans="1:11" x14ac:dyDescent="0.2">
      <c r="A4" s="219"/>
      <c r="I4" s="220" t="s">
        <v>2</v>
      </c>
      <c r="J4" s="221">
        <v>45937</v>
      </c>
    </row>
    <row r="5" spans="1:11" x14ac:dyDescent="0.2">
      <c r="J5" s="204" t="s">
        <v>3</v>
      </c>
    </row>
    <row r="6" spans="1:11" ht="34" x14ac:dyDescent="0.2">
      <c r="A6" s="11" t="s">
        <v>4</v>
      </c>
      <c r="B6" s="11" t="s">
        <v>5</v>
      </c>
      <c r="C6" s="11" t="s">
        <v>6</v>
      </c>
      <c r="D6" s="11" t="s">
        <v>7</v>
      </c>
      <c r="E6" s="11" t="s">
        <v>8</v>
      </c>
      <c r="F6" s="11" t="s">
        <v>9</v>
      </c>
      <c r="G6" s="222" t="s">
        <v>10</v>
      </c>
      <c r="H6" s="222" t="s">
        <v>11</v>
      </c>
      <c r="I6" s="222" t="s">
        <v>12</v>
      </c>
      <c r="J6" s="223"/>
      <c r="K6" s="11" t="s">
        <v>13</v>
      </c>
    </row>
    <row r="7" spans="1:11" ht="34" x14ac:dyDescent="0.2">
      <c r="A7" s="222"/>
      <c r="B7" s="224"/>
      <c r="C7" s="11"/>
      <c r="D7" s="11" t="s">
        <v>14</v>
      </c>
      <c r="E7" s="11" t="s">
        <v>15</v>
      </c>
      <c r="F7" s="225" t="s">
        <v>16</v>
      </c>
      <c r="G7" s="225" t="s">
        <v>15</v>
      </c>
      <c r="H7" s="225" t="s">
        <v>17</v>
      </c>
      <c r="I7" s="11" t="s">
        <v>18</v>
      </c>
      <c r="J7" s="225" t="s">
        <v>19</v>
      </c>
      <c r="K7" s="225"/>
    </row>
    <row r="8" spans="1:11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2">
      <c r="A9" s="186">
        <v>1</v>
      </c>
      <c r="B9" s="187" t="s">
        <v>250</v>
      </c>
      <c r="C9" s="161">
        <v>12.5</v>
      </c>
      <c r="D9" s="14">
        <v>2.85</v>
      </c>
      <c r="E9" s="163">
        <v>1467</v>
      </c>
      <c r="F9" s="162">
        <v>6</v>
      </c>
      <c r="G9" s="15">
        <f t="shared" ref="G9:G10" si="0">E9*F9</f>
        <v>8802</v>
      </c>
      <c r="H9" s="16">
        <f>F9*C9</f>
        <v>75</v>
      </c>
      <c r="I9" s="179" t="s">
        <v>20</v>
      </c>
      <c r="J9" s="188">
        <v>2.0833333333333332E-2</v>
      </c>
      <c r="K9" s="202" t="s">
        <v>239</v>
      </c>
    </row>
    <row r="10" spans="1:11" ht="17" x14ac:dyDescent="0.2">
      <c r="A10" s="190">
        <v>2</v>
      </c>
      <c r="B10" s="187" t="s">
        <v>241</v>
      </c>
      <c r="C10" s="161">
        <v>15</v>
      </c>
      <c r="D10" s="14">
        <v>2.85</v>
      </c>
      <c r="E10" s="163">
        <v>1498</v>
      </c>
      <c r="F10" s="162">
        <v>79</v>
      </c>
      <c r="G10" s="15">
        <f t="shared" si="0"/>
        <v>118342</v>
      </c>
      <c r="H10" s="16">
        <f t="shared" ref="H10" si="1">F10*C10</f>
        <v>1185</v>
      </c>
      <c r="I10" s="179" t="s">
        <v>44</v>
      </c>
      <c r="J10" s="188">
        <v>6.9444444444444441E-3</v>
      </c>
      <c r="K10" s="189" t="s">
        <v>44</v>
      </c>
    </row>
    <row r="11" spans="1:11" ht="18" x14ac:dyDescent="0.2">
      <c r="A11" s="186"/>
      <c r="B11" s="187"/>
      <c r="C11" s="161"/>
      <c r="D11" s="14"/>
      <c r="E11" s="163"/>
      <c r="F11" s="175"/>
      <c r="G11" s="15"/>
      <c r="H11" s="16"/>
      <c r="I11" s="233"/>
      <c r="J11" s="234"/>
      <c r="K11" s="235"/>
    </row>
    <row r="12" spans="1:11" ht="19.25" customHeight="1" x14ac:dyDescent="0.2">
      <c r="A12" s="190"/>
      <c r="B12" s="187"/>
      <c r="C12" s="176"/>
      <c r="D12" s="14"/>
      <c r="E12" s="177"/>
      <c r="F12" s="178"/>
      <c r="G12" s="15"/>
      <c r="H12" s="16"/>
      <c r="I12" s="195"/>
      <c r="J12" s="194"/>
      <c r="K12" s="189"/>
    </row>
    <row r="13" spans="1:11" x14ac:dyDescent="0.2">
      <c r="A13" s="191"/>
      <c r="B13" s="187"/>
      <c r="C13" s="176"/>
      <c r="D13" s="14"/>
      <c r="E13" s="177"/>
      <c r="F13" s="178"/>
      <c r="G13" s="15"/>
      <c r="H13" s="16"/>
      <c r="I13" s="179"/>
      <c r="J13" s="188"/>
      <c r="K13" s="189"/>
    </row>
    <row r="14" spans="1:11" x14ac:dyDescent="0.2">
      <c r="A14" s="186"/>
      <c r="B14" s="187"/>
      <c r="C14" s="180"/>
      <c r="D14" s="14"/>
      <c r="E14" s="181"/>
      <c r="F14" s="182"/>
      <c r="G14" s="15"/>
      <c r="H14" s="16"/>
      <c r="I14" s="195"/>
      <c r="J14" s="194"/>
      <c r="K14" s="203"/>
    </row>
    <row r="15" spans="1:11" x14ac:dyDescent="0.2">
      <c r="A15" s="190"/>
      <c r="B15" s="187"/>
      <c r="C15" s="192"/>
      <c r="D15" s="14"/>
      <c r="E15" s="181"/>
      <c r="F15" s="193"/>
      <c r="G15" s="15"/>
      <c r="H15" s="16"/>
      <c r="I15" s="19"/>
      <c r="J15" s="18"/>
      <c r="K15" s="17"/>
    </row>
    <row r="16" spans="1:11" x14ac:dyDescent="0.2">
      <c r="A16" s="197"/>
      <c r="B16" s="198"/>
      <c r="C16" s="161"/>
      <c r="D16" s="14"/>
      <c r="E16" s="177"/>
      <c r="F16" s="161"/>
      <c r="G16" s="15"/>
      <c r="H16" s="16"/>
      <c r="I16" s="19"/>
      <c r="J16" s="18"/>
      <c r="K16" s="20"/>
    </row>
    <row r="17" spans="1:11" x14ac:dyDescent="0.2">
      <c r="A17" s="197"/>
      <c r="B17" s="198"/>
      <c r="C17" s="161"/>
      <c r="D17" s="14"/>
      <c r="E17" s="181"/>
      <c r="F17" s="161"/>
      <c r="G17" s="15"/>
      <c r="H17" s="16"/>
      <c r="I17" s="19"/>
      <c r="J17" s="18"/>
      <c r="K17" s="20"/>
    </row>
    <row r="18" spans="1:11" x14ac:dyDescent="0.2">
      <c r="A18" s="197"/>
      <c r="B18" s="198"/>
      <c r="C18" s="161"/>
      <c r="D18" s="14"/>
      <c r="E18" s="181"/>
      <c r="F18" s="161"/>
      <c r="G18" s="15"/>
      <c r="H18" s="16"/>
      <c r="I18" s="10"/>
      <c r="J18" s="13"/>
      <c r="K18" s="10"/>
    </row>
    <row r="19" spans="1:11" x14ac:dyDescent="0.2">
      <c r="A19" s="11"/>
      <c r="B19" s="10"/>
      <c r="C19" s="12"/>
      <c r="D19" s="200"/>
      <c r="E19" s="11"/>
      <c r="F19" s="12"/>
      <c r="G19" s="201"/>
      <c r="H19" s="12"/>
      <c r="I19" s="10"/>
      <c r="J19" s="13"/>
      <c r="K19" s="10"/>
    </row>
    <row r="20" spans="1:11" x14ac:dyDescent="0.2">
      <c r="A20" s="11"/>
      <c r="B20" s="10"/>
      <c r="C20" s="12"/>
      <c r="D20" s="200"/>
      <c r="E20" s="11"/>
      <c r="F20" s="12"/>
      <c r="G20" s="201"/>
      <c r="H20" s="12"/>
      <c r="I20" s="10"/>
      <c r="J20" s="13"/>
      <c r="K20" s="10"/>
    </row>
    <row r="21" spans="1:11" x14ac:dyDescent="0.2">
      <c r="A21" s="11"/>
      <c r="B21" s="10"/>
      <c r="C21" s="205"/>
      <c r="D21" s="11"/>
      <c r="E21" s="13"/>
      <c r="F21" s="205"/>
      <c r="G21" s="201"/>
      <c r="H21" s="12"/>
      <c r="I21" s="10"/>
      <c r="J21" s="13"/>
      <c r="K21" s="10"/>
    </row>
    <row r="22" spans="1:11" x14ac:dyDescent="0.2">
      <c r="A22" s="206"/>
      <c r="B22" s="207"/>
      <c r="C22" s="208"/>
      <c r="D22" s="208"/>
      <c r="E22" s="226" t="s">
        <v>21</v>
      </c>
      <c r="F22" s="227">
        <f>SUM(F9:F21)</f>
        <v>85</v>
      </c>
      <c r="G22" s="228">
        <f>SUM(G9:G21)/F22</f>
        <v>1495.8117647058823</v>
      </c>
      <c r="H22" s="229">
        <f>SUM(H9:H21)/F22</f>
        <v>14.823529411764707</v>
      </c>
      <c r="I22" s="209" t="s">
        <v>22</v>
      </c>
      <c r="J22" s="210">
        <v>2.7777777777777776E-2</v>
      </c>
      <c r="K22" s="207"/>
    </row>
    <row r="23" spans="1:11" x14ac:dyDescent="0.2">
      <c r="E23" s="211"/>
      <c r="F23" s="212"/>
      <c r="I23" s="230" t="s">
        <v>23</v>
      </c>
      <c r="J23" s="231">
        <v>0.67</v>
      </c>
    </row>
    <row r="24" spans="1:11" x14ac:dyDescent="0.2">
      <c r="I24" s="212"/>
      <c r="J24" s="213"/>
    </row>
    <row r="25" spans="1:11" x14ac:dyDescent="0.2">
      <c r="A25" s="10" t="s">
        <v>24</v>
      </c>
      <c r="B25" s="10"/>
      <c r="C25" s="10"/>
      <c r="D25" s="205"/>
      <c r="H25" s="220" t="s">
        <v>25</v>
      </c>
      <c r="I25" s="220"/>
      <c r="J25" s="211">
        <f>F22</f>
        <v>85</v>
      </c>
      <c r="K25" s="204" t="s">
        <v>16</v>
      </c>
    </row>
    <row r="26" spans="1:11" x14ac:dyDescent="0.2">
      <c r="A26" s="10" t="s">
        <v>26</v>
      </c>
      <c r="B26" s="10"/>
      <c r="C26" s="10"/>
      <c r="D26" s="205"/>
      <c r="H26" s="220" t="s">
        <v>27</v>
      </c>
      <c r="I26" s="220"/>
      <c r="J26" s="211">
        <f>100+96+78+70+83+72+85</f>
        <v>584</v>
      </c>
      <c r="K26" s="204" t="s">
        <v>16</v>
      </c>
    </row>
    <row r="27" spans="1:11" ht="17" thickBot="1" x14ac:dyDescent="0.25">
      <c r="A27" s="214"/>
      <c r="B27" s="214"/>
      <c r="C27" s="214"/>
      <c r="D27" s="214"/>
      <c r="E27" s="215"/>
      <c r="F27" s="215"/>
      <c r="G27" s="214"/>
      <c r="H27" s="232" t="s">
        <v>28</v>
      </c>
      <c r="I27" s="232"/>
      <c r="J27" s="216">
        <v>13.17</v>
      </c>
      <c r="K27" s="214" t="s">
        <v>29</v>
      </c>
    </row>
    <row r="28" spans="1:11" x14ac:dyDescent="0.2">
      <c r="J28" s="204" t="s">
        <v>3</v>
      </c>
    </row>
    <row r="29" spans="1:11" hidden="1" x14ac:dyDescent="0.2">
      <c r="K29" s="204" t="s">
        <v>30</v>
      </c>
    </row>
    <row r="30" spans="1:11" hidden="1" x14ac:dyDescent="0.2">
      <c r="K30" s="204" t="s">
        <v>31</v>
      </c>
    </row>
    <row r="31" spans="1:11" hidden="1" x14ac:dyDescent="0.2">
      <c r="K31" s="204" t="s">
        <v>32</v>
      </c>
    </row>
    <row r="32" spans="1:11" hidden="1" x14ac:dyDescent="0.2">
      <c r="K32" s="204" t="s">
        <v>33</v>
      </c>
    </row>
    <row r="33" spans="9:11" hidden="1" x14ac:dyDescent="0.2">
      <c r="K33" s="204" t="s">
        <v>34</v>
      </c>
    </row>
    <row r="34" spans="9:11" hidden="1" x14ac:dyDescent="0.2">
      <c r="K34" s="204" t="s">
        <v>35</v>
      </c>
    </row>
    <row r="35" spans="9:11" hidden="1" x14ac:dyDescent="0.2">
      <c r="K35" s="204" t="s">
        <v>36</v>
      </c>
    </row>
    <row r="36" spans="9:11" hidden="1" x14ac:dyDescent="0.2">
      <c r="K36" s="204" t="s">
        <v>37</v>
      </c>
    </row>
    <row r="37" spans="9:11" hidden="1" x14ac:dyDescent="0.2">
      <c r="K37" s="204" t="s">
        <v>38</v>
      </c>
    </row>
    <row r="38" spans="9:11" hidden="1" x14ac:dyDescent="0.2">
      <c r="K38" s="204" t="s">
        <v>39</v>
      </c>
    </row>
    <row r="39" spans="9:11" hidden="1" x14ac:dyDescent="0.2">
      <c r="K39" s="204" t="s">
        <v>40</v>
      </c>
    </row>
    <row r="40" spans="9:11" hidden="1" x14ac:dyDescent="0.2">
      <c r="K40" s="204" t="s">
        <v>41</v>
      </c>
    </row>
    <row r="41" spans="9:11" ht="34" hidden="1" x14ac:dyDescent="0.2">
      <c r="I41" s="217" t="s">
        <v>42</v>
      </c>
      <c r="K41" s="204" t="s">
        <v>43</v>
      </c>
    </row>
    <row r="42" spans="9:11" ht="17" hidden="1" x14ac:dyDescent="0.2">
      <c r="I42" s="217" t="s">
        <v>44</v>
      </c>
      <c r="K42" s="204" t="s">
        <v>45</v>
      </c>
    </row>
    <row r="43" spans="9:11" hidden="1" x14ac:dyDescent="0.2">
      <c r="I43" s="218" t="s">
        <v>46</v>
      </c>
      <c r="K43" s="204" t="s">
        <v>47</v>
      </c>
    </row>
    <row r="44" spans="9:11" hidden="1" x14ac:dyDescent="0.2">
      <c r="I44" s="204" t="s">
        <v>48</v>
      </c>
      <c r="K44" s="204" t="s">
        <v>49</v>
      </c>
    </row>
    <row r="45" spans="9:11" hidden="1" x14ac:dyDescent="0.2">
      <c r="I45" s="204" t="s">
        <v>50</v>
      </c>
      <c r="K45" s="204" t="s">
        <v>51</v>
      </c>
    </row>
    <row r="46" spans="9:11" hidden="1" x14ac:dyDescent="0.2">
      <c r="I46" s="204" t="s">
        <v>52</v>
      </c>
      <c r="K46" s="204" t="s">
        <v>53</v>
      </c>
    </row>
    <row r="47" spans="9:11" hidden="1" x14ac:dyDescent="0.2">
      <c r="I47" s="204" t="s">
        <v>54</v>
      </c>
      <c r="K47" s="204" t="s">
        <v>55</v>
      </c>
    </row>
    <row r="48" spans="9:11" hidden="1" x14ac:dyDescent="0.2">
      <c r="I48" s="204" t="s">
        <v>56</v>
      </c>
      <c r="K48" s="204" t="s">
        <v>57</v>
      </c>
    </row>
    <row r="49" spans="9:11" hidden="1" x14ac:dyDescent="0.2">
      <c r="I49" s="204" t="s">
        <v>58</v>
      </c>
      <c r="K49" s="204" t="s">
        <v>59</v>
      </c>
    </row>
    <row r="50" spans="9:11" hidden="1" x14ac:dyDescent="0.2">
      <c r="I50" s="204" t="s">
        <v>60</v>
      </c>
      <c r="K50" s="204" t="s">
        <v>61</v>
      </c>
    </row>
    <row r="51" spans="9:11" hidden="1" x14ac:dyDescent="0.2">
      <c r="K51" s="204" t="s">
        <v>62</v>
      </c>
    </row>
    <row r="52" spans="9:11" hidden="1" x14ac:dyDescent="0.2">
      <c r="K52" s="204" t="s">
        <v>63</v>
      </c>
    </row>
    <row r="53" spans="9:11" hidden="1" x14ac:dyDescent="0.2">
      <c r="K53" s="204" t="s">
        <v>64</v>
      </c>
    </row>
    <row r="54" spans="9:11" hidden="1" x14ac:dyDescent="0.2">
      <c r="K54" s="204" t="s">
        <v>65</v>
      </c>
    </row>
    <row r="55" spans="9:11" hidden="1" x14ac:dyDescent="0.2">
      <c r="K55" s="204" t="s">
        <v>66</v>
      </c>
    </row>
    <row r="56" spans="9:11" hidden="1" x14ac:dyDescent="0.2">
      <c r="K56" s="204" t="s">
        <v>67</v>
      </c>
    </row>
    <row r="57" spans="9:11" hidden="1" x14ac:dyDescent="0.2">
      <c r="K57" s="204" t="s">
        <v>68</v>
      </c>
    </row>
    <row r="58" spans="9:11" hidden="1" x14ac:dyDescent="0.2">
      <c r="K58" s="204" t="s">
        <v>69</v>
      </c>
    </row>
    <row r="59" spans="9:11" hidden="1" x14ac:dyDescent="0.2">
      <c r="K59" s="204" t="s">
        <v>70</v>
      </c>
    </row>
    <row r="60" spans="9:11" hidden="1" x14ac:dyDescent="0.2">
      <c r="K60" s="204" t="s">
        <v>71</v>
      </c>
    </row>
    <row r="61" spans="9:11" hidden="1" x14ac:dyDescent="0.2">
      <c r="K61" s="204" t="s">
        <v>72</v>
      </c>
    </row>
    <row r="62" spans="9:11" hidden="1" x14ac:dyDescent="0.2">
      <c r="K62" s="204" t="s">
        <v>73</v>
      </c>
    </row>
    <row r="63" spans="9:11" hidden="1" x14ac:dyDescent="0.2">
      <c r="K63" s="204" t="s">
        <v>67</v>
      </c>
    </row>
    <row r="64" spans="9:11" hidden="1" x14ac:dyDescent="0.2">
      <c r="K64" s="204" t="s">
        <v>74</v>
      </c>
    </row>
    <row r="65" spans="11:11" hidden="1" x14ac:dyDescent="0.2">
      <c r="K65" s="204" t="s">
        <v>75</v>
      </c>
    </row>
    <row r="66" spans="11:11" hidden="1" x14ac:dyDescent="0.2">
      <c r="K66" s="204" t="s">
        <v>76</v>
      </c>
    </row>
    <row r="67" spans="11:11" hidden="1" x14ac:dyDescent="0.2">
      <c r="K67" s="204" t="s">
        <v>77</v>
      </c>
    </row>
    <row r="68" spans="11:11" hidden="1" x14ac:dyDescent="0.2">
      <c r="K68" s="204" t="s">
        <v>78</v>
      </c>
    </row>
    <row r="69" spans="11:11" hidden="1" x14ac:dyDescent="0.2">
      <c r="K69" s="204" t="s">
        <v>79</v>
      </c>
    </row>
    <row r="70" spans="11:11" hidden="1" x14ac:dyDescent="0.2">
      <c r="K70" s="204" t="s">
        <v>80</v>
      </c>
    </row>
    <row r="71" spans="11:11" hidden="1" x14ac:dyDescent="0.2">
      <c r="K71" s="204" t="s">
        <v>81</v>
      </c>
    </row>
    <row r="72" spans="11:11" hidden="1" x14ac:dyDescent="0.2">
      <c r="K72" s="204" t="s">
        <v>82</v>
      </c>
    </row>
    <row r="73" spans="11:11" hidden="1" x14ac:dyDescent="0.2">
      <c r="K73" s="204" t="s">
        <v>83</v>
      </c>
    </row>
    <row r="74" spans="11:11" hidden="1" x14ac:dyDescent="0.2">
      <c r="K74" s="204" t="s">
        <v>84</v>
      </c>
    </row>
    <row r="75" spans="11:11" hidden="1" x14ac:dyDescent="0.2">
      <c r="K75" s="204" t="s">
        <v>85</v>
      </c>
    </row>
    <row r="76" spans="11:11" hidden="1" x14ac:dyDescent="0.2">
      <c r="K76" s="204" t="s">
        <v>86</v>
      </c>
    </row>
    <row r="77" spans="11:11" hidden="1" x14ac:dyDescent="0.2">
      <c r="K77" s="204" t="s">
        <v>87</v>
      </c>
    </row>
    <row r="78" spans="11:11" hidden="1" x14ac:dyDescent="0.2">
      <c r="K78" s="204" t="s">
        <v>88</v>
      </c>
    </row>
    <row r="79" spans="11:11" hidden="1" x14ac:dyDescent="0.2">
      <c r="K79" s="204" t="s">
        <v>89</v>
      </c>
    </row>
    <row r="80" spans="11:11" hidden="1" x14ac:dyDescent="0.2">
      <c r="K80" s="204" t="s">
        <v>90</v>
      </c>
    </row>
    <row r="81" spans="11:11" hidden="1" x14ac:dyDescent="0.2">
      <c r="K81" s="204" t="s">
        <v>91</v>
      </c>
    </row>
    <row r="82" spans="11:11" hidden="1" x14ac:dyDescent="0.2">
      <c r="K82" s="204" t="s">
        <v>92</v>
      </c>
    </row>
    <row r="83" spans="11:11" hidden="1" x14ac:dyDescent="0.2">
      <c r="K83" s="204" t="s">
        <v>93</v>
      </c>
    </row>
    <row r="84" spans="11:11" hidden="1" x14ac:dyDescent="0.2">
      <c r="K84" s="204" t="s">
        <v>94</v>
      </c>
    </row>
    <row r="85" spans="11:11" hidden="1" x14ac:dyDescent="0.2">
      <c r="K85" s="204" t="s">
        <v>47</v>
      </c>
    </row>
  </sheetData>
  <dataValidations count="3">
    <dataValidation type="list" allowBlank="1" showInputMessage="1" showErrorMessage="1" sqref="I50 K15:K21" xr:uid="{907D2007-16A3-496B-B635-7B5BAAD6585E}">
      <formula1>$I$41:$I$50</formula1>
    </dataValidation>
    <dataValidation type="list" allowBlank="1" showInputMessage="1" showErrorMessage="1" sqref="B20:B21" xr:uid="{CC968F40-167A-478E-8A54-95290D1ED16B}">
      <formula1>$K$29:$K$40</formula1>
    </dataValidation>
    <dataValidation type="list" allowBlank="1" showInputMessage="1" showErrorMessage="1" sqref="B16:B19" xr:uid="{82255026-D643-4EA1-8068-A6B208D30F61}">
      <formula1>$K$29:$K$85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36272-9F07-4DE0-904D-2716110BF978}">
  <dimension ref="A1:K85"/>
  <sheetViews>
    <sheetView workbookViewId="0">
      <selection sqref="A1:XFD1048576"/>
    </sheetView>
  </sheetViews>
  <sheetFormatPr baseColWidth="10" defaultColWidth="9.1640625" defaultRowHeight="16" x14ac:dyDescent="0.2"/>
  <cols>
    <col min="1" max="1" width="5.1640625" style="204" customWidth="1"/>
    <col min="2" max="2" width="22.5" style="204" customWidth="1"/>
    <col min="3" max="3" width="6.1640625" style="204" customWidth="1"/>
    <col min="4" max="4" width="12.5" style="204" bestFit="1" customWidth="1"/>
    <col min="5" max="5" width="9.83203125" style="204" customWidth="1"/>
    <col min="6" max="6" width="9.33203125" style="204" bestFit="1" customWidth="1"/>
    <col min="7" max="7" width="8.6640625" style="204" customWidth="1"/>
    <col min="8" max="8" width="9.5" style="204" bestFit="1" customWidth="1"/>
    <col min="9" max="9" width="17.83203125" style="204" bestFit="1" customWidth="1"/>
    <col min="10" max="10" width="10.33203125" style="204" bestFit="1" customWidth="1"/>
    <col min="11" max="11" width="75" style="204" bestFit="1" customWidth="1"/>
    <col min="12" max="16384" width="9.1640625" style="204"/>
  </cols>
  <sheetData>
    <row r="1" spans="1:11" x14ac:dyDescent="0.2">
      <c r="A1" s="204" t="s">
        <v>0</v>
      </c>
      <c r="I1" s="219"/>
    </row>
    <row r="2" spans="1:11" x14ac:dyDescent="0.2">
      <c r="J2" s="220"/>
    </row>
    <row r="3" spans="1:11" x14ac:dyDescent="0.2">
      <c r="A3" s="219" t="s">
        <v>1</v>
      </c>
    </row>
    <row r="4" spans="1:11" x14ac:dyDescent="0.2">
      <c r="A4" s="219"/>
      <c r="I4" s="220" t="s">
        <v>2</v>
      </c>
      <c r="J4" s="221">
        <v>45938</v>
      </c>
    </row>
    <row r="5" spans="1:11" x14ac:dyDescent="0.2">
      <c r="J5" s="204" t="s">
        <v>3</v>
      </c>
    </row>
    <row r="6" spans="1:11" ht="34" x14ac:dyDescent="0.2">
      <c r="A6" s="11" t="s">
        <v>4</v>
      </c>
      <c r="B6" s="11" t="s">
        <v>5</v>
      </c>
      <c r="C6" s="11" t="s">
        <v>6</v>
      </c>
      <c r="D6" s="11" t="s">
        <v>7</v>
      </c>
      <c r="E6" s="11" t="s">
        <v>8</v>
      </c>
      <c r="F6" s="11" t="s">
        <v>9</v>
      </c>
      <c r="G6" s="222" t="s">
        <v>10</v>
      </c>
      <c r="H6" s="222" t="s">
        <v>11</v>
      </c>
      <c r="I6" s="222" t="s">
        <v>12</v>
      </c>
      <c r="J6" s="223"/>
      <c r="K6" s="11" t="s">
        <v>13</v>
      </c>
    </row>
    <row r="7" spans="1:11" ht="34" x14ac:dyDescent="0.2">
      <c r="A7" s="222"/>
      <c r="B7" s="224"/>
      <c r="C7" s="11"/>
      <c r="D7" s="11" t="s">
        <v>14</v>
      </c>
      <c r="E7" s="11" t="s">
        <v>15</v>
      </c>
      <c r="F7" s="225" t="s">
        <v>16</v>
      </c>
      <c r="G7" s="225" t="s">
        <v>15</v>
      </c>
      <c r="H7" s="225" t="s">
        <v>17</v>
      </c>
      <c r="I7" s="11" t="s">
        <v>18</v>
      </c>
      <c r="J7" s="225" t="s">
        <v>19</v>
      </c>
      <c r="K7" s="225"/>
    </row>
    <row r="8" spans="1:11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2">
      <c r="A9" s="186">
        <v>1</v>
      </c>
      <c r="B9" s="187" t="s">
        <v>241</v>
      </c>
      <c r="C9" s="161">
        <v>14</v>
      </c>
      <c r="D9" s="14">
        <v>2.85</v>
      </c>
      <c r="E9" s="163">
        <v>1494</v>
      </c>
      <c r="F9" s="162">
        <v>1</v>
      </c>
      <c r="G9" s="15">
        <f t="shared" ref="G9:G14" si="0">E9*F9</f>
        <v>1494</v>
      </c>
      <c r="H9" s="16">
        <f>F9*C9</f>
        <v>14</v>
      </c>
      <c r="I9" s="179" t="s">
        <v>20</v>
      </c>
      <c r="J9" s="188">
        <v>2.0833333333333332E-2</v>
      </c>
      <c r="K9" s="202" t="s">
        <v>239</v>
      </c>
    </row>
    <row r="10" spans="1:11" ht="17" x14ac:dyDescent="0.2">
      <c r="A10" s="190">
        <v>2</v>
      </c>
      <c r="B10" s="187" t="s">
        <v>241</v>
      </c>
      <c r="C10" s="161">
        <v>15</v>
      </c>
      <c r="D10" s="14">
        <v>2.85</v>
      </c>
      <c r="E10" s="163">
        <v>1494</v>
      </c>
      <c r="F10" s="162">
        <v>42.5</v>
      </c>
      <c r="G10" s="15">
        <f t="shared" si="0"/>
        <v>63495</v>
      </c>
      <c r="H10" s="16">
        <f t="shared" ref="H10:H14" si="1">F10*C10</f>
        <v>637.5</v>
      </c>
      <c r="I10" s="179" t="s">
        <v>44</v>
      </c>
      <c r="J10" s="188">
        <v>3.4722222222222224E-2</v>
      </c>
      <c r="K10" s="189" t="s">
        <v>44</v>
      </c>
    </row>
    <row r="11" spans="1:11" ht="17" x14ac:dyDescent="0.2">
      <c r="A11" s="186">
        <v>3</v>
      </c>
      <c r="B11" s="187" t="s">
        <v>241</v>
      </c>
      <c r="C11" s="161">
        <v>16</v>
      </c>
      <c r="D11" s="14">
        <v>2.85</v>
      </c>
      <c r="E11" s="163">
        <v>1464</v>
      </c>
      <c r="F11" s="175">
        <v>7.5</v>
      </c>
      <c r="G11" s="15">
        <f t="shared" si="0"/>
        <v>10980</v>
      </c>
      <c r="H11" s="16">
        <f t="shared" si="1"/>
        <v>120</v>
      </c>
      <c r="I11" s="179" t="s">
        <v>247</v>
      </c>
      <c r="J11" s="188">
        <v>6.25E-2</v>
      </c>
      <c r="K11" s="189" t="s">
        <v>254</v>
      </c>
    </row>
    <row r="12" spans="1:11" ht="19.25" customHeight="1" x14ac:dyDescent="0.2">
      <c r="A12" s="190">
        <v>4</v>
      </c>
      <c r="B12" s="187" t="s">
        <v>241</v>
      </c>
      <c r="C12" s="176">
        <v>17</v>
      </c>
      <c r="D12" s="14">
        <v>2.85</v>
      </c>
      <c r="E12" s="177">
        <v>1411</v>
      </c>
      <c r="F12" s="178">
        <v>8.5</v>
      </c>
      <c r="G12" s="15">
        <f t="shared" si="0"/>
        <v>11993.5</v>
      </c>
      <c r="H12" s="16">
        <f t="shared" si="1"/>
        <v>144.5</v>
      </c>
      <c r="I12" s="195"/>
      <c r="J12" s="194"/>
      <c r="K12" s="189"/>
    </row>
    <row r="13" spans="1:11" ht="17" x14ac:dyDescent="0.2">
      <c r="A13" s="191">
        <v>5</v>
      </c>
      <c r="B13" s="187" t="s">
        <v>241</v>
      </c>
      <c r="C13" s="176">
        <v>18</v>
      </c>
      <c r="D13" s="14">
        <v>2.85</v>
      </c>
      <c r="E13" s="177">
        <v>1360</v>
      </c>
      <c r="F13" s="178">
        <v>8.5</v>
      </c>
      <c r="G13" s="15">
        <f t="shared" si="0"/>
        <v>11560</v>
      </c>
      <c r="H13" s="16">
        <f t="shared" si="1"/>
        <v>153</v>
      </c>
      <c r="I13" s="179"/>
      <c r="J13" s="188"/>
      <c r="K13" s="189"/>
    </row>
    <row r="14" spans="1:11" ht="17" x14ac:dyDescent="0.2">
      <c r="A14" s="186">
        <v>6</v>
      </c>
      <c r="B14" s="187" t="s">
        <v>253</v>
      </c>
      <c r="C14" s="180">
        <v>18</v>
      </c>
      <c r="D14" s="14">
        <v>2.85</v>
      </c>
      <c r="E14" s="181">
        <v>1402</v>
      </c>
      <c r="F14" s="182">
        <v>12</v>
      </c>
      <c r="G14" s="15">
        <f t="shared" si="0"/>
        <v>16824</v>
      </c>
      <c r="H14" s="16">
        <f t="shared" si="1"/>
        <v>216</v>
      </c>
      <c r="I14" s="195"/>
      <c r="J14" s="194"/>
      <c r="K14" s="203"/>
    </row>
    <row r="15" spans="1:11" x14ac:dyDescent="0.2">
      <c r="A15" s="190"/>
      <c r="B15" s="187"/>
      <c r="C15" s="192"/>
      <c r="D15" s="14"/>
      <c r="E15" s="181"/>
      <c r="F15" s="193"/>
      <c r="G15" s="15"/>
      <c r="H15" s="16"/>
      <c r="I15" s="19"/>
      <c r="J15" s="18"/>
      <c r="K15" s="17"/>
    </row>
    <row r="16" spans="1:11" x14ac:dyDescent="0.2">
      <c r="A16" s="197"/>
      <c r="B16" s="198"/>
      <c r="C16" s="161"/>
      <c r="D16" s="14"/>
      <c r="E16" s="177"/>
      <c r="F16" s="161"/>
      <c r="G16" s="15"/>
      <c r="H16" s="16"/>
      <c r="I16" s="19"/>
      <c r="J16" s="18"/>
      <c r="K16" s="20"/>
    </row>
    <row r="17" spans="1:11" x14ac:dyDescent="0.2">
      <c r="A17" s="197"/>
      <c r="B17" s="198"/>
      <c r="C17" s="161"/>
      <c r="D17" s="14"/>
      <c r="E17" s="181"/>
      <c r="F17" s="161"/>
      <c r="G17" s="15"/>
      <c r="H17" s="16"/>
      <c r="I17" s="19"/>
      <c r="J17" s="18"/>
      <c r="K17" s="20"/>
    </row>
    <row r="18" spans="1:11" x14ac:dyDescent="0.2">
      <c r="A18" s="197"/>
      <c r="B18" s="198"/>
      <c r="C18" s="161"/>
      <c r="D18" s="14"/>
      <c r="E18" s="181"/>
      <c r="F18" s="161"/>
      <c r="G18" s="15"/>
      <c r="H18" s="16"/>
      <c r="I18" s="10"/>
      <c r="J18" s="13"/>
      <c r="K18" s="10"/>
    </row>
    <row r="19" spans="1:11" x14ac:dyDescent="0.2">
      <c r="A19" s="11"/>
      <c r="B19" s="10"/>
      <c r="C19" s="12"/>
      <c r="D19" s="200"/>
      <c r="E19" s="11"/>
      <c r="F19" s="12"/>
      <c r="G19" s="201"/>
      <c r="H19" s="12"/>
      <c r="I19" s="10"/>
      <c r="J19" s="13"/>
      <c r="K19" s="10"/>
    </row>
    <row r="20" spans="1:11" x14ac:dyDescent="0.2">
      <c r="A20" s="11"/>
      <c r="B20" s="10"/>
      <c r="C20" s="12"/>
      <c r="D20" s="200"/>
      <c r="E20" s="11"/>
      <c r="F20" s="12"/>
      <c r="G20" s="201"/>
      <c r="H20" s="12"/>
      <c r="I20" s="10"/>
      <c r="J20" s="13"/>
      <c r="K20" s="10"/>
    </row>
    <row r="21" spans="1:11" x14ac:dyDescent="0.2">
      <c r="A21" s="11"/>
      <c r="B21" s="10"/>
      <c r="C21" s="205"/>
      <c r="D21" s="11"/>
      <c r="E21" s="13"/>
      <c r="F21" s="205"/>
      <c r="G21" s="201"/>
      <c r="H21" s="12"/>
      <c r="I21" s="10"/>
      <c r="J21" s="13"/>
      <c r="K21" s="10"/>
    </row>
    <row r="22" spans="1:11" x14ac:dyDescent="0.2">
      <c r="A22" s="206"/>
      <c r="B22" s="207"/>
      <c r="C22" s="208"/>
      <c r="D22" s="208"/>
      <c r="E22" s="226" t="s">
        <v>21</v>
      </c>
      <c r="F22" s="227">
        <f>SUM(F9:F21)</f>
        <v>80</v>
      </c>
      <c r="G22" s="228">
        <f>SUM(G9:G21)/F22</f>
        <v>1454.33125</v>
      </c>
      <c r="H22" s="229">
        <f>SUM(H9:H21)/F22</f>
        <v>16.0625</v>
      </c>
      <c r="I22" s="209" t="s">
        <v>22</v>
      </c>
      <c r="J22" s="210">
        <v>0.11805555555555555</v>
      </c>
      <c r="K22" s="207"/>
    </row>
    <row r="23" spans="1:11" x14ac:dyDescent="0.2">
      <c r="E23" s="211"/>
      <c r="F23" s="212"/>
      <c r="I23" s="230" t="s">
        <v>23</v>
      </c>
      <c r="J23" s="231">
        <v>2.83</v>
      </c>
    </row>
    <row r="24" spans="1:11" x14ac:dyDescent="0.2">
      <c r="I24" s="212"/>
      <c r="J24" s="213"/>
    </row>
    <row r="25" spans="1:11" x14ac:dyDescent="0.2">
      <c r="A25" s="10" t="s">
        <v>24</v>
      </c>
      <c r="B25" s="10"/>
      <c r="C25" s="10"/>
      <c r="D25" s="205"/>
      <c r="H25" s="220" t="s">
        <v>25</v>
      </c>
      <c r="I25" s="220"/>
      <c r="J25" s="211">
        <f>F22</f>
        <v>80</v>
      </c>
      <c r="K25" s="204" t="s">
        <v>16</v>
      </c>
    </row>
    <row r="26" spans="1:11" x14ac:dyDescent="0.2">
      <c r="A26" s="10" t="s">
        <v>26</v>
      </c>
      <c r="B26" s="10"/>
      <c r="C26" s="10"/>
      <c r="D26" s="205"/>
      <c r="H26" s="220" t="s">
        <v>27</v>
      </c>
      <c r="I26" s="220"/>
      <c r="J26" s="211">
        <f>100+96+78+70+83+72+85+80</f>
        <v>664</v>
      </c>
      <c r="K26" s="204" t="s">
        <v>16</v>
      </c>
    </row>
    <row r="27" spans="1:11" ht="17" thickBot="1" x14ac:dyDescent="0.25">
      <c r="A27" s="214"/>
      <c r="B27" s="214"/>
      <c r="C27" s="214"/>
      <c r="D27" s="214"/>
      <c r="E27" s="215"/>
      <c r="F27" s="215"/>
      <c r="G27" s="214"/>
      <c r="H27" s="232" t="s">
        <v>28</v>
      </c>
      <c r="I27" s="232"/>
      <c r="J27" s="216">
        <v>16</v>
      </c>
      <c r="K27" s="214" t="s">
        <v>29</v>
      </c>
    </row>
    <row r="28" spans="1:11" x14ac:dyDescent="0.2">
      <c r="J28" s="204" t="s">
        <v>3</v>
      </c>
    </row>
    <row r="29" spans="1:11" hidden="1" x14ac:dyDescent="0.2">
      <c r="K29" s="204" t="s">
        <v>30</v>
      </c>
    </row>
    <row r="30" spans="1:11" hidden="1" x14ac:dyDescent="0.2">
      <c r="K30" s="204" t="s">
        <v>31</v>
      </c>
    </row>
    <row r="31" spans="1:11" hidden="1" x14ac:dyDescent="0.2">
      <c r="K31" s="204" t="s">
        <v>32</v>
      </c>
    </row>
    <row r="32" spans="1:11" hidden="1" x14ac:dyDescent="0.2">
      <c r="K32" s="204" t="s">
        <v>33</v>
      </c>
    </row>
    <row r="33" spans="9:11" hidden="1" x14ac:dyDescent="0.2">
      <c r="K33" s="204" t="s">
        <v>34</v>
      </c>
    </row>
    <row r="34" spans="9:11" hidden="1" x14ac:dyDescent="0.2">
      <c r="K34" s="204" t="s">
        <v>35</v>
      </c>
    </row>
    <row r="35" spans="9:11" hidden="1" x14ac:dyDescent="0.2">
      <c r="K35" s="204" t="s">
        <v>36</v>
      </c>
    </row>
    <row r="36" spans="9:11" hidden="1" x14ac:dyDescent="0.2">
      <c r="K36" s="204" t="s">
        <v>37</v>
      </c>
    </row>
    <row r="37" spans="9:11" hidden="1" x14ac:dyDescent="0.2">
      <c r="K37" s="204" t="s">
        <v>38</v>
      </c>
    </row>
    <row r="38" spans="9:11" hidden="1" x14ac:dyDescent="0.2">
      <c r="K38" s="204" t="s">
        <v>39</v>
      </c>
    </row>
    <row r="39" spans="9:11" hidden="1" x14ac:dyDescent="0.2">
      <c r="K39" s="204" t="s">
        <v>40</v>
      </c>
    </row>
    <row r="40" spans="9:11" hidden="1" x14ac:dyDescent="0.2">
      <c r="K40" s="204" t="s">
        <v>41</v>
      </c>
    </row>
    <row r="41" spans="9:11" ht="34" hidden="1" x14ac:dyDescent="0.2">
      <c r="I41" s="217" t="s">
        <v>42</v>
      </c>
      <c r="K41" s="204" t="s">
        <v>43</v>
      </c>
    </row>
    <row r="42" spans="9:11" ht="17" hidden="1" x14ac:dyDescent="0.2">
      <c r="I42" s="217" t="s">
        <v>44</v>
      </c>
      <c r="K42" s="204" t="s">
        <v>45</v>
      </c>
    </row>
    <row r="43" spans="9:11" hidden="1" x14ac:dyDescent="0.2">
      <c r="I43" s="218" t="s">
        <v>46</v>
      </c>
      <c r="K43" s="204" t="s">
        <v>47</v>
      </c>
    </row>
    <row r="44" spans="9:11" hidden="1" x14ac:dyDescent="0.2">
      <c r="I44" s="204" t="s">
        <v>48</v>
      </c>
      <c r="K44" s="204" t="s">
        <v>49</v>
      </c>
    </row>
    <row r="45" spans="9:11" hidden="1" x14ac:dyDescent="0.2">
      <c r="I45" s="204" t="s">
        <v>50</v>
      </c>
      <c r="K45" s="204" t="s">
        <v>51</v>
      </c>
    </row>
    <row r="46" spans="9:11" hidden="1" x14ac:dyDescent="0.2">
      <c r="I46" s="204" t="s">
        <v>52</v>
      </c>
      <c r="K46" s="204" t="s">
        <v>53</v>
      </c>
    </row>
    <row r="47" spans="9:11" hidden="1" x14ac:dyDescent="0.2">
      <c r="I47" s="204" t="s">
        <v>54</v>
      </c>
      <c r="K47" s="204" t="s">
        <v>55</v>
      </c>
    </row>
    <row r="48" spans="9:11" hidden="1" x14ac:dyDescent="0.2">
      <c r="I48" s="204" t="s">
        <v>56</v>
      </c>
      <c r="K48" s="204" t="s">
        <v>57</v>
      </c>
    </row>
    <row r="49" spans="9:11" hidden="1" x14ac:dyDescent="0.2">
      <c r="I49" s="204" t="s">
        <v>58</v>
      </c>
      <c r="K49" s="204" t="s">
        <v>59</v>
      </c>
    </row>
    <row r="50" spans="9:11" hidden="1" x14ac:dyDescent="0.2">
      <c r="I50" s="204" t="s">
        <v>60</v>
      </c>
      <c r="K50" s="204" t="s">
        <v>61</v>
      </c>
    </row>
    <row r="51" spans="9:11" hidden="1" x14ac:dyDescent="0.2">
      <c r="K51" s="204" t="s">
        <v>62</v>
      </c>
    </row>
    <row r="52" spans="9:11" hidden="1" x14ac:dyDescent="0.2">
      <c r="K52" s="204" t="s">
        <v>63</v>
      </c>
    </row>
    <row r="53" spans="9:11" hidden="1" x14ac:dyDescent="0.2">
      <c r="K53" s="204" t="s">
        <v>64</v>
      </c>
    </row>
    <row r="54" spans="9:11" hidden="1" x14ac:dyDescent="0.2">
      <c r="K54" s="204" t="s">
        <v>65</v>
      </c>
    </row>
    <row r="55" spans="9:11" hidden="1" x14ac:dyDescent="0.2">
      <c r="K55" s="204" t="s">
        <v>66</v>
      </c>
    </row>
    <row r="56" spans="9:11" hidden="1" x14ac:dyDescent="0.2">
      <c r="K56" s="204" t="s">
        <v>67</v>
      </c>
    </row>
    <row r="57" spans="9:11" hidden="1" x14ac:dyDescent="0.2">
      <c r="K57" s="204" t="s">
        <v>68</v>
      </c>
    </row>
    <row r="58" spans="9:11" hidden="1" x14ac:dyDescent="0.2">
      <c r="K58" s="204" t="s">
        <v>69</v>
      </c>
    </row>
    <row r="59" spans="9:11" hidden="1" x14ac:dyDescent="0.2">
      <c r="K59" s="204" t="s">
        <v>70</v>
      </c>
    </row>
    <row r="60" spans="9:11" hidden="1" x14ac:dyDescent="0.2">
      <c r="K60" s="204" t="s">
        <v>71</v>
      </c>
    </row>
    <row r="61" spans="9:11" hidden="1" x14ac:dyDescent="0.2">
      <c r="K61" s="204" t="s">
        <v>72</v>
      </c>
    </row>
    <row r="62" spans="9:11" hidden="1" x14ac:dyDescent="0.2">
      <c r="K62" s="204" t="s">
        <v>73</v>
      </c>
    </row>
    <row r="63" spans="9:11" hidden="1" x14ac:dyDescent="0.2">
      <c r="K63" s="204" t="s">
        <v>67</v>
      </c>
    </row>
    <row r="64" spans="9:11" hidden="1" x14ac:dyDescent="0.2">
      <c r="K64" s="204" t="s">
        <v>74</v>
      </c>
    </row>
    <row r="65" spans="11:11" hidden="1" x14ac:dyDescent="0.2">
      <c r="K65" s="204" t="s">
        <v>75</v>
      </c>
    </row>
    <row r="66" spans="11:11" hidden="1" x14ac:dyDescent="0.2">
      <c r="K66" s="204" t="s">
        <v>76</v>
      </c>
    </row>
    <row r="67" spans="11:11" hidden="1" x14ac:dyDescent="0.2">
      <c r="K67" s="204" t="s">
        <v>77</v>
      </c>
    </row>
    <row r="68" spans="11:11" hidden="1" x14ac:dyDescent="0.2">
      <c r="K68" s="204" t="s">
        <v>78</v>
      </c>
    </row>
    <row r="69" spans="11:11" hidden="1" x14ac:dyDescent="0.2">
      <c r="K69" s="204" t="s">
        <v>79</v>
      </c>
    </row>
    <row r="70" spans="11:11" hidden="1" x14ac:dyDescent="0.2">
      <c r="K70" s="204" t="s">
        <v>80</v>
      </c>
    </row>
    <row r="71" spans="11:11" hidden="1" x14ac:dyDescent="0.2">
      <c r="K71" s="204" t="s">
        <v>81</v>
      </c>
    </row>
    <row r="72" spans="11:11" hidden="1" x14ac:dyDescent="0.2">
      <c r="K72" s="204" t="s">
        <v>82</v>
      </c>
    </row>
    <row r="73" spans="11:11" hidden="1" x14ac:dyDescent="0.2">
      <c r="K73" s="204" t="s">
        <v>83</v>
      </c>
    </row>
    <row r="74" spans="11:11" hidden="1" x14ac:dyDescent="0.2">
      <c r="K74" s="204" t="s">
        <v>84</v>
      </c>
    </row>
    <row r="75" spans="11:11" hidden="1" x14ac:dyDescent="0.2">
      <c r="K75" s="204" t="s">
        <v>85</v>
      </c>
    </row>
    <row r="76" spans="11:11" hidden="1" x14ac:dyDescent="0.2">
      <c r="K76" s="204" t="s">
        <v>86</v>
      </c>
    </row>
    <row r="77" spans="11:11" hidden="1" x14ac:dyDescent="0.2">
      <c r="K77" s="204" t="s">
        <v>87</v>
      </c>
    </row>
    <row r="78" spans="11:11" hidden="1" x14ac:dyDescent="0.2">
      <c r="K78" s="204" t="s">
        <v>88</v>
      </c>
    </row>
    <row r="79" spans="11:11" hidden="1" x14ac:dyDescent="0.2">
      <c r="K79" s="204" t="s">
        <v>89</v>
      </c>
    </row>
    <row r="80" spans="11:11" hidden="1" x14ac:dyDescent="0.2">
      <c r="K80" s="204" t="s">
        <v>90</v>
      </c>
    </row>
    <row r="81" spans="11:11" hidden="1" x14ac:dyDescent="0.2">
      <c r="K81" s="204" t="s">
        <v>91</v>
      </c>
    </row>
    <row r="82" spans="11:11" hidden="1" x14ac:dyDescent="0.2">
      <c r="K82" s="204" t="s">
        <v>92</v>
      </c>
    </row>
    <row r="83" spans="11:11" hidden="1" x14ac:dyDescent="0.2">
      <c r="K83" s="204" t="s">
        <v>93</v>
      </c>
    </row>
    <row r="84" spans="11:11" hidden="1" x14ac:dyDescent="0.2">
      <c r="K84" s="204" t="s">
        <v>94</v>
      </c>
    </row>
    <row r="85" spans="11:11" hidden="1" x14ac:dyDescent="0.2">
      <c r="K85" s="204" t="s">
        <v>47</v>
      </c>
    </row>
  </sheetData>
  <dataValidations count="3">
    <dataValidation type="list" allowBlank="1" showInputMessage="1" showErrorMessage="1" sqref="B16:B19" xr:uid="{9421B651-FB03-41F0-9C4F-EEB9DA9153B6}">
      <formula1>$K$29:$K$85</formula1>
    </dataValidation>
    <dataValidation type="list" allowBlank="1" showInputMessage="1" showErrorMessage="1" sqref="B20:B21" xr:uid="{870E711C-E95F-4872-BA75-551CD2C2880D}">
      <formula1>$K$29:$K$40</formula1>
    </dataValidation>
    <dataValidation type="list" allowBlank="1" showInputMessage="1" showErrorMessage="1" sqref="I50 K15:K21" xr:uid="{6E9F7F25-69E8-4F01-9A01-79104C7B3334}">
      <formula1>$I$41:$I$50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8D152-1471-4D59-A478-E1EE8B166B47}">
  <dimension ref="A1:K85"/>
  <sheetViews>
    <sheetView workbookViewId="0">
      <selection sqref="A1:XFD1048576"/>
    </sheetView>
  </sheetViews>
  <sheetFormatPr baseColWidth="10" defaultColWidth="9.1640625" defaultRowHeight="16" x14ac:dyDescent="0.2"/>
  <cols>
    <col min="1" max="1" width="5.1640625" style="204" customWidth="1"/>
    <col min="2" max="2" width="22.5" style="204" customWidth="1"/>
    <col min="3" max="3" width="6.1640625" style="204" customWidth="1"/>
    <col min="4" max="4" width="12.5" style="204" bestFit="1" customWidth="1"/>
    <col min="5" max="5" width="9.83203125" style="204" customWidth="1"/>
    <col min="6" max="6" width="9.33203125" style="204" bestFit="1" customWidth="1"/>
    <col min="7" max="7" width="8.6640625" style="204" customWidth="1"/>
    <col min="8" max="8" width="9.5" style="204" bestFit="1" customWidth="1"/>
    <col min="9" max="9" width="17.83203125" style="204" bestFit="1" customWidth="1"/>
    <col min="10" max="10" width="10.33203125" style="204" bestFit="1" customWidth="1"/>
    <col min="11" max="11" width="75" style="204" bestFit="1" customWidth="1"/>
    <col min="12" max="16384" width="9.1640625" style="204"/>
  </cols>
  <sheetData>
    <row r="1" spans="1:11" x14ac:dyDescent="0.2">
      <c r="A1" s="204" t="s">
        <v>0</v>
      </c>
      <c r="I1" s="219"/>
    </row>
    <row r="2" spans="1:11" x14ac:dyDescent="0.2">
      <c r="J2" s="220"/>
    </row>
    <row r="3" spans="1:11" x14ac:dyDescent="0.2">
      <c r="A3" s="219" t="s">
        <v>1</v>
      </c>
    </row>
    <row r="4" spans="1:11" x14ac:dyDescent="0.2">
      <c r="A4" s="219"/>
      <c r="I4" s="220" t="s">
        <v>2</v>
      </c>
      <c r="J4" s="221">
        <v>45939</v>
      </c>
    </row>
    <row r="5" spans="1:11" x14ac:dyDescent="0.2">
      <c r="J5" s="204" t="s">
        <v>3</v>
      </c>
    </row>
    <row r="6" spans="1:11" ht="34" x14ac:dyDescent="0.2">
      <c r="A6" s="11" t="s">
        <v>4</v>
      </c>
      <c r="B6" s="11" t="s">
        <v>5</v>
      </c>
      <c r="C6" s="11" t="s">
        <v>6</v>
      </c>
      <c r="D6" s="11" t="s">
        <v>7</v>
      </c>
      <c r="E6" s="11" t="s">
        <v>8</v>
      </c>
      <c r="F6" s="11" t="s">
        <v>9</v>
      </c>
      <c r="G6" s="222" t="s">
        <v>10</v>
      </c>
      <c r="H6" s="222" t="s">
        <v>11</v>
      </c>
      <c r="I6" s="222" t="s">
        <v>12</v>
      </c>
      <c r="J6" s="223"/>
      <c r="K6" s="11" t="s">
        <v>13</v>
      </c>
    </row>
    <row r="7" spans="1:11" ht="34" x14ac:dyDescent="0.2">
      <c r="A7" s="222"/>
      <c r="B7" s="224"/>
      <c r="C7" s="11"/>
      <c r="D7" s="11" t="s">
        <v>14</v>
      </c>
      <c r="E7" s="11" t="s">
        <v>15</v>
      </c>
      <c r="F7" s="225" t="s">
        <v>16</v>
      </c>
      <c r="G7" s="225" t="s">
        <v>15</v>
      </c>
      <c r="H7" s="225" t="s">
        <v>17</v>
      </c>
      <c r="I7" s="11" t="s">
        <v>18</v>
      </c>
      <c r="J7" s="225" t="s">
        <v>19</v>
      </c>
      <c r="K7" s="225"/>
    </row>
    <row r="8" spans="1:11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2">
      <c r="A9" s="186">
        <v>1</v>
      </c>
      <c r="B9" s="187" t="s">
        <v>241</v>
      </c>
      <c r="C9" s="161">
        <v>14</v>
      </c>
      <c r="D9" s="14">
        <v>2.85</v>
      </c>
      <c r="E9" s="163">
        <v>1494</v>
      </c>
      <c r="F9" s="162">
        <v>6.6</v>
      </c>
      <c r="G9" s="15">
        <f t="shared" ref="G9:G14" si="0">E9*F9</f>
        <v>9860.4</v>
      </c>
      <c r="H9" s="16">
        <f>F9*C9</f>
        <v>92.399999999999991</v>
      </c>
      <c r="I9" s="179" t="s">
        <v>20</v>
      </c>
      <c r="J9" s="188">
        <v>2.0833333333333332E-2</v>
      </c>
      <c r="K9" s="202" t="s">
        <v>239</v>
      </c>
    </row>
    <row r="10" spans="1:11" ht="17" x14ac:dyDescent="0.2">
      <c r="A10" s="190">
        <v>2</v>
      </c>
      <c r="B10" s="187" t="s">
        <v>255</v>
      </c>
      <c r="C10" s="161">
        <v>14</v>
      </c>
      <c r="D10" s="14">
        <v>2.85</v>
      </c>
      <c r="E10" s="163">
        <v>1417</v>
      </c>
      <c r="F10" s="162">
        <v>6.3</v>
      </c>
      <c r="G10" s="15">
        <f t="shared" si="0"/>
        <v>8927.1</v>
      </c>
      <c r="H10" s="16">
        <f t="shared" ref="H10:H14" si="1">F10*C10</f>
        <v>88.2</v>
      </c>
      <c r="I10" s="179" t="s">
        <v>44</v>
      </c>
      <c r="J10" s="188">
        <v>2.4305555555555556E-2</v>
      </c>
      <c r="K10" s="189" t="s">
        <v>44</v>
      </c>
    </row>
    <row r="11" spans="1:11" ht="17" x14ac:dyDescent="0.2">
      <c r="A11" s="186">
        <v>3</v>
      </c>
      <c r="B11" s="187" t="s">
        <v>255</v>
      </c>
      <c r="C11" s="161">
        <v>15</v>
      </c>
      <c r="D11" s="14">
        <v>2.85</v>
      </c>
      <c r="E11" s="163">
        <v>1417</v>
      </c>
      <c r="F11" s="175">
        <v>8.1999999999999993</v>
      </c>
      <c r="G11" s="15">
        <f t="shared" si="0"/>
        <v>11619.4</v>
      </c>
      <c r="H11" s="16">
        <f t="shared" si="1"/>
        <v>122.99999999999999</v>
      </c>
      <c r="I11" s="179" t="s">
        <v>257</v>
      </c>
      <c r="J11" s="188">
        <v>6.9444444444444441E-3</v>
      </c>
      <c r="K11" s="189" t="s">
        <v>257</v>
      </c>
    </row>
    <row r="12" spans="1:11" ht="19.25" customHeight="1" x14ac:dyDescent="0.2">
      <c r="A12" s="190">
        <v>4</v>
      </c>
      <c r="B12" s="187" t="s">
        <v>250</v>
      </c>
      <c r="C12" s="176">
        <v>12.5</v>
      </c>
      <c r="D12" s="14">
        <v>2.85</v>
      </c>
      <c r="E12" s="177">
        <v>1476</v>
      </c>
      <c r="F12" s="178">
        <v>23.9</v>
      </c>
      <c r="G12" s="15">
        <f t="shared" si="0"/>
        <v>35276.400000000001</v>
      </c>
      <c r="H12" s="16">
        <f t="shared" si="1"/>
        <v>298.75</v>
      </c>
      <c r="I12" s="195"/>
      <c r="J12" s="194"/>
      <c r="K12" s="189"/>
    </row>
    <row r="13" spans="1:11" ht="17" x14ac:dyDescent="0.2">
      <c r="A13" s="191">
        <v>5</v>
      </c>
      <c r="B13" s="187" t="s">
        <v>250</v>
      </c>
      <c r="C13" s="176">
        <v>11</v>
      </c>
      <c r="D13" s="14">
        <v>2.85</v>
      </c>
      <c r="E13" s="177">
        <v>1458</v>
      </c>
      <c r="F13" s="178">
        <v>12</v>
      </c>
      <c r="G13" s="15">
        <f t="shared" si="0"/>
        <v>17496</v>
      </c>
      <c r="H13" s="16">
        <f t="shared" si="1"/>
        <v>132</v>
      </c>
      <c r="I13" s="179"/>
      <c r="J13" s="188"/>
      <c r="K13" s="189"/>
    </row>
    <row r="14" spans="1:11" ht="17" x14ac:dyDescent="0.2">
      <c r="A14" s="186">
        <v>6</v>
      </c>
      <c r="B14" s="187" t="s">
        <v>256</v>
      </c>
      <c r="C14" s="180">
        <v>11</v>
      </c>
      <c r="D14" s="14">
        <v>2.85</v>
      </c>
      <c r="E14" s="181">
        <v>1458</v>
      </c>
      <c r="F14" s="182">
        <v>12</v>
      </c>
      <c r="G14" s="15">
        <f t="shared" si="0"/>
        <v>17496</v>
      </c>
      <c r="H14" s="16">
        <f t="shared" si="1"/>
        <v>132</v>
      </c>
      <c r="I14" s="195"/>
      <c r="J14" s="194"/>
      <c r="K14" s="203"/>
    </row>
    <row r="15" spans="1:11" x14ac:dyDescent="0.2">
      <c r="A15" s="190"/>
      <c r="B15" s="187"/>
      <c r="C15" s="192"/>
      <c r="D15" s="14"/>
      <c r="E15" s="181"/>
      <c r="F15" s="193"/>
      <c r="G15" s="15"/>
      <c r="H15" s="16"/>
      <c r="I15" s="19"/>
      <c r="J15" s="18"/>
      <c r="K15" s="17"/>
    </row>
    <row r="16" spans="1:11" x14ac:dyDescent="0.2">
      <c r="A16" s="197"/>
      <c r="B16" s="198"/>
      <c r="C16" s="161"/>
      <c r="D16" s="14"/>
      <c r="E16" s="177"/>
      <c r="F16" s="161"/>
      <c r="G16" s="15"/>
      <c r="H16" s="16"/>
      <c r="I16" s="19"/>
      <c r="J16" s="18"/>
      <c r="K16" s="20"/>
    </row>
    <row r="17" spans="1:11" x14ac:dyDescent="0.2">
      <c r="A17" s="197"/>
      <c r="B17" s="198"/>
      <c r="C17" s="161"/>
      <c r="D17" s="14"/>
      <c r="E17" s="181"/>
      <c r="F17" s="161"/>
      <c r="G17" s="15"/>
      <c r="H17" s="16"/>
      <c r="I17" s="19"/>
      <c r="J17" s="18"/>
      <c r="K17" s="20"/>
    </row>
    <row r="18" spans="1:11" x14ac:dyDescent="0.2">
      <c r="A18" s="197"/>
      <c r="B18" s="198"/>
      <c r="C18" s="161"/>
      <c r="D18" s="14"/>
      <c r="E18" s="181"/>
      <c r="F18" s="161"/>
      <c r="G18" s="15"/>
      <c r="H18" s="16"/>
      <c r="I18" s="10"/>
      <c r="J18" s="13"/>
      <c r="K18" s="10"/>
    </row>
    <row r="19" spans="1:11" x14ac:dyDescent="0.2">
      <c r="A19" s="11"/>
      <c r="B19" s="10"/>
      <c r="C19" s="12"/>
      <c r="D19" s="200"/>
      <c r="E19" s="11"/>
      <c r="F19" s="12"/>
      <c r="G19" s="201"/>
      <c r="H19" s="12"/>
      <c r="I19" s="10"/>
      <c r="J19" s="13"/>
      <c r="K19" s="10"/>
    </row>
    <row r="20" spans="1:11" x14ac:dyDescent="0.2">
      <c r="A20" s="11"/>
      <c r="B20" s="10"/>
      <c r="C20" s="12"/>
      <c r="D20" s="200"/>
      <c r="E20" s="11"/>
      <c r="F20" s="12"/>
      <c r="G20" s="201"/>
      <c r="H20" s="12"/>
      <c r="I20" s="10"/>
      <c r="J20" s="13"/>
      <c r="K20" s="10"/>
    </row>
    <row r="21" spans="1:11" x14ac:dyDescent="0.2">
      <c r="A21" s="11"/>
      <c r="B21" s="10"/>
      <c r="C21" s="205"/>
      <c r="D21" s="11"/>
      <c r="E21" s="13"/>
      <c r="F21" s="205"/>
      <c r="G21" s="201"/>
      <c r="H21" s="12"/>
      <c r="I21" s="10"/>
      <c r="J21" s="13"/>
      <c r="K21" s="10"/>
    </row>
    <row r="22" spans="1:11" x14ac:dyDescent="0.2">
      <c r="A22" s="206"/>
      <c r="B22" s="207"/>
      <c r="C22" s="208"/>
      <c r="D22" s="208"/>
      <c r="E22" s="226" t="s">
        <v>21</v>
      </c>
      <c r="F22" s="227">
        <f>SUM(F9:F21)</f>
        <v>69</v>
      </c>
      <c r="G22" s="228">
        <f>SUM(G9:G21)/F22</f>
        <v>1459.0623188405798</v>
      </c>
      <c r="H22" s="229">
        <f>SUM(H9:H21)/F22</f>
        <v>12.555797101449274</v>
      </c>
      <c r="I22" s="209" t="s">
        <v>22</v>
      </c>
      <c r="J22" s="210">
        <v>5.2083333333333336E-2</v>
      </c>
      <c r="K22" s="207"/>
    </row>
    <row r="23" spans="1:11" x14ac:dyDescent="0.2">
      <c r="E23" s="211"/>
      <c r="F23" s="212"/>
      <c r="I23" s="230" t="s">
        <v>23</v>
      </c>
      <c r="J23" s="231">
        <v>1.25</v>
      </c>
    </row>
    <row r="24" spans="1:11" x14ac:dyDescent="0.2">
      <c r="I24" s="212"/>
      <c r="J24" s="213"/>
    </row>
    <row r="25" spans="1:11" x14ac:dyDescent="0.2">
      <c r="A25" s="10" t="s">
        <v>24</v>
      </c>
      <c r="B25" s="10"/>
      <c r="C25" s="10"/>
      <c r="D25" s="205"/>
      <c r="H25" s="220" t="s">
        <v>25</v>
      </c>
      <c r="I25" s="220"/>
      <c r="J25" s="211">
        <f>F22</f>
        <v>69</v>
      </c>
      <c r="K25" s="204" t="s">
        <v>16</v>
      </c>
    </row>
    <row r="26" spans="1:11" x14ac:dyDescent="0.2">
      <c r="A26" s="10" t="s">
        <v>26</v>
      </c>
      <c r="B26" s="10"/>
      <c r="C26" s="10"/>
      <c r="D26" s="205"/>
      <c r="H26" s="220" t="s">
        <v>27</v>
      </c>
      <c r="I26" s="220"/>
      <c r="J26" s="211">
        <f>100+96+78+70+83+72+85+80+69</f>
        <v>733</v>
      </c>
      <c r="K26" s="204" t="s">
        <v>16</v>
      </c>
    </row>
    <row r="27" spans="1:11" ht="17" thickBot="1" x14ac:dyDescent="0.25">
      <c r="A27" s="214"/>
      <c r="B27" s="214"/>
      <c r="C27" s="214"/>
      <c r="D27" s="214"/>
      <c r="E27" s="215"/>
      <c r="F27" s="215"/>
      <c r="G27" s="214"/>
      <c r="H27" s="232" t="s">
        <v>28</v>
      </c>
      <c r="I27" s="232"/>
      <c r="J27" s="216">
        <v>17.25</v>
      </c>
      <c r="K27" s="214" t="s">
        <v>29</v>
      </c>
    </row>
    <row r="28" spans="1:11" x14ac:dyDescent="0.2">
      <c r="J28" s="204" t="s">
        <v>3</v>
      </c>
    </row>
    <row r="29" spans="1:11" hidden="1" x14ac:dyDescent="0.2">
      <c r="K29" s="204" t="s">
        <v>30</v>
      </c>
    </row>
    <row r="30" spans="1:11" hidden="1" x14ac:dyDescent="0.2">
      <c r="K30" s="204" t="s">
        <v>31</v>
      </c>
    </row>
    <row r="31" spans="1:11" hidden="1" x14ac:dyDescent="0.2">
      <c r="K31" s="204" t="s">
        <v>32</v>
      </c>
    </row>
    <row r="32" spans="1:11" hidden="1" x14ac:dyDescent="0.2">
      <c r="K32" s="204" t="s">
        <v>33</v>
      </c>
    </row>
    <row r="33" spans="9:11" hidden="1" x14ac:dyDescent="0.2">
      <c r="K33" s="204" t="s">
        <v>34</v>
      </c>
    </row>
    <row r="34" spans="9:11" hidden="1" x14ac:dyDescent="0.2">
      <c r="K34" s="204" t="s">
        <v>35</v>
      </c>
    </row>
    <row r="35" spans="9:11" hidden="1" x14ac:dyDescent="0.2">
      <c r="K35" s="204" t="s">
        <v>36</v>
      </c>
    </row>
    <row r="36" spans="9:11" hidden="1" x14ac:dyDescent="0.2">
      <c r="K36" s="204" t="s">
        <v>37</v>
      </c>
    </row>
    <row r="37" spans="9:11" hidden="1" x14ac:dyDescent="0.2">
      <c r="K37" s="204" t="s">
        <v>38</v>
      </c>
    </row>
    <row r="38" spans="9:11" hidden="1" x14ac:dyDescent="0.2">
      <c r="K38" s="204" t="s">
        <v>39</v>
      </c>
    </row>
    <row r="39" spans="9:11" hidden="1" x14ac:dyDescent="0.2">
      <c r="K39" s="204" t="s">
        <v>40</v>
      </c>
    </row>
    <row r="40" spans="9:11" hidden="1" x14ac:dyDescent="0.2">
      <c r="K40" s="204" t="s">
        <v>41</v>
      </c>
    </row>
    <row r="41" spans="9:11" ht="34" hidden="1" x14ac:dyDescent="0.2">
      <c r="I41" s="217" t="s">
        <v>42</v>
      </c>
      <c r="K41" s="204" t="s">
        <v>43</v>
      </c>
    </row>
    <row r="42" spans="9:11" ht="17" hidden="1" x14ac:dyDescent="0.2">
      <c r="I42" s="217" t="s">
        <v>44</v>
      </c>
      <c r="K42" s="204" t="s">
        <v>45</v>
      </c>
    </row>
    <row r="43" spans="9:11" hidden="1" x14ac:dyDescent="0.2">
      <c r="I43" s="218" t="s">
        <v>46</v>
      </c>
      <c r="K43" s="204" t="s">
        <v>47</v>
      </c>
    </row>
    <row r="44" spans="9:11" hidden="1" x14ac:dyDescent="0.2">
      <c r="I44" s="204" t="s">
        <v>48</v>
      </c>
      <c r="K44" s="204" t="s">
        <v>49</v>
      </c>
    </row>
    <row r="45" spans="9:11" hidden="1" x14ac:dyDescent="0.2">
      <c r="I45" s="204" t="s">
        <v>50</v>
      </c>
      <c r="K45" s="204" t="s">
        <v>51</v>
      </c>
    </row>
    <row r="46" spans="9:11" hidden="1" x14ac:dyDescent="0.2">
      <c r="I46" s="204" t="s">
        <v>52</v>
      </c>
      <c r="K46" s="204" t="s">
        <v>53</v>
      </c>
    </row>
    <row r="47" spans="9:11" hidden="1" x14ac:dyDescent="0.2">
      <c r="I47" s="204" t="s">
        <v>54</v>
      </c>
      <c r="K47" s="204" t="s">
        <v>55</v>
      </c>
    </row>
    <row r="48" spans="9:11" hidden="1" x14ac:dyDescent="0.2">
      <c r="I48" s="204" t="s">
        <v>56</v>
      </c>
      <c r="K48" s="204" t="s">
        <v>57</v>
      </c>
    </row>
    <row r="49" spans="9:11" hidden="1" x14ac:dyDescent="0.2">
      <c r="I49" s="204" t="s">
        <v>58</v>
      </c>
      <c r="K49" s="204" t="s">
        <v>59</v>
      </c>
    </row>
    <row r="50" spans="9:11" hidden="1" x14ac:dyDescent="0.2">
      <c r="I50" s="204" t="s">
        <v>60</v>
      </c>
      <c r="K50" s="204" t="s">
        <v>61</v>
      </c>
    </row>
    <row r="51" spans="9:11" hidden="1" x14ac:dyDescent="0.2">
      <c r="K51" s="204" t="s">
        <v>62</v>
      </c>
    </row>
    <row r="52" spans="9:11" hidden="1" x14ac:dyDescent="0.2">
      <c r="K52" s="204" t="s">
        <v>63</v>
      </c>
    </row>
    <row r="53" spans="9:11" hidden="1" x14ac:dyDescent="0.2">
      <c r="K53" s="204" t="s">
        <v>64</v>
      </c>
    </row>
    <row r="54" spans="9:11" hidden="1" x14ac:dyDescent="0.2">
      <c r="K54" s="204" t="s">
        <v>65</v>
      </c>
    </row>
    <row r="55" spans="9:11" hidden="1" x14ac:dyDescent="0.2">
      <c r="K55" s="204" t="s">
        <v>66</v>
      </c>
    </row>
    <row r="56" spans="9:11" hidden="1" x14ac:dyDescent="0.2">
      <c r="K56" s="204" t="s">
        <v>67</v>
      </c>
    </row>
    <row r="57" spans="9:11" hidden="1" x14ac:dyDescent="0.2">
      <c r="K57" s="204" t="s">
        <v>68</v>
      </c>
    </row>
    <row r="58" spans="9:11" hidden="1" x14ac:dyDescent="0.2">
      <c r="K58" s="204" t="s">
        <v>69</v>
      </c>
    </row>
    <row r="59" spans="9:11" hidden="1" x14ac:dyDescent="0.2">
      <c r="K59" s="204" t="s">
        <v>70</v>
      </c>
    </row>
    <row r="60" spans="9:11" hidden="1" x14ac:dyDescent="0.2">
      <c r="K60" s="204" t="s">
        <v>71</v>
      </c>
    </row>
    <row r="61" spans="9:11" hidden="1" x14ac:dyDescent="0.2">
      <c r="K61" s="204" t="s">
        <v>72</v>
      </c>
    </row>
    <row r="62" spans="9:11" hidden="1" x14ac:dyDescent="0.2">
      <c r="K62" s="204" t="s">
        <v>73</v>
      </c>
    </row>
    <row r="63" spans="9:11" hidden="1" x14ac:dyDescent="0.2">
      <c r="K63" s="204" t="s">
        <v>67</v>
      </c>
    </row>
    <row r="64" spans="9:11" hidden="1" x14ac:dyDescent="0.2">
      <c r="K64" s="204" t="s">
        <v>74</v>
      </c>
    </row>
    <row r="65" spans="11:11" hidden="1" x14ac:dyDescent="0.2">
      <c r="K65" s="204" t="s">
        <v>75</v>
      </c>
    </row>
    <row r="66" spans="11:11" hidden="1" x14ac:dyDescent="0.2">
      <c r="K66" s="204" t="s">
        <v>76</v>
      </c>
    </row>
    <row r="67" spans="11:11" hidden="1" x14ac:dyDescent="0.2">
      <c r="K67" s="204" t="s">
        <v>77</v>
      </c>
    </row>
    <row r="68" spans="11:11" hidden="1" x14ac:dyDescent="0.2">
      <c r="K68" s="204" t="s">
        <v>78</v>
      </c>
    </row>
    <row r="69" spans="11:11" hidden="1" x14ac:dyDescent="0.2">
      <c r="K69" s="204" t="s">
        <v>79</v>
      </c>
    </row>
    <row r="70" spans="11:11" hidden="1" x14ac:dyDescent="0.2">
      <c r="K70" s="204" t="s">
        <v>80</v>
      </c>
    </row>
    <row r="71" spans="11:11" hidden="1" x14ac:dyDescent="0.2">
      <c r="K71" s="204" t="s">
        <v>81</v>
      </c>
    </row>
    <row r="72" spans="11:11" hidden="1" x14ac:dyDescent="0.2">
      <c r="K72" s="204" t="s">
        <v>82</v>
      </c>
    </row>
    <row r="73" spans="11:11" hidden="1" x14ac:dyDescent="0.2">
      <c r="K73" s="204" t="s">
        <v>83</v>
      </c>
    </row>
    <row r="74" spans="11:11" hidden="1" x14ac:dyDescent="0.2">
      <c r="K74" s="204" t="s">
        <v>84</v>
      </c>
    </row>
    <row r="75" spans="11:11" hidden="1" x14ac:dyDescent="0.2">
      <c r="K75" s="204" t="s">
        <v>85</v>
      </c>
    </row>
    <row r="76" spans="11:11" hidden="1" x14ac:dyDescent="0.2">
      <c r="K76" s="204" t="s">
        <v>86</v>
      </c>
    </row>
    <row r="77" spans="11:11" hidden="1" x14ac:dyDescent="0.2">
      <c r="K77" s="204" t="s">
        <v>87</v>
      </c>
    </row>
    <row r="78" spans="11:11" hidden="1" x14ac:dyDescent="0.2">
      <c r="K78" s="204" t="s">
        <v>88</v>
      </c>
    </row>
    <row r="79" spans="11:11" hidden="1" x14ac:dyDescent="0.2">
      <c r="K79" s="204" t="s">
        <v>89</v>
      </c>
    </row>
    <row r="80" spans="11:11" hidden="1" x14ac:dyDescent="0.2">
      <c r="K80" s="204" t="s">
        <v>90</v>
      </c>
    </row>
    <row r="81" spans="11:11" hidden="1" x14ac:dyDescent="0.2">
      <c r="K81" s="204" t="s">
        <v>91</v>
      </c>
    </row>
    <row r="82" spans="11:11" hidden="1" x14ac:dyDescent="0.2">
      <c r="K82" s="204" t="s">
        <v>92</v>
      </c>
    </row>
    <row r="83" spans="11:11" hidden="1" x14ac:dyDescent="0.2">
      <c r="K83" s="204" t="s">
        <v>93</v>
      </c>
    </row>
    <row r="84" spans="11:11" hidden="1" x14ac:dyDescent="0.2">
      <c r="K84" s="204" t="s">
        <v>94</v>
      </c>
    </row>
    <row r="85" spans="11:11" hidden="1" x14ac:dyDescent="0.2">
      <c r="K85" s="204" t="s">
        <v>47</v>
      </c>
    </row>
  </sheetData>
  <dataValidations count="3">
    <dataValidation type="list" allowBlank="1" showInputMessage="1" showErrorMessage="1" sqref="I50 K15:K21" xr:uid="{9A31E116-21BC-4F97-9BD5-51EACD9F4DDB}">
      <formula1>$I$41:$I$50</formula1>
    </dataValidation>
    <dataValidation type="list" allowBlank="1" showInputMessage="1" showErrorMessage="1" sqref="B20:B21" xr:uid="{D22741FC-F975-4298-BC7B-AE5CEEFB2B4D}">
      <formula1>$K$29:$K$40</formula1>
    </dataValidation>
    <dataValidation type="list" allowBlank="1" showInputMessage="1" showErrorMessage="1" sqref="B16:B19" xr:uid="{47F3EBAF-15B7-4464-B619-6AE120FA4F84}">
      <formula1>$K$29:$K$85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F4831-490D-4302-9FB0-20E49939369C}">
  <dimension ref="A1:K85"/>
  <sheetViews>
    <sheetView workbookViewId="0">
      <selection sqref="A1:XFD1048576"/>
    </sheetView>
  </sheetViews>
  <sheetFormatPr baseColWidth="10" defaultColWidth="9.1640625" defaultRowHeight="16" x14ac:dyDescent="0.2"/>
  <cols>
    <col min="1" max="1" width="5.1640625" style="204" customWidth="1"/>
    <col min="2" max="2" width="22.5" style="204" customWidth="1"/>
    <col min="3" max="3" width="6.1640625" style="204" customWidth="1"/>
    <col min="4" max="4" width="12.5" style="204" bestFit="1" customWidth="1"/>
    <col min="5" max="5" width="9.83203125" style="204" customWidth="1"/>
    <col min="6" max="6" width="9.33203125" style="204" bestFit="1" customWidth="1"/>
    <col min="7" max="7" width="8.6640625" style="204" customWidth="1"/>
    <col min="8" max="8" width="9.5" style="204" bestFit="1" customWidth="1"/>
    <col min="9" max="9" width="17.83203125" style="204" bestFit="1" customWidth="1"/>
    <col min="10" max="10" width="10.33203125" style="204" bestFit="1" customWidth="1"/>
    <col min="11" max="11" width="75" style="204" bestFit="1" customWidth="1"/>
    <col min="12" max="16384" width="9.1640625" style="204"/>
  </cols>
  <sheetData>
    <row r="1" spans="1:11" x14ac:dyDescent="0.2">
      <c r="A1" s="204" t="s">
        <v>0</v>
      </c>
      <c r="I1" s="219"/>
    </row>
    <row r="2" spans="1:11" x14ac:dyDescent="0.2">
      <c r="J2" s="220"/>
    </row>
    <row r="3" spans="1:11" x14ac:dyDescent="0.2">
      <c r="A3" s="219" t="s">
        <v>1</v>
      </c>
    </row>
    <row r="4" spans="1:11" x14ac:dyDescent="0.2">
      <c r="A4" s="219"/>
      <c r="I4" s="220" t="s">
        <v>2</v>
      </c>
      <c r="J4" s="221">
        <v>45940</v>
      </c>
    </row>
    <row r="5" spans="1:11" x14ac:dyDescent="0.2">
      <c r="J5" s="204" t="s">
        <v>3</v>
      </c>
    </row>
    <row r="6" spans="1:11" ht="34" x14ac:dyDescent="0.2">
      <c r="A6" s="11" t="s">
        <v>4</v>
      </c>
      <c r="B6" s="11" t="s">
        <v>5</v>
      </c>
      <c r="C6" s="11" t="s">
        <v>6</v>
      </c>
      <c r="D6" s="11" t="s">
        <v>7</v>
      </c>
      <c r="E6" s="11" t="s">
        <v>8</v>
      </c>
      <c r="F6" s="11" t="s">
        <v>9</v>
      </c>
      <c r="G6" s="222" t="s">
        <v>10</v>
      </c>
      <c r="H6" s="222" t="s">
        <v>11</v>
      </c>
      <c r="I6" s="222" t="s">
        <v>12</v>
      </c>
      <c r="J6" s="223"/>
      <c r="K6" s="11" t="s">
        <v>13</v>
      </c>
    </row>
    <row r="7" spans="1:11" ht="34" x14ac:dyDescent="0.2">
      <c r="A7" s="222"/>
      <c r="B7" s="224"/>
      <c r="C7" s="11"/>
      <c r="D7" s="11" t="s">
        <v>14</v>
      </c>
      <c r="E7" s="11" t="s">
        <v>15</v>
      </c>
      <c r="F7" s="225" t="s">
        <v>16</v>
      </c>
      <c r="G7" s="225" t="s">
        <v>15</v>
      </c>
      <c r="H7" s="225" t="s">
        <v>17</v>
      </c>
      <c r="I7" s="11" t="s">
        <v>18</v>
      </c>
      <c r="J7" s="225" t="s">
        <v>19</v>
      </c>
      <c r="K7" s="225"/>
    </row>
    <row r="8" spans="1:11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2">
      <c r="A9" s="186">
        <v>1</v>
      </c>
      <c r="B9" s="187" t="s">
        <v>255</v>
      </c>
      <c r="C9" s="161">
        <v>15</v>
      </c>
      <c r="D9" s="14">
        <v>2.85</v>
      </c>
      <c r="E9" s="163">
        <v>1402</v>
      </c>
      <c r="F9" s="162">
        <v>22</v>
      </c>
      <c r="G9" s="15">
        <f t="shared" ref="G9:G13" si="0">E9*F9</f>
        <v>30844</v>
      </c>
      <c r="H9" s="16">
        <f>F9*C9</f>
        <v>330</v>
      </c>
      <c r="I9" s="179" t="s">
        <v>20</v>
      </c>
      <c r="J9" s="188">
        <v>2.0833333333333332E-2</v>
      </c>
      <c r="K9" s="202" t="s">
        <v>239</v>
      </c>
    </row>
    <row r="10" spans="1:11" ht="17" x14ac:dyDescent="0.2">
      <c r="A10" s="190">
        <v>2</v>
      </c>
      <c r="B10" s="187" t="s">
        <v>241</v>
      </c>
      <c r="C10" s="161">
        <v>15</v>
      </c>
      <c r="D10" s="14">
        <v>2.85</v>
      </c>
      <c r="E10" s="163">
        <v>1436</v>
      </c>
      <c r="F10" s="162">
        <v>10.199999999999999</v>
      </c>
      <c r="G10" s="15">
        <f t="shared" si="0"/>
        <v>14647.199999999999</v>
      </c>
      <c r="H10" s="16">
        <f t="shared" ref="H10:H13" si="1">F10*C10</f>
        <v>153</v>
      </c>
      <c r="I10" s="179" t="s">
        <v>44</v>
      </c>
      <c r="J10" s="188">
        <v>1.3888888888888888E-2</v>
      </c>
      <c r="K10" s="189" t="s">
        <v>44</v>
      </c>
    </row>
    <row r="11" spans="1:11" ht="17" x14ac:dyDescent="0.2">
      <c r="A11" s="186">
        <v>3</v>
      </c>
      <c r="B11" s="187" t="s">
        <v>236</v>
      </c>
      <c r="C11" s="161">
        <v>17</v>
      </c>
      <c r="D11" s="14">
        <v>2.85</v>
      </c>
      <c r="E11" s="163">
        <v>1271</v>
      </c>
      <c r="F11" s="175">
        <v>2</v>
      </c>
      <c r="G11" s="15">
        <f t="shared" si="0"/>
        <v>2542</v>
      </c>
      <c r="H11" s="16">
        <f t="shared" si="1"/>
        <v>34</v>
      </c>
      <c r="I11" s="179" t="s">
        <v>258</v>
      </c>
      <c r="J11" s="188">
        <v>4.1666666666666664E-2</v>
      </c>
      <c r="K11" s="189" t="s">
        <v>259</v>
      </c>
    </row>
    <row r="12" spans="1:11" ht="19.25" customHeight="1" x14ac:dyDescent="0.2">
      <c r="A12" s="190">
        <v>4</v>
      </c>
      <c r="B12" s="187" t="s">
        <v>236</v>
      </c>
      <c r="C12" s="176">
        <v>18</v>
      </c>
      <c r="D12" s="14">
        <v>2.85</v>
      </c>
      <c r="E12" s="177">
        <v>1271</v>
      </c>
      <c r="F12" s="178">
        <v>1</v>
      </c>
      <c r="G12" s="15">
        <f t="shared" si="0"/>
        <v>1271</v>
      </c>
      <c r="H12" s="16">
        <f t="shared" si="1"/>
        <v>18</v>
      </c>
      <c r="I12" s="195" t="s">
        <v>260</v>
      </c>
      <c r="J12" s="194">
        <v>2.0833333333333332E-2</v>
      </c>
      <c r="K12" s="189" t="s">
        <v>259</v>
      </c>
    </row>
    <row r="13" spans="1:11" ht="17" x14ac:dyDescent="0.2">
      <c r="A13" s="191">
        <v>5</v>
      </c>
      <c r="B13" s="187" t="s">
        <v>246</v>
      </c>
      <c r="C13" s="176">
        <v>17</v>
      </c>
      <c r="D13" s="14">
        <v>2.85</v>
      </c>
      <c r="E13" s="177">
        <v>1328</v>
      </c>
      <c r="F13" s="178">
        <v>47.8</v>
      </c>
      <c r="G13" s="15">
        <f t="shared" si="0"/>
        <v>63478.399999999994</v>
      </c>
      <c r="H13" s="16">
        <f t="shared" si="1"/>
        <v>812.59999999999991</v>
      </c>
      <c r="I13" s="179" t="s">
        <v>233</v>
      </c>
      <c r="J13" s="188">
        <v>3.125E-2</v>
      </c>
      <c r="K13" s="189" t="s">
        <v>238</v>
      </c>
    </row>
    <row r="14" spans="1:11" x14ac:dyDescent="0.2">
      <c r="A14" s="186"/>
      <c r="B14" s="187"/>
      <c r="C14" s="180"/>
      <c r="D14" s="14"/>
      <c r="E14" s="181"/>
      <c r="F14" s="182"/>
      <c r="G14" s="15"/>
      <c r="H14" s="16"/>
      <c r="I14" s="195"/>
      <c r="J14" s="194"/>
      <c r="K14" s="203"/>
    </row>
    <row r="15" spans="1:11" x14ac:dyDescent="0.2">
      <c r="A15" s="190"/>
      <c r="B15" s="187"/>
      <c r="C15" s="192"/>
      <c r="D15" s="14"/>
      <c r="E15" s="181"/>
      <c r="F15" s="193"/>
      <c r="G15" s="15"/>
      <c r="H15" s="16"/>
      <c r="I15" s="19"/>
      <c r="J15" s="18"/>
      <c r="K15" s="17"/>
    </row>
    <row r="16" spans="1:11" x14ac:dyDescent="0.2">
      <c r="A16" s="197"/>
      <c r="B16" s="198"/>
      <c r="C16" s="161"/>
      <c r="D16" s="14"/>
      <c r="E16" s="177"/>
      <c r="F16" s="161"/>
      <c r="G16" s="15"/>
      <c r="H16" s="16"/>
      <c r="I16" s="19"/>
      <c r="J16" s="18"/>
      <c r="K16" s="20"/>
    </row>
    <row r="17" spans="1:11" x14ac:dyDescent="0.2">
      <c r="A17" s="197"/>
      <c r="B17" s="198"/>
      <c r="C17" s="161"/>
      <c r="D17" s="14"/>
      <c r="E17" s="181"/>
      <c r="F17" s="161"/>
      <c r="G17" s="15"/>
      <c r="H17" s="16"/>
      <c r="I17" s="19"/>
      <c r="J17" s="18"/>
      <c r="K17" s="20"/>
    </row>
    <row r="18" spans="1:11" x14ac:dyDescent="0.2">
      <c r="A18" s="197"/>
      <c r="B18" s="198"/>
      <c r="C18" s="161"/>
      <c r="D18" s="14"/>
      <c r="E18" s="181"/>
      <c r="F18" s="161"/>
      <c r="G18" s="15"/>
      <c r="H18" s="16"/>
      <c r="I18" s="10"/>
      <c r="J18" s="13"/>
      <c r="K18" s="10"/>
    </row>
    <row r="19" spans="1:11" x14ac:dyDescent="0.2">
      <c r="A19" s="11"/>
      <c r="B19" s="10"/>
      <c r="C19" s="12"/>
      <c r="D19" s="200"/>
      <c r="E19" s="11"/>
      <c r="F19" s="12"/>
      <c r="G19" s="201"/>
      <c r="H19" s="12"/>
      <c r="I19" s="10"/>
      <c r="J19" s="13"/>
      <c r="K19" s="10"/>
    </row>
    <row r="20" spans="1:11" x14ac:dyDescent="0.2">
      <c r="A20" s="11"/>
      <c r="B20" s="10"/>
      <c r="C20" s="12"/>
      <c r="D20" s="200"/>
      <c r="E20" s="11"/>
      <c r="F20" s="12"/>
      <c r="G20" s="201"/>
      <c r="H20" s="12"/>
      <c r="I20" s="10"/>
      <c r="J20" s="13"/>
      <c r="K20" s="10"/>
    </row>
    <row r="21" spans="1:11" x14ac:dyDescent="0.2">
      <c r="A21" s="11"/>
      <c r="B21" s="10"/>
      <c r="C21" s="205"/>
      <c r="D21" s="11"/>
      <c r="E21" s="13"/>
      <c r="F21" s="205"/>
      <c r="G21" s="201"/>
      <c r="H21" s="12"/>
      <c r="I21" s="10"/>
      <c r="J21" s="13"/>
      <c r="K21" s="10"/>
    </row>
    <row r="22" spans="1:11" x14ac:dyDescent="0.2">
      <c r="A22" s="206"/>
      <c r="B22" s="207"/>
      <c r="C22" s="208"/>
      <c r="D22" s="208"/>
      <c r="E22" s="226" t="s">
        <v>21</v>
      </c>
      <c r="F22" s="227">
        <f>SUM(F9:F21)</f>
        <v>83</v>
      </c>
      <c r="G22" s="228">
        <f>SUM(G9:G21)/F22</f>
        <v>1358.8265060240963</v>
      </c>
      <c r="H22" s="229">
        <f>SUM(H9:H21)/F22</f>
        <v>16.236144578313251</v>
      </c>
      <c r="I22" s="209" t="s">
        <v>22</v>
      </c>
      <c r="J22" s="210">
        <v>0.12847222222222221</v>
      </c>
      <c r="K22" s="207"/>
    </row>
    <row r="23" spans="1:11" x14ac:dyDescent="0.2">
      <c r="E23" s="211"/>
      <c r="F23" s="212"/>
      <c r="I23" s="230" t="s">
        <v>23</v>
      </c>
      <c r="J23" s="231">
        <v>3.08</v>
      </c>
    </row>
    <row r="24" spans="1:11" x14ac:dyDescent="0.2">
      <c r="I24" s="212"/>
      <c r="J24" s="213"/>
    </row>
    <row r="25" spans="1:11" x14ac:dyDescent="0.2">
      <c r="A25" s="10" t="s">
        <v>24</v>
      </c>
      <c r="B25" s="10"/>
      <c r="C25" s="10"/>
      <c r="D25" s="205"/>
      <c r="H25" s="220" t="s">
        <v>25</v>
      </c>
      <c r="I25" s="220"/>
      <c r="J25" s="211">
        <f>F22</f>
        <v>83</v>
      </c>
      <c r="K25" s="204" t="s">
        <v>16</v>
      </c>
    </row>
    <row r="26" spans="1:11" x14ac:dyDescent="0.2">
      <c r="A26" s="10" t="s">
        <v>26</v>
      </c>
      <c r="B26" s="10"/>
      <c r="C26" s="10"/>
      <c r="D26" s="205"/>
      <c r="H26" s="220" t="s">
        <v>27</v>
      </c>
      <c r="I26" s="220"/>
      <c r="J26" s="211">
        <f>100+96+78+70+83+72+85+80+69+83</f>
        <v>816</v>
      </c>
      <c r="K26" s="204" t="s">
        <v>16</v>
      </c>
    </row>
    <row r="27" spans="1:11" ht="17" thickBot="1" x14ac:dyDescent="0.25">
      <c r="A27" s="214"/>
      <c r="B27" s="214"/>
      <c r="C27" s="214"/>
      <c r="D27" s="214"/>
      <c r="E27" s="215"/>
      <c r="F27" s="215"/>
      <c r="G27" s="214"/>
      <c r="H27" s="232" t="s">
        <v>28</v>
      </c>
      <c r="I27" s="232"/>
      <c r="J27" s="216">
        <v>20.329999999999998</v>
      </c>
      <c r="K27" s="214" t="s">
        <v>29</v>
      </c>
    </row>
    <row r="28" spans="1:11" x14ac:dyDescent="0.2">
      <c r="J28" s="204" t="s">
        <v>3</v>
      </c>
    </row>
    <row r="29" spans="1:11" hidden="1" x14ac:dyDescent="0.2">
      <c r="K29" s="204" t="s">
        <v>30</v>
      </c>
    </row>
    <row r="30" spans="1:11" hidden="1" x14ac:dyDescent="0.2">
      <c r="K30" s="204" t="s">
        <v>31</v>
      </c>
    </row>
    <row r="31" spans="1:11" hidden="1" x14ac:dyDescent="0.2">
      <c r="K31" s="204" t="s">
        <v>32</v>
      </c>
    </row>
    <row r="32" spans="1:11" hidden="1" x14ac:dyDescent="0.2">
      <c r="K32" s="204" t="s">
        <v>33</v>
      </c>
    </row>
    <row r="33" spans="9:11" hidden="1" x14ac:dyDescent="0.2">
      <c r="K33" s="204" t="s">
        <v>34</v>
      </c>
    </row>
    <row r="34" spans="9:11" hidden="1" x14ac:dyDescent="0.2">
      <c r="K34" s="204" t="s">
        <v>35</v>
      </c>
    </row>
    <row r="35" spans="9:11" hidden="1" x14ac:dyDescent="0.2">
      <c r="K35" s="204" t="s">
        <v>36</v>
      </c>
    </row>
    <row r="36" spans="9:11" hidden="1" x14ac:dyDescent="0.2">
      <c r="K36" s="204" t="s">
        <v>37</v>
      </c>
    </row>
    <row r="37" spans="9:11" hidden="1" x14ac:dyDescent="0.2">
      <c r="K37" s="204" t="s">
        <v>38</v>
      </c>
    </row>
    <row r="38" spans="9:11" hidden="1" x14ac:dyDescent="0.2">
      <c r="K38" s="204" t="s">
        <v>39</v>
      </c>
    </row>
    <row r="39" spans="9:11" hidden="1" x14ac:dyDescent="0.2">
      <c r="K39" s="204" t="s">
        <v>40</v>
      </c>
    </row>
    <row r="40" spans="9:11" hidden="1" x14ac:dyDescent="0.2">
      <c r="K40" s="204" t="s">
        <v>41</v>
      </c>
    </row>
    <row r="41" spans="9:11" ht="34" hidden="1" x14ac:dyDescent="0.2">
      <c r="I41" s="217" t="s">
        <v>42</v>
      </c>
      <c r="K41" s="204" t="s">
        <v>43</v>
      </c>
    </row>
    <row r="42" spans="9:11" ht="17" hidden="1" x14ac:dyDescent="0.2">
      <c r="I42" s="217" t="s">
        <v>44</v>
      </c>
      <c r="K42" s="204" t="s">
        <v>45</v>
      </c>
    </row>
    <row r="43" spans="9:11" hidden="1" x14ac:dyDescent="0.2">
      <c r="I43" s="218" t="s">
        <v>46</v>
      </c>
      <c r="K43" s="204" t="s">
        <v>47</v>
      </c>
    </row>
    <row r="44" spans="9:11" hidden="1" x14ac:dyDescent="0.2">
      <c r="I44" s="204" t="s">
        <v>48</v>
      </c>
      <c r="K44" s="204" t="s">
        <v>49</v>
      </c>
    </row>
    <row r="45" spans="9:11" hidden="1" x14ac:dyDescent="0.2">
      <c r="I45" s="204" t="s">
        <v>50</v>
      </c>
      <c r="K45" s="204" t="s">
        <v>51</v>
      </c>
    </row>
    <row r="46" spans="9:11" hidden="1" x14ac:dyDescent="0.2">
      <c r="I46" s="204" t="s">
        <v>52</v>
      </c>
      <c r="K46" s="204" t="s">
        <v>53</v>
      </c>
    </row>
    <row r="47" spans="9:11" hidden="1" x14ac:dyDescent="0.2">
      <c r="I47" s="204" t="s">
        <v>54</v>
      </c>
      <c r="K47" s="204" t="s">
        <v>55</v>
      </c>
    </row>
    <row r="48" spans="9:11" hidden="1" x14ac:dyDescent="0.2">
      <c r="I48" s="204" t="s">
        <v>56</v>
      </c>
      <c r="K48" s="204" t="s">
        <v>57</v>
      </c>
    </row>
    <row r="49" spans="9:11" hidden="1" x14ac:dyDescent="0.2">
      <c r="I49" s="204" t="s">
        <v>58</v>
      </c>
      <c r="K49" s="204" t="s">
        <v>59</v>
      </c>
    </row>
    <row r="50" spans="9:11" hidden="1" x14ac:dyDescent="0.2">
      <c r="I50" s="204" t="s">
        <v>60</v>
      </c>
      <c r="K50" s="204" t="s">
        <v>61</v>
      </c>
    </row>
    <row r="51" spans="9:11" hidden="1" x14ac:dyDescent="0.2">
      <c r="K51" s="204" t="s">
        <v>62</v>
      </c>
    </row>
    <row r="52" spans="9:11" hidden="1" x14ac:dyDescent="0.2">
      <c r="K52" s="204" t="s">
        <v>63</v>
      </c>
    </row>
    <row r="53" spans="9:11" hidden="1" x14ac:dyDescent="0.2">
      <c r="K53" s="204" t="s">
        <v>64</v>
      </c>
    </row>
    <row r="54" spans="9:11" hidden="1" x14ac:dyDescent="0.2">
      <c r="K54" s="204" t="s">
        <v>65</v>
      </c>
    </row>
    <row r="55" spans="9:11" hidden="1" x14ac:dyDescent="0.2">
      <c r="K55" s="204" t="s">
        <v>66</v>
      </c>
    </row>
    <row r="56" spans="9:11" hidden="1" x14ac:dyDescent="0.2">
      <c r="K56" s="204" t="s">
        <v>67</v>
      </c>
    </row>
    <row r="57" spans="9:11" hidden="1" x14ac:dyDescent="0.2">
      <c r="K57" s="204" t="s">
        <v>68</v>
      </c>
    </row>
    <row r="58" spans="9:11" hidden="1" x14ac:dyDescent="0.2">
      <c r="K58" s="204" t="s">
        <v>69</v>
      </c>
    </row>
    <row r="59" spans="9:11" hidden="1" x14ac:dyDescent="0.2">
      <c r="K59" s="204" t="s">
        <v>70</v>
      </c>
    </row>
    <row r="60" spans="9:11" hidden="1" x14ac:dyDescent="0.2">
      <c r="K60" s="204" t="s">
        <v>71</v>
      </c>
    </row>
    <row r="61" spans="9:11" hidden="1" x14ac:dyDescent="0.2">
      <c r="K61" s="204" t="s">
        <v>72</v>
      </c>
    </row>
    <row r="62" spans="9:11" hidden="1" x14ac:dyDescent="0.2">
      <c r="K62" s="204" t="s">
        <v>73</v>
      </c>
    </row>
    <row r="63" spans="9:11" hidden="1" x14ac:dyDescent="0.2">
      <c r="K63" s="204" t="s">
        <v>67</v>
      </c>
    </row>
    <row r="64" spans="9:11" hidden="1" x14ac:dyDescent="0.2">
      <c r="K64" s="204" t="s">
        <v>74</v>
      </c>
    </row>
    <row r="65" spans="11:11" hidden="1" x14ac:dyDescent="0.2">
      <c r="K65" s="204" t="s">
        <v>75</v>
      </c>
    </row>
    <row r="66" spans="11:11" hidden="1" x14ac:dyDescent="0.2">
      <c r="K66" s="204" t="s">
        <v>76</v>
      </c>
    </row>
    <row r="67" spans="11:11" hidden="1" x14ac:dyDescent="0.2">
      <c r="K67" s="204" t="s">
        <v>77</v>
      </c>
    </row>
    <row r="68" spans="11:11" hidden="1" x14ac:dyDescent="0.2">
      <c r="K68" s="204" t="s">
        <v>78</v>
      </c>
    </row>
    <row r="69" spans="11:11" hidden="1" x14ac:dyDescent="0.2">
      <c r="K69" s="204" t="s">
        <v>79</v>
      </c>
    </row>
    <row r="70" spans="11:11" hidden="1" x14ac:dyDescent="0.2">
      <c r="K70" s="204" t="s">
        <v>80</v>
      </c>
    </row>
    <row r="71" spans="11:11" hidden="1" x14ac:dyDescent="0.2">
      <c r="K71" s="204" t="s">
        <v>81</v>
      </c>
    </row>
    <row r="72" spans="11:11" hidden="1" x14ac:dyDescent="0.2">
      <c r="K72" s="204" t="s">
        <v>82</v>
      </c>
    </row>
    <row r="73" spans="11:11" hidden="1" x14ac:dyDescent="0.2">
      <c r="K73" s="204" t="s">
        <v>83</v>
      </c>
    </row>
    <row r="74" spans="11:11" hidden="1" x14ac:dyDescent="0.2">
      <c r="K74" s="204" t="s">
        <v>84</v>
      </c>
    </row>
    <row r="75" spans="11:11" hidden="1" x14ac:dyDescent="0.2">
      <c r="K75" s="204" t="s">
        <v>85</v>
      </c>
    </row>
    <row r="76" spans="11:11" hidden="1" x14ac:dyDescent="0.2">
      <c r="K76" s="204" t="s">
        <v>86</v>
      </c>
    </row>
    <row r="77" spans="11:11" hidden="1" x14ac:dyDescent="0.2">
      <c r="K77" s="204" t="s">
        <v>87</v>
      </c>
    </row>
    <row r="78" spans="11:11" hidden="1" x14ac:dyDescent="0.2">
      <c r="K78" s="204" t="s">
        <v>88</v>
      </c>
    </row>
    <row r="79" spans="11:11" hidden="1" x14ac:dyDescent="0.2">
      <c r="K79" s="204" t="s">
        <v>89</v>
      </c>
    </row>
    <row r="80" spans="11:11" hidden="1" x14ac:dyDescent="0.2">
      <c r="K80" s="204" t="s">
        <v>90</v>
      </c>
    </row>
    <row r="81" spans="11:11" hidden="1" x14ac:dyDescent="0.2">
      <c r="K81" s="204" t="s">
        <v>91</v>
      </c>
    </row>
    <row r="82" spans="11:11" hidden="1" x14ac:dyDescent="0.2">
      <c r="K82" s="204" t="s">
        <v>92</v>
      </c>
    </row>
    <row r="83" spans="11:11" hidden="1" x14ac:dyDescent="0.2">
      <c r="K83" s="204" t="s">
        <v>93</v>
      </c>
    </row>
    <row r="84" spans="11:11" hidden="1" x14ac:dyDescent="0.2">
      <c r="K84" s="204" t="s">
        <v>94</v>
      </c>
    </row>
    <row r="85" spans="11:11" hidden="1" x14ac:dyDescent="0.2">
      <c r="K85" s="204" t="s">
        <v>47</v>
      </c>
    </row>
  </sheetData>
  <dataValidations count="3">
    <dataValidation type="list" allowBlank="1" showInputMessage="1" showErrorMessage="1" sqref="B16:B19" xr:uid="{A5EA6B53-5D3D-44DA-A075-2C0703F517FB}">
      <formula1>$K$29:$K$85</formula1>
    </dataValidation>
    <dataValidation type="list" allowBlank="1" showInputMessage="1" showErrorMessage="1" sqref="B20:B21" xr:uid="{2D761F61-DE68-43EE-92FB-04BF8626ECE8}">
      <formula1>$K$29:$K$40</formula1>
    </dataValidation>
    <dataValidation type="list" allowBlank="1" showInputMessage="1" showErrorMessage="1" sqref="I50 K15:K21" xr:uid="{573F8188-B88B-416B-A13B-A3DCA3B8FAD4}">
      <formula1>$I$41:$I$50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9AA0C-66CF-4D84-8A7E-AFD83657FE51}">
  <dimension ref="A1:K85"/>
  <sheetViews>
    <sheetView workbookViewId="0">
      <selection activeCell="A8" sqref="A1:XFD1048576"/>
    </sheetView>
  </sheetViews>
  <sheetFormatPr baseColWidth="10" defaultColWidth="9.1640625" defaultRowHeight="16" x14ac:dyDescent="0.2"/>
  <cols>
    <col min="1" max="1" width="5.1640625" style="204" customWidth="1"/>
    <col min="2" max="2" width="22.5" style="204" customWidth="1"/>
    <col min="3" max="3" width="6.1640625" style="204" customWidth="1"/>
    <col min="4" max="4" width="12.5" style="204" bestFit="1" customWidth="1"/>
    <col min="5" max="5" width="9.83203125" style="204" customWidth="1"/>
    <col min="6" max="6" width="9.33203125" style="204" bestFit="1" customWidth="1"/>
    <col min="7" max="7" width="8.6640625" style="204" customWidth="1"/>
    <col min="8" max="8" width="9.5" style="204" bestFit="1" customWidth="1"/>
    <col min="9" max="9" width="17.83203125" style="204" bestFit="1" customWidth="1"/>
    <col min="10" max="10" width="10.33203125" style="204" bestFit="1" customWidth="1"/>
    <col min="11" max="11" width="75" style="204" bestFit="1" customWidth="1"/>
    <col min="12" max="16384" width="9.1640625" style="204"/>
  </cols>
  <sheetData>
    <row r="1" spans="1:11" x14ac:dyDescent="0.2">
      <c r="A1" s="204" t="s">
        <v>0</v>
      </c>
      <c r="I1" s="219"/>
    </row>
    <row r="2" spans="1:11" x14ac:dyDescent="0.2">
      <c r="J2" s="220"/>
    </row>
    <row r="3" spans="1:11" x14ac:dyDescent="0.2">
      <c r="A3" s="219" t="s">
        <v>1</v>
      </c>
    </row>
    <row r="4" spans="1:11" x14ac:dyDescent="0.2">
      <c r="A4" s="219"/>
      <c r="I4" s="220" t="s">
        <v>2</v>
      </c>
      <c r="J4" s="221">
        <v>45941</v>
      </c>
    </row>
    <row r="5" spans="1:11" x14ac:dyDescent="0.2">
      <c r="J5" s="204" t="s">
        <v>3</v>
      </c>
    </row>
    <row r="6" spans="1:11" ht="34" x14ac:dyDescent="0.2">
      <c r="A6" s="11" t="s">
        <v>4</v>
      </c>
      <c r="B6" s="11" t="s">
        <v>5</v>
      </c>
      <c r="C6" s="11" t="s">
        <v>6</v>
      </c>
      <c r="D6" s="11" t="s">
        <v>7</v>
      </c>
      <c r="E6" s="11" t="s">
        <v>8</v>
      </c>
      <c r="F6" s="11" t="s">
        <v>9</v>
      </c>
      <c r="G6" s="222" t="s">
        <v>10</v>
      </c>
      <c r="H6" s="222" t="s">
        <v>11</v>
      </c>
      <c r="I6" s="222" t="s">
        <v>12</v>
      </c>
      <c r="J6" s="223"/>
      <c r="K6" s="11" t="s">
        <v>13</v>
      </c>
    </row>
    <row r="7" spans="1:11" ht="34" x14ac:dyDescent="0.2">
      <c r="A7" s="222"/>
      <c r="B7" s="224"/>
      <c r="C7" s="11"/>
      <c r="D7" s="11" t="s">
        <v>14</v>
      </c>
      <c r="E7" s="11" t="s">
        <v>15</v>
      </c>
      <c r="F7" s="225" t="s">
        <v>16</v>
      </c>
      <c r="G7" s="225" t="s">
        <v>15</v>
      </c>
      <c r="H7" s="225" t="s">
        <v>17</v>
      </c>
      <c r="I7" s="11" t="s">
        <v>18</v>
      </c>
      <c r="J7" s="225" t="s">
        <v>19</v>
      </c>
      <c r="K7" s="225"/>
    </row>
    <row r="8" spans="1:11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2">
      <c r="A9" s="186">
        <v>1</v>
      </c>
      <c r="B9" s="187" t="s">
        <v>236</v>
      </c>
      <c r="C9" s="161">
        <v>17</v>
      </c>
      <c r="D9" s="14">
        <v>2.85</v>
      </c>
      <c r="E9" s="163">
        <v>1066</v>
      </c>
      <c r="F9" s="162">
        <v>2.5</v>
      </c>
      <c r="G9" s="15">
        <f t="shared" ref="G9:G12" si="0">E9*F9</f>
        <v>2665</v>
      </c>
      <c r="H9" s="16">
        <f>F9*C9</f>
        <v>42.5</v>
      </c>
      <c r="I9" s="179" t="s">
        <v>20</v>
      </c>
      <c r="J9" s="188">
        <v>1.3888888888888888E-2</v>
      </c>
      <c r="K9" s="202" t="s">
        <v>239</v>
      </c>
    </row>
    <row r="10" spans="1:11" ht="17" x14ac:dyDescent="0.2">
      <c r="A10" s="190">
        <v>2</v>
      </c>
      <c r="B10" s="187" t="s">
        <v>261</v>
      </c>
      <c r="C10" s="161">
        <v>21</v>
      </c>
      <c r="D10" s="14">
        <v>2.85</v>
      </c>
      <c r="E10" s="163">
        <v>1183</v>
      </c>
      <c r="F10" s="162">
        <v>10.5</v>
      </c>
      <c r="G10" s="15">
        <f t="shared" si="0"/>
        <v>12421.5</v>
      </c>
      <c r="H10" s="16">
        <f t="shared" ref="H10:H12" si="1">F10*C10</f>
        <v>220.5</v>
      </c>
      <c r="I10" s="179" t="s">
        <v>44</v>
      </c>
      <c r="J10" s="188">
        <v>6.9444444444444441E-3</v>
      </c>
      <c r="K10" s="189" t="s">
        <v>44</v>
      </c>
    </row>
    <row r="11" spans="1:11" ht="17" x14ac:dyDescent="0.2">
      <c r="A11" s="186">
        <v>3</v>
      </c>
      <c r="B11" s="187" t="s">
        <v>261</v>
      </c>
      <c r="C11" s="161">
        <v>38</v>
      </c>
      <c r="D11" s="14">
        <v>2.85</v>
      </c>
      <c r="E11" s="163">
        <v>654</v>
      </c>
      <c r="F11" s="175">
        <v>30</v>
      </c>
      <c r="G11" s="15">
        <f t="shared" si="0"/>
        <v>19620</v>
      </c>
      <c r="H11" s="16">
        <f t="shared" si="1"/>
        <v>1140</v>
      </c>
      <c r="I11" s="179" t="s">
        <v>233</v>
      </c>
      <c r="J11" s="188">
        <v>8.3333333333333329E-2</v>
      </c>
      <c r="K11" s="189" t="s">
        <v>238</v>
      </c>
    </row>
    <row r="12" spans="1:11" ht="19.25" customHeight="1" x14ac:dyDescent="0.2">
      <c r="A12" s="190">
        <v>4</v>
      </c>
      <c r="B12" s="187" t="s">
        <v>261</v>
      </c>
      <c r="C12" s="176">
        <v>40</v>
      </c>
      <c r="D12" s="14">
        <v>2.85</v>
      </c>
      <c r="E12" s="177">
        <v>605</v>
      </c>
      <c r="F12" s="178">
        <v>40</v>
      </c>
      <c r="G12" s="15">
        <f t="shared" si="0"/>
        <v>24200</v>
      </c>
      <c r="H12" s="16">
        <f t="shared" si="1"/>
        <v>1600</v>
      </c>
      <c r="I12" s="195" t="s">
        <v>244</v>
      </c>
      <c r="J12" s="194">
        <v>2.0833333333333332E-2</v>
      </c>
      <c r="K12" s="189" t="s">
        <v>262</v>
      </c>
    </row>
    <row r="13" spans="1:11" x14ac:dyDescent="0.2">
      <c r="A13" s="191"/>
      <c r="B13" s="187"/>
      <c r="C13" s="176"/>
      <c r="D13" s="14"/>
      <c r="E13" s="177"/>
      <c r="F13" s="178"/>
      <c r="G13" s="15"/>
      <c r="H13" s="16"/>
      <c r="I13" s="179" t="s">
        <v>251</v>
      </c>
      <c r="J13" s="188">
        <v>5.5555555555555552E-2</v>
      </c>
      <c r="K13" s="189" t="s">
        <v>263</v>
      </c>
    </row>
    <row r="14" spans="1:11" x14ac:dyDescent="0.2">
      <c r="A14" s="186"/>
      <c r="B14" s="187"/>
      <c r="C14" s="180"/>
      <c r="D14" s="14"/>
      <c r="E14" s="181"/>
      <c r="F14" s="182"/>
      <c r="G14" s="15"/>
      <c r="H14" s="16"/>
      <c r="I14" s="195"/>
      <c r="J14" s="194"/>
      <c r="K14" s="203"/>
    </row>
    <row r="15" spans="1:11" x14ac:dyDescent="0.2">
      <c r="A15" s="190"/>
      <c r="B15" s="187"/>
      <c r="C15" s="192"/>
      <c r="D15" s="14"/>
      <c r="E15" s="181"/>
      <c r="F15" s="193"/>
      <c r="G15" s="15"/>
      <c r="H15" s="16"/>
      <c r="I15" s="19"/>
      <c r="J15" s="18"/>
      <c r="K15" s="17"/>
    </row>
    <row r="16" spans="1:11" x14ac:dyDescent="0.2">
      <c r="A16" s="197"/>
      <c r="B16" s="198"/>
      <c r="C16" s="161"/>
      <c r="D16" s="14"/>
      <c r="E16" s="177"/>
      <c r="F16" s="161"/>
      <c r="G16" s="15"/>
      <c r="H16" s="16"/>
      <c r="I16" s="19"/>
      <c r="J16" s="18"/>
      <c r="K16" s="20"/>
    </row>
    <row r="17" spans="1:11" x14ac:dyDescent="0.2">
      <c r="A17" s="197"/>
      <c r="B17" s="198"/>
      <c r="C17" s="161"/>
      <c r="D17" s="14"/>
      <c r="E17" s="181"/>
      <c r="F17" s="161"/>
      <c r="G17" s="15"/>
      <c r="H17" s="16"/>
      <c r="I17" s="19"/>
      <c r="J17" s="18"/>
      <c r="K17" s="20"/>
    </row>
    <row r="18" spans="1:11" x14ac:dyDescent="0.2">
      <c r="A18" s="197"/>
      <c r="B18" s="198"/>
      <c r="C18" s="161"/>
      <c r="D18" s="14"/>
      <c r="E18" s="181"/>
      <c r="F18" s="161"/>
      <c r="G18" s="15"/>
      <c r="H18" s="16"/>
      <c r="I18" s="10"/>
      <c r="J18" s="13"/>
      <c r="K18" s="10"/>
    </row>
    <row r="19" spans="1:11" x14ac:dyDescent="0.2">
      <c r="A19" s="11"/>
      <c r="B19" s="10"/>
      <c r="C19" s="12"/>
      <c r="D19" s="200"/>
      <c r="E19" s="11"/>
      <c r="F19" s="12"/>
      <c r="G19" s="201"/>
      <c r="H19" s="12"/>
      <c r="I19" s="10"/>
      <c r="J19" s="13"/>
      <c r="K19" s="10"/>
    </row>
    <row r="20" spans="1:11" x14ac:dyDescent="0.2">
      <c r="A20" s="11"/>
      <c r="B20" s="10"/>
      <c r="C20" s="12"/>
      <c r="D20" s="200"/>
      <c r="E20" s="11"/>
      <c r="F20" s="12"/>
      <c r="G20" s="201"/>
      <c r="H20" s="12"/>
      <c r="I20" s="10"/>
      <c r="J20" s="13"/>
      <c r="K20" s="10"/>
    </row>
    <row r="21" spans="1:11" x14ac:dyDescent="0.2">
      <c r="A21" s="11"/>
      <c r="B21" s="10"/>
      <c r="C21" s="205"/>
      <c r="D21" s="11"/>
      <c r="E21" s="13"/>
      <c r="F21" s="205"/>
      <c r="G21" s="201"/>
      <c r="H21" s="12"/>
      <c r="I21" s="10"/>
      <c r="J21" s="13"/>
      <c r="K21" s="10"/>
    </row>
    <row r="22" spans="1:11" x14ac:dyDescent="0.2">
      <c r="A22" s="206"/>
      <c r="B22" s="207"/>
      <c r="C22" s="208"/>
      <c r="D22" s="208"/>
      <c r="E22" s="226" t="s">
        <v>21</v>
      </c>
      <c r="F22" s="227">
        <f>SUM(F9:F21)</f>
        <v>83</v>
      </c>
      <c r="G22" s="228">
        <f>SUM(G9:G21)/F22</f>
        <v>709.7168674698795</v>
      </c>
      <c r="H22" s="229">
        <f>SUM(H9:H21)/F22</f>
        <v>36.180722891566262</v>
      </c>
      <c r="I22" s="209" t="s">
        <v>22</v>
      </c>
      <c r="J22" s="210">
        <v>0.18055555555555555</v>
      </c>
      <c r="K22" s="207"/>
    </row>
    <row r="23" spans="1:11" x14ac:dyDescent="0.2">
      <c r="E23" s="211"/>
      <c r="F23" s="212"/>
      <c r="I23" s="230" t="s">
        <v>23</v>
      </c>
      <c r="J23" s="231">
        <v>4.33</v>
      </c>
    </row>
    <row r="24" spans="1:11" x14ac:dyDescent="0.2">
      <c r="I24" s="212"/>
      <c r="J24" s="213"/>
    </row>
    <row r="25" spans="1:11" x14ac:dyDescent="0.2">
      <c r="A25" s="10" t="s">
        <v>24</v>
      </c>
      <c r="B25" s="10"/>
      <c r="C25" s="10"/>
      <c r="D25" s="205"/>
      <c r="H25" s="220" t="s">
        <v>25</v>
      </c>
      <c r="I25" s="220"/>
      <c r="J25" s="211">
        <f>F22</f>
        <v>83</v>
      </c>
      <c r="K25" s="204" t="s">
        <v>16</v>
      </c>
    </row>
    <row r="26" spans="1:11" x14ac:dyDescent="0.2">
      <c r="A26" s="10" t="s">
        <v>26</v>
      </c>
      <c r="B26" s="10"/>
      <c r="C26" s="10"/>
      <c r="D26" s="205"/>
      <c r="H26" s="220" t="s">
        <v>27</v>
      </c>
      <c r="I26" s="220"/>
      <c r="J26" s="211">
        <f>100+96+78+70+83+72+85+80+69+83+83</f>
        <v>899</v>
      </c>
      <c r="K26" s="204" t="s">
        <v>16</v>
      </c>
    </row>
    <row r="27" spans="1:11" ht="17" thickBot="1" x14ac:dyDescent="0.25">
      <c r="A27" s="214"/>
      <c r="B27" s="214"/>
      <c r="C27" s="214"/>
      <c r="D27" s="214"/>
      <c r="E27" s="215"/>
      <c r="F27" s="215"/>
      <c r="G27" s="214"/>
      <c r="H27" s="232" t="s">
        <v>28</v>
      </c>
      <c r="I27" s="232"/>
      <c r="J27" s="216">
        <v>24.67</v>
      </c>
      <c r="K27" s="214" t="s">
        <v>29</v>
      </c>
    </row>
    <row r="28" spans="1:11" x14ac:dyDescent="0.2">
      <c r="J28" s="204" t="s">
        <v>3</v>
      </c>
    </row>
    <row r="29" spans="1:11" hidden="1" x14ac:dyDescent="0.2">
      <c r="K29" s="204" t="s">
        <v>30</v>
      </c>
    </row>
    <row r="30" spans="1:11" hidden="1" x14ac:dyDescent="0.2">
      <c r="K30" s="204" t="s">
        <v>31</v>
      </c>
    </row>
    <row r="31" spans="1:11" hidden="1" x14ac:dyDescent="0.2">
      <c r="K31" s="204" t="s">
        <v>32</v>
      </c>
    </row>
    <row r="32" spans="1:11" hidden="1" x14ac:dyDescent="0.2">
      <c r="K32" s="204" t="s">
        <v>33</v>
      </c>
    </row>
    <row r="33" spans="9:11" hidden="1" x14ac:dyDescent="0.2">
      <c r="K33" s="204" t="s">
        <v>34</v>
      </c>
    </row>
    <row r="34" spans="9:11" hidden="1" x14ac:dyDescent="0.2">
      <c r="K34" s="204" t="s">
        <v>35</v>
      </c>
    </row>
    <row r="35" spans="9:11" hidden="1" x14ac:dyDescent="0.2">
      <c r="K35" s="204" t="s">
        <v>36</v>
      </c>
    </row>
    <row r="36" spans="9:11" hidden="1" x14ac:dyDescent="0.2">
      <c r="K36" s="204" t="s">
        <v>37</v>
      </c>
    </row>
    <row r="37" spans="9:11" hidden="1" x14ac:dyDescent="0.2">
      <c r="K37" s="204" t="s">
        <v>38</v>
      </c>
    </row>
    <row r="38" spans="9:11" hidden="1" x14ac:dyDescent="0.2">
      <c r="K38" s="204" t="s">
        <v>39</v>
      </c>
    </row>
    <row r="39" spans="9:11" hidden="1" x14ac:dyDescent="0.2">
      <c r="K39" s="204" t="s">
        <v>40</v>
      </c>
    </row>
    <row r="40" spans="9:11" hidden="1" x14ac:dyDescent="0.2">
      <c r="K40" s="204" t="s">
        <v>41</v>
      </c>
    </row>
    <row r="41" spans="9:11" ht="34" hidden="1" x14ac:dyDescent="0.2">
      <c r="I41" s="217" t="s">
        <v>42</v>
      </c>
      <c r="K41" s="204" t="s">
        <v>43</v>
      </c>
    </row>
    <row r="42" spans="9:11" ht="17" hidden="1" x14ac:dyDescent="0.2">
      <c r="I42" s="217" t="s">
        <v>44</v>
      </c>
      <c r="K42" s="204" t="s">
        <v>45</v>
      </c>
    </row>
    <row r="43" spans="9:11" hidden="1" x14ac:dyDescent="0.2">
      <c r="I43" s="218" t="s">
        <v>46</v>
      </c>
      <c r="K43" s="204" t="s">
        <v>47</v>
      </c>
    </row>
    <row r="44" spans="9:11" hidden="1" x14ac:dyDescent="0.2">
      <c r="I44" s="204" t="s">
        <v>48</v>
      </c>
      <c r="K44" s="204" t="s">
        <v>49</v>
      </c>
    </row>
    <row r="45" spans="9:11" hidden="1" x14ac:dyDescent="0.2">
      <c r="I45" s="204" t="s">
        <v>50</v>
      </c>
      <c r="K45" s="204" t="s">
        <v>51</v>
      </c>
    </row>
    <row r="46" spans="9:11" hidden="1" x14ac:dyDescent="0.2">
      <c r="I46" s="204" t="s">
        <v>52</v>
      </c>
      <c r="K46" s="204" t="s">
        <v>53</v>
      </c>
    </row>
    <row r="47" spans="9:11" hidden="1" x14ac:dyDescent="0.2">
      <c r="I47" s="204" t="s">
        <v>54</v>
      </c>
      <c r="K47" s="204" t="s">
        <v>55</v>
      </c>
    </row>
    <row r="48" spans="9:11" hidden="1" x14ac:dyDescent="0.2">
      <c r="I48" s="204" t="s">
        <v>56</v>
      </c>
      <c r="K48" s="204" t="s">
        <v>57</v>
      </c>
    </row>
    <row r="49" spans="9:11" hidden="1" x14ac:dyDescent="0.2">
      <c r="I49" s="204" t="s">
        <v>58</v>
      </c>
      <c r="K49" s="204" t="s">
        <v>59</v>
      </c>
    </row>
    <row r="50" spans="9:11" hidden="1" x14ac:dyDescent="0.2">
      <c r="I50" s="204" t="s">
        <v>60</v>
      </c>
      <c r="K50" s="204" t="s">
        <v>61</v>
      </c>
    </row>
    <row r="51" spans="9:11" hidden="1" x14ac:dyDescent="0.2">
      <c r="K51" s="204" t="s">
        <v>62</v>
      </c>
    </row>
    <row r="52" spans="9:11" hidden="1" x14ac:dyDescent="0.2">
      <c r="K52" s="204" t="s">
        <v>63</v>
      </c>
    </row>
    <row r="53" spans="9:11" hidden="1" x14ac:dyDescent="0.2">
      <c r="K53" s="204" t="s">
        <v>64</v>
      </c>
    </row>
    <row r="54" spans="9:11" hidden="1" x14ac:dyDescent="0.2">
      <c r="K54" s="204" t="s">
        <v>65</v>
      </c>
    </row>
    <row r="55" spans="9:11" hidden="1" x14ac:dyDescent="0.2">
      <c r="K55" s="204" t="s">
        <v>66</v>
      </c>
    </row>
    <row r="56" spans="9:11" hidden="1" x14ac:dyDescent="0.2">
      <c r="K56" s="204" t="s">
        <v>67</v>
      </c>
    </row>
    <row r="57" spans="9:11" hidden="1" x14ac:dyDescent="0.2">
      <c r="K57" s="204" t="s">
        <v>68</v>
      </c>
    </row>
    <row r="58" spans="9:11" hidden="1" x14ac:dyDescent="0.2">
      <c r="K58" s="204" t="s">
        <v>69</v>
      </c>
    </row>
    <row r="59" spans="9:11" hidden="1" x14ac:dyDescent="0.2">
      <c r="K59" s="204" t="s">
        <v>70</v>
      </c>
    </row>
    <row r="60" spans="9:11" hidden="1" x14ac:dyDescent="0.2">
      <c r="K60" s="204" t="s">
        <v>71</v>
      </c>
    </row>
    <row r="61" spans="9:11" hidden="1" x14ac:dyDescent="0.2">
      <c r="K61" s="204" t="s">
        <v>72</v>
      </c>
    </row>
    <row r="62" spans="9:11" hidden="1" x14ac:dyDescent="0.2">
      <c r="K62" s="204" t="s">
        <v>73</v>
      </c>
    </row>
    <row r="63" spans="9:11" hidden="1" x14ac:dyDescent="0.2">
      <c r="K63" s="204" t="s">
        <v>67</v>
      </c>
    </row>
    <row r="64" spans="9:11" hidden="1" x14ac:dyDescent="0.2">
      <c r="K64" s="204" t="s">
        <v>74</v>
      </c>
    </row>
    <row r="65" spans="11:11" hidden="1" x14ac:dyDescent="0.2">
      <c r="K65" s="204" t="s">
        <v>75</v>
      </c>
    </row>
    <row r="66" spans="11:11" hidden="1" x14ac:dyDescent="0.2">
      <c r="K66" s="204" t="s">
        <v>76</v>
      </c>
    </row>
    <row r="67" spans="11:11" hidden="1" x14ac:dyDescent="0.2">
      <c r="K67" s="204" t="s">
        <v>77</v>
      </c>
    </row>
    <row r="68" spans="11:11" hidden="1" x14ac:dyDescent="0.2">
      <c r="K68" s="204" t="s">
        <v>78</v>
      </c>
    </row>
    <row r="69" spans="11:11" hidden="1" x14ac:dyDescent="0.2">
      <c r="K69" s="204" t="s">
        <v>79</v>
      </c>
    </row>
    <row r="70" spans="11:11" hidden="1" x14ac:dyDescent="0.2">
      <c r="K70" s="204" t="s">
        <v>80</v>
      </c>
    </row>
    <row r="71" spans="11:11" hidden="1" x14ac:dyDescent="0.2">
      <c r="K71" s="204" t="s">
        <v>81</v>
      </c>
    </row>
    <row r="72" spans="11:11" hidden="1" x14ac:dyDescent="0.2">
      <c r="K72" s="204" t="s">
        <v>82</v>
      </c>
    </row>
    <row r="73" spans="11:11" hidden="1" x14ac:dyDescent="0.2">
      <c r="K73" s="204" t="s">
        <v>83</v>
      </c>
    </row>
    <row r="74" spans="11:11" hidden="1" x14ac:dyDescent="0.2">
      <c r="K74" s="204" t="s">
        <v>84</v>
      </c>
    </row>
    <row r="75" spans="11:11" hidden="1" x14ac:dyDescent="0.2">
      <c r="K75" s="204" t="s">
        <v>85</v>
      </c>
    </row>
    <row r="76" spans="11:11" hidden="1" x14ac:dyDescent="0.2">
      <c r="K76" s="204" t="s">
        <v>86</v>
      </c>
    </row>
    <row r="77" spans="11:11" hidden="1" x14ac:dyDescent="0.2">
      <c r="K77" s="204" t="s">
        <v>87</v>
      </c>
    </row>
    <row r="78" spans="11:11" hidden="1" x14ac:dyDescent="0.2">
      <c r="K78" s="204" t="s">
        <v>88</v>
      </c>
    </row>
    <row r="79" spans="11:11" hidden="1" x14ac:dyDescent="0.2">
      <c r="K79" s="204" t="s">
        <v>89</v>
      </c>
    </row>
    <row r="80" spans="11:11" hidden="1" x14ac:dyDescent="0.2">
      <c r="K80" s="204" t="s">
        <v>90</v>
      </c>
    </row>
    <row r="81" spans="11:11" hidden="1" x14ac:dyDescent="0.2">
      <c r="K81" s="204" t="s">
        <v>91</v>
      </c>
    </row>
    <row r="82" spans="11:11" hidden="1" x14ac:dyDescent="0.2">
      <c r="K82" s="204" t="s">
        <v>92</v>
      </c>
    </row>
    <row r="83" spans="11:11" hidden="1" x14ac:dyDescent="0.2">
      <c r="K83" s="204" t="s">
        <v>93</v>
      </c>
    </row>
    <row r="84" spans="11:11" hidden="1" x14ac:dyDescent="0.2">
      <c r="K84" s="204" t="s">
        <v>94</v>
      </c>
    </row>
    <row r="85" spans="11:11" hidden="1" x14ac:dyDescent="0.2">
      <c r="K85" s="204" t="s">
        <v>47</v>
      </c>
    </row>
  </sheetData>
  <dataValidations count="3">
    <dataValidation type="list" allowBlank="1" showInputMessage="1" showErrorMessage="1" sqref="I50 K15:K21" xr:uid="{EF06E7C9-08E7-4862-A439-B7AADAE4F03B}">
      <formula1>$I$41:$I$50</formula1>
    </dataValidation>
    <dataValidation type="list" allowBlank="1" showInputMessage="1" showErrorMessage="1" sqref="B20:B21" xr:uid="{39CE4D44-D48D-4BC9-9905-33F1CA786349}">
      <formula1>$K$29:$K$40</formula1>
    </dataValidation>
    <dataValidation type="list" allowBlank="1" showInputMessage="1" showErrorMessage="1" sqref="B16:B19" xr:uid="{5A1CC8FD-0249-48AC-BB64-7CAA6FD4AC58}">
      <formula1>$K$29:$K$85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DCF43-1555-4E1B-A808-937E1580EC71}">
  <dimension ref="A1:K85"/>
  <sheetViews>
    <sheetView workbookViewId="0">
      <selection sqref="A1:XFD1048576"/>
    </sheetView>
  </sheetViews>
  <sheetFormatPr baseColWidth="10" defaultColWidth="9.1640625" defaultRowHeight="16" x14ac:dyDescent="0.2"/>
  <cols>
    <col min="1" max="1" width="5.1640625" style="204" customWidth="1"/>
    <col min="2" max="2" width="22.5" style="204" customWidth="1"/>
    <col min="3" max="3" width="6.1640625" style="204" customWidth="1"/>
    <col min="4" max="4" width="12.5" style="204" bestFit="1" customWidth="1"/>
    <col min="5" max="5" width="9.83203125" style="204" customWidth="1"/>
    <col min="6" max="6" width="9.33203125" style="204" bestFit="1" customWidth="1"/>
    <col min="7" max="7" width="8.6640625" style="204" customWidth="1"/>
    <col min="8" max="8" width="9.5" style="204" bestFit="1" customWidth="1"/>
    <col min="9" max="9" width="17.83203125" style="204" bestFit="1" customWidth="1"/>
    <col min="10" max="10" width="10.33203125" style="204" bestFit="1" customWidth="1"/>
    <col min="11" max="11" width="75" style="204" bestFit="1" customWidth="1"/>
    <col min="12" max="16384" width="9.1640625" style="204"/>
  </cols>
  <sheetData>
    <row r="1" spans="1:11" x14ac:dyDescent="0.2">
      <c r="A1" s="204" t="s">
        <v>0</v>
      </c>
      <c r="I1" s="219"/>
    </row>
    <row r="2" spans="1:11" x14ac:dyDescent="0.2">
      <c r="J2" s="220"/>
    </row>
    <row r="3" spans="1:11" x14ac:dyDescent="0.2">
      <c r="A3" s="219" t="s">
        <v>1</v>
      </c>
    </row>
    <row r="4" spans="1:11" x14ac:dyDescent="0.2">
      <c r="A4" s="219"/>
      <c r="I4" s="220" t="s">
        <v>2</v>
      </c>
      <c r="J4" s="221">
        <v>45942</v>
      </c>
    </row>
    <row r="5" spans="1:11" x14ac:dyDescent="0.2">
      <c r="J5" s="204" t="s">
        <v>3</v>
      </c>
    </row>
    <row r="6" spans="1:11" ht="34" x14ac:dyDescent="0.2">
      <c r="A6" s="11" t="s">
        <v>4</v>
      </c>
      <c r="B6" s="11" t="s">
        <v>5</v>
      </c>
      <c r="C6" s="11" t="s">
        <v>6</v>
      </c>
      <c r="D6" s="11" t="s">
        <v>7</v>
      </c>
      <c r="E6" s="11" t="s">
        <v>8</v>
      </c>
      <c r="F6" s="11" t="s">
        <v>9</v>
      </c>
      <c r="G6" s="222" t="s">
        <v>10</v>
      </c>
      <c r="H6" s="222" t="s">
        <v>11</v>
      </c>
      <c r="I6" s="222" t="s">
        <v>12</v>
      </c>
      <c r="J6" s="223"/>
      <c r="K6" s="11" t="s">
        <v>13</v>
      </c>
    </row>
    <row r="7" spans="1:11" ht="34" x14ac:dyDescent="0.2">
      <c r="A7" s="222"/>
      <c r="B7" s="224"/>
      <c r="C7" s="11"/>
      <c r="D7" s="11" t="s">
        <v>14</v>
      </c>
      <c r="E7" s="11" t="s">
        <v>15</v>
      </c>
      <c r="F7" s="225" t="s">
        <v>16</v>
      </c>
      <c r="G7" s="225" t="s">
        <v>15</v>
      </c>
      <c r="H7" s="225" t="s">
        <v>17</v>
      </c>
      <c r="I7" s="11" t="s">
        <v>18</v>
      </c>
      <c r="J7" s="225" t="s">
        <v>19</v>
      </c>
      <c r="K7" s="225"/>
    </row>
    <row r="8" spans="1:11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2">
      <c r="A9" s="186">
        <v>1</v>
      </c>
      <c r="B9" s="187" t="s">
        <v>261</v>
      </c>
      <c r="C9" s="161">
        <v>32</v>
      </c>
      <c r="D9" s="14">
        <v>2.85</v>
      </c>
      <c r="E9" s="163">
        <v>813</v>
      </c>
      <c r="F9" s="162">
        <v>13.5</v>
      </c>
      <c r="G9" s="15">
        <f t="shared" ref="G9:G11" si="0">E9*F9</f>
        <v>10975.5</v>
      </c>
      <c r="H9" s="16">
        <f>F9*C9</f>
        <v>432</v>
      </c>
      <c r="I9" s="179" t="s">
        <v>20</v>
      </c>
      <c r="J9" s="188">
        <v>2.0833333333333332E-2</v>
      </c>
      <c r="K9" s="202" t="s">
        <v>239</v>
      </c>
    </row>
    <row r="10" spans="1:11" ht="17" x14ac:dyDescent="0.2">
      <c r="A10" s="190">
        <v>2</v>
      </c>
      <c r="B10" s="187" t="s">
        <v>261</v>
      </c>
      <c r="C10" s="161">
        <v>34</v>
      </c>
      <c r="D10" s="14">
        <v>2.85</v>
      </c>
      <c r="E10" s="163">
        <v>757</v>
      </c>
      <c r="F10" s="162">
        <v>30.5</v>
      </c>
      <c r="G10" s="15">
        <f t="shared" si="0"/>
        <v>23088.5</v>
      </c>
      <c r="H10" s="16">
        <f t="shared" ref="H10:H11" si="1">F10*C10</f>
        <v>1037</v>
      </c>
      <c r="I10" s="179" t="s">
        <v>44</v>
      </c>
      <c r="J10" s="188">
        <v>1.3888888888888888E-2</v>
      </c>
      <c r="K10" s="189" t="s">
        <v>44</v>
      </c>
    </row>
    <row r="11" spans="1:11" ht="17" x14ac:dyDescent="0.2">
      <c r="A11" s="186">
        <v>3</v>
      </c>
      <c r="B11" s="187" t="s">
        <v>261</v>
      </c>
      <c r="C11" s="161">
        <v>38</v>
      </c>
      <c r="D11" s="14">
        <v>2.85</v>
      </c>
      <c r="E11" s="163">
        <v>674</v>
      </c>
      <c r="F11" s="175">
        <v>52</v>
      </c>
      <c r="G11" s="15">
        <f t="shared" si="0"/>
        <v>35048</v>
      </c>
      <c r="H11" s="16">
        <f t="shared" si="1"/>
        <v>1976</v>
      </c>
      <c r="I11" s="179" t="s">
        <v>251</v>
      </c>
      <c r="J11" s="188">
        <v>1.3888888888888888E-2</v>
      </c>
      <c r="K11" s="189" t="s">
        <v>264</v>
      </c>
    </row>
    <row r="12" spans="1:11" ht="19.25" customHeight="1" x14ac:dyDescent="0.2">
      <c r="A12" s="190"/>
      <c r="B12" s="187"/>
      <c r="C12" s="176"/>
      <c r="D12" s="14"/>
      <c r="E12" s="177"/>
      <c r="F12" s="178"/>
      <c r="G12" s="15"/>
      <c r="H12" s="16"/>
      <c r="I12" s="195"/>
      <c r="J12" s="194"/>
      <c r="K12" s="189"/>
    </row>
    <row r="13" spans="1:11" x14ac:dyDescent="0.2">
      <c r="A13" s="191"/>
      <c r="B13" s="187"/>
      <c r="C13" s="176"/>
      <c r="D13" s="14"/>
      <c r="E13" s="177"/>
      <c r="F13" s="178"/>
      <c r="G13" s="15"/>
      <c r="H13" s="16"/>
      <c r="I13" s="179"/>
      <c r="J13" s="188"/>
      <c r="K13" s="189"/>
    </row>
    <row r="14" spans="1:11" x14ac:dyDescent="0.2">
      <c r="A14" s="186"/>
      <c r="B14" s="187"/>
      <c r="C14" s="180"/>
      <c r="D14" s="14"/>
      <c r="E14" s="181"/>
      <c r="F14" s="182"/>
      <c r="G14" s="15"/>
      <c r="H14" s="16"/>
      <c r="I14" s="195"/>
      <c r="J14" s="194"/>
      <c r="K14" s="203"/>
    </row>
    <row r="15" spans="1:11" x14ac:dyDescent="0.2">
      <c r="A15" s="190"/>
      <c r="B15" s="187"/>
      <c r="C15" s="192"/>
      <c r="D15" s="14"/>
      <c r="E15" s="181"/>
      <c r="F15" s="193"/>
      <c r="G15" s="15"/>
      <c r="H15" s="16"/>
      <c r="I15" s="19"/>
      <c r="J15" s="18"/>
      <c r="K15" s="17"/>
    </row>
    <row r="16" spans="1:11" x14ac:dyDescent="0.2">
      <c r="A16" s="197"/>
      <c r="B16" s="198"/>
      <c r="C16" s="161"/>
      <c r="D16" s="14"/>
      <c r="E16" s="177"/>
      <c r="F16" s="161"/>
      <c r="G16" s="15"/>
      <c r="H16" s="16"/>
      <c r="I16" s="19"/>
      <c r="J16" s="18"/>
      <c r="K16" s="20"/>
    </row>
    <row r="17" spans="1:11" x14ac:dyDescent="0.2">
      <c r="A17" s="197"/>
      <c r="B17" s="198"/>
      <c r="C17" s="161"/>
      <c r="D17" s="14"/>
      <c r="E17" s="181"/>
      <c r="F17" s="161"/>
      <c r="G17" s="15"/>
      <c r="H17" s="16"/>
      <c r="I17" s="19"/>
      <c r="J17" s="18"/>
      <c r="K17" s="20"/>
    </row>
    <row r="18" spans="1:11" x14ac:dyDescent="0.2">
      <c r="A18" s="197"/>
      <c r="B18" s="198"/>
      <c r="C18" s="161"/>
      <c r="D18" s="14"/>
      <c r="E18" s="181"/>
      <c r="F18" s="161"/>
      <c r="G18" s="15"/>
      <c r="H18" s="16"/>
      <c r="I18" s="10"/>
      <c r="J18" s="13"/>
      <c r="K18" s="10"/>
    </row>
    <row r="19" spans="1:11" x14ac:dyDescent="0.2">
      <c r="A19" s="11"/>
      <c r="B19" s="10"/>
      <c r="C19" s="12"/>
      <c r="D19" s="200"/>
      <c r="E19" s="11"/>
      <c r="F19" s="12"/>
      <c r="G19" s="201"/>
      <c r="H19" s="12"/>
      <c r="I19" s="10"/>
      <c r="J19" s="13"/>
      <c r="K19" s="10"/>
    </row>
    <row r="20" spans="1:11" x14ac:dyDescent="0.2">
      <c r="A20" s="11"/>
      <c r="B20" s="10"/>
      <c r="C20" s="12"/>
      <c r="D20" s="200"/>
      <c r="E20" s="11"/>
      <c r="F20" s="12"/>
      <c r="G20" s="201"/>
      <c r="H20" s="12"/>
      <c r="I20" s="10"/>
      <c r="J20" s="13"/>
      <c r="K20" s="10"/>
    </row>
    <row r="21" spans="1:11" x14ac:dyDescent="0.2">
      <c r="A21" s="11"/>
      <c r="B21" s="10"/>
      <c r="C21" s="205"/>
      <c r="D21" s="11"/>
      <c r="E21" s="13"/>
      <c r="F21" s="205"/>
      <c r="G21" s="201"/>
      <c r="H21" s="12"/>
      <c r="I21" s="10"/>
      <c r="J21" s="13"/>
      <c r="K21" s="10"/>
    </row>
    <row r="22" spans="1:11" x14ac:dyDescent="0.2">
      <c r="A22" s="206"/>
      <c r="B22" s="207"/>
      <c r="C22" s="208"/>
      <c r="D22" s="208"/>
      <c r="E22" s="226" t="s">
        <v>21</v>
      </c>
      <c r="F22" s="227">
        <f>SUM(F9:F21)</f>
        <v>96</v>
      </c>
      <c r="G22" s="228">
        <f>SUM(G9:G21)/F22</f>
        <v>719.91666666666663</v>
      </c>
      <c r="H22" s="229">
        <f>SUM(H9:H21)/F22</f>
        <v>35.885416666666664</v>
      </c>
      <c r="I22" s="209" t="s">
        <v>22</v>
      </c>
      <c r="J22" s="210">
        <v>4.8611111111111112E-2</v>
      </c>
      <c r="K22" s="207"/>
    </row>
    <row r="23" spans="1:11" x14ac:dyDescent="0.2">
      <c r="E23" s="211"/>
      <c r="F23" s="212"/>
      <c r="I23" s="230" t="s">
        <v>23</v>
      </c>
      <c r="J23" s="231">
        <v>1.17</v>
      </c>
    </row>
    <row r="24" spans="1:11" x14ac:dyDescent="0.2">
      <c r="I24" s="212"/>
      <c r="J24" s="213"/>
    </row>
    <row r="25" spans="1:11" x14ac:dyDescent="0.2">
      <c r="A25" s="10" t="s">
        <v>24</v>
      </c>
      <c r="B25" s="10"/>
      <c r="C25" s="10"/>
      <c r="D25" s="205"/>
      <c r="H25" s="220" t="s">
        <v>25</v>
      </c>
      <c r="I25" s="220"/>
      <c r="J25" s="211">
        <f>F22</f>
        <v>96</v>
      </c>
      <c r="K25" s="204" t="s">
        <v>16</v>
      </c>
    </row>
    <row r="26" spans="1:11" x14ac:dyDescent="0.2">
      <c r="A26" s="10" t="s">
        <v>26</v>
      </c>
      <c r="B26" s="10"/>
      <c r="C26" s="10"/>
      <c r="D26" s="205"/>
      <c r="H26" s="220" t="s">
        <v>27</v>
      </c>
      <c r="I26" s="220"/>
      <c r="J26" s="211">
        <f>100+96+78+70+83+72+85+80+69+83+83+96</f>
        <v>995</v>
      </c>
      <c r="K26" s="204" t="s">
        <v>16</v>
      </c>
    </row>
    <row r="27" spans="1:11" ht="17" thickBot="1" x14ac:dyDescent="0.25">
      <c r="A27" s="214"/>
      <c r="B27" s="214"/>
      <c r="C27" s="214"/>
      <c r="D27" s="214"/>
      <c r="E27" s="215"/>
      <c r="F27" s="215"/>
      <c r="G27" s="214"/>
      <c r="H27" s="232" t="s">
        <v>28</v>
      </c>
      <c r="I27" s="232"/>
      <c r="J27" s="216">
        <v>25.83</v>
      </c>
      <c r="K27" s="214" t="s">
        <v>29</v>
      </c>
    </row>
    <row r="28" spans="1:11" x14ac:dyDescent="0.2">
      <c r="J28" s="204" t="s">
        <v>3</v>
      </c>
    </row>
    <row r="29" spans="1:11" hidden="1" x14ac:dyDescent="0.2">
      <c r="K29" s="204" t="s">
        <v>30</v>
      </c>
    </row>
    <row r="30" spans="1:11" hidden="1" x14ac:dyDescent="0.2">
      <c r="K30" s="204" t="s">
        <v>31</v>
      </c>
    </row>
    <row r="31" spans="1:11" hidden="1" x14ac:dyDescent="0.2">
      <c r="K31" s="204" t="s">
        <v>32</v>
      </c>
    </row>
    <row r="32" spans="1:11" hidden="1" x14ac:dyDescent="0.2">
      <c r="K32" s="204" t="s">
        <v>33</v>
      </c>
    </row>
    <row r="33" spans="9:11" hidden="1" x14ac:dyDescent="0.2">
      <c r="K33" s="204" t="s">
        <v>34</v>
      </c>
    </row>
    <row r="34" spans="9:11" hidden="1" x14ac:dyDescent="0.2">
      <c r="K34" s="204" t="s">
        <v>35</v>
      </c>
    </row>
    <row r="35" spans="9:11" hidden="1" x14ac:dyDescent="0.2">
      <c r="K35" s="204" t="s">
        <v>36</v>
      </c>
    </row>
    <row r="36" spans="9:11" hidden="1" x14ac:dyDescent="0.2">
      <c r="K36" s="204" t="s">
        <v>37</v>
      </c>
    </row>
    <row r="37" spans="9:11" hidden="1" x14ac:dyDescent="0.2">
      <c r="K37" s="204" t="s">
        <v>38</v>
      </c>
    </row>
    <row r="38" spans="9:11" hidden="1" x14ac:dyDescent="0.2">
      <c r="K38" s="204" t="s">
        <v>39</v>
      </c>
    </row>
    <row r="39" spans="9:11" hidden="1" x14ac:dyDescent="0.2">
      <c r="K39" s="204" t="s">
        <v>40</v>
      </c>
    </row>
    <row r="40" spans="9:11" hidden="1" x14ac:dyDescent="0.2">
      <c r="K40" s="204" t="s">
        <v>41</v>
      </c>
    </row>
    <row r="41" spans="9:11" ht="34" hidden="1" x14ac:dyDescent="0.2">
      <c r="I41" s="217" t="s">
        <v>42</v>
      </c>
      <c r="K41" s="204" t="s">
        <v>43</v>
      </c>
    </row>
    <row r="42" spans="9:11" ht="17" hidden="1" x14ac:dyDescent="0.2">
      <c r="I42" s="217" t="s">
        <v>44</v>
      </c>
      <c r="K42" s="204" t="s">
        <v>45</v>
      </c>
    </row>
    <row r="43" spans="9:11" hidden="1" x14ac:dyDescent="0.2">
      <c r="I43" s="218" t="s">
        <v>46</v>
      </c>
      <c r="K43" s="204" t="s">
        <v>47</v>
      </c>
    </row>
    <row r="44" spans="9:11" hidden="1" x14ac:dyDescent="0.2">
      <c r="I44" s="204" t="s">
        <v>48</v>
      </c>
      <c r="K44" s="204" t="s">
        <v>49</v>
      </c>
    </row>
    <row r="45" spans="9:11" hidden="1" x14ac:dyDescent="0.2">
      <c r="I45" s="204" t="s">
        <v>50</v>
      </c>
      <c r="K45" s="204" t="s">
        <v>51</v>
      </c>
    </row>
    <row r="46" spans="9:11" hidden="1" x14ac:dyDescent="0.2">
      <c r="I46" s="204" t="s">
        <v>52</v>
      </c>
      <c r="K46" s="204" t="s">
        <v>53</v>
      </c>
    </row>
    <row r="47" spans="9:11" hidden="1" x14ac:dyDescent="0.2">
      <c r="I47" s="204" t="s">
        <v>54</v>
      </c>
      <c r="K47" s="204" t="s">
        <v>55</v>
      </c>
    </row>
    <row r="48" spans="9:11" hidden="1" x14ac:dyDescent="0.2">
      <c r="I48" s="204" t="s">
        <v>56</v>
      </c>
      <c r="K48" s="204" t="s">
        <v>57</v>
      </c>
    </row>
    <row r="49" spans="9:11" hidden="1" x14ac:dyDescent="0.2">
      <c r="I49" s="204" t="s">
        <v>58</v>
      </c>
      <c r="K49" s="204" t="s">
        <v>59</v>
      </c>
    </row>
    <row r="50" spans="9:11" hidden="1" x14ac:dyDescent="0.2">
      <c r="I50" s="204" t="s">
        <v>60</v>
      </c>
      <c r="K50" s="204" t="s">
        <v>61</v>
      </c>
    </row>
    <row r="51" spans="9:11" hidden="1" x14ac:dyDescent="0.2">
      <c r="K51" s="204" t="s">
        <v>62</v>
      </c>
    </row>
    <row r="52" spans="9:11" hidden="1" x14ac:dyDescent="0.2">
      <c r="K52" s="204" t="s">
        <v>63</v>
      </c>
    </row>
    <row r="53" spans="9:11" hidden="1" x14ac:dyDescent="0.2">
      <c r="K53" s="204" t="s">
        <v>64</v>
      </c>
    </row>
    <row r="54" spans="9:11" hidden="1" x14ac:dyDescent="0.2">
      <c r="K54" s="204" t="s">
        <v>65</v>
      </c>
    </row>
    <row r="55" spans="9:11" hidden="1" x14ac:dyDescent="0.2">
      <c r="K55" s="204" t="s">
        <v>66</v>
      </c>
    </row>
    <row r="56" spans="9:11" hidden="1" x14ac:dyDescent="0.2">
      <c r="K56" s="204" t="s">
        <v>67</v>
      </c>
    </row>
    <row r="57" spans="9:11" hidden="1" x14ac:dyDescent="0.2">
      <c r="K57" s="204" t="s">
        <v>68</v>
      </c>
    </row>
    <row r="58" spans="9:11" hidden="1" x14ac:dyDescent="0.2">
      <c r="K58" s="204" t="s">
        <v>69</v>
      </c>
    </row>
    <row r="59" spans="9:11" hidden="1" x14ac:dyDescent="0.2">
      <c r="K59" s="204" t="s">
        <v>70</v>
      </c>
    </row>
    <row r="60" spans="9:11" hidden="1" x14ac:dyDescent="0.2">
      <c r="K60" s="204" t="s">
        <v>71</v>
      </c>
    </row>
    <row r="61" spans="9:11" hidden="1" x14ac:dyDescent="0.2">
      <c r="K61" s="204" t="s">
        <v>72</v>
      </c>
    </row>
    <row r="62" spans="9:11" hidden="1" x14ac:dyDescent="0.2">
      <c r="K62" s="204" t="s">
        <v>73</v>
      </c>
    </row>
    <row r="63" spans="9:11" hidden="1" x14ac:dyDescent="0.2">
      <c r="K63" s="204" t="s">
        <v>67</v>
      </c>
    </row>
    <row r="64" spans="9:11" hidden="1" x14ac:dyDescent="0.2">
      <c r="K64" s="204" t="s">
        <v>74</v>
      </c>
    </row>
    <row r="65" spans="11:11" hidden="1" x14ac:dyDescent="0.2">
      <c r="K65" s="204" t="s">
        <v>75</v>
      </c>
    </row>
    <row r="66" spans="11:11" hidden="1" x14ac:dyDescent="0.2">
      <c r="K66" s="204" t="s">
        <v>76</v>
      </c>
    </row>
    <row r="67" spans="11:11" hidden="1" x14ac:dyDescent="0.2">
      <c r="K67" s="204" t="s">
        <v>77</v>
      </c>
    </row>
    <row r="68" spans="11:11" hidden="1" x14ac:dyDescent="0.2">
      <c r="K68" s="204" t="s">
        <v>78</v>
      </c>
    </row>
    <row r="69" spans="11:11" hidden="1" x14ac:dyDescent="0.2">
      <c r="K69" s="204" t="s">
        <v>79</v>
      </c>
    </row>
    <row r="70" spans="11:11" hidden="1" x14ac:dyDescent="0.2">
      <c r="K70" s="204" t="s">
        <v>80</v>
      </c>
    </row>
    <row r="71" spans="11:11" hidden="1" x14ac:dyDescent="0.2">
      <c r="K71" s="204" t="s">
        <v>81</v>
      </c>
    </row>
    <row r="72" spans="11:11" hidden="1" x14ac:dyDescent="0.2">
      <c r="K72" s="204" t="s">
        <v>82</v>
      </c>
    </row>
    <row r="73" spans="11:11" hidden="1" x14ac:dyDescent="0.2">
      <c r="K73" s="204" t="s">
        <v>83</v>
      </c>
    </row>
    <row r="74" spans="11:11" hidden="1" x14ac:dyDescent="0.2">
      <c r="K74" s="204" t="s">
        <v>84</v>
      </c>
    </row>
    <row r="75" spans="11:11" hidden="1" x14ac:dyDescent="0.2">
      <c r="K75" s="204" t="s">
        <v>85</v>
      </c>
    </row>
    <row r="76" spans="11:11" hidden="1" x14ac:dyDescent="0.2">
      <c r="K76" s="204" t="s">
        <v>86</v>
      </c>
    </row>
    <row r="77" spans="11:11" hidden="1" x14ac:dyDescent="0.2">
      <c r="K77" s="204" t="s">
        <v>87</v>
      </c>
    </row>
    <row r="78" spans="11:11" hidden="1" x14ac:dyDescent="0.2">
      <c r="K78" s="204" t="s">
        <v>88</v>
      </c>
    </row>
    <row r="79" spans="11:11" hidden="1" x14ac:dyDescent="0.2">
      <c r="K79" s="204" t="s">
        <v>89</v>
      </c>
    </row>
    <row r="80" spans="11:11" hidden="1" x14ac:dyDescent="0.2">
      <c r="K80" s="204" t="s">
        <v>90</v>
      </c>
    </row>
    <row r="81" spans="11:11" hidden="1" x14ac:dyDescent="0.2">
      <c r="K81" s="204" t="s">
        <v>91</v>
      </c>
    </row>
    <row r="82" spans="11:11" hidden="1" x14ac:dyDescent="0.2">
      <c r="K82" s="204" t="s">
        <v>92</v>
      </c>
    </row>
    <row r="83" spans="11:11" hidden="1" x14ac:dyDescent="0.2">
      <c r="K83" s="204" t="s">
        <v>93</v>
      </c>
    </row>
    <row r="84" spans="11:11" hidden="1" x14ac:dyDescent="0.2">
      <c r="K84" s="204" t="s">
        <v>94</v>
      </c>
    </row>
    <row r="85" spans="11:11" hidden="1" x14ac:dyDescent="0.2">
      <c r="K85" s="204" t="s">
        <v>47</v>
      </c>
    </row>
  </sheetData>
  <dataValidations count="3">
    <dataValidation type="list" allowBlank="1" showInputMessage="1" showErrorMessage="1" sqref="B16:B19" xr:uid="{A04CAC53-96E6-4930-A174-D47BF044EF16}">
      <formula1>$K$29:$K$85</formula1>
    </dataValidation>
    <dataValidation type="list" allowBlank="1" showInputMessage="1" showErrorMessage="1" sqref="B20:B21" xr:uid="{97594408-A070-4C49-9785-B680693349AB}">
      <formula1>$K$29:$K$40</formula1>
    </dataValidation>
    <dataValidation type="list" allowBlank="1" showInputMessage="1" showErrorMessage="1" sqref="I50 K15:K21" xr:uid="{1FE84142-EAC5-4A07-8F96-48E72B7A6DB6}">
      <formula1>$I$41:$I$50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6F0AA-AD44-499A-8A2F-F5A907F3EA85}">
  <dimension ref="A1:K85"/>
  <sheetViews>
    <sheetView workbookViewId="0">
      <selection sqref="A1:XFD1048576"/>
    </sheetView>
  </sheetViews>
  <sheetFormatPr baseColWidth="10" defaultColWidth="9.1640625" defaultRowHeight="16" x14ac:dyDescent="0.2"/>
  <cols>
    <col min="1" max="1" width="5.1640625" style="204" customWidth="1"/>
    <col min="2" max="2" width="22.5" style="204" customWidth="1"/>
    <col min="3" max="3" width="6.1640625" style="204" customWidth="1"/>
    <col min="4" max="4" width="12.5" style="204" bestFit="1" customWidth="1"/>
    <col min="5" max="5" width="9.83203125" style="204" customWidth="1"/>
    <col min="6" max="6" width="9.33203125" style="204" bestFit="1" customWidth="1"/>
    <col min="7" max="7" width="8.6640625" style="204" customWidth="1"/>
    <col min="8" max="8" width="9.5" style="204" bestFit="1" customWidth="1"/>
    <col min="9" max="9" width="17.83203125" style="204" bestFit="1" customWidth="1"/>
    <col min="10" max="10" width="10.33203125" style="204" bestFit="1" customWidth="1"/>
    <col min="11" max="11" width="75" style="204" bestFit="1" customWidth="1"/>
    <col min="12" max="16384" width="9.1640625" style="204"/>
  </cols>
  <sheetData>
    <row r="1" spans="1:11" x14ac:dyDescent="0.2">
      <c r="A1" s="204" t="s">
        <v>0</v>
      </c>
      <c r="I1" s="219"/>
    </row>
    <row r="2" spans="1:11" x14ac:dyDescent="0.2">
      <c r="J2" s="220"/>
    </row>
    <row r="3" spans="1:11" x14ac:dyDescent="0.2">
      <c r="A3" s="219" t="s">
        <v>1</v>
      </c>
    </row>
    <row r="4" spans="1:11" x14ac:dyDescent="0.2">
      <c r="A4" s="219"/>
      <c r="I4" s="220" t="s">
        <v>2</v>
      </c>
      <c r="J4" s="221">
        <v>45943</v>
      </c>
    </row>
    <row r="5" spans="1:11" x14ac:dyDescent="0.2">
      <c r="J5" s="204" t="s">
        <v>3</v>
      </c>
    </row>
    <row r="6" spans="1:11" ht="34" x14ac:dyDescent="0.2">
      <c r="A6" s="11" t="s">
        <v>4</v>
      </c>
      <c r="B6" s="11" t="s">
        <v>5</v>
      </c>
      <c r="C6" s="11" t="s">
        <v>6</v>
      </c>
      <c r="D6" s="11" t="s">
        <v>7</v>
      </c>
      <c r="E6" s="11" t="s">
        <v>8</v>
      </c>
      <c r="F6" s="11" t="s">
        <v>9</v>
      </c>
      <c r="G6" s="222" t="s">
        <v>10</v>
      </c>
      <c r="H6" s="222" t="s">
        <v>11</v>
      </c>
      <c r="I6" s="222" t="s">
        <v>12</v>
      </c>
      <c r="J6" s="223"/>
      <c r="K6" s="11" t="s">
        <v>13</v>
      </c>
    </row>
    <row r="7" spans="1:11" ht="34" x14ac:dyDescent="0.2">
      <c r="A7" s="222"/>
      <c r="B7" s="224"/>
      <c r="C7" s="11"/>
      <c r="D7" s="11" t="s">
        <v>14</v>
      </c>
      <c r="E7" s="11" t="s">
        <v>15</v>
      </c>
      <c r="F7" s="225" t="s">
        <v>16</v>
      </c>
      <c r="G7" s="225" t="s">
        <v>15</v>
      </c>
      <c r="H7" s="225" t="s">
        <v>17</v>
      </c>
      <c r="I7" s="11" t="s">
        <v>18</v>
      </c>
      <c r="J7" s="225" t="s">
        <v>19</v>
      </c>
      <c r="K7" s="225"/>
    </row>
    <row r="8" spans="1:11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2">
      <c r="A9" s="186">
        <v>1</v>
      </c>
      <c r="B9" s="187" t="s">
        <v>261</v>
      </c>
      <c r="C9" s="161">
        <v>20</v>
      </c>
      <c r="D9" s="14">
        <v>2.85</v>
      </c>
      <c r="E9" s="163">
        <v>1325</v>
      </c>
      <c r="F9" s="162">
        <v>10</v>
      </c>
      <c r="G9" s="15">
        <f t="shared" ref="G9:G18" si="0">E9*F9</f>
        <v>13250</v>
      </c>
      <c r="H9" s="16">
        <f>F9*C9</f>
        <v>200</v>
      </c>
      <c r="I9" s="179" t="s">
        <v>20</v>
      </c>
      <c r="J9" s="188">
        <v>1.3888888888888888E-2</v>
      </c>
      <c r="K9" s="202" t="s">
        <v>239</v>
      </c>
    </row>
    <row r="10" spans="1:11" ht="17" x14ac:dyDescent="0.2">
      <c r="A10" s="190">
        <v>2</v>
      </c>
      <c r="B10" s="187" t="s">
        <v>261</v>
      </c>
      <c r="C10" s="161">
        <v>21</v>
      </c>
      <c r="D10" s="14">
        <v>2.85</v>
      </c>
      <c r="E10" s="163">
        <v>1265</v>
      </c>
      <c r="F10" s="162">
        <v>8</v>
      </c>
      <c r="G10" s="15">
        <f t="shared" si="0"/>
        <v>10120</v>
      </c>
      <c r="H10" s="16">
        <f t="shared" ref="H10:H18" si="1">F10*C10</f>
        <v>168</v>
      </c>
      <c r="I10" s="179" t="s">
        <v>44</v>
      </c>
      <c r="J10" s="188">
        <v>4.5138888888888888E-2</v>
      </c>
      <c r="K10" s="189" t="s">
        <v>44</v>
      </c>
    </row>
    <row r="11" spans="1:11" ht="17" x14ac:dyDescent="0.2">
      <c r="A11" s="186">
        <v>3</v>
      </c>
      <c r="B11" s="187" t="s">
        <v>261</v>
      </c>
      <c r="C11" s="161">
        <v>22</v>
      </c>
      <c r="D11" s="14">
        <v>2.85</v>
      </c>
      <c r="E11" s="163">
        <v>1206</v>
      </c>
      <c r="F11" s="175">
        <v>10</v>
      </c>
      <c r="G11" s="15">
        <f t="shared" si="0"/>
        <v>12060</v>
      </c>
      <c r="H11" s="16">
        <f t="shared" si="1"/>
        <v>220</v>
      </c>
      <c r="I11" s="179" t="s">
        <v>233</v>
      </c>
      <c r="J11" s="188">
        <v>0.15277777777777779</v>
      </c>
      <c r="K11" s="189" t="s">
        <v>238</v>
      </c>
    </row>
    <row r="12" spans="1:11" ht="19.25" customHeight="1" x14ac:dyDescent="0.2">
      <c r="A12" s="190">
        <v>4</v>
      </c>
      <c r="B12" s="187" t="s">
        <v>261</v>
      </c>
      <c r="C12" s="176">
        <v>28</v>
      </c>
      <c r="D12" s="14">
        <v>2.85</v>
      </c>
      <c r="E12" s="177">
        <v>940</v>
      </c>
      <c r="F12" s="178">
        <v>10.5</v>
      </c>
      <c r="G12" s="15">
        <f t="shared" si="0"/>
        <v>9870</v>
      </c>
      <c r="H12" s="16">
        <f t="shared" si="1"/>
        <v>294</v>
      </c>
      <c r="I12" s="195"/>
      <c r="J12" s="194"/>
      <c r="K12" s="189"/>
    </row>
    <row r="13" spans="1:11" ht="17" x14ac:dyDescent="0.2">
      <c r="A13" s="191">
        <v>5</v>
      </c>
      <c r="B13" s="187" t="s">
        <v>261</v>
      </c>
      <c r="C13" s="176">
        <v>30</v>
      </c>
      <c r="D13" s="14">
        <v>2.85</v>
      </c>
      <c r="E13" s="177">
        <v>879</v>
      </c>
      <c r="F13" s="178">
        <v>13.5</v>
      </c>
      <c r="G13" s="15">
        <f t="shared" si="0"/>
        <v>11866.5</v>
      </c>
      <c r="H13" s="16">
        <f t="shared" si="1"/>
        <v>405</v>
      </c>
      <c r="I13" s="179"/>
      <c r="J13" s="188"/>
      <c r="K13" s="189"/>
    </row>
    <row r="14" spans="1:11" ht="17" x14ac:dyDescent="0.2">
      <c r="A14" s="186">
        <v>6</v>
      </c>
      <c r="B14" s="187" t="s">
        <v>261</v>
      </c>
      <c r="C14" s="180">
        <v>32</v>
      </c>
      <c r="D14" s="14">
        <v>2.85</v>
      </c>
      <c r="E14" s="181">
        <v>817</v>
      </c>
      <c r="F14" s="182">
        <v>3</v>
      </c>
      <c r="G14" s="15">
        <f t="shared" si="0"/>
        <v>2451</v>
      </c>
      <c r="H14" s="16">
        <f t="shared" si="1"/>
        <v>96</v>
      </c>
      <c r="I14" s="195"/>
      <c r="J14" s="194"/>
      <c r="K14" s="203"/>
    </row>
    <row r="15" spans="1:11" ht="17" x14ac:dyDescent="0.2">
      <c r="A15" s="190">
        <v>7</v>
      </c>
      <c r="B15" s="187" t="s">
        <v>236</v>
      </c>
      <c r="C15" s="192">
        <v>18</v>
      </c>
      <c r="D15" s="14">
        <v>2.85</v>
      </c>
      <c r="E15" s="181">
        <v>1343</v>
      </c>
      <c r="F15" s="193">
        <v>2</v>
      </c>
      <c r="G15" s="15">
        <f t="shared" si="0"/>
        <v>2686</v>
      </c>
      <c r="H15" s="16">
        <f t="shared" si="1"/>
        <v>36</v>
      </c>
      <c r="I15" s="19"/>
      <c r="J15" s="18"/>
      <c r="K15" s="17"/>
    </row>
    <row r="16" spans="1:11" x14ac:dyDescent="0.2">
      <c r="A16" s="197">
        <v>8</v>
      </c>
      <c r="B16" s="198" t="s">
        <v>236</v>
      </c>
      <c r="C16" s="161">
        <v>17</v>
      </c>
      <c r="D16" s="14">
        <v>2.85</v>
      </c>
      <c r="E16" s="177">
        <v>1382</v>
      </c>
      <c r="F16" s="161">
        <v>1.5</v>
      </c>
      <c r="G16" s="15">
        <f t="shared" si="0"/>
        <v>2073</v>
      </c>
      <c r="H16" s="16">
        <f t="shared" si="1"/>
        <v>25.5</v>
      </c>
      <c r="I16" s="19"/>
      <c r="J16" s="18"/>
      <c r="K16" s="20"/>
    </row>
    <row r="17" spans="1:11" x14ac:dyDescent="0.2">
      <c r="A17" s="197">
        <v>9</v>
      </c>
      <c r="B17" s="198" t="s">
        <v>241</v>
      </c>
      <c r="C17" s="161">
        <v>16</v>
      </c>
      <c r="D17" s="14">
        <v>2.85</v>
      </c>
      <c r="E17" s="181">
        <v>1452</v>
      </c>
      <c r="F17" s="161">
        <v>3</v>
      </c>
      <c r="G17" s="15">
        <f t="shared" si="0"/>
        <v>4356</v>
      </c>
      <c r="H17" s="16">
        <f t="shared" si="1"/>
        <v>48</v>
      </c>
      <c r="I17" s="19"/>
      <c r="J17" s="18"/>
      <c r="K17" s="20"/>
    </row>
    <row r="18" spans="1:11" x14ac:dyDescent="0.2">
      <c r="A18" s="197">
        <v>10</v>
      </c>
      <c r="B18" s="198" t="s">
        <v>241</v>
      </c>
      <c r="C18" s="161">
        <v>17</v>
      </c>
      <c r="D18" s="14">
        <v>2.85</v>
      </c>
      <c r="E18" s="181">
        <v>1452</v>
      </c>
      <c r="F18" s="161">
        <v>20.5</v>
      </c>
      <c r="G18" s="15">
        <f t="shared" si="0"/>
        <v>29766</v>
      </c>
      <c r="H18" s="16">
        <f t="shared" si="1"/>
        <v>348.5</v>
      </c>
      <c r="I18" s="10"/>
      <c r="J18" s="13"/>
      <c r="K18" s="10"/>
    </row>
    <row r="19" spans="1:11" x14ac:dyDescent="0.2">
      <c r="A19" s="11"/>
      <c r="B19" s="10"/>
      <c r="C19" s="12"/>
      <c r="D19" s="200"/>
      <c r="E19" s="11"/>
      <c r="F19" s="12"/>
      <c r="G19" s="201"/>
      <c r="H19" s="12"/>
      <c r="I19" s="10"/>
      <c r="J19" s="13"/>
      <c r="K19" s="10"/>
    </row>
    <row r="20" spans="1:11" x14ac:dyDescent="0.2">
      <c r="A20" s="11"/>
      <c r="B20" s="10"/>
      <c r="C20" s="12"/>
      <c r="D20" s="200"/>
      <c r="E20" s="11"/>
      <c r="F20" s="12"/>
      <c r="G20" s="201"/>
      <c r="H20" s="12"/>
      <c r="I20" s="10"/>
      <c r="J20" s="13"/>
      <c r="K20" s="10"/>
    </row>
    <row r="21" spans="1:11" x14ac:dyDescent="0.2">
      <c r="A21" s="11"/>
      <c r="B21" s="10"/>
      <c r="C21" s="205"/>
      <c r="D21" s="11"/>
      <c r="E21" s="13"/>
      <c r="F21" s="205"/>
      <c r="G21" s="201"/>
      <c r="H21" s="12"/>
      <c r="I21" s="10"/>
      <c r="J21" s="13"/>
      <c r="K21" s="10"/>
    </row>
    <row r="22" spans="1:11" x14ac:dyDescent="0.2">
      <c r="A22" s="206"/>
      <c r="B22" s="207"/>
      <c r="C22" s="208"/>
      <c r="D22" s="208"/>
      <c r="E22" s="226" t="s">
        <v>21</v>
      </c>
      <c r="F22" s="227">
        <f>SUM(F9:F21)</f>
        <v>82</v>
      </c>
      <c r="G22" s="228">
        <f>SUM(G9:G21)/F22</f>
        <v>1201.2012195121952</v>
      </c>
      <c r="H22" s="229">
        <f>SUM(H9:H21)/F22</f>
        <v>22.451219512195124</v>
      </c>
      <c r="I22" s="209" t="s">
        <v>22</v>
      </c>
      <c r="J22" s="210">
        <v>0.21180555555555555</v>
      </c>
      <c r="K22" s="207"/>
    </row>
    <row r="23" spans="1:11" x14ac:dyDescent="0.2">
      <c r="E23" s="211"/>
      <c r="F23" s="212"/>
      <c r="I23" s="230" t="s">
        <v>23</v>
      </c>
      <c r="J23" s="231">
        <v>5.08</v>
      </c>
    </row>
    <row r="24" spans="1:11" x14ac:dyDescent="0.2">
      <c r="I24" s="212"/>
      <c r="J24" s="213"/>
    </row>
    <row r="25" spans="1:11" x14ac:dyDescent="0.2">
      <c r="A25" s="10" t="s">
        <v>24</v>
      </c>
      <c r="B25" s="10"/>
      <c r="C25" s="10"/>
      <c r="D25" s="205"/>
      <c r="H25" s="220" t="s">
        <v>25</v>
      </c>
      <c r="I25" s="220"/>
      <c r="J25" s="211">
        <f>F22</f>
        <v>82</v>
      </c>
      <c r="K25" s="204" t="s">
        <v>16</v>
      </c>
    </row>
    <row r="26" spans="1:11" x14ac:dyDescent="0.2">
      <c r="A26" s="10" t="s">
        <v>26</v>
      </c>
      <c r="B26" s="10"/>
      <c r="C26" s="10"/>
      <c r="D26" s="205"/>
      <c r="H26" s="220" t="s">
        <v>27</v>
      </c>
      <c r="I26" s="220"/>
      <c r="J26" s="211">
        <f>100+96+78+70+83+72+85+80+69+83+83+96+82</f>
        <v>1077</v>
      </c>
      <c r="K26" s="204" t="s">
        <v>16</v>
      </c>
    </row>
    <row r="27" spans="1:11" ht="17" thickBot="1" x14ac:dyDescent="0.25">
      <c r="A27" s="214"/>
      <c r="B27" s="214"/>
      <c r="C27" s="214"/>
      <c r="D27" s="214"/>
      <c r="E27" s="215"/>
      <c r="F27" s="215"/>
      <c r="G27" s="214"/>
      <c r="H27" s="232" t="s">
        <v>28</v>
      </c>
      <c r="I27" s="232"/>
      <c r="J27" s="216">
        <v>30.92</v>
      </c>
      <c r="K27" s="214" t="s">
        <v>29</v>
      </c>
    </row>
    <row r="28" spans="1:11" x14ac:dyDescent="0.2">
      <c r="J28" s="204" t="s">
        <v>3</v>
      </c>
    </row>
    <row r="29" spans="1:11" hidden="1" x14ac:dyDescent="0.2">
      <c r="K29" s="204" t="s">
        <v>30</v>
      </c>
    </row>
    <row r="30" spans="1:11" hidden="1" x14ac:dyDescent="0.2">
      <c r="K30" s="204" t="s">
        <v>31</v>
      </c>
    </row>
    <row r="31" spans="1:11" hidden="1" x14ac:dyDescent="0.2">
      <c r="K31" s="204" t="s">
        <v>32</v>
      </c>
    </row>
    <row r="32" spans="1:11" hidden="1" x14ac:dyDescent="0.2">
      <c r="K32" s="204" t="s">
        <v>33</v>
      </c>
    </row>
    <row r="33" spans="9:11" hidden="1" x14ac:dyDescent="0.2">
      <c r="K33" s="204" t="s">
        <v>34</v>
      </c>
    </row>
    <row r="34" spans="9:11" hidden="1" x14ac:dyDescent="0.2">
      <c r="K34" s="204" t="s">
        <v>35</v>
      </c>
    </row>
    <row r="35" spans="9:11" hidden="1" x14ac:dyDescent="0.2">
      <c r="K35" s="204" t="s">
        <v>36</v>
      </c>
    </row>
    <row r="36" spans="9:11" hidden="1" x14ac:dyDescent="0.2">
      <c r="K36" s="204" t="s">
        <v>37</v>
      </c>
    </row>
    <row r="37" spans="9:11" hidden="1" x14ac:dyDescent="0.2">
      <c r="K37" s="204" t="s">
        <v>38</v>
      </c>
    </row>
    <row r="38" spans="9:11" hidden="1" x14ac:dyDescent="0.2">
      <c r="K38" s="204" t="s">
        <v>39</v>
      </c>
    </row>
    <row r="39" spans="9:11" hidden="1" x14ac:dyDescent="0.2">
      <c r="K39" s="204" t="s">
        <v>40</v>
      </c>
    </row>
    <row r="40" spans="9:11" hidden="1" x14ac:dyDescent="0.2">
      <c r="K40" s="204" t="s">
        <v>41</v>
      </c>
    </row>
    <row r="41" spans="9:11" ht="34" hidden="1" x14ac:dyDescent="0.2">
      <c r="I41" s="217" t="s">
        <v>42</v>
      </c>
      <c r="K41" s="204" t="s">
        <v>43</v>
      </c>
    </row>
    <row r="42" spans="9:11" ht="17" hidden="1" x14ac:dyDescent="0.2">
      <c r="I42" s="217" t="s">
        <v>44</v>
      </c>
      <c r="K42" s="204" t="s">
        <v>45</v>
      </c>
    </row>
    <row r="43" spans="9:11" hidden="1" x14ac:dyDescent="0.2">
      <c r="I43" s="218" t="s">
        <v>46</v>
      </c>
      <c r="K43" s="204" t="s">
        <v>47</v>
      </c>
    </row>
    <row r="44" spans="9:11" hidden="1" x14ac:dyDescent="0.2">
      <c r="I44" s="204" t="s">
        <v>48</v>
      </c>
      <c r="K44" s="204" t="s">
        <v>49</v>
      </c>
    </row>
    <row r="45" spans="9:11" hidden="1" x14ac:dyDescent="0.2">
      <c r="I45" s="204" t="s">
        <v>50</v>
      </c>
      <c r="K45" s="204" t="s">
        <v>51</v>
      </c>
    </row>
    <row r="46" spans="9:11" hidden="1" x14ac:dyDescent="0.2">
      <c r="I46" s="204" t="s">
        <v>52</v>
      </c>
      <c r="K46" s="204" t="s">
        <v>53</v>
      </c>
    </row>
    <row r="47" spans="9:11" hidden="1" x14ac:dyDescent="0.2">
      <c r="I47" s="204" t="s">
        <v>54</v>
      </c>
      <c r="K47" s="204" t="s">
        <v>55</v>
      </c>
    </row>
    <row r="48" spans="9:11" hidden="1" x14ac:dyDescent="0.2">
      <c r="I48" s="204" t="s">
        <v>56</v>
      </c>
      <c r="K48" s="204" t="s">
        <v>57</v>
      </c>
    </row>
    <row r="49" spans="9:11" hidden="1" x14ac:dyDescent="0.2">
      <c r="I49" s="204" t="s">
        <v>58</v>
      </c>
      <c r="K49" s="204" t="s">
        <v>59</v>
      </c>
    </row>
    <row r="50" spans="9:11" hidden="1" x14ac:dyDescent="0.2">
      <c r="I50" s="204" t="s">
        <v>60</v>
      </c>
      <c r="K50" s="204" t="s">
        <v>61</v>
      </c>
    </row>
    <row r="51" spans="9:11" hidden="1" x14ac:dyDescent="0.2">
      <c r="K51" s="204" t="s">
        <v>62</v>
      </c>
    </row>
    <row r="52" spans="9:11" hidden="1" x14ac:dyDescent="0.2">
      <c r="K52" s="204" t="s">
        <v>63</v>
      </c>
    </row>
    <row r="53" spans="9:11" hidden="1" x14ac:dyDescent="0.2">
      <c r="K53" s="204" t="s">
        <v>64</v>
      </c>
    </row>
    <row r="54" spans="9:11" hidden="1" x14ac:dyDescent="0.2">
      <c r="K54" s="204" t="s">
        <v>65</v>
      </c>
    </row>
    <row r="55" spans="9:11" hidden="1" x14ac:dyDescent="0.2">
      <c r="K55" s="204" t="s">
        <v>66</v>
      </c>
    </row>
    <row r="56" spans="9:11" hidden="1" x14ac:dyDescent="0.2">
      <c r="K56" s="204" t="s">
        <v>67</v>
      </c>
    </row>
    <row r="57" spans="9:11" hidden="1" x14ac:dyDescent="0.2">
      <c r="K57" s="204" t="s">
        <v>68</v>
      </c>
    </row>
    <row r="58" spans="9:11" hidden="1" x14ac:dyDescent="0.2">
      <c r="K58" s="204" t="s">
        <v>69</v>
      </c>
    </row>
    <row r="59" spans="9:11" hidden="1" x14ac:dyDescent="0.2">
      <c r="K59" s="204" t="s">
        <v>70</v>
      </c>
    </row>
    <row r="60" spans="9:11" hidden="1" x14ac:dyDescent="0.2">
      <c r="K60" s="204" t="s">
        <v>71</v>
      </c>
    </row>
    <row r="61" spans="9:11" hidden="1" x14ac:dyDescent="0.2">
      <c r="K61" s="204" t="s">
        <v>72</v>
      </c>
    </row>
    <row r="62" spans="9:11" hidden="1" x14ac:dyDescent="0.2">
      <c r="K62" s="204" t="s">
        <v>73</v>
      </c>
    </row>
    <row r="63" spans="9:11" hidden="1" x14ac:dyDescent="0.2">
      <c r="K63" s="204" t="s">
        <v>67</v>
      </c>
    </row>
    <row r="64" spans="9:11" hidden="1" x14ac:dyDescent="0.2">
      <c r="K64" s="204" t="s">
        <v>74</v>
      </c>
    </row>
    <row r="65" spans="11:11" hidden="1" x14ac:dyDescent="0.2">
      <c r="K65" s="204" t="s">
        <v>75</v>
      </c>
    </row>
    <row r="66" spans="11:11" hidden="1" x14ac:dyDescent="0.2">
      <c r="K66" s="204" t="s">
        <v>76</v>
      </c>
    </row>
    <row r="67" spans="11:11" hidden="1" x14ac:dyDescent="0.2">
      <c r="K67" s="204" t="s">
        <v>77</v>
      </c>
    </row>
    <row r="68" spans="11:11" hidden="1" x14ac:dyDescent="0.2">
      <c r="K68" s="204" t="s">
        <v>78</v>
      </c>
    </row>
    <row r="69" spans="11:11" hidden="1" x14ac:dyDescent="0.2">
      <c r="K69" s="204" t="s">
        <v>79</v>
      </c>
    </row>
    <row r="70" spans="11:11" hidden="1" x14ac:dyDescent="0.2">
      <c r="K70" s="204" t="s">
        <v>80</v>
      </c>
    </row>
    <row r="71" spans="11:11" hidden="1" x14ac:dyDescent="0.2">
      <c r="K71" s="204" t="s">
        <v>81</v>
      </c>
    </row>
    <row r="72" spans="11:11" hidden="1" x14ac:dyDescent="0.2">
      <c r="K72" s="204" t="s">
        <v>82</v>
      </c>
    </row>
    <row r="73" spans="11:11" hidden="1" x14ac:dyDescent="0.2">
      <c r="K73" s="204" t="s">
        <v>83</v>
      </c>
    </row>
    <row r="74" spans="11:11" hidden="1" x14ac:dyDescent="0.2">
      <c r="K74" s="204" t="s">
        <v>84</v>
      </c>
    </row>
    <row r="75" spans="11:11" hidden="1" x14ac:dyDescent="0.2">
      <c r="K75" s="204" t="s">
        <v>85</v>
      </c>
    </row>
    <row r="76" spans="11:11" hidden="1" x14ac:dyDescent="0.2">
      <c r="K76" s="204" t="s">
        <v>86</v>
      </c>
    </row>
    <row r="77" spans="11:11" hidden="1" x14ac:dyDescent="0.2">
      <c r="K77" s="204" t="s">
        <v>87</v>
      </c>
    </row>
    <row r="78" spans="11:11" hidden="1" x14ac:dyDescent="0.2">
      <c r="K78" s="204" t="s">
        <v>88</v>
      </c>
    </row>
    <row r="79" spans="11:11" hidden="1" x14ac:dyDescent="0.2">
      <c r="K79" s="204" t="s">
        <v>89</v>
      </c>
    </row>
    <row r="80" spans="11:11" hidden="1" x14ac:dyDescent="0.2">
      <c r="K80" s="204" t="s">
        <v>90</v>
      </c>
    </row>
    <row r="81" spans="11:11" hidden="1" x14ac:dyDescent="0.2">
      <c r="K81" s="204" t="s">
        <v>91</v>
      </c>
    </row>
    <row r="82" spans="11:11" hidden="1" x14ac:dyDescent="0.2">
      <c r="K82" s="204" t="s">
        <v>92</v>
      </c>
    </row>
    <row r="83" spans="11:11" hidden="1" x14ac:dyDescent="0.2">
      <c r="K83" s="204" t="s">
        <v>93</v>
      </c>
    </row>
    <row r="84" spans="11:11" hidden="1" x14ac:dyDescent="0.2">
      <c r="K84" s="204" t="s">
        <v>94</v>
      </c>
    </row>
    <row r="85" spans="11:11" hidden="1" x14ac:dyDescent="0.2">
      <c r="K85" s="204" t="s">
        <v>47</v>
      </c>
    </row>
  </sheetData>
  <dataValidations count="3">
    <dataValidation type="list" allowBlank="1" showInputMessage="1" showErrorMessage="1" sqref="I50 K15:K21" xr:uid="{45800289-0160-4289-9301-95A8FA9266AE}">
      <formula1>$I$41:$I$50</formula1>
    </dataValidation>
    <dataValidation type="list" allowBlank="1" showInputMessage="1" showErrorMessage="1" sqref="B20:B21" xr:uid="{5A0D66B6-D15E-4F9A-9AE4-501E2ED12E25}">
      <formula1>$K$29:$K$40</formula1>
    </dataValidation>
    <dataValidation type="list" allowBlank="1" showInputMessage="1" showErrorMessage="1" sqref="B16:B19" xr:uid="{B1E6B8B0-4595-49EA-BA5D-354D51E819EC}">
      <formula1>$K$29:$K$85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B5430-62F1-4E6F-AF56-D40200282075}">
  <dimension ref="A1:K85"/>
  <sheetViews>
    <sheetView workbookViewId="0">
      <selection sqref="A1:XFD1048576"/>
    </sheetView>
  </sheetViews>
  <sheetFormatPr baseColWidth="10" defaultColWidth="9.1640625" defaultRowHeight="16" x14ac:dyDescent="0.2"/>
  <cols>
    <col min="1" max="1" width="5.1640625" style="204" customWidth="1"/>
    <col min="2" max="2" width="22.5" style="204" customWidth="1"/>
    <col min="3" max="3" width="6.1640625" style="204" customWidth="1"/>
    <col min="4" max="4" width="12.5" style="204" bestFit="1" customWidth="1"/>
    <col min="5" max="5" width="9.83203125" style="204" customWidth="1"/>
    <col min="6" max="6" width="9.33203125" style="204" bestFit="1" customWidth="1"/>
    <col min="7" max="7" width="8.6640625" style="204" customWidth="1"/>
    <col min="8" max="8" width="9.5" style="204" bestFit="1" customWidth="1"/>
    <col min="9" max="9" width="17.83203125" style="204" bestFit="1" customWidth="1"/>
    <col min="10" max="10" width="10.33203125" style="204" bestFit="1" customWidth="1"/>
    <col min="11" max="11" width="75" style="204" bestFit="1" customWidth="1"/>
    <col min="12" max="16384" width="9.1640625" style="204"/>
  </cols>
  <sheetData>
    <row r="1" spans="1:11" x14ac:dyDescent="0.2">
      <c r="A1" s="204" t="s">
        <v>0</v>
      </c>
      <c r="I1" s="219"/>
    </row>
    <row r="2" spans="1:11" x14ac:dyDescent="0.2">
      <c r="J2" s="220"/>
    </row>
    <row r="3" spans="1:11" x14ac:dyDescent="0.2">
      <c r="A3" s="219" t="s">
        <v>1</v>
      </c>
    </row>
    <row r="4" spans="1:11" x14ac:dyDescent="0.2">
      <c r="A4" s="219"/>
      <c r="I4" s="220" t="s">
        <v>2</v>
      </c>
      <c r="J4" s="221">
        <v>45944</v>
      </c>
    </row>
    <row r="5" spans="1:11" x14ac:dyDescent="0.2">
      <c r="J5" s="204" t="s">
        <v>3</v>
      </c>
    </row>
    <row r="6" spans="1:11" ht="34" x14ac:dyDescent="0.2">
      <c r="A6" s="11" t="s">
        <v>4</v>
      </c>
      <c r="B6" s="11" t="s">
        <v>5</v>
      </c>
      <c r="C6" s="11" t="s">
        <v>6</v>
      </c>
      <c r="D6" s="11" t="s">
        <v>7</v>
      </c>
      <c r="E6" s="11" t="s">
        <v>8</v>
      </c>
      <c r="F6" s="11" t="s">
        <v>9</v>
      </c>
      <c r="G6" s="222" t="s">
        <v>10</v>
      </c>
      <c r="H6" s="222" t="s">
        <v>11</v>
      </c>
      <c r="I6" s="222" t="s">
        <v>12</v>
      </c>
      <c r="J6" s="223"/>
      <c r="K6" s="11" t="s">
        <v>13</v>
      </c>
    </row>
    <row r="7" spans="1:11" ht="34" x14ac:dyDescent="0.2">
      <c r="A7" s="222"/>
      <c r="B7" s="224"/>
      <c r="C7" s="11"/>
      <c r="D7" s="11" t="s">
        <v>14</v>
      </c>
      <c r="E7" s="11" t="s">
        <v>15</v>
      </c>
      <c r="F7" s="225" t="s">
        <v>16</v>
      </c>
      <c r="G7" s="225" t="s">
        <v>15</v>
      </c>
      <c r="H7" s="225" t="s">
        <v>17</v>
      </c>
      <c r="I7" s="11" t="s">
        <v>18</v>
      </c>
      <c r="J7" s="225" t="s">
        <v>19</v>
      </c>
      <c r="K7" s="225"/>
    </row>
    <row r="8" spans="1:11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2">
      <c r="A9" s="186">
        <v>1</v>
      </c>
      <c r="B9" s="187" t="s">
        <v>241</v>
      </c>
      <c r="C9" s="161">
        <v>14</v>
      </c>
      <c r="D9" s="14">
        <v>2.85</v>
      </c>
      <c r="E9" s="163">
        <v>1498</v>
      </c>
      <c r="F9" s="162">
        <v>9.5</v>
      </c>
      <c r="G9" s="15">
        <f t="shared" ref="G9:G13" si="0">E9*F9</f>
        <v>14231</v>
      </c>
      <c r="H9" s="16">
        <f>F9*C9</f>
        <v>133</v>
      </c>
      <c r="I9" s="179" t="s">
        <v>20</v>
      </c>
      <c r="J9" s="188">
        <v>2.0833333333333332E-2</v>
      </c>
      <c r="K9" s="202" t="s">
        <v>239</v>
      </c>
    </row>
    <row r="10" spans="1:11" ht="17" x14ac:dyDescent="0.2">
      <c r="A10" s="190">
        <v>2</v>
      </c>
      <c r="B10" s="187" t="s">
        <v>241</v>
      </c>
      <c r="C10" s="161">
        <v>15</v>
      </c>
      <c r="D10" s="14">
        <v>2.85</v>
      </c>
      <c r="E10" s="163">
        <v>1494</v>
      </c>
      <c r="F10" s="162">
        <v>54.5</v>
      </c>
      <c r="G10" s="15">
        <f t="shared" si="0"/>
        <v>81423</v>
      </c>
      <c r="H10" s="16">
        <f t="shared" ref="H10:H13" si="1">F10*C10</f>
        <v>817.5</v>
      </c>
      <c r="I10" s="179" t="s">
        <v>44</v>
      </c>
      <c r="J10" s="188">
        <v>2.0833333333333332E-2</v>
      </c>
      <c r="K10" s="189" t="s">
        <v>44</v>
      </c>
    </row>
    <row r="11" spans="1:11" ht="17" x14ac:dyDescent="0.2">
      <c r="A11" s="186">
        <v>3</v>
      </c>
      <c r="B11" s="187" t="s">
        <v>241</v>
      </c>
      <c r="C11" s="161">
        <v>17</v>
      </c>
      <c r="D11" s="14">
        <v>2.85</v>
      </c>
      <c r="E11" s="163">
        <v>1452</v>
      </c>
      <c r="F11" s="175">
        <v>4.5</v>
      </c>
      <c r="G11" s="15">
        <f t="shared" si="0"/>
        <v>6534</v>
      </c>
      <c r="H11" s="16">
        <f t="shared" si="1"/>
        <v>76.5</v>
      </c>
      <c r="I11" s="179" t="s">
        <v>247</v>
      </c>
      <c r="J11" s="188">
        <v>4.1666666666666664E-2</v>
      </c>
      <c r="K11" s="189" t="s">
        <v>265</v>
      </c>
    </row>
    <row r="12" spans="1:11" ht="19.25" customHeight="1" x14ac:dyDescent="0.2">
      <c r="A12" s="190">
        <v>4</v>
      </c>
      <c r="B12" s="187" t="s">
        <v>255</v>
      </c>
      <c r="C12" s="176">
        <v>15</v>
      </c>
      <c r="D12" s="14">
        <v>2.85</v>
      </c>
      <c r="E12" s="177">
        <v>1498</v>
      </c>
      <c r="F12" s="178">
        <v>5</v>
      </c>
      <c r="G12" s="15">
        <f t="shared" si="0"/>
        <v>7490</v>
      </c>
      <c r="H12" s="16">
        <f t="shared" si="1"/>
        <v>75</v>
      </c>
      <c r="I12" s="195" t="s">
        <v>257</v>
      </c>
      <c r="J12" s="194">
        <v>6.9444444444444441E-3</v>
      </c>
      <c r="K12" s="189" t="s">
        <v>257</v>
      </c>
    </row>
    <row r="13" spans="1:11" ht="17" x14ac:dyDescent="0.2">
      <c r="A13" s="191">
        <v>5</v>
      </c>
      <c r="B13" s="187" t="s">
        <v>255</v>
      </c>
      <c r="C13" s="176">
        <v>17</v>
      </c>
      <c r="D13" s="14">
        <v>2.85</v>
      </c>
      <c r="E13" s="177">
        <v>1461</v>
      </c>
      <c r="F13" s="178">
        <v>8.5</v>
      </c>
      <c r="G13" s="15">
        <f t="shared" si="0"/>
        <v>12418.5</v>
      </c>
      <c r="H13" s="16">
        <f t="shared" si="1"/>
        <v>144.5</v>
      </c>
      <c r="I13" s="179"/>
      <c r="J13" s="188"/>
      <c r="K13" s="189"/>
    </row>
    <row r="14" spans="1:11" x14ac:dyDescent="0.2">
      <c r="A14" s="186"/>
      <c r="B14" s="187"/>
      <c r="C14" s="180"/>
      <c r="D14" s="14"/>
      <c r="E14" s="181"/>
      <c r="F14" s="182"/>
      <c r="G14" s="15"/>
      <c r="H14" s="16"/>
      <c r="I14" s="195"/>
      <c r="J14" s="194"/>
      <c r="K14" s="203"/>
    </row>
    <row r="15" spans="1:11" x14ac:dyDescent="0.2">
      <c r="A15" s="190"/>
      <c r="B15" s="187"/>
      <c r="C15" s="192"/>
      <c r="D15" s="14"/>
      <c r="E15" s="181"/>
      <c r="F15" s="193"/>
      <c r="G15" s="15"/>
      <c r="H15" s="16"/>
      <c r="I15" s="19"/>
      <c r="J15" s="18"/>
      <c r="K15" s="17"/>
    </row>
    <row r="16" spans="1:11" x14ac:dyDescent="0.2">
      <c r="A16" s="197"/>
      <c r="B16" s="198"/>
      <c r="C16" s="161"/>
      <c r="D16" s="14"/>
      <c r="E16" s="177"/>
      <c r="F16" s="161"/>
      <c r="G16" s="15"/>
      <c r="H16" s="16"/>
      <c r="I16" s="19"/>
      <c r="J16" s="18"/>
      <c r="K16" s="20"/>
    </row>
    <row r="17" spans="1:11" x14ac:dyDescent="0.2">
      <c r="A17" s="197"/>
      <c r="B17" s="198"/>
      <c r="C17" s="161"/>
      <c r="D17" s="14"/>
      <c r="E17" s="181"/>
      <c r="F17" s="161"/>
      <c r="G17" s="15"/>
      <c r="H17" s="16"/>
      <c r="I17" s="19"/>
      <c r="J17" s="18"/>
      <c r="K17" s="20"/>
    </row>
    <row r="18" spans="1:11" x14ac:dyDescent="0.2">
      <c r="A18" s="197"/>
      <c r="B18" s="198"/>
      <c r="C18" s="161"/>
      <c r="D18" s="14"/>
      <c r="E18" s="181"/>
      <c r="F18" s="161"/>
      <c r="G18" s="15"/>
      <c r="H18" s="16"/>
      <c r="I18" s="10"/>
      <c r="J18" s="13"/>
      <c r="K18" s="10"/>
    </row>
    <row r="19" spans="1:11" x14ac:dyDescent="0.2">
      <c r="A19" s="11"/>
      <c r="B19" s="10"/>
      <c r="C19" s="12"/>
      <c r="D19" s="200"/>
      <c r="E19" s="11"/>
      <c r="F19" s="12"/>
      <c r="G19" s="201"/>
      <c r="H19" s="12"/>
      <c r="I19" s="10"/>
      <c r="J19" s="13"/>
      <c r="K19" s="10"/>
    </row>
    <row r="20" spans="1:11" x14ac:dyDescent="0.2">
      <c r="A20" s="11"/>
      <c r="B20" s="10"/>
      <c r="C20" s="12"/>
      <c r="D20" s="200"/>
      <c r="E20" s="11"/>
      <c r="F20" s="12"/>
      <c r="G20" s="201"/>
      <c r="H20" s="12"/>
      <c r="I20" s="10"/>
      <c r="J20" s="13"/>
      <c r="K20" s="10"/>
    </row>
    <row r="21" spans="1:11" x14ac:dyDescent="0.2">
      <c r="A21" s="11"/>
      <c r="B21" s="10"/>
      <c r="C21" s="205"/>
      <c r="D21" s="11"/>
      <c r="E21" s="13"/>
      <c r="F21" s="205"/>
      <c r="G21" s="201"/>
      <c r="H21" s="12"/>
      <c r="I21" s="10"/>
      <c r="J21" s="13"/>
      <c r="K21" s="10"/>
    </row>
    <row r="22" spans="1:11" x14ac:dyDescent="0.2">
      <c r="A22" s="206"/>
      <c r="B22" s="207"/>
      <c r="C22" s="208"/>
      <c r="D22" s="208"/>
      <c r="E22" s="226" t="s">
        <v>21</v>
      </c>
      <c r="F22" s="227">
        <f>SUM(F9:F21)</f>
        <v>82</v>
      </c>
      <c r="G22" s="228">
        <f>SUM(G9:G21)/F22</f>
        <v>1488.9817073170732</v>
      </c>
      <c r="H22" s="229">
        <f>SUM(H9:H21)/F22</f>
        <v>15.201219512195122</v>
      </c>
      <c r="I22" s="209" t="s">
        <v>22</v>
      </c>
      <c r="J22" s="210">
        <v>9.0277777777777776E-2</v>
      </c>
      <c r="K22" s="207"/>
    </row>
    <row r="23" spans="1:11" x14ac:dyDescent="0.2">
      <c r="E23" s="211"/>
      <c r="F23" s="212"/>
      <c r="I23" s="230" t="s">
        <v>23</v>
      </c>
      <c r="J23" s="231">
        <v>2.17</v>
      </c>
    </row>
    <row r="24" spans="1:11" x14ac:dyDescent="0.2">
      <c r="I24" s="212"/>
      <c r="J24" s="213"/>
    </row>
    <row r="25" spans="1:11" x14ac:dyDescent="0.2">
      <c r="A25" s="10" t="s">
        <v>24</v>
      </c>
      <c r="B25" s="10"/>
      <c r="C25" s="10"/>
      <c r="D25" s="205"/>
      <c r="H25" s="220" t="s">
        <v>25</v>
      </c>
      <c r="I25" s="220"/>
      <c r="J25" s="211">
        <f>F22</f>
        <v>82</v>
      </c>
      <c r="K25" s="204" t="s">
        <v>16</v>
      </c>
    </row>
    <row r="26" spans="1:11" x14ac:dyDescent="0.2">
      <c r="A26" s="10" t="s">
        <v>26</v>
      </c>
      <c r="B26" s="10"/>
      <c r="C26" s="10"/>
      <c r="D26" s="205"/>
      <c r="H26" s="220" t="s">
        <v>27</v>
      </c>
      <c r="I26" s="220"/>
      <c r="J26" s="211">
        <f>100+96+78+70+83+72+85+80+69+83+83+96+82+82</f>
        <v>1159</v>
      </c>
      <c r="K26" s="204" t="s">
        <v>16</v>
      </c>
    </row>
    <row r="27" spans="1:11" ht="17" thickBot="1" x14ac:dyDescent="0.25">
      <c r="A27" s="214"/>
      <c r="B27" s="214"/>
      <c r="C27" s="214"/>
      <c r="D27" s="214"/>
      <c r="E27" s="215"/>
      <c r="F27" s="215"/>
      <c r="G27" s="214"/>
      <c r="H27" s="232" t="s">
        <v>28</v>
      </c>
      <c r="I27" s="232"/>
      <c r="J27" s="216">
        <v>33.08</v>
      </c>
      <c r="K27" s="214" t="s">
        <v>29</v>
      </c>
    </row>
    <row r="28" spans="1:11" x14ac:dyDescent="0.2">
      <c r="J28" s="204" t="s">
        <v>3</v>
      </c>
    </row>
    <row r="29" spans="1:11" hidden="1" x14ac:dyDescent="0.2">
      <c r="K29" s="204" t="s">
        <v>30</v>
      </c>
    </row>
    <row r="30" spans="1:11" hidden="1" x14ac:dyDescent="0.2">
      <c r="K30" s="204" t="s">
        <v>31</v>
      </c>
    </row>
    <row r="31" spans="1:11" hidden="1" x14ac:dyDescent="0.2">
      <c r="K31" s="204" t="s">
        <v>32</v>
      </c>
    </row>
    <row r="32" spans="1:11" hidden="1" x14ac:dyDescent="0.2">
      <c r="K32" s="204" t="s">
        <v>33</v>
      </c>
    </row>
    <row r="33" spans="9:11" hidden="1" x14ac:dyDescent="0.2">
      <c r="K33" s="204" t="s">
        <v>34</v>
      </c>
    </row>
    <row r="34" spans="9:11" hidden="1" x14ac:dyDescent="0.2">
      <c r="K34" s="204" t="s">
        <v>35</v>
      </c>
    </row>
    <row r="35" spans="9:11" hidden="1" x14ac:dyDescent="0.2">
      <c r="K35" s="204" t="s">
        <v>36</v>
      </c>
    </row>
    <row r="36" spans="9:11" hidden="1" x14ac:dyDescent="0.2">
      <c r="K36" s="204" t="s">
        <v>37</v>
      </c>
    </row>
    <row r="37" spans="9:11" hidden="1" x14ac:dyDescent="0.2">
      <c r="K37" s="204" t="s">
        <v>38</v>
      </c>
    </row>
    <row r="38" spans="9:11" hidden="1" x14ac:dyDescent="0.2">
      <c r="K38" s="204" t="s">
        <v>39</v>
      </c>
    </row>
    <row r="39" spans="9:11" hidden="1" x14ac:dyDescent="0.2">
      <c r="K39" s="204" t="s">
        <v>40</v>
      </c>
    </row>
    <row r="40" spans="9:11" hidden="1" x14ac:dyDescent="0.2">
      <c r="K40" s="204" t="s">
        <v>41</v>
      </c>
    </row>
    <row r="41" spans="9:11" ht="34" hidden="1" x14ac:dyDescent="0.2">
      <c r="I41" s="217" t="s">
        <v>42</v>
      </c>
      <c r="K41" s="204" t="s">
        <v>43</v>
      </c>
    </row>
    <row r="42" spans="9:11" ht="17" hidden="1" x14ac:dyDescent="0.2">
      <c r="I42" s="217" t="s">
        <v>44</v>
      </c>
      <c r="K42" s="204" t="s">
        <v>45</v>
      </c>
    </row>
    <row r="43" spans="9:11" hidden="1" x14ac:dyDescent="0.2">
      <c r="I43" s="218" t="s">
        <v>46</v>
      </c>
      <c r="K43" s="204" t="s">
        <v>47</v>
      </c>
    </row>
    <row r="44" spans="9:11" hidden="1" x14ac:dyDescent="0.2">
      <c r="I44" s="204" t="s">
        <v>48</v>
      </c>
      <c r="K44" s="204" t="s">
        <v>49</v>
      </c>
    </row>
    <row r="45" spans="9:11" hidden="1" x14ac:dyDescent="0.2">
      <c r="I45" s="204" t="s">
        <v>50</v>
      </c>
      <c r="K45" s="204" t="s">
        <v>51</v>
      </c>
    </row>
    <row r="46" spans="9:11" hidden="1" x14ac:dyDescent="0.2">
      <c r="I46" s="204" t="s">
        <v>52</v>
      </c>
      <c r="K46" s="204" t="s">
        <v>53</v>
      </c>
    </row>
    <row r="47" spans="9:11" hidden="1" x14ac:dyDescent="0.2">
      <c r="I47" s="204" t="s">
        <v>54</v>
      </c>
      <c r="K47" s="204" t="s">
        <v>55</v>
      </c>
    </row>
    <row r="48" spans="9:11" hidden="1" x14ac:dyDescent="0.2">
      <c r="I48" s="204" t="s">
        <v>56</v>
      </c>
      <c r="K48" s="204" t="s">
        <v>57</v>
      </c>
    </row>
    <row r="49" spans="9:11" hidden="1" x14ac:dyDescent="0.2">
      <c r="I49" s="204" t="s">
        <v>58</v>
      </c>
      <c r="K49" s="204" t="s">
        <v>59</v>
      </c>
    </row>
    <row r="50" spans="9:11" hidden="1" x14ac:dyDescent="0.2">
      <c r="I50" s="204" t="s">
        <v>60</v>
      </c>
      <c r="K50" s="204" t="s">
        <v>61</v>
      </c>
    </row>
    <row r="51" spans="9:11" hidden="1" x14ac:dyDescent="0.2">
      <c r="K51" s="204" t="s">
        <v>62</v>
      </c>
    </row>
    <row r="52" spans="9:11" hidden="1" x14ac:dyDescent="0.2">
      <c r="K52" s="204" t="s">
        <v>63</v>
      </c>
    </row>
    <row r="53" spans="9:11" hidden="1" x14ac:dyDescent="0.2">
      <c r="K53" s="204" t="s">
        <v>64</v>
      </c>
    </row>
    <row r="54" spans="9:11" hidden="1" x14ac:dyDescent="0.2">
      <c r="K54" s="204" t="s">
        <v>65</v>
      </c>
    </row>
    <row r="55" spans="9:11" hidden="1" x14ac:dyDescent="0.2">
      <c r="K55" s="204" t="s">
        <v>66</v>
      </c>
    </row>
    <row r="56" spans="9:11" hidden="1" x14ac:dyDescent="0.2">
      <c r="K56" s="204" t="s">
        <v>67</v>
      </c>
    </row>
    <row r="57" spans="9:11" hidden="1" x14ac:dyDescent="0.2">
      <c r="K57" s="204" t="s">
        <v>68</v>
      </c>
    </row>
    <row r="58" spans="9:11" hidden="1" x14ac:dyDescent="0.2">
      <c r="K58" s="204" t="s">
        <v>69</v>
      </c>
    </row>
    <row r="59" spans="9:11" hidden="1" x14ac:dyDescent="0.2">
      <c r="K59" s="204" t="s">
        <v>70</v>
      </c>
    </row>
    <row r="60" spans="9:11" hidden="1" x14ac:dyDescent="0.2">
      <c r="K60" s="204" t="s">
        <v>71</v>
      </c>
    </row>
    <row r="61" spans="9:11" hidden="1" x14ac:dyDescent="0.2">
      <c r="K61" s="204" t="s">
        <v>72</v>
      </c>
    </row>
    <row r="62" spans="9:11" hidden="1" x14ac:dyDescent="0.2">
      <c r="K62" s="204" t="s">
        <v>73</v>
      </c>
    </row>
    <row r="63" spans="9:11" hidden="1" x14ac:dyDescent="0.2">
      <c r="K63" s="204" t="s">
        <v>67</v>
      </c>
    </row>
    <row r="64" spans="9:11" hidden="1" x14ac:dyDescent="0.2">
      <c r="K64" s="204" t="s">
        <v>74</v>
      </c>
    </row>
    <row r="65" spans="11:11" hidden="1" x14ac:dyDescent="0.2">
      <c r="K65" s="204" t="s">
        <v>75</v>
      </c>
    </row>
    <row r="66" spans="11:11" hidden="1" x14ac:dyDescent="0.2">
      <c r="K66" s="204" t="s">
        <v>76</v>
      </c>
    </row>
    <row r="67" spans="11:11" hidden="1" x14ac:dyDescent="0.2">
      <c r="K67" s="204" t="s">
        <v>77</v>
      </c>
    </row>
    <row r="68" spans="11:11" hidden="1" x14ac:dyDescent="0.2">
      <c r="K68" s="204" t="s">
        <v>78</v>
      </c>
    </row>
    <row r="69" spans="11:11" hidden="1" x14ac:dyDescent="0.2">
      <c r="K69" s="204" t="s">
        <v>79</v>
      </c>
    </row>
    <row r="70" spans="11:11" hidden="1" x14ac:dyDescent="0.2">
      <c r="K70" s="204" t="s">
        <v>80</v>
      </c>
    </row>
    <row r="71" spans="11:11" hidden="1" x14ac:dyDescent="0.2">
      <c r="K71" s="204" t="s">
        <v>81</v>
      </c>
    </row>
    <row r="72" spans="11:11" hidden="1" x14ac:dyDescent="0.2">
      <c r="K72" s="204" t="s">
        <v>82</v>
      </c>
    </row>
    <row r="73" spans="11:11" hidden="1" x14ac:dyDescent="0.2">
      <c r="K73" s="204" t="s">
        <v>83</v>
      </c>
    </row>
    <row r="74" spans="11:11" hidden="1" x14ac:dyDescent="0.2">
      <c r="K74" s="204" t="s">
        <v>84</v>
      </c>
    </row>
    <row r="75" spans="11:11" hidden="1" x14ac:dyDescent="0.2">
      <c r="K75" s="204" t="s">
        <v>85</v>
      </c>
    </row>
    <row r="76" spans="11:11" hidden="1" x14ac:dyDescent="0.2">
      <c r="K76" s="204" t="s">
        <v>86</v>
      </c>
    </row>
    <row r="77" spans="11:11" hidden="1" x14ac:dyDescent="0.2">
      <c r="K77" s="204" t="s">
        <v>87</v>
      </c>
    </row>
    <row r="78" spans="11:11" hidden="1" x14ac:dyDescent="0.2">
      <c r="K78" s="204" t="s">
        <v>88</v>
      </c>
    </row>
    <row r="79" spans="11:11" hidden="1" x14ac:dyDescent="0.2">
      <c r="K79" s="204" t="s">
        <v>89</v>
      </c>
    </row>
    <row r="80" spans="11:11" hidden="1" x14ac:dyDescent="0.2">
      <c r="K80" s="204" t="s">
        <v>90</v>
      </c>
    </row>
    <row r="81" spans="11:11" hidden="1" x14ac:dyDescent="0.2">
      <c r="K81" s="204" t="s">
        <v>91</v>
      </c>
    </row>
    <row r="82" spans="11:11" hidden="1" x14ac:dyDescent="0.2">
      <c r="K82" s="204" t="s">
        <v>92</v>
      </c>
    </row>
    <row r="83" spans="11:11" hidden="1" x14ac:dyDescent="0.2">
      <c r="K83" s="204" t="s">
        <v>93</v>
      </c>
    </row>
    <row r="84" spans="11:11" hidden="1" x14ac:dyDescent="0.2">
      <c r="K84" s="204" t="s">
        <v>94</v>
      </c>
    </row>
    <row r="85" spans="11:11" hidden="1" x14ac:dyDescent="0.2">
      <c r="K85" s="204" t="s">
        <v>47</v>
      </c>
    </row>
  </sheetData>
  <dataValidations count="3">
    <dataValidation type="list" allowBlank="1" showInputMessage="1" showErrorMessage="1" sqref="B16:B19" xr:uid="{373FAD53-85A0-4A00-AE95-455894F69150}">
      <formula1>$K$29:$K$85</formula1>
    </dataValidation>
    <dataValidation type="list" allowBlank="1" showInputMessage="1" showErrorMessage="1" sqref="B20:B21" xr:uid="{76024B47-E596-4633-A1A5-88589E6D7380}">
      <formula1>$K$29:$K$40</formula1>
    </dataValidation>
    <dataValidation type="list" allowBlank="1" showInputMessage="1" showErrorMessage="1" sqref="I50 K15:K21" xr:uid="{B8E2700B-1DC6-44EE-9198-E6AB5DA14E1C}">
      <formula1>$I$41:$I$50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79F35-93ED-4746-A22E-E522B66163B3}">
  <dimension ref="A1:K85"/>
  <sheetViews>
    <sheetView workbookViewId="0">
      <selection sqref="A1:XFD1048576"/>
    </sheetView>
  </sheetViews>
  <sheetFormatPr baseColWidth="10" defaultColWidth="9.1640625" defaultRowHeight="16" x14ac:dyDescent="0.2"/>
  <cols>
    <col min="1" max="1" width="5.1640625" style="204" customWidth="1"/>
    <col min="2" max="2" width="22.5" style="204" customWidth="1"/>
    <col min="3" max="3" width="6.1640625" style="204" customWidth="1"/>
    <col min="4" max="4" width="12.5" style="204" bestFit="1" customWidth="1"/>
    <col min="5" max="5" width="9.83203125" style="204" customWidth="1"/>
    <col min="6" max="6" width="9.33203125" style="204" bestFit="1" customWidth="1"/>
    <col min="7" max="7" width="8.6640625" style="204" customWidth="1"/>
    <col min="8" max="8" width="9.5" style="204" bestFit="1" customWidth="1"/>
    <col min="9" max="9" width="17.83203125" style="204" bestFit="1" customWidth="1"/>
    <col min="10" max="10" width="10.33203125" style="204" bestFit="1" customWidth="1"/>
    <col min="11" max="11" width="75" style="204" bestFit="1" customWidth="1"/>
    <col min="12" max="16384" width="9.1640625" style="204"/>
  </cols>
  <sheetData>
    <row r="1" spans="1:11" x14ac:dyDescent="0.2">
      <c r="A1" s="204" t="s">
        <v>0</v>
      </c>
      <c r="I1" s="219"/>
    </row>
    <row r="2" spans="1:11" x14ac:dyDescent="0.2">
      <c r="J2" s="220"/>
    </row>
    <row r="3" spans="1:11" x14ac:dyDescent="0.2">
      <c r="A3" s="219" t="s">
        <v>1</v>
      </c>
    </row>
    <row r="4" spans="1:11" x14ac:dyDescent="0.2">
      <c r="A4" s="219"/>
      <c r="I4" s="220" t="s">
        <v>2</v>
      </c>
      <c r="J4" s="221">
        <v>45945</v>
      </c>
    </row>
    <row r="5" spans="1:11" x14ac:dyDescent="0.2">
      <c r="J5" s="204" t="s">
        <v>3</v>
      </c>
    </row>
    <row r="6" spans="1:11" ht="34" x14ac:dyDescent="0.2">
      <c r="A6" s="11" t="s">
        <v>4</v>
      </c>
      <c r="B6" s="11" t="s">
        <v>5</v>
      </c>
      <c r="C6" s="11" t="s">
        <v>6</v>
      </c>
      <c r="D6" s="11" t="s">
        <v>7</v>
      </c>
      <c r="E6" s="11" t="s">
        <v>8</v>
      </c>
      <c r="F6" s="11" t="s">
        <v>9</v>
      </c>
      <c r="G6" s="222" t="s">
        <v>10</v>
      </c>
      <c r="H6" s="222" t="s">
        <v>11</v>
      </c>
      <c r="I6" s="222" t="s">
        <v>12</v>
      </c>
      <c r="J6" s="223"/>
      <c r="K6" s="11" t="s">
        <v>13</v>
      </c>
    </row>
    <row r="7" spans="1:11" ht="34" x14ac:dyDescent="0.2">
      <c r="A7" s="222"/>
      <c r="B7" s="224"/>
      <c r="C7" s="11"/>
      <c r="D7" s="11" t="s">
        <v>14</v>
      </c>
      <c r="E7" s="11" t="s">
        <v>15</v>
      </c>
      <c r="F7" s="225" t="s">
        <v>16</v>
      </c>
      <c r="G7" s="225" t="s">
        <v>15</v>
      </c>
      <c r="H7" s="225" t="s">
        <v>17</v>
      </c>
      <c r="I7" s="11" t="s">
        <v>18</v>
      </c>
      <c r="J7" s="225" t="s">
        <v>19</v>
      </c>
      <c r="K7" s="225"/>
    </row>
    <row r="8" spans="1:11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2">
      <c r="A9" s="186">
        <v>1</v>
      </c>
      <c r="B9" s="187" t="s">
        <v>255</v>
      </c>
      <c r="C9" s="161">
        <v>15</v>
      </c>
      <c r="D9" s="14">
        <v>2.85</v>
      </c>
      <c r="E9" s="163">
        <v>1369</v>
      </c>
      <c r="F9" s="162">
        <v>11</v>
      </c>
      <c r="G9" s="15">
        <f t="shared" ref="G9:G12" si="0">E9*F9</f>
        <v>15059</v>
      </c>
      <c r="H9" s="16">
        <f>F9*C9</f>
        <v>165</v>
      </c>
      <c r="I9" s="179" t="s">
        <v>20</v>
      </c>
      <c r="J9" s="188">
        <v>2.0833333333333332E-2</v>
      </c>
      <c r="K9" s="202" t="s">
        <v>239</v>
      </c>
    </row>
    <row r="10" spans="1:11" ht="17" x14ac:dyDescent="0.2">
      <c r="A10" s="190">
        <v>2</v>
      </c>
      <c r="B10" s="187" t="s">
        <v>255</v>
      </c>
      <c r="C10" s="161">
        <v>16</v>
      </c>
      <c r="D10" s="14">
        <v>2.85</v>
      </c>
      <c r="E10" s="163">
        <v>1494</v>
      </c>
      <c r="F10" s="162">
        <v>40.299999999999997</v>
      </c>
      <c r="G10" s="15">
        <f t="shared" si="0"/>
        <v>60208.2</v>
      </c>
      <c r="H10" s="16">
        <f t="shared" ref="H10:H12" si="1">F10*C10</f>
        <v>644.79999999999995</v>
      </c>
      <c r="I10" s="179" t="s">
        <v>44</v>
      </c>
      <c r="J10" s="188">
        <v>2.0833333333333332E-2</v>
      </c>
      <c r="K10" s="189" t="s">
        <v>44</v>
      </c>
    </row>
    <row r="11" spans="1:11" ht="17" x14ac:dyDescent="0.2">
      <c r="A11" s="186">
        <v>3</v>
      </c>
      <c r="B11" s="187" t="s">
        <v>255</v>
      </c>
      <c r="C11" s="161">
        <v>17</v>
      </c>
      <c r="D11" s="14">
        <v>2.85</v>
      </c>
      <c r="E11" s="163">
        <v>1461</v>
      </c>
      <c r="F11" s="175">
        <v>25.1</v>
      </c>
      <c r="G11" s="15">
        <f t="shared" si="0"/>
        <v>36671.1</v>
      </c>
      <c r="H11" s="16">
        <f t="shared" si="1"/>
        <v>426.70000000000005</v>
      </c>
      <c r="I11" s="179" t="s">
        <v>247</v>
      </c>
      <c r="J11" s="188">
        <v>4.1666666666666664E-2</v>
      </c>
      <c r="K11" s="189" t="s">
        <v>265</v>
      </c>
    </row>
    <row r="12" spans="1:11" ht="19.25" customHeight="1" x14ac:dyDescent="0.2">
      <c r="A12" s="190">
        <v>4</v>
      </c>
      <c r="B12" s="187" t="s">
        <v>266</v>
      </c>
      <c r="C12" s="176">
        <v>17</v>
      </c>
      <c r="D12" s="14">
        <v>2.85</v>
      </c>
      <c r="E12" s="177">
        <v>1445</v>
      </c>
      <c r="F12" s="178">
        <v>3.6</v>
      </c>
      <c r="G12" s="15">
        <f t="shared" si="0"/>
        <v>5202</v>
      </c>
      <c r="H12" s="16">
        <f t="shared" si="1"/>
        <v>61.2</v>
      </c>
      <c r="I12" s="195" t="s">
        <v>233</v>
      </c>
      <c r="J12" s="194">
        <v>4.1666666666666664E-2</v>
      </c>
      <c r="K12" s="189" t="s">
        <v>238</v>
      </c>
    </row>
    <row r="13" spans="1:11" x14ac:dyDescent="0.2">
      <c r="A13" s="191"/>
      <c r="B13" s="187"/>
      <c r="C13" s="176"/>
      <c r="D13" s="14"/>
      <c r="E13" s="177"/>
      <c r="F13" s="178"/>
      <c r="G13" s="15"/>
      <c r="H13" s="16"/>
      <c r="I13" s="179"/>
      <c r="J13" s="188"/>
      <c r="K13" s="189"/>
    </row>
    <row r="14" spans="1:11" x14ac:dyDescent="0.2">
      <c r="A14" s="186"/>
      <c r="B14" s="187"/>
      <c r="C14" s="180"/>
      <c r="D14" s="14"/>
      <c r="E14" s="181"/>
      <c r="F14" s="182"/>
      <c r="G14" s="15"/>
      <c r="H14" s="16"/>
      <c r="I14" s="195"/>
      <c r="J14" s="194"/>
      <c r="K14" s="203"/>
    </row>
    <row r="15" spans="1:11" x14ac:dyDescent="0.2">
      <c r="A15" s="190"/>
      <c r="B15" s="187"/>
      <c r="C15" s="192"/>
      <c r="D15" s="14"/>
      <c r="E15" s="181"/>
      <c r="F15" s="193"/>
      <c r="G15" s="15"/>
      <c r="H15" s="16"/>
      <c r="I15" s="19"/>
      <c r="J15" s="18"/>
      <c r="K15" s="17"/>
    </row>
    <row r="16" spans="1:11" x14ac:dyDescent="0.2">
      <c r="A16" s="197"/>
      <c r="B16" s="198"/>
      <c r="C16" s="161"/>
      <c r="D16" s="14"/>
      <c r="E16" s="177"/>
      <c r="F16" s="161"/>
      <c r="G16" s="15"/>
      <c r="H16" s="16"/>
      <c r="I16" s="19"/>
      <c r="J16" s="18"/>
      <c r="K16" s="20"/>
    </row>
    <row r="17" spans="1:11" x14ac:dyDescent="0.2">
      <c r="A17" s="197"/>
      <c r="B17" s="198"/>
      <c r="C17" s="161"/>
      <c r="D17" s="14"/>
      <c r="E17" s="181"/>
      <c r="F17" s="161"/>
      <c r="G17" s="15"/>
      <c r="H17" s="16"/>
      <c r="I17" s="19"/>
      <c r="J17" s="18"/>
      <c r="K17" s="20"/>
    </row>
    <row r="18" spans="1:11" x14ac:dyDescent="0.2">
      <c r="A18" s="197"/>
      <c r="B18" s="198"/>
      <c r="C18" s="161"/>
      <c r="D18" s="14"/>
      <c r="E18" s="181"/>
      <c r="F18" s="161"/>
      <c r="G18" s="15"/>
      <c r="H18" s="16"/>
      <c r="I18" s="10"/>
      <c r="J18" s="13"/>
      <c r="K18" s="10"/>
    </row>
    <row r="19" spans="1:11" x14ac:dyDescent="0.2">
      <c r="A19" s="11"/>
      <c r="B19" s="10"/>
      <c r="C19" s="12"/>
      <c r="D19" s="200"/>
      <c r="E19" s="11"/>
      <c r="F19" s="12"/>
      <c r="G19" s="201"/>
      <c r="H19" s="12"/>
      <c r="I19" s="10"/>
      <c r="J19" s="13"/>
      <c r="K19" s="10"/>
    </row>
    <row r="20" spans="1:11" x14ac:dyDescent="0.2">
      <c r="A20" s="11"/>
      <c r="B20" s="10"/>
      <c r="C20" s="12"/>
      <c r="D20" s="200"/>
      <c r="E20" s="11"/>
      <c r="F20" s="12"/>
      <c r="G20" s="201"/>
      <c r="H20" s="12"/>
      <c r="I20" s="10"/>
      <c r="J20" s="13"/>
      <c r="K20" s="10"/>
    </row>
    <row r="21" spans="1:11" x14ac:dyDescent="0.2">
      <c r="A21" s="11"/>
      <c r="B21" s="10"/>
      <c r="C21" s="205"/>
      <c r="D21" s="11"/>
      <c r="E21" s="13"/>
      <c r="F21" s="205"/>
      <c r="G21" s="201"/>
      <c r="H21" s="12"/>
      <c r="I21" s="10"/>
      <c r="J21" s="13"/>
      <c r="K21" s="10"/>
    </row>
    <row r="22" spans="1:11" x14ac:dyDescent="0.2">
      <c r="A22" s="206"/>
      <c r="B22" s="207"/>
      <c r="C22" s="208"/>
      <c r="D22" s="208"/>
      <c r="E22" s="226" t="s">
        <v>21</v>
      </c>
      <c r="F22" s="227">
        <f>SUM(F9:F21)</f>
        <v>80</v>
      </c>
      <c r="G22" s="228">
        <f>SUM(G9:G21)/F22</f>
        <v>1464.2537499999999</v>
      </c>
      <c r="H22" s="229">
        <f>SUM(H9:H21)/F22</f>
        <v>16.221250000000001</v>
      </c>
      <c r="I22" s="209" t="s">
        <v>22</v>
      </c>
      <c r="J22" s="210">
        <v>0.125</v>
      </c>
      <c r="K22" s="207"/>
    </row>
    <row r="23" spans="1:11" x14ac:dyDescent="0.2">
      <c r="E23" s="211"/>
      <c r="F23" s="212"/>
      <c r="I23" s="230" t="s">
        <v>23</v>
      </c>
      <c r="J23" s="231">
        <v>3</v>
      </c>
    </row>
    <row r="24" spans="1:11" x14ac:dyDescent="0.2">
      <c r="I24" s="212"/>
      <c r="J24" s="213"/>
    </row>
    <row r="25" spans="1:11" x14ac:dyDescent="0.2">
      <c r="A25" s="10" t="s">
        <v>24</v>
      </c>
      <c r="B25" s="10"/>
      <c r="C25" s="10"/>
      <c r="D25" s="205"/>
      <c r="H25" s="220" t="s">
        <v>25</v>
      </c>
      <c r="I25" s="220"/>
      <c r="J25" s="211">
        <f>F22</f>
        <v>80</v>
      </c>
      <c r="K25" s="204" t="s">
        <v>16</v>
      </c>
    </row>
    <row r="26" spans="1:11" x14ac:dyDescent="0.2">
      <c r="A26" s="10" t="s">
        <v>26</v>
      </c>
      <c r="B26" s="10"/>
      <c r="C26" s="10"/>
      <c r="D26" s="205"/>
      <c r="H26" s="220" t="s">
        <v>27</v>
      </c>
      <c r="I26" s="220"/>
      <c r="J26" s="211">
        <f>100+96+78+70+83+72+85+80+69+83+83+96+82+82+80</f>
        <v>1239</v>
      </c>
      <c r="K26" s="204" t="s">
        <v>16</v>
      </c>
    </row>
    <row r="27" spans="1:11" ht="17" thickBot="1" x14ac:dyDescent="0.25">
      <c r="A27" s="214"/>
      <c r="B27" s="214"/>
      <c r="C27" s="214"/>
      <c r="D27" s="214"/>
      <c r="E27" s="215"/>
      <c r="F27" s="215"/>
      <c r="G27" s="214"/>
      <c r="H27" s="232" t="s">
        <v>28</v>
      </c>
      <c r="I27" s="232"/>
      <c r="J27" s="216">
        <v>36.08</v>
      </c>
      <c r="K27" s="214" t="s">
        <v>29</v>
      </c>
    </row>
    <row r="28" spans="1:11" x14ac:dyDescent="0.2">
      <c r="J28" s="204" t="s">
        <v>3</v>
      </c>
    </row>
    <row r="29" spans="1:11" hidden="1" x14ac:dyDescent="0.2">
      <c r="K29" s="204" t="s">
        <v>30</v>
      </c>
    </row>
    <row r="30" spans="1:11" hidden="1" x14ac:dyDescent="0.2">
      <c r="K30" s="204" t="s">
        <v>31</v>
      </c>
    </row>
    <row r="31" spans="1:11" hidden="1" x14ac:dyDescent="0.2">
      <c r="K31" s="204" t="s">
        <v>32</v>
      </c>
    </row>
    <row r="32" spans="1:11" hidden="1" x14ac:dyDescent="0.2">
      <c r="K32" s="204" t="s">
        <v>33</v>
      </c>
    </row>
    <row r="33" spans="9:11" hidden="1" x14ac:dyDescent="0.2">
      <c r="K33" s="204" t="s">
        <v>34</v>
      </c>
    </row>
    <row r="34" spans="9:11" hidden="1" x14ac:dyDescent="0.2">
      <c r="K34" s="204" t="s">
        <v>35</v>
      </c>
    </row>
    <row r="35" spans="9:11" hidden="1" x14ac:dyDescent="0.2">
      <c r="K35" s="204" t="s">
        <v>36</v>
      </c>
    </row>
    <row r="36" spans="9:11" hidden="1" x14ac:dyDescent="0.2">
      <c r="K36" s="204" t="s">
        <v>37</v>
      </c>
    </row>
    <row r="37" spans="9:11" hidden="1" x14ac:dyDescent="0.2">
      <c r="K37" s="204" t="s">
        <v>38</v>
      </c>
    </row>
    <row r="38" spans="9:11" hidden="1" x14ac:dyDescent="0.2">
      <c r="K38" s="204" t="s">
        <v>39</v>
      </c>
    </row>
    <row r="39" spans="9:11" hidden="1" x14ac:dyDescent="0.2">
      <c r="K39" s="204" t="s">
        <v>40</v>
      </c>
    </row>
    <row r="40" spans="9:11" hidden="1" x14ac:dyDescent="0.2">
      <c r="K40" s="204" t="s">
        <v>41</v>
      </c>
    </row>
    <row r="41" spans="9:11" ht="34" hidden="1" x14ac:dyDescent="0.2">
      <c r="I41" s="217" t="s">
        <v>42</v>
      </c>
      <c r="K41" s="204" t="s">
        <v>43</v>
      </c>
    </row>
    <row r="42" spans="9:11" ht="17" hidden="1" x14ac:dyDescent="0.2">
      <c r="I42" s="217" t="s">
        <v>44</v>
      </c>
      <c r="K42" s="204" t="s">
        <v>45</v>
      </c>
    </row>
    <row r="43" spans="9:11" hidden="1" x14ac:dyDescent="0.2">
      <c r="I43" s="218" t="s">
        <v>46</v>
      </c>
      <c r="K43" s="204" t="s">
        <v>47</v>
      </c>
    </row>
    <row r="44" spans="9:11" hidden="1" x14ac:dyDescent="0.2">
      <c r="I44" s="204" t="s">
        <v>48</v>
      </c>
      <c r="K44" s="204" t="s">
        <v>49</v>
      </c>
    </row>
    <row r="45" spans="9:11" hidden="1" x14ac:dyDescent="0.2">
      <c r="I45" s="204" t="s">
        <v>50</v>
      </c>
      <c r="K45" s="204" t="s">
        <v>51</v>
      </c>
    </row>
    <row r="46" spans="9:11" hidden="1" x14ac:dyDescent="0.2">
      <c r="I46" s="204" t="s">
        <v>52</v>
      </c>
      <c r="K46" s="204" t="s">
        <v>53</v>
      </c>
    </row>
    <row r="47" spans="9:11" hidden="1" x14ac:dyDescent="0.2">
      <c r="I47" s="204" t="s">
        <v>54</v>
      </c>
      <c r="K47" s="204" t="s">
        <v>55</v>
      </c>
    </row>
    <row r="48" spans="9:11" hidden="1" x14ac:dyDescent="0.2">
      <c r="I48" s="204" t="s">
        <v>56</v>
      </c>
      <c r="K48" s="204" t="s">
        <v>57</v>
      </c>
    </row>
    <row r="49" spans="9:11" hidden="1" x14ac:dyDescent="0.2">
      <c r="I49" s="204" t="s">
        <v>58</v>
      </c>
      <c r="K49" s="204" t="s">
        <v>59</v>
      </c>
    </row>
    <row r="50" spans="9:11" hidden="1" x14ac:dyDescent="0.2">
      <c r="I50" s="204" t="s">
        <v>60</v>
      </c>
      <c r="K50" s="204" t="s">
        <v>61</v>
      </c>
    </row>
    <row r="51" spans="9:11" hidden="1" x14ac:dyDescent="0.2">
      <c r="K51" s="204" t="s">
        <v>62</v>
      </c>
    </row>
    <row r="52" spans="9:11" hidden="1" x14ac:dyDescent="0.2">
      <c r="K52" s="204" t="s">
        <v>63</v>
      </c>
    </row>
    <row r="53" spans="9:11" hidden="1" x14ac:dyDescent="0.2">
      <c r="K53" s="204" t="s">
        <v>64</v>
      </c>
    </row>
    <row r="54" spans="9:11" hidden="1" x14ac:dyDescent="0.2">
      <c r="K54" s="204" t="s">
        <v>65</v>
      </c>
    </row>
    <row r="55" spans="9:11" hidden="1" x14ac:dyDescent="0.2">
      <c r="K55" s="204" t="s">
        <v>66</v>
      </c>
    </row>
    <row r="56" spans="9:11" hidden="1" x14ac:dyDescent="0.2">
      <c r="K56" s="204" t="s">
        <v>67</v>
      </c>
    </row>
    <row r="57" spans="9:11" hidden="1" x14ac:dyDescent="0.2">
      <c r="K57" s="204" t="s">
        <v>68</v>
      </c>
    </row>
    <row r="58" spans="9:11" hidden="1" x14ac:dyDescent="0.2">
      <c r="K58" s="204" t="s">
        <v>69</v>
      </c>
    </row>
    <row r="59" spans="9:11" hidden="1" x14ac:dyDescent="0.2">
      <c r="K59" s="204" t="s">
        <v>70</v>
      </c>
    </row>
    <row r="60" spans="9:11" hidden="1" x14ac:dyDescent="0.2">
      <c r="K60" s="204" t="s">
        <v>71</v>
      </c>
    </row>
    <row r="61" spans="9:11" hidden="1" x14ac:dyDescent="0.2">
      <c r="K61" s="204" t="s">
        <v>72</v>
      </c>
    </row>
    <row r="62" spans="9:11" hidden="1" x14ac:dyDescent="0.2">
      <c r="K62" s="204" t="s">
        <v>73</v>
      </c>
    </row>
    <row r="63" spans="9:11" hidden="1" x14ac:dyDescent="0.2">
      <c r="K63" s="204" t="s">
        <v>67</v>
      </c>
    </row>
    <row r="64" spans="9:11" hidden="1" x14ac:dyDescent="0.2">
      <c r="K64" s="204" t="s">
        <v>74</v>
      </c>
    </row>
    <row r="65" spans="11:11" hidden="1" x14ac:dyDescent="0.2">
      <c r="K65" s="204" t="s">
        <v>75</v>
      </c>
    </row>
    <row r="66" spans="11:11" hidden="1" x14ac:dyDescent="0.2">
      <c r="K66" s="204" t="s">
        <v>76</v>
      </c>
    </row>
    <row r="67" spans="11:11" hidden="1" x14ac:dyDescent="0.2">
      <c r="K67" s="204" t="s">
        <v>77</v>
      </c>
    </row>
    <row r="68" spans="11:11" hidden="1" x14ac:dyDescent="0.2">
      <c r="K68" s="204" t="s">
        <v>78</v>
      </c>
    </row>
    <row r="69" spans="11:11" hidden="1" x14ac:dyDescent="0.2">
      <c r="K69" s="204" t="s">
        <v>79</v>
      </c>
    </row>
    <row r="70" spans="11:11" hidden="1" x14ac:dyDescent="0.2">
      <c r="K70" s="204" t="s">
        <v>80</v>
      </c>
    </row>
    <row r="71" spans="11:11" hidden="1" x14ac:dyDescent="0.2">
      <c r="K71" s="204" t="s">
        <v>81</v>
      </c>
    </row>
    <row r="72" spans="11:11" hidden="1" x14ac:dyDescent="0.2">
      <c r="K72" s="204" t="s">
        <v>82</v>
      </c>
    </row>
    <row r="73" spans="11:11" hidden="1" x14ac:dyDescent="0.2">
      <c r="K73" s="204" t="s">
        <v>83</v>
      </c>
    </row>
    <row r="74" spans="11:11" hidden="1" x14ac:dyDescent="0.2">
      <c r="K74" s="204" t="s">
        <v>84</v>
      </c>
    </row>
    <row r="75" spans="11:11" hidden="1" x14ac:dyDescent="0.2">
      <c r="K75" s="204" t="s">
        <v>85</v>
      </c>
    </row>
    <row r="76" spans="11:11" hidden="1" x14ac:dyDescent="0.2">
      <c r="K76" s="204" t="s">
        <v>86</v>
      </c>
    </row>
    <row r="77" spans="11:11" hidden="1" x14ac:dyDescent="0.2">
      <c r="K77" s="204" t="s">
        <v>87</v>
      </c>
    </row>
    <row r="78" spans="11:11" hidden="1" x14ac:dyDescent="0.2">
      <c r="K78" s="204" t="s">
        <v>88</v>
      </c>
    </row>
    <row r="79" spans="11:11" hidden="1" x14ac:dyDescent="0.2">
      <c r="K79" s="204" t="s">
        <v>89</v>
      </c>
    </row>
    <row r="80" spans="11:11" hidden="1" x14ac:dyDescent="0.2">
      <c r="K80" s="204" t="s">
        <v>90</v>
      </c>
    </row>
    <row r="81" spans="11:11" hidden="1" x14ac:dyDescent="0.2">
      <c r="K81" s="204" t="s">
        <v>91</v>
      </c>
    </row>
    <row r="82" spans="11:11" hidden="1" x14ac:dyDescent="0.2">
      <c r="K82" s="204" t="s">
        <v>92</v>
      </c>
    </row>
    <row r="83" spans="11:11" hidden="1" x14ac:dyDescent="0.2">
      <c r="K83" s="204" t="s">
        <v>93</v>
      </c>
    </row>
    <row r="84" spans="11:11" hidden="1" x14ac:dyDescent="0.2">
      <c r="K84" s="204" t="s">
        <v>94</v>
      </c>
    </row>
    <row r="85" spans="11:11" hidden="1" x14ac:dyDescent="0.2">
      <c r="K85" s="204" t="s">
        <v>47</v>
      </c>
    </row>
  </sheetData>
  <dataValidations count="3">
    <dataValidation type="list" allowBlank="1" showInputMessage="1" showErrorMessage="1" sqref="I50 K15:K21" xr:uid="{FC65CDC6-875C-4620-8B3C-A587AEAF82E9}">
      <formula1>$I$41:$I$50</formula1>
    </dataValidation>
    <dataValidation type="list" allowBlank="1" showInputMessage="1" showErrorMessage="1" sqref="B20:B21" xr:uid="{61976F9F-7614-457C-B63B-7FB900ED272C}">
      <formula1>$K$29:$K$40</formula1>
    </dataValidation>
    <dataValidation type="list" allowBlank="1" showInputMessage="1" showErrorMessage="1" sqref="B16:B19" xr:uid="{A2F05289-BEBB-454A-B8D8-CECBB9E0DD51}">
      <formula1>$K$29:$K$85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DDC55-48BA-437A-8333-99D49B430FDC}">
  <dimension ref="A1:K85"/>
  <sheetViews>
    <sheetView workbookViewId="0">
      <selection sqref="A1:XFD1048576"/>
    </sheetView>
  </sheetViews>
  <sheetFormatPr baseColWidth="10" defaultColWidth="9.1640625" defaultRowHeight="16" x14ac:dyDescent="0.2"/>
  <cols>
    <col min="1" max="1" width="5.1640625" style="204" customWidth="1"/>
    <col min="2" max="2" width="22.5" style="204" customWidth="1"/>
    <col min="3" max="3" width="6.1640625" style="204" customWidth="1"/>
    <col min="4" max="4" width="12.5" style="204" bestFit="1" customWidth="1"/>
    <col min="5" max="5" width="9.83203125" style="204" customWidth="1"/>
    <col min="6" max="6" width="9.33203125" style="204" bestFit="1" customWidth="1"/>
    <col min="7" max="7" width="8.6640625" style="204" customWidth="1"/>
    <col min="8" max="8" width="9.5" style="204" bestFit="1" customWidth="1"/>
    <col min="9" max="9" width="17.83203125" style="204" bestFit="1" customWidth="1"/>
    <col min="10" max="10" width="10.33203125" style="204" bestFit="1" customWidth="1"/>
    <col min="11" max="11" width="75" style="204" bestFit="1" customWidth="1"/>
    <col min="12" max="16384" width="9.1640625" style="204"/>
  </cols>
  <sheetData>
    <row r="1" spans="1:11" x14ac:dyDescent="0.2">
      <c r="A1" s="204" t="s">
        <v>0</v>
      </c>
      <c r="I1" s="219"/>
    </row>
    <row r="2" spans="1:11" x14ac:dyDescent="0.2">
      <c r="J2" s="220"/>
    </row>
    <row r="3" spans="1:11" x14ac:dyDescent="0.2">
      <c r="A3" s="219" t="s">
        <v>1</v>
      </c>
    </row>
    <row r="4" spans="1:11" x14ac:dyDescent="0.2">
      <c r="A4" s="219"/>
      <c r="I4" s="220" t="s">
        <v>2</v>
      </c>
      <c r="J4" s="221">
        <v>45946</v>
      </c>
    </row>
    <row r="5" spans="1:11" x14ac:dyDescent="0.2">
      <c r="J5" s="204" t="s">
        <v>3</v>
      </c>
    </row>
    <row r="6" spans="1:11" ht="34" x14ac:dyDescent="0.2">
      <c r="A6" s="11" t="s">
        <v>4</v>
      </c>
      <c r="B6" s="11" t="s">
        <v>5</v>
      </c>
      <c r="C6" s="11" t="s">
        <v>6</v>
      </c>
      <c r="D6" s="11" t="s">
        <v>7</v>
      </c>
      <c r="E6" s="11" t="s">
        <v>8</v>
      </c>
      <c r="F6" s="11" t="s">
        <v>9</v>
      </c>
      <c r="G6" s="222" t="s">
        <v>10</v>
      </c>
      <c r="H6" s="222" t="s">
        <v>11</v>
      </c>
      <c r="I6" s="222" t="s">
        <v>12</v>
      </c>
      <c r="J6" s="223"/>
      <c r="K6" s="11" t="s">
        <v>13</v>
      </c>
    </row>
    <row r="7" spans="1:11" ht="34" x14ac:dyDescent="0.2">
      <c r="A7" s="222"/>
      <c r="B7" s="224"/>
      <c r="C7" s="11"/>
      <c r="D7" s="11" t="s">
        <v>14</v>
      </c>
      <c r="E7" s="11" t="s">
        <v>15</v>
      </c>
      <c r="F7" s="225" t="s">
        <v>16</v>
      </c>
      <c r="G7" s="225" t="s">
        <v>15</v>
      </c>
      <c r="H7" s="225" t="s">
        <v>17</v>
      </c>
      <c r="I7" s="11" t="s">
        <v>18</v>
      </c>
      <c r="J7" s="225" t="s">
        <v>19</v>
      </c>
      <c r="K7" s="225"/>
    </row>
    <row r="8" spans="1:11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2">
      <c r="A9" s="186">
        <v>1</v>
      </c>
      <c r="B9" s="187" t="s">
        <v>250</v>
      </c>
      <c r="C9" s="161">
        <v>12.5</v>
      </c>
      <c r="D9" s="14">
        <v>2.85</v>
      </c>
      <c r="E9" s="163">
        <v>1476</v>
      </c>
      <c r="F9" s="162">
        <v>35.4</v>
      </c>
      <c r="G9" s="15">
        <f t="shared" ref="G9:G13" si="0">E9*F9</f>
        <v>52250.400000000001</v>
      </c>
      <c r="H9" s="16">
        <f>F9*C9</f>
        <v>442.5</v>
      </c>
      <c r="I9" s="179" t="s">
        <v>20</v>
      </c>
      <c r="J9" s="188">
        <v>2.0833333333333332E-2</v>
      </c>
      <c r="K9" s="202" t="s">
        <v>239</v>
      </c>
    </row>
    <row r="10" spans="1:11" ht="17" x14ac:dyDescent="0.2">
      <c r="A10" s="190">
        <v>2</v>
      </c>
      <c r="B10" s="187" t="s">
        <v>267</v>
      </c>
      <c r="C10" s="161">
        <v>13</v>
      </c>
      <c r="D10" s="14">
        <v>2.85</v>
      </c>
      <c r="E10" s="163">
        <v>1458</v>
      </c>
      <c r="F10" s="162">
        <v>4.4000000000000004</v>
      </c>
      <c r="G10" s="15">
        <f t="shared" si="0"/>
        <v>6415.2000000000007</v>
      </c>
      <c r="H10" s="16">
        <f t="shared" ref="H10:H12" si="1">F10*C10</f>
        <v>57.2</v>
      </c>
      <c r="I10" s="179" t="s">
        <v>44</v>
      </c>
      <c r="J10" s="188">
        <v>2.7777777777777776E-2</v>
      </c>
      <c r="K10" s="189" t="s">
        <v>44</v>
      </c>
    </row>
    <row r="11" spans="1:11" ht="17" x14ac:dyDescent="0.2">
      <c r="A11" s="186">
        <v>3</v>
      </c>
      <c r="B11" s="187" t="s">
        <v>250</v>
      </c>
      <c r="C11" s="161">
        <v>14</v>
      </c>
      <c r="D11" s="14">
        <v>2.85</v>
      </c>
      <c r="E11" s="163">
        <v>1422</v>
      </c>
      <c r="F11" s="175">
        <v>18</v>
      </c>
      <c r="G11" s="15">
        <f t="shared" si="0"/>
        <v>25596</v>
      </c>
      <c r="H11" s="16">
        <f t="shared" si="1"/>
        <v>252</v>
      </c>
      <c r="I11" s="179"/>
      <c r="J11" s="188"/>
      <c r="K11" s="189"/>
    </row>
    <row r="12" spans="1:11" ht="19.25" customHeight="1" x14ac:dyDescent="0.2">
      <c r="A12" s="190">
        <v>4</v>
      </c>
      <c r="B12" s="187" t="s">
        <v>255</v>
      </c>
      <c r="C12" s="176">
        <v>15</v>
      </c>
      <c r="D12" s="14">
        <v>2.85</v>
      </c>
      <c r="E12" s="177">
        <v>1486</v>
      </c>
      <c r="F12" s="178">
        <v>10.6</v>
      </c>
      <c r="G12" s="15">
        <f t="shared" si="0"/>
        <v>15751.6</v>
      </c>
      <c r="H12" s="16">
        <f t="shared" si="1"/>
        <v>159</v>
      </c>
      <c r="I12" s="195"/>
      <c r="J12" s="194"/>
      <c r="K12" s="189"/>
    </row>
    <row r="13" spans="1:11" ht="17" x14ac:dyDescent="0.2">
      <c r="A13" s="191">
        <v>5</v>
      </c>
      <c r="B13" s="187" t="s">
        <v>255</v>
      </c>
      <c r="C13" s="176">
        <v>16</v>
      </c>
      <c r="D13" s="14">
        <v>2.85</v>
      </c>
      <c r="E13" s="177">
        <v>1486</v>
      </c>
      <c r="F13" s="178">
        <v>6.6</v>
      </c>
      <c r="G13" s="15">
        <f t="shared" si="0"/>
        <v>9807.6</v>
      </c>
      <c r="H13" s="16">
        <f>F13*C13</f>
        <v>105.6</v>
      </c>
      <c r="I13" s="179"/>
      <c r="J13" s="188"/>
      <c r="K13" s="189"/>
    </row>
    <row r="14" spans="1:11" x14ac:dyDescent="0.2">
      <c r="A14" s="186"/>
      <c r="B14" s="187"/>
      <c r="C14" s="180"/>
      <c r="D14" s="14"/>
      <c r="E14" s="181"/>
      <c r="F14" s="182"/>
      <c r="G14" s="15"/>
      <c r="H14" s="16"/>
      <c r="I14" s="195"/>
      <c r="J14" s="194"/>
      <c r="K14" s="203"/>
    </row>
    <row r="15" spans="1:11" x14ac:dyDescent="0.2">
      <c r="A15" s="190"/>
      <c r="B15" s="187"/>
      <c r="C15" s="192"/>
      <c r="D15" s="14"/>
      <c r="E15" s="181"/>
      <c r="F15" s="193"/>
      <c r="G15" s="15"/>
      <c r="H15" s="16"/>
      <c r="I15" s="19"/>
      <c r="J15" s="18"/>
      <c r="K15" s="17"/>
    </row>
    <row r="16" spans="1:11" x14ac:dyDescent="0.2">
      <c r="A16" s="197"/>
      <c r="B16" s="198"/>
      <c r="C16" s="161"/>
      <c r="D16" s="14"/>
      <c r="E16" s="177"/>
      <c r="F16" s="161"/>
      <c r="G16" s="15"/>
      <c r="H16" s="16"/>
      <c r="I16" s="19"/>
      <c r="J16" s="18"/>
      <c r="K16" s="20"/>
    </row>
    <row r="17" spans="1:11" x14ac:dyDescent="0.2">
      <c r="A17" s="197"/>
      <c r="B17" s="198"/>
      <c r="C17" s="161"/>
      <c r="D17" s="14"/>
      <c r="E17" s="181"/>
      <c r="F17" s="161"/>
      <c r="G17" s="15"/>
      <c r="H17" s="16"/>
      <c r="I17" s="19"/>
      <c r="J17" s="18"/>
      <c r="K17" s="20"/>
    </row>
    <row r="18" spans="1:11" x14ac:dyDescent="0.2">
      <c r="A18" s="197"/>
      <c r="B18" s="198"/>
      <c r="C18" s="161"/>
      <c r="D18" s="14"/>
      <c r="E18" s="181"/>
      <c r="F18" s="161"/>
      <c r="G18" s="15"/>
      <c r="H18" s="16"/>
      <c r="I18" s="10"/>
      <c r="J18" s="13"/>
      <c r="K18" s="10"/>
    </row>
    <row r="19" spans="1:11" x14ac:dyDescent="0.2">
      <c r="A19" s="11"/>
      <c r="B19" s="10"/>
      <c r="C19" s="12"/>
      <c r="D19" s="200"/>
      <c r="E19" s="11"/>
      <c r="F19" s="12"/>
      <c r="G19" s="201"/>
      <c r="H19" s="12"/>
      <c r="I19" s="10"/>
      <c r="J19" s="13"/>
      <c r="K19" s="10"/>
    </row>
    <row r="20" spans="1:11" x14ac:dyDescent="0.2">
      <c r="A20" s="11"/>
      <c r="B20" s="10"/>
      <c r="C20" s="12"/>
      <c r="D20" s="200"/>
      <c r="E20" s="11"/>
      <c r="F20" s="12"/>
      <c r="G20" s="201"/>
      <c r="H20" s="12"/>
      <c r="I20" s="10"/>
      <c r="J20" s="13"/>
      <c r="K20" s="10"/>
    </row>
    <row r="21" spans="1:11" x14ac:dyDescent="0.2">
      <c r="A21" s="11"/>
      <c r="B21" s="10"/>
      <c r="C21" s="205"/>
      <c r="D21" s="11"/>
      <c r="E21" s="13"/>
      <c r="F21" s="205"/>
      <c r="G21" s="201"/>
      <c r="H21" s="12"/>
      <c r="I21" s="10"/>
      <c r="J21" s="13"/>
      <c r="K21" s="10"/>
    </row>
    <row r="22" spans="1:11" x14ac:dyDescent="0.2">
      <c r="A22" s="206"/>
      <c r="B22" s="207"/>
      <c r="C22" s="208"/>
      <c r="D22" s="208"/>
      <c r="E22" s="226" t="s">
        <v>21</v>
      </c>
      <c r="F22" s="227">
        <f>SUM(F9:F21)</f>
        <v>74.999999999999986</v>
      </c>
      <c r="G22" s="228">
        <f>SUM(G9:G21)/F22</f>
        <v>1464.2773333333339</v>
      </c>
      <c r="H22" s="229">
        <f>SUM(H9:H21)/F22</f>
        <v>13.55066666666667</v>
      </c>
      <c r="I22" s="209" t="s">
        <v>22</v>
      </c>
      <c r="J22" s="210">
        <v>4.8611111111111112E-2</v>
      </c>
      <c r="K22" s="207"/>
    </row>
    <row r="23" spans="1:11" x14ac:dyDescent="0.2">
      <c r="E23" s="211"/>
      <c r="F23" s="212"/>
      <c r="I23" s="230" t="s">
        <v>23</v>
      </c>
      <c r="J23" s="231">
        <v>1.17</v>
      </c>
    </row>
    <row r="24" spans="1:11" x14ac:dyDescent="0.2">
      <c r="I24" s="212"/>
      <c r="J24" s="213"/>
    </row>
    <row r="25" spans="1:11" x14ac:dyDescent="0.2">
      <c r="A25" s="10" t="s">
        <v>24</v>
      </c>
      <c r="B25" s="10"/>
      <c r="C25" s="10"/>
      <c r="D25" s="205"/>
      <c r="H25" s="220" t="s">
        <v>25</v>
      </c>
      <c r="I25" s="220"/>
      <c r="J25" s="211">
        <f>F22</f>
        <v>74.999999999999986</v>
      </c>
      <c r="K25" s="204" t="s">
        <v>16</v>
      </c>
    </row>
    <row r="26" spans="1:11" x14ac:dyDescent="0.2">
      <c r="A26" s="10" t="s">
        <v>26</v>
      </c>
      <c r="B26" s="10"/>
      <c r="C26" s="10"/>
      <c r="D26" s="205"/>
      <c r="H26" s="220" t="s">
        <v>27</v>
      </c>
      <c r="I26" s="220"/>
      <c r="J26" s="211">
        <f>100+96+78+70+83+72+85+80+69+83+83+96+82+82+80+75</f>
        <v>1314</v>
      </c>
      <c r="K26" s="204" t="s">
        <v>16</v>
      </c>
    </row>
    <row r="27" spans="1:11" ht="17" thickBot="1" x14ac:dyDescent="0.25">
      <c r="A27" s="214"/>
      <c r="B27" s="214"/>
      <c r="C27" s="214"/>
      <c r="D27" s="214"/>
      <c r="E27" s="215"/>
      <c r="F27" s="215"/>
      <c r="G27" s="214"/>
      <c r="H27" s="232" t="s">
        <v>28</v>
      </c>
      <c r="I27" s="232"/>
      <c r="J27" s="216">
        <v>37.25</v>
      </c>
      <c r="K27" s="214" t="s">
        <v>29</v>
      </c>
    </row>
    <row r="28" spans="1:11" x14ac:dyDescent="0.2">
      <c r="J28" s="204" t="s">
        <v>3</v>
      </c>
    </row>
    <row r="29" spans="1:11" hidden="1" x14ac:dyDescent="0.2">
      <c r="K29" s="204" t="s">
        <v>30</v>
      </c>
    </row>
    <row r="30" spans="1:11" hidden="1" x14ac:dyDescent="0.2">
      <c r="K30" s="204" t="s">
        <v>31</v>
      </c>
    </row>
    <row r="31" spans="1:11" hidden="1" x14ac:dyDescent="0.2">
      <c r="K31" s="204" t="s">
        <v>32</v>
      </c>
    </row>
    <row r="32" spans="1:11" hidden="1" x14ac:dyDescent="0.2">
      <c r="K32" s="204" t="s">
        <v>33</v>
      </c>
    </row>
    <row r="33" spans="9:11" hidden="1" x14ac:dyDescent="0.2">
      <c r="K33" s="204" t="s">
        <v>34</v>
      </c>
    </row>
    <row r="34" spans="9:11" hidden="1" x14ac:dyDescent="0.2">
      <c r="K34" s="204" t="s">
        <v>35</v>
      </c>
    </row>
    <row r="35" spans="9:11" hidden="1" x14ac:dyDescent="0.2">
      <c r="K35" s="204" t="s">
        <v>36</v>
      </c>
    </row>
    <row r="36" spans="9:11" hidden="1" x14ac:dyDescent="0.2">
      <c r="K36" s="204" t="s">
        <v>37</v>
      </c>
    </row>
    <row r="37" spans="9:11" hidden="1" x14ac:dyDescent="0.2">
      <c r="K37" s="204" t="s">
        <v>38</v>
      </c>
    </row>
    <row r="38" spans="9:11" hidden="1" x14ac:dyDescent="0.2">
      <c r="K38" s="204" t="s">
        <v>39</v>
      </c>
    </row>
    <row r="39" spans="9:11" hidden="1" x14ac:dyDescent="0.2">
      <c r="K39" s="204" t="s">
        <v>40</v>
      </c>
    </row>
    <row r="40" spans="9:11" hidden="1" x14ac:dyDescent="0.2">
      <c r="K40" s="204" t="s">
        <v>41</v>
      </c>
    </row>
    <row r="41" spans="9:11" ht="34" hidden="1" x14ac:dyDescent="0.2">
      <c r="I41" s="217" t="s">
        <v>42</v>
      </c>
      <c r="K41" s="204" t="s">
        <v>43</v>
      </c>
    </row>
    <row r="42" spans="9:11" ht="17" hidden="1" x14ac:dyDescent="0.2">
      <c r="I42" s="217" t="s">
        <v>44</v>
      </c>
      <c r="K42" s="204" t="s">
        <v>45</v>
      </c>
    </row>
    <row r="43" spans="9:11" hidden="1" x14ac:dyDescent="0.2">
      <c r="I43" s="218" t="s">
        <v>46</v>
      </c>
      <c r="K43" s="204" t="s">
        <v>47</v>
      </c>
    </row>
    <row r="44" spans="9:11" hidden="1" x14ac:dyDescent="0.2">
      <c r="I44" s="204" t="s">
        <v>48</v>
      </c>
      <c r="K44" s="204" t="s">
        <v>49</v>
      </c>
    </row>
    <row r="45" spans="9:11" hidden="1" x14ac:dyDescent="0.2">
      <c r="I45" s="204" t="s">
        <v>50</v>
      </c>
      <c r="K45" s="204" t="s">
        <v>51</v>
      </c>
    </row>
    <row r="46" spans="9:11" hidden="1" x14ac:dyDescent="0.2">
      <c r="I46" s="204" t="s">
        <v>52</v>
      </c>
      <c r="K46" s="204" t="s">
        <v>53</v>
      </c>
    </row>
    <row r="47" spans="9:11" hidden="1" x14ac:dyDescent="0.2">
      <c r="I47" s="204" t="s">
        <v>54</v>
      </c>
      <c r="K47" s="204" t="s">
        <v>55</v>
      </c>
    </row>
    <row r="48" spans="9:11" hidden="1" x14ac:dyDescent="0.2">
      <c r="I48" s="204" t="s">
        <v>56</v>
      </c>
      <c r="K48" s="204" t="s">
        <v>57</v>
      </c>
    </row>
    <row r="49" spans="9:11" hidden="1" x14ac:dyDescent="0.2">
      <c r="I49" s="204" t="s">
        <v>58</v>
      </c>
      <c r="K49" s="204" t="s">
        <v>59</v>
      </c>
    </row>
    <row r="50" spans="9:11" hidden="1" x14ac:dyDescent="0.2">
      <c r="I50" s="204" t="s">
        <v>60</v>
      </c>
      <c r="K50" s="204" t="s">
        <v>61</v>
      </c>
    </row>
    <row r="51" spans="9:11" hidden="1" x14ac:dyDescent="0.2">
      <c r="K51" s="204" t="s">
        <v>62</v>
      </c>
    </row>
    <row r="52" spans="9:11" hidden="1" x14ac:dyDescent="0.2">
      <c r="K52" s="204" t="s">
        <v>63</v>
      </c>
    </row>
    <row r="53" spans="9:11" hidden="1" x14ac:dyDescent="0.2">
      <c r="K53" s="204" t="s">
        <v>64</v>
      </c>
    </row>
    <row r="54" spans="9:11" hidden="1" x14ac:dyDescent="0.2">
      <c r="K54" s="204" t="s">
        <v>65</v>
      </c>
    </row>
    <row r="55" spans="9:11" hidden="1" x14ac:dyDescent="0.2">
      <c r="K55" s="204" t="s">
        <v>66</v>
      </c>
    </row>
    <row r="56" spans="9:11" hidden="1" x14ac:dyDescent="0.2">
      <c r="K56" s="204" t="s">
        <v>67</v>
      </c>
    </row>
    <row r="57" spans="9:11" hidden="1" x14ac:dyDescent="0.2">
      <c r="K57" s="204" t="s">
        <v>68</v>
      </c>
    </row>
    <row r="58" spans="9:11" hidden="1" x14ac:dyDescent="0.2">
      <c r="K58" s="204" t="s">
        <v>69</v>
      </c>
    </row>
    <row r="59" spans="9:11" hidden="1" x14ac:dyDescent="0.2">
      <c r="K59" s="204" t="s">
        <v>70</v>
      </c>
    </row>
    <row r="60" spans="9:11" hidden="1" x14ac:dyDescent="0.2">
      <c r="K60" s="204" t="s">
        <v>71</v>
      </c>
    </row>
    <row r="61" spans="9:11" hidden="1" x14ac:dyDescent="0.2">
      <c r="K61" s="204" t="s">
        <v>72</v>
      </c>
    </row>
    <row r="62" spans="9:11" hidden="1" x14ac:dyDescent="0.2">
      <c r="K62" s="204" t="s">
        <v>73</v>
      </c>
    </row>
    <row r="63" spans="9:11" hidden="1" x14ac:dyDescent="0.2">
      <c r="K63" s="204" t="s">
        <v>67</v>
      </c>
    </row>
    <row r="64" spans="9:11" hidden="1" x14ac:dyDescent="0.2">
      <c r="K64" s="204" t="s">
        <v>74</v>
      </c>
    </row>
    <row r="65" spans="11:11" hidden="1" x14ac:dyDescent="0.2">
      <c r="K65" s="204" t="s">
        <v>75</v>
      </c>
    </row>
    <row r="66" spans="11:11" hidden="1" x14ac:dyDescent="0.2">
      <c r="K66" s="204" t="s">
        <v>76</v>
      </c>
    </row>
    <row r="67" spans="11:11" hidden="1" x14ac:dyDescent="0.2">
      <c r="K67" s="204" t="s">
        <v>77</v>
      </c>
    </row>
    <row r="68" spans="11:11" hidden="1" x14ac:dyDescent="0.2">
      <c r="K68" s="204" t="s">
        <v>78</v>
      </c>
    </row>
    <row r="69" spans="11:11" hidden="1" x14ac:dyDescent="0.2">
      <c r="K69" s="204" t="s">
        <v>79</v>
      </c>
    </row>
    <row r="70" spans="11:11" hidden="1" x14ac:dyDescent="0.2">
      <c r="K70" s="204" t="s">
        <v>80</v>
      </c>
    </row>
    <row r="71" spans="11:11" hidden="1" x14ac:dyDescent="0.2">
      <c r="K71" s="204" t="s">
        <v>81</v>
      </c>
    </row>
    <row r="72" spans="11:11" hidden="1" x14ac:dyDescent="0.2">
      <c r="K72" s="204" t="s">
        <v>82</v>
      </c>
    </row>
    <row r="73" spans="11:11" hidden="1" x14ac:dyDescent="0.2">
      <c r="K73" s="204" t="s">
        <v>83</v>
      </c>
    </row>
    <row r="74" spans="11:11" hidden="1" x14ac:dyDescent="0.2">
      <c r="K74" s="204" t="s">
        <v>84</v>
      </c>
    </row>
    <row r="75" spans="11:11" hidden="1" x14ac:dyDescent="0.2">
      <c r="K75" s="204" t="s">
        <v>85</v>
      </c>
    </row>
    <row r="76" spans="11:11" hidden="1" x14ac:dyDescent="0.2">
      <c r="K76" s="204" t="s">
        <v>86</v>
      </c>
    </row>
    <row r="77" spans="11:11" hidden="1" x14ac:dyDescent="0.2">
      <c r="K77" s="204" t="s">
        <v>87</v>
      </c>
    </row>
    <row r="78" spans="11:11" hidden="1" x14ac:dyDescent="0.2">
      <c r="K78" s="204" t="s">
        <v>88</v>
      </c>
    </row>
    <row r="79" spans="11:11" hidden="1" x14ac:dyDescent="0.2">
      <c r="K79" s="204" t="s">
        <v>89</v>
      </c>
    </row>
    <row r="80" spans="11:11" hidden="1" x14ac:dyDescent="0.2">
      <c r="K80" s="204" t="s">
        <v>90</v>
      </c>
    </row>
    <row r="81" spans="11:11" hidden="1" x14ac:dyDescent="0.2">
      <c r="K81" s="204" t="s">
        <v>91</v>
      </c>
    </row>
    <row r="82" spans="11:11" hidden="1" x14ac:dyDescent="0.2">
      <c r="K82" s="204" t="s">
        <v>92</v>
      </c>
    </row>
    <row r="83" spans="11:11" hidden="1" x14ac:dyDescent="0.2">
      <c r="K83" s="204" t="s">
        <v>93</v>
      </c>
    </row>
    <row r="84" spans="11:11" hidden="1" x14ac:dyDescent="0.2">
      <c r="K84" s="204" t="s">
        <v>94</v>
      </c>
    </row>
    <row r="85" spans="11:11" hidden="1" x14ac:dyDescent="0.2">
      <c r="K85" s="204" t="s">
        <v>47</v>
      </c>
    </row>
  </sheetData>
  <dataValidations count="3">
    <dataValidation type="list" allowBlank="1" showInputMessage="1" showErrorMessage="1" sqref="B16:B19" xr:uid="{A0E81C69-ABFA-4C75-AF7C-20D7A453B371}">
      <formula1>$K$29:$K$85</formula1>
    </dataValidation>
    <dataValidation type="list" allowBlank="1" showInputMessage="1" showErrorMessage="1" sqref="B20:B21" xr:uid="{AD50834E-6BE0-441A-A847-9ABAD5CF3DCE}">
      <formula1>$K$29:$K$40</formula1>
    </dataValidation>
    <dataValidation type="list" allowBlank="1" showInputMessage="1" showErrorMessage="1" sqref="I50 K15:K21" xr:uid="{0E8B442B-C87B-41A7-B028-0F371614BBCB}">
      <formula1>$I$41:$I$50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D7EFF-AC10-44C1-86CA-A9574F48B89A}">
  <dimension ref="A1:K85"/>
  <sheetViews>
    <sheetView workbookViewId="0">
      <selection sqref="A1:XFD1048576"/>
    </sheetView>
  </sheetViews>
  <sheetFormatPr baseColWidth="10" defaultColWidth="9.1640625" defaultRowHeight="16" x14ac:dyDescent="0.2"/>
  <cols>
    <col min="1" max="1" width="5.1640625" style="204" customWidth="1"/>
    <col min="2" max="2" width="22.5" style="204" customWidth="1"/>
    <col min="3" max="3" width="6.1640625" style="204" customWidth="1"/>
    <col min="4" max="4" width="12.5" style="204" bestFit="1" customWidth="1"/>
    <col min="5" max="5" width="9.83203125" style="204" customWidth="1"/>
    <col min="6" max="6" width="9.33203125" style="204" bestFit="1" customWidth="1"/>
    <col min="7" max="7" width="8.6640625" style="204" customWidth="1"/>
    <col min="8" max="8" width="9.5" style="204" bestFit="1" customWidth="1"/>
    <col min="9" max="9" width="17.83203125" style="204" bestFit="1" customWidth="1"/>
    <col min="10" max="10" width="10.33203125" style="204" bestFit="1" customWidth="1"/>
    <col min="11" max="11" width="75" style="204" bestFit="1" customWidth="1"/>
    <col min="12" max="16384" width="9.1640625" style="204"/>
  </cols>
  <sheetData>
    <row r="1" spans="1:11" x14ac:dyDescent="0.2">
      <c r="A1" s="204" t="s">
        <v>0</v>
      </c>
      <c r="I1" s="219"/>
    </row>
    <row r="2" spans="1:11" x14ac:dyDescent="0.2">
      <c r="J2" s="220"/>
    </row>
    <row r="3" spans="1:11" x14ac:dyDescent="0.2">
      <c r="A3" s="219" t="s">
        <v>1</v>
      </c>
    </row>
    <row r="4" spans="1:11" x14ac:dyDescent="0.2">
      <c r="A4" s="219"/>
      <c r="I4" s="220" t="s">
        <v>2</v>
      </c>
      <c r="J4" s="221">
        <v>45947</v>
      </c>
    </row>
    <row r="5" spans="1:11" x14ac:dyDescent="0.2">
      <c r="J5" s="204" t="s">
        <v>3</v>
      </c>
    </row>
    <row r="6" spans="1:11" ht="34" x14ac:dyDescent="0.2">
      <c r="A6" s="11" t="s">
        <v>4</v>
      </c>
      <c r="B6" s="11" t="s">
        <v>5</v>
      </c>
      <c r="C6" s="11" t="s">
        <v>6</v>
      </c>
      <c r="D6" s="11" t="s">
        <v>7</v>
      </c>
      <c r="E6" s="11" t="s">
        <v>8</v>
      </c>
      <c r="F6" s="11" t="s">
        <v>9</v>
      </c>
      <c r="G6" s="222" t="s">
        <v>10</v>
      </c>
      <c r="H6" s="222" t="s">
        <v>11</v>
      </c>
      <c r="I6" s="222" t="s">
        <v>12</v>
      </c>
      <c r="J6" s="223"/>
      <c r="K6" s="11" t="s">
        <v>13</v>
      </c>
    </row>
    <row r="7" spans="1:11" ht="34" x14ac:dyDescent="0.2">
      <c r="A7" s="222"/>
      <c r="B7" s="224"/>
      <c r="C7" s="11"/>
      <c r="D7" s="11" t="s">
        <v>14</v>
      </c>
      <c r="E7" s="11" t="s">
        <v>15</v>
      </c>
      <c r="F7" s="225" t="s">
        <v>16</v>
      </c>
      <c r="G7" s="225" t="s">
        <v>15</v>
      </c>
      <c r="H7" s="225" t="s">
        <v>17</v>
      </c>
      <c r="I7" s="11" t="s">
        <v>18</v>
      </c>
      <c r="J7" s="225" t="s">
        <v>19</v>
      </c>
      <c r="K7" s="225"/>
    </row>
    <row r="8" spans="1:11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2">
      <c r="A9" s="186">
        <v>1</v>
      </c>
      <c r="B9" s="187" t="s">
        <v>250</v>
      </c>
      <c r="C9" s="161">
        <v>12.5</v>
      </c>
      <c r="D9" s="14">
        <v>2.85</v>
      </c>
      <c r="E9" s="163">
        <v>1458</v>
      </c>
      <c r="F9" s="162">
        <v>26.4</v>
      </c>
      <c r="G9" s="15">
        <f t="shared" ref="G9:G14" si="0">E9*F9</f>
        <v>38491.199999999997</v>
      </c>
      <c r="H9" s="16">
        <f>F9*C9</f>
        <v>330</v>
      </c>
      <c r="I9" s="179" t="s">
        <v>20</v>
      </c>
      <c r="J9" s="188">
        <v>2.4305555555555556E-2</v>
      </c>
      <c r="K9" s="202" t="s">
        <v>239</v>
      </c>
    </row>
    <row r="10" spans="1:11" ht="17" x14ac:dyDescent="0.2">
      <c r="A10" s="190">
        <v>2</v>
      </c>
      <c r="B10" s="187" t="s">
        <v>268</v>
      </c>
      <c r="C10" s="161">
        <v>12.5</v>
      </c>
      <c r="D10" s="14">
        <v>2.85</v>
      </c>
      <c r="E10" s="163">
        <v>1467</v>
      </c>
      <c r="F10" s="162">
        <v>11.6</v>
      </c>
      <c r="G10" s="15">
        <f t="shared" si="0"/>
        <v>17017.2</v>
      </c>
      <c r="H10" s="16">
        <f t="shared" ref="H10:H12" si="1">F10*C10</f>
        <v>145</v>
      </c>
      <c r="I10" s="179" t="s">
        <v>44</v>
      </c>
      <c r="J10" s="188">
        <v>1.3888888888888888E-2</v>
      </c>
      <c r="K10" s="189" t="s">
        <v>44</v>
      </c>
    </row>
    <row r="11" spans="1:11" ht="17" x14ac:dyDescent="0.2">
      <c r="A11" s="186">
        <v>3</v>
      </c>
      <c r="B11" s="187" t="s">
        <v>241</v>
      </c>
      <c r="C11" s="161">
        <v>14</v>
      </c>
      <c r="D11" s="14">
        <v>2.85</v>
      </c>
      <c r="E11" s="163">
        <v>1494</v>
      </c>
      <c r="F11" s="175">
        <v>3.5</v>
      </c>
      <c r="G11" s="15">
        <f t="shared" si="0"/>
        <v>5229</v>
      </c>
      <c r="H11" s="16">
        <f t="shared" si="1"/>
        <v>49</v>
      </c>
      <c r="I11" s="179"/>
      <c r="J11" s="188"/>
      <c r="K11" s="189"/>
    </row>
    <row r="12" spans="1:11" ht="19.25" customHeight="1" x14ac:dyDescent="0.2">
      <c r="A12" s="190">
        <v>4</v>
      </c>
      <c r="B12" s="187" t="s">
        <v>241</v>
      </c>
      <c r="C12" s="176">
        <v>15</v>
      </c>
      <c r="D12" s="14">
        <v>2.85</v>
      </c>
      <c r="E12" s="177">
        <v>1494</v>
      </c>
      <c r="F12" s="178">
        <v>17.5</v>
      </c>
      <c r="G12" s="15">
        <f t="shared" si="0"/>
        <v>26145</v>
      </c>
      <c r="H12" s="16">
        <f t="shared" si="1"/>
        <v>262.5</v>
      </c>
      <c r="I12" s="195"/>
      <c r="J12" s="194"/>
      <c r="K12" s="189"/>
    </row>
    <row r="13" spans="1:11" ht="17" x14ac:dyDescent="0.2">
      <c r="A13" s="191">
        <v>5</v>
      </c>
      <c r="B13" s="187" t="s">
        <v>241</v>
      </c>
      <c r="C13" s="176">
        <v>16</v>
      </c>
      <c r="D13" s="14">
        <v>2.85</v>
      </c>
      <c r="E13" s="177">
        <v>1485</v>
      </c>
      <c r="F13" s="178">
        <v>9.6</v>
      </c>
      <c r="G13" s="15">
        <f t="shared" si="0"/>
        <v>14256</v>
      </c>
      <c r="H13" s="16">
        <f>F13*C13</f>
        <v>153.6</v>
      </c>
      <c r="I13" s="179"/>
      <c r="J13" s="188"/>
      <c r="K13" s="189"/>
    </row>
    <row r="14" spans="1:11" ht="17" x14ac:dyDescent="0.2">
      <c r="A14" s="186">
        <v>6</v>
      </c>
      <c r="B14" s="187" t="s">
        <v>241</v>
      </c>
      <c r="C14" s="180">
        <v>18</v>
      </c>
      <c r="D14" s="14">
        <v>2.85</v>
      </c>
      <c r="E14" s="181">
        <v>1428</v>
      </c>
      <c r="F14" s="182">
        <v>11.4</v>
      </c>
      <c r="G14" s="15">
        <f t="shared" si="0"/>
        <v>16279.2</v>
      </c>
      <c r="H14" s="16">
        <f>F14*C14</f>
        <v>205.20000000000002</v>
      </c>
      <c r="I14" s="195"/>
      <c r="J14" s="194"/>
      <c r="K14" s="203"/>
    </row>
    <row r="15" spans="1:11" x14ac:dyDescent="0.2">
      <c r="A15" s="190"/>
      <c r="B15" s="187"/>
      <c r="C15" s="192"/>
      <c r="D15" s="14"/>
      <c r="E15" s="181"/>
      <c r="F15" s="193"/>
      <c r="G15" s="15"/>
      <c r="H15" s="16"/>
      <c r="I15" s="19"/>
      <c r="J15" s="18"/>
      <c r="K15" s="17"/>
    </row>
    <row r="16" spans="1:11" x14ac:dyDescent="0.2">
      <c r="A16" s="197"/>
      <c r="B16" s="198"/>
      <c r="C16" s="161"/>
      <c r="D16" s="14"/>
      <c r="E16" s="177"/>
      <c r="F16" s="161"/>
      <c r="G16" s="15"/>
      <c r="H16" s="16"/>
      <c r="I16" s="19"/>
      <c r="J16" s="18"/>
      <c r="K16" s="20"/>
    </row>
    <row r="17" spans="1:11" x14ac:dyDescent="0.2">
      <c r="A17" s="197"/>
      <c r="B17" s="198"/>
      <c r="C17" s="161"/>
      <c r="D17" s="14"/>
      <c r="E17" s="181"/>
      <c r="F17" s="161"/>
      <c r="G17" s="15"/>
      <c r="H17" s="16"/>
      <c r="I17" s="19"/>
      <c r="J17" s="18"/>
      <c r="K17" s="20"/>
    </row>
    <row r="18" spans="1:11" x14ac:dyDescent="0.2">
      <c r="A18" s="197"/>
      <c r="B18" s="198"/>
      <c r="C18" s="161"/>
      <c r="D18" s="14"/>
      <c r="E18" s="181"/>
      <c r="F18" s="161"/>
      <c r="G18" s="15"/>
      <c r="H18" s="16"/>
      <c r="I18" s="10"/>
      <c r="J18" s="13"/>
      <c r="K18" s="10"/>
    </row>
    <row r="19" spans="1:11" x14ac:dyDescent="0.2">
      <c r="A19" s="11"/>
      <c r="B19" s="10"/>
      <c r="C19" s="12"/>
      <c r="D19" s="200"/>
      <c r="E19" s="11"/>
      <c r="F19" s="12"/>
      <c r="G19" s="201"/>
      <c r="H19" s="12"/>
      <c r="I19" s="10"/>
      <c r="J19" s="13"/>
      <c r="K19" s="10"/>
    </row>
    <row r="20" spans="1:11" x14ac:dyDescent="0.2">
      <c r="A20" s="11"/>
      <c r="B20" s="10"/>
      <c r="C20" s="12"/>
      <c r="D20" s="200"/>
      <c r="E20" s="11"/>
      <c r="F20" s="12"/>
      <c r="G20" s="201"/>
      <c r="H20" s="12"/>
      <c r="I20" s="10"/>
      <c r="J20" s="13"/>
      <c r="K20" s="10"/>
    </row>
    <row r="21" spans="1:11" x14ac:dyDescent="0.2">
      <c r="A21" s="11"/>
      <c r="B21" s="10"/>
      <c r="C21" s="205"/>
      <c r="D21" s="11"/>
      <c r="E21" s="13"/>
      <c r="F21" s="205"/>
      <c r="G21" s="201"/>
      <c r="H21" s="12"/>
      <c r="I21" s="10"/>
      <c r="J21" s="13"/>
      <c r="K21" s="10"/>
    </row>
    <row r="22" spans="1:11" x14ac:dyDescent="0.2">
      <c r="A22" s="206"/>
      <c r="B22" s="207"/>
      <c r="C22" s="208"/>
      <c r="D22" s="208"/>
      <c r="E22" s="226" t="s">
        <v>21</v>
      </c>
      <c r="F22" s="227">
        <f>SUM(F9:F21)</f>
        <v>80</v>
      </c>
      <c r="G22" s="228">
        <f>SUM(G9:G21)/F22</f>
        <v>1467.7199999999998</v>
      </c>
      <c r="H22" s="229">
        <f>SUM(H9:H21)/F22</f>
        <v>14.31625</v>
      </c>
      <c r="I22" s="209" t="s">
        <v>22</v>
      </c>
      <c r="J22" s="210">
        <v>3.8194444444444448E-2</v>
      </c>
      <c r="K22" s="207"/>
    </row>
    <row r="23" spans="1:11" x14ac:dyDescent="0.2">
      <c r="E23" s="211"/>
      <c r="F23" s="212"/>
      <c r="I23" s="230" t="s">
        <v>23</v>
      </c>
      <c r="J23" s="231">
        <v>0.92</v>
      </c>
    </row>
    <row r="24" spans="1:11" x14ac:dyDescent="0.2">
      <c r="I24" s="212"/>
      <c r="J24" s="213"/>
    </row>
    <row r="25" spans="1:11" x14ac:dyDescent="0.2">
      <c r="A25" s="10" t="s">
        <v>24</v>
      </c>
      <c r="B25" s="10"/>
      <c r="C25" s="10"/>
      <c r="D25" s="205"/>
      <c r="H25" s="220" t="s">
        <v>25</v>
      </c>
      <c r="I25" s="220"/>
      <c r="J25" s="211">
        <f>F22</f>
        <v>80</v>
      </c>
      <c r="K25" s="204" t="s">
        <v>16</v>
      </c>
    </row>
    <row r="26" spans="1:11" x14ac:dyDescent="0.2">
      <c r="A26" s="10" t="s">
        <v>26</v>
      </c>
      <c r="B26" s="10"/>
      <c r="C26" s="10"/>
      <c r="D26" s="205"/>
      <c r="H26" s="220" t="s">
        <v>27</v>
      </c>
      <c r="I26" s="220"/>
      <c r="J26" s="211">
        <f>100+96+78+70+83+72+85+80+69+83+83+96+82+82+80+75+80</f>
        <v>1394</v>
      </c>
      <c r="K26" s="204" t="s">
        <v>16</v>
      </c>
    </row>
    <row r="27" spans="1:11" ht="17" thickBot="1" x14ac:dyDescent="0.25">
      <c r="A27" s="214"/>
      <c r="B27" s="214"/>
      <c r="C27" s="214"/>
      <c r="D27" s="214"/>
      <c r="E27" s="215"/>
      <c r="F27" s="215"/>
      <c r="G27" s="214"/>
      <c r="H27" s="232" t="s">
        <v>28</v>
      </c>
      <c r="I27" s="232"/>
      <c r="J27" s="216">
        <v>38.17</v>
      </c>
      <c r="K27" s="214" t="s">
        <v>29</v>
      </c>
    </row>
    <row r="28" spans="1:11" x14ac:dyDescent="0.2">
      <c r="J28" s="204" t="s">
        <v>3</v>
      </c>
    </row>
    <row r="29" spans="1:11" hidden="1" x14ac:dyDescent="0.2">
      <c r="K29" s="204" t="s">
        <v>30</v>
      </c>
    </row>
    <row r="30" spans="1:11" hidden="1" x14ac:dyDescent="0.2">
      <c r="K30" s="204" t="s">
        <v>31</v>
      </c>
    </row>
    <row r="31" spans="1:11" hidden="1" x14ac:dyDescent="0.2">
      <c r="K31" s="204" t="s">
        <v>32</v>
      </c>
    </row>
    <row r="32" spans="1:11" hidden="1" x14ac:dyDescent="0.2">
      <c r="K32" s="204" t="s">
        <v>33</v>
      </c>
    </row>
    <row r="33" spans="9:11" hidden="1" x14ac:dyDescent="0.2">
      <c r="K33" s="204" t="s">
        <v>34</v>
      </c>
    </row>
    <row r="34" spans="9:11" hidden="1" x14ac:dyDescent="0.2">
      <c r="K34" s="204" t="s">
        <v>35</v>
      </c>
    </row>
    <row r="35" spans="9:11" hidden="1" x14ac:dyDescent="0.2">
      <c r="K35" s="204" t="s">
        <v>36</v>
      </c>
    </row>
    <row r="36" spans="9:11" hidden="1" x14ac:dyDescent="0.2">
      <c r="K36" s="204" t="s">
        <v>37</v>
      </c>
    </row>
    <row r="37" spans="9:11" hidden="1" x14ac:dyDescent="0.2">
      <c r="K37" s="204" t="s">
        <v>38</v>
      </c>
    </row>
    <row r="38" spans="9:11" hidden="1" x14ac:dyDescent="0.2">
      <c r="K38" s="204" t="s">
        <v>39</v>
      </c>
    </row>
    <row r="39" spans="9:11" hidden="1" x14ac:dyDescent="0.2">
      <c r="K39" s="204" t="s">
        <v>40</v>
      </c>
    </row>
    <row r="40" spans="9:11" hidden="1" x14ac:dyDescent="0.2">
      <c r="K40" s="204" t="s">
        <v>41</v>
      </c>
    </row>
    <row r="41" spans="9:11" ht="34" hidden="1" x14ac:dyDescent="0.2">
      <c r="I41" s="217" t="s">
        <v>42</v>
      </c>
      <c r="K41" s="204" t="s">
        <v>43</v>
      </c>
    </row>
    <row r="42" spans="9:11" ht="17" hidden="1" x14ac:dyDescent="0.2">
      <c r="I42" s="217" t="s">
        <v>44</v>
      </c>
      <c r="K42" s="204" t="s">
        <v>45</v>
      </c>
    </row>
    <row r="43" spans="9:11" hidden="1" x14ac:dyDescent="0.2">
      <c r="I43" s="218" t="s">
        <v>46</v>
      </c>
      <c r="K43" s="204" t="s">
        <v>47</v>
      </c>
    </row>
    <row r="44" spans="9:11" hidden="1" x14ac:dyDescent="0.2">
      <c r="I44" s="204" t="s">
        <v>48</v>
      </c>
      <c r="K44" s="204" t="s">
        <v>49</v>
      </c>
    </row>
    <row r="45" spans="9:11" hidden="1" x14ac:dyDescent="0.2">
      <c r="I45" s="204" t="s">
        <v>50</v>
      </c>
      <c r="K45" s="204" t="s">
        <v>51</v>
      </c>
    </row>
    <row r="46" spans="9:11" hidden="1" x14ac:dyDescent="0.2">
      <c r="I46" s="204" t="s">
        <v>52</v>
      </c>
      <c r="K46" s="204" t="s">
        <v>53</v>
      </c>
    </row>
    <row r="47" spans="9:11" hidden="1" x14ac:dyDescent="0.2">
      <c r="I47" s="204" t="s">
        <v>54</v>
      </c>
      <c r="K47" s="204" t="s">
        <v>55</v>
      </c>
    </row>
    <row r="48" spans="9:11" hidden="1" x14ac:dyDescent="0.2">
      <c r="I48" s="204" t="s">
        <v>56</v>
      </c>
      <c r="K48" s="204" t="s">
        <v>57</v>
      </c>
    </row>
    <row r="49" spans="9:11" hidden="1" x14ac:dyDescent="0.2">
      <c r="I49" s="204" t="s">
        <v>58</v>
      </c>
      <c r="K49" s="204" t="s">
        <v>59</v>
      </c>
    </row>
    <row r="50" spans="9:11" hidden="1" x14ac:dyDescent="0.2">
      <c r="I50" s="204" t="s">
        <v>60</v>
      </c>
      <c r="K50" s="204" t="s">
        <v>61</v>
      </c>
    </row>
    <row r="51" spans="9:11" hidden="1" x14ac:dyDescent="0.2">
      <c r="K51" s="204" t="s">
        <v>62</v>
      </c>
    </row>
    <row r="52" spans="9:11" hidden="1" x14ac:dyDescent="0.2">
      <c r="K52" s="204" t="s">
        <v>63</v>
      </c>
    </row>
    <row r="53" spans="9:11" hidden="1" x14ac:dyDescent="0.2">
      <c r="K53" s="204" t="s">
        <v>64</v>
      </c>
    </row>
    <row r="54" spans="9:11" hidden="1" x14ac:dyDescent="0.2">
      <c r="K54" s="204" t="s">
        <v>65</v>
      </c>
    </row>
    <row r="55" spans="9:11" hidden="1" x14ac:dyDescent="0.2">
      <c r="K55" s="204" t="s">
        <v>66</v>
      </c>
    </row>
    <row r="56" spans="9:11" hidden="1" x14ac:dyDescent="0.2">
      <c r="K56" s="204" t="s">
        <v>67</v>
      </c>
    </row>
    <row r="57" spans="9:11" hidden="1" x14ac:dyDescent="0.2">
      <c r="K57" s="204" t="s">
        <v>68</v>
      </c>
    </row>
    <row r="58" spans="9:11" hidden="1" x14ac:dyDescent="0.2">
      <c r="K58" s="204" t="s">
        <v>69</v>
      </c>
    </row>
    <row r="59" spans="9:11" hidden="1" x14ac:dyDescent="0.2">
      <c r="K59" s="204" t="s">
        <v>70</v>
      </c>
    </row>
    <row r="60" spans="9:11" hidden="1" x14ac:dyDescent="0.2">
      <c r="K60" s="204" t="s">
        <v>71</v>
      </c>
    </row>
    <row r="61" spans="9:11" hidden="1" x14ac:dyDescent="0.2">
      <c r="K61" s="204" t="s">
        <v>72</v>
      </c>
    </row>
    <row r="62" spans="9:11" hidden="1" x14ac:dyDescent="0.2">
      <c r="K62" s="204" t="s">
        <v>73</v>
      </c>
    </row>
    <row r="63" spans="9:11" hidden="1" x14ac:dyDescent="0.2">
      <c r="K63" s="204" t="s">
        <v>67</v>
      </c>
    </row>
    <row r="64" spans="9:11" hidden="1" x14ac:dyDescent="0.2">
      <c r="K64" s="204" t="s">
        <v>74</v>
      </c>
    </row>
    <row r="65" spans="11:11" hidden="1" x14ac:dyDescent="0.2">
      <c r="K65" s="204" t="s">
        <v>75</v>
      </c>
    </row>
    <row r="66" spans="11:11" hidden="1" x14ac:dyDescent="0.2">
      <c r="K66" s="204" t="s">
        <v>76</v>
      </c>
    </row>
    <row r="67" spans="11:11" hidden="1" x14ac:dyDescent="0.2">
      <c r="K67" s="204" t="s">
        <v>77</v>
      </c>
    </row>
    <row r="68" spans="11:11" hidden="1" x14ac:dyDescent="0.2">
      <c r="K68" s="204" t="s">
        <v>78</v>
      </c>
    </row>
    <row r="69" spans="11:11" hidden="1" x14ac:dyDescent="0.2">
      <c r="K69" s="204" t="s">
        <v>79</v>
      </c>
    </row>
    <row r="70" spans="11:11" hidden="1" x14ac:dyDescent="0.2">
      <c r="K70" s="204" t="s">
        <v>80</v>
      </c>
    </row>
    <row r="71" spans="11:11" hidden="1" x14ac:dyDescent="0.2">
      <c r="K71" s="204" t="s">
        <v>81</v>
      </c>
    </row>
    <row r="72" spans="11:11" hidden="1" x14ac:dyDescent="0.2">
      <c r="K72" s="204" t="s">
        <v>82</v>
      </c>
    </row>
    <row r="73" spans="11:11" hidden="1" x14ac:dyDescent="0.2">
      <c r="K73" s="204" t="s">
        <v>83</v>
      </c>
    </row>
    <row r="74" spans="11:11" hidden="1" x14ac:dyDescent="0.2">
      <c r="K74" s="204" t="s">
        <v>84</v>
      </c>
    </row>
    <row r="75" spans="11:11" hidden="1" x14ac:dyDescent="0.2">
      <c r="K75" s="204" t="s">
        <v>85</v>
      </c>
    </row>
    <row r="76" spans="11:11" hidden="1" x14ac:dyDescent="0.2">
      <c r="K76" s="204" t="s">
        <v>86</v>
      </c>
    </row>
    <row r="77" spans="11:11" hidden="1" x14ac:dyDescent="0.2">
      <c r="K77" s="204" t="s">
        <v>87</v>
      </c>
    </row>
    <row r="78" spans="11:11" hidden="1" x14ac:dyDescent="0.2">
      <c r="K78" s="204" t="s">
        <v>88</v>
      </c>
    </row>
    <row r="79" spans="11:11" hidden="1" x14ac:dyDescent="0.2">
      <c r="K79" s="204" t="s">
        <v>89</v>
      </c>
    </row>
    <row r="80" spans="11:11" hidden="1" x14ac:dyDescent="0.2">
      <c r="K80" s="204" t="s">
        <v>90</v>
      </c>
    </row>
    <row r="81" spans="11:11" hidden="1" x14ac:dyDescent="0.2">
      <c r="K81" s="204" t="s">
        <v>91</v>
      </c>
    </row>
    <row r="82" spans="11:11" hidden="1" x14ac:dyDescent="0.2">
      <c r="K82" s="204" t="s">
        <v>92</v>
      </c>
    </row>
    <row r="83" spans="11:11" hidden="1" x14ac:dyDescent="0.2">
      <c r="K83" s="204" t="s">
        <v>93</v>
      </c>
    </row>
    <row r="84" spans="11:11" hidden="1" x14ac:dyDescent="0.2">
      <c r="K84" s="204" t="s">
        <v>94</v>
      </c>
    </row>
    <row r="85" spans="11:11" hidden="1" x14ac:dyDescent="0.2">
      <c r="K85" s="204" t="s">
        <v>47</v>
      </c>
    </row>
  </sheetData>
  <dataValidations count="3">
    <dataValidation type="list" allowBlank="1" showInputMessage="1" showErrorMessage="1" sqref="I50 K15:K21" xr:uid="{8AD5B059-7B54-4A68-B1A2-E5CBC6224AA4}">
      <formula1>$I$41:$I$50</formula1>
    </dataValidation>
    <dataValidation type="list" allowBlank="1" showInputMessage="1" showErrorMessage="1" sqref="B20:B21" xr:uid="{1E2351CF-2768-4C8F-B884-6D7677DE1E5F}">
      <formula1>$K$29:$K$40</formula1>
    </dataValidation>
    <dataValidation type="list" allowBlank="1" showInputMessage="1" showErrorMessage="1" sqref="B16:B19" xr:uid="{4AC23554-9BE0-488E-A940-E07BC28FEF2F}">
      <formula1>$K$29:$K$85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EEC79-9281-43C3-AB62-443FC42894F4}">
  <dimension ref="A1:K85"/>
  <sheetViews>
    <sheetView workbookViewId="0">
      <selection sqref="A1:XFD1048576"/>
    </sheetView>
  </sheetViews>
  <sheetFormatPr baseColWidth="10" defaultColWidth="9.1640625" defaultRowHeight="16" x14ac:dyDescent="0.2"/>
  <cols>
    <col min="1" max="1" width="5.1640625" style="204" customWidth="1"/>
    <col min="2" max="2" width="22.5" style="204" customWidth="1"/>
    <col min="3" max="3" width="6.1640625" style="204" customWidth="1"/>
    <col min="4" max="4" width="12.5" style="204" bestFit="1" customWidth="1"/>
    <col min="5" max="5" width="9.83203125" style="204" customWidth="1"/>
    <col min="6" max="6" width="9.33203125" style="204" bestFit="1" customWidth="1"/>
    <col min="7" max="7" width="8.6640625" style="204" customWidth="1"/>
    <col min="8" max="8" width="9.5" style="204" bestFit="1" customWidth="1"/>
    <col min="9" max="9" width="17.83203125" style="204" bestFit="1" customWidth="1"/>
    <col min="10" max="10" width="10.33203125" style="204" bestFit="1" customWidth="1"/>
    <col min="11" max="11" width="75" style="204" bestFit="1" customWidth="1"/>
    <col min="12" max="16384" width="9.1640625" style="204"/>
  </cols>
  <sheetData>
    <row r="1" spans="1:11" x14ac:dyDescent="0.2">
      <c r="A1" s="204" t="s">
        <v>0</v>
      </c>
      <c r="I1" s="219"/>
    </row>
    <row r="2" spans="1:11" x14ac:dyDescent="0.2">
      <c r="J2" s="220"/>
    </row>
    <row r="3" spans="1:11" x14ac:dyDescent="0.2">
      <c r="A3" s="219" t="s">
        <v>1</v>
      </c>
    </row>
    <row r="4" spans="1:11" x14ac:dyDescent="0.2">
      <c r="A4" s="219"/>
      <c r="I4" s="220" t="s">
        <v>2</v>
      </c>
      <c r="J4" s="221">
        <v>45948</v>
      </c>
    </row>
    <row r="5" spans="1:11" x14ac:dyDescent="0.2">
      <c r="J5" s="204" t="s">
        <v>3</v>
      </c>
    </row>
    <row r="6" spans="1:11" ht="34" x14ac:dyDescent="0.2">
      <c r="A6" s="11" t="s">
        <v>4</v>
      </c>
      <c r="B6" s="11" t="s">
        <v>5</v>
      </c>
      <c r="C6" s="11" t="s">
        <v>6</v>
      </c>
      <c r="D6" s="11" t="s">
        <v>7</v>
      </c>
      <c r="E6" s="11" t="s">
        <v>8</v>
      </c>
      <c r="F6" s="11" t="s">
        <v>9</v>
      </c>
      <c r="G6" s="222" t="s">
        <v>10</v>
      </c>
      <c r="H6" s="222" t="s">
        <v>11</v>
      </c>
      <c r="I6" s="222" t="s">
        <v>12</v>
      </c>
      <c r="J6" s="223"/>
      <c r="K6" s="11" t="s">
        <v>13</v>
      </c>
    </row>
    <row r="7" spans="1:11" ht="34" x14ac:dyDescent="0.2">
      <c r="A7" s="222"/>
      <c r="B7" s="224"/>
      <c r="C7" s="11"/>
      <c r="D7" s="11" t="s">
        <v>14</v>
      </c>
      <c r="E7" s="11" t="s">
        <v>15</v>
      </c>
      <c r="F7" s="225" t="s">
        <v>16</v>
      </c>
      <c r="G7" s="225" t="s">
        <v>15</v>
      </c>
      <c r="H7" s="225" t="s">
        <v>17</v>
      </c>
      <c r="I7" s="11" t="s">
        <v>18</v>
      </c>
      <c r="J7" s="225" t="s">
        <v>19</v>
      </c>
      <c r="K7" s="225"/>
    </row>
    <row r="8" spans="1:11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2">
      <c r="A9" s="186">
        <v>1</v>
      </c>
      <c r="B9" s="187" t="s">
        <v>250</v>
      </c>
      <c r="C9" s="161">
        <v>12.5</v>
      </c>
      <c r="D9" s="14">
        <v>2.85</v>
      </c>
      <c r="E9" s="163">
        <v>1434</v>
      </c>
      <c r="F9" s="162">
        <v>18</v>
      </c>
      <c r="G9" s="15">
        <f t="shared" ref="G9:G14" si="0">E9*F9</f>
        <v>25812</v>
      </c>
      <c r="H9" s="16">
        <f>F9*C9</f>
        <v>225</v>
      </c>
      <c r="I9" s="179" t="s">
        <v>20</v>
      </c>
      <c r="J9" s="188">
        <v>2.0833333333333332E-2</v>
      </c>
      <c r="K9" s="202" t="s">
        <v>239</v>
      </c>
    </row>
    <row r="10" spans="1:11" ht="17" x14ac:dyDescent="0.2">
      <c r="A10" s="190">
        <v>2</v>
      </c>
      <c r="B10" s="187" t="s">
        <v>268</v>
      </c>
      <c r="C10" s="161">
        <v>13</v>
      </c>
      <c r="D10" s="14">
        <v>2.85</v>
      </c>
      <c r="E10" s="163">
        <v>1476</v>
      </c>
      <c r="F10" s="162">
        <v>12</v>
      </c>
      <c r="G10" s="15">
        <f t="shared" si="0"/>
        <v>17712</v>
      </c>
      <c r="H10" s="16">
        <f t="shared" ref="H10:H12" si="1">F10*C10</f>
        <v>156</v>
      </c>
      <c r="I10" s="179" t="s">
        <v>44</v>
      </c>
      <c r="J10" s="188">
        <v>2.7777777777777776E-2</v>
      </c>
      <c r="K10" s="189" t="s">
        <v>44</v>
      </c>
    </row>
    <row r="11" spans="1:11" ht="17" x14ac:dyDescent="0.2">
      <c r="A11" s="186">
        <v>3</v>
      </c>
      <c r="B11" s="187" t="s">
        <v>241</v>
      </c>
      <c r="C11" s="161">
        <v>14</v>
      </c>
      <c r="D11" s="14">
        <v>2.85</v>
      </c>
      <c r="E11" s="163">
        <v>1476</v>
      </c>
      <c r="F11" s="175">
        <v>15.5</v>
      </c>
      <c r="G11" s="15">
        <f t="shared" si="0"/>
        <v>22878</v>
      </c>
      <c r="H11" s="16">
        <f t="shared" si="1"/>
        <v>217</v>
      </c>
      <c r="I11" s="179"/>
      <c r="J11" s="188"/>
      <c r="K11" s="189"/>
    </row>
    <row r="12" spans="1:11" ht="19.25" customHeight="1" x14ac:dyDescent="0.2">
      <c r="A12" s="190">
        <v>4</v>
      </c>
      <c r="B12" s="187" t="s">
        <v>241</v>
      </c>
      <c r="C12" s="176">
        <v>16.5</v>
      </c>
      <c r="D12" s="14">
        <v>2.85</v>
      </c>
      <c r="E12" s="177">
        <v>1503</v>
      </c>
      <c r="F12" s="178">
        <v>9.1</v>
      </c>
      <c r="G12" s="15">
        <f t="shared" si="0"/>
        <v>13677.3</v>
      </c>
      <c r="H12" s="16">
        <f t="shared" si="1"/>
        <v>150.15</v>
      </c>
      <c r="I12" s="195"/>
      <c r="J12" s="194"/>
      <c r="K12" s="189"/>
    </row>
    <row r="13" spans="1:11" ht="17" x14ac:dyDescent="0.2">
      <c r="A13" s="191">
        <v>5</v>
      </c>
      <c r="B13" s="187" t="s">
        <v>241</v>
      </c>
      <c r="C13" s="176">
        <v>18</v>
      </c>
      <c r="D13" s="14">
        <v>2.85</v>
      </c>
      <c r="E13" s="177">
        <v>1428</v>
      </c>
      <c r="F13" s="178">
        <v>7</v>
      </c>
      <c r="G13" s="15">
        <f t="shared" si="0"/>
        <v>9996</v>
      </c>
      <c r="H13" s="16">
        <f>F13*C13</f>
        <v>126</v>
      </c>
      <c r="I13" s="179"/>
      <c r="J13" s="188"/>
      <c r="K13" s="189"/>
    </row>
    <row r="14" spans="1:11" ht="17" x14ac:dyDescent="0.2">
      <c r="A14" s="186">
        <v>6</v>
      </c>
      <c r="B14" s="187" t="s">
        <v>241</v>
      </c>
      <c r="C14" s="180">
        <v>19</v>
      </c>
      <c r="D14" s="14">
        <v>2.85</v>
      </c>
      <c r="E14" s="181">
        <v>1361</v>
      </c>
      <c r="F14" s="182">
        <v>20.399999999999999</v>
      </c>
      <c r="G14" s="15">
        <f t="shared" si="0"/>
        <v>27764.399999999998</v>
      </c>
      <c r="H14" s="16">
        <f>F14*C14</f>
        <v>387.59999999999997</v>
      </c>
      <c r="I14" s="195"/>
      <c r="J14" s="194"/>
      <c r="K14" s="203"/>
    </row>
    <row r="15" spans="1:11" x14ac:dyDescent="0.2">
      <c r="A15" s="190"/>
      <c r="B15" s="187"/>
      <c r="C15" s="192"/>
      <c r="D15" s="14"/>
      <c r="E15" s="181"/>
      <c r="F15" s="193"/>
      <c r="G15" s="15"/>
      <c r="H15" s="16"/>
      <c r="I15" s="19"/>
      <c r="J15" s="18"/>
      <c r="K15" s="17"/>
    </row>
    <row r="16" spans="1:11" x14ac:dyDescent="0.2">
      <c r="A16" s="197"/>
      <c r="B16" s="198"/>
      <c r="C16" s="161"/>
      <c r="D16" s="14"/>
      <c r="E16" s="177"/>
      <c r="F16" s="161"/>
      <c r="G16" s="15"/>
      <c r="H16" s="16"/>
      <c r="I16" s="19"/>
      <c r="J16" s="18"/>
      <c r="K16" s="20"/>
    </row>
    <row r="17" spans="1:11" x14ac:dyDescent="0.2">
      <c r="A17" s="197"/>
      <c r="B17" s="198"/>
      <c r="C17" s="161"/>
      <c r="D17" s="14"/>
      <c r="E17" s="181"/>
      <c r="F17" s="161"/>
      <c r="G17" s="15"/>
      <c r="H17" s="16"/>
      <c r="I17" s="19"/>
      <c r="J17" s="18"/>
      <c r="K17" s="20"/>
    </row>
    <row r="18" spans="1:11" x14ac:dyDescent="0.2">
      <c r="A18" s="197"/>
      <c r="B18" s="198"/>
      <c r="C18" s="161"/>
      <c r="D18" s="14"/>
      <c r="E18" s="181"/>
      <c r="F18" s="161"/>
      <c r="G18" s="15"/>
      <c r="H18" s="16"/>
      <c r="I18" s="10"/>
      <c r="J18" s="13"/>
      <c r="K18" s="10"/>
    </row>
    <row r="19" spans="1:11" x14ac:dyDescent="0.2">
      <c r="A19" s="11"/>
      <c r="B19" s="10"/>
      <c r="C19" s="12"/>
      <c r="D19" s="200"/>
      <c r="E19" s="11"/>
      <c r="F19" s="12"/>
      <c r="G19" s="201"/>
      <c r="H19" s="12"/>
      <c r="I19" s="10"/>
      <c r="J19" s="13"/>
      <c r="K19" s="10"/>
    </row>
    <row r="20" spans="1:11" x14ac:dyDescent="0.2">
      <c r="A20" s="11"/>
      <c r="B20" s="10"/>
      <c r="C20" s="12"/>
      <c r="D20" s="200"/>
      <c r="E20" s="11"/>
      <c r="F20" s="12"/>
      <c r="G20" s="201"/>
      <c r="H20" s="12"/>
      <c r="I20" s="10"/>
      <c r="J20" s="13"/>
      <c r="K20" s="10"/>
    </row>
    <row r="21" spans="1:11" x14ac:dyDescent="0.2">
      <c r="A21" s="11"/>
      <c r="B21" s="10"/>
      <c r="C21" s="205"/>
      <c r="D21" s="11"/>
      <c r="E21" s="13"/>
      <c r="F21" s="205"/>
      <c r="G21" s="201"/>
      <c r="H21" s="12"/>
      <c r="I21" s="10"/>
      <c r="J21" s="13"/>
      <c r="K21" s="10"/>
    </row>
    <row r="22" spans="1:11" x14ac:dyDescent="0.2">
      <c r="A22" s="206"/>
      <c r="B22" s="207"/>
      <c r="C22" s="208"/>
      <c r="D22" s="208"/>
      <c r="E22" s="226" t="s">
        <v>21</v>
      </c>
      <c r="F22" s="227">
        <f>SUM(F9:F21)</f>
        <v>82</v>
      </c>
      <c r="G22" s="228">
        <f>SUM(G9:G21)/F22</f>
        <v>1437.0695121951219</v>
      </c>
      <c r="H22" s="229">
        <f>SUM(H9:H21)/F22</f>
        <v>15.387195121951219</v>
      </c>
      <c r="I22" s="209" t="s">
        <v>22</v>
      </c>
      <c r="J22" s="210">
        <v>4.8611111111111112E-2</v>
      </c>
      <c r="K22" s="207"/>
    </row>
    <row r="23" spans="1:11" x14ac:dyDescent="0.2">
      <c r="E23" s="211"/>
      <c r="F23" s="212"/>
      <c r="I23" s="230" t="s">
        <v>23</v>
      </c>
      <c r="J23" s="231">
        <v>1.17</v>
      </c>
    </row>
    <row r="24" spans="1:11" x14ac:dyDescent="0.2">
      <c r="I24" s="212"/>
      <c r="J24" s="213"/>
    </row>
    <row r="25" spans="1:11" x14ac:dyDescent="0.2">
      <c r="A25" s="10" t="s">
        <v>24</v>
      </c>
      <c r="B25" s="10"/>
      <c r="C25" s="10"/>
      <c r="D25" s="205"/>
      <c r="H25" s="220" t="s">
        <v>25</v>
      </c>
      <c r="I25" s="220"/>
      <c r="J25" s="211">
        <f>F22</f>
        <v>82</v>
      </c>
      <c r="K25" s="204" t="s">
        <v>16</v>
      </c>
    </row>
    <row r="26" spans="1:11" x14ac:dyDescent="0.2">
      <c r="A26" s="10" t="s">
        <v>26</v>
      </c>
      <c r="B26" s="10"/>
      <c r="C26" s="10"/>
      <c r="D26" s="205"/>
      <c r="H26" s="220" t="s">
        <v>27</v>
      </c>
      <c r="I26" s="220"/>
      <c r="J26" s="211">
        <f>100+96+78+70+83+72+85+80+69+83+83+96+82+82+80+75+80+82</f>
        <v>1476</v>
      </c>
      <c r="K26" s="204" t="s">
        <v>16</v>
      </c>
    </row>
    <row r="27" spans="1:11" ht="17" thickBot="1" x14ac:dyDescent="0.25">
      <c r="A27" s="214"/>
      <c r="B27" s="214"/>
      <c r="C27" s="214"/>
      <c r="D27" s="214"/>
      <c r="E27" s="215"/>
      <c r="F27" s="215"/>
      <c r="G27" s="214"/>
      <c r="H27" s="232" t="s">
        <v>28</v>
      </c>
      <c r="I27" s="232"/>
      <c r="J27" s="216">
        <v>39.33</v>
      </c>
      <c r="K27" s="214" t="s">
        <v>29</v>
      </c>
    </row>
    <row r="28" spans="1:11" x14ac:dyDescent="0.2">
      <c r="J28" s="204" t="s">
        <v>3</v>
      </c>
    </row>
    <row r="29" spans="1:11" hidden="1" x14ac:dyDescent="0.2">
      <c r="K29" s="204" t="s">
        <v>30</v>
      </c>
    </row>
    <row r="30" spans="1:11" hidden="1" x14ac:dyDescent="0.2">
      <c r="K30" s="204" t="s">
        <v>31</v>
      </c>
    </row>
    <row r="31" spans="1:11" hidden="1" x14ac:dyDescent="0.2">
      <c r="K31" s="204" t="s">
        <v>32</v>
      </c>
    </row>
    <row r="32" spans="1:11" hidden="1" x14ac:dyDescent="0.2">
      <c r="K32" s="204" t="s">
        <v>33</v>
      </c>
    </row>
    <row r="33" spans="9:11" hidden="1" x14ac:dyDescent="0.2">
      <c r="K33" s="204" t="s">
        <v>34</v>
      </c>
    </row>
    <row r="34" spans="9:11" hidden="1" x14ac:dyDescent="0.2">
      <c r="K34" s="204" t="s">
        <v>35</v>
      </c>
    </row>
    <row r="35" spans="9:11" hidden="1" x14ac:dyDescent="0.2">
      <c r="K35" s="204" t="s">
        <v>36</v>
      </c>
    </row>
    <row r="36" spans="9:11" hidden="1" x14ac:dyDescent="0.2">
      <c r="K36" s="204" t="s">
        <v>37</v>
      </c>
    </row>
    <row r="37" spans="9:11" hidden="1" x14ac:dyDescent="0.2">
      <c r="K37" s="204" t="s">
        <v>38</v>
      </c>
    </row>
    <row r="38" spans="9:11" hidden="1" x14ac:dyDescent="0.2">
      <c r="K38" s="204" t="s">
        <v>39</v>
      </c>
    </row>
    <row r="39" spans="9:11" hidden="1" x14ac:dyDescent="0.2">
      <c r="K39" s="204" t="s">
        <v>40</v>
      </c>
    </row>
    <row r="40" spans="9:11" hidden="1" x14ac:dyDescent="0.2">
      <c r="K40" s="204" t="s">
        <v>41</v>
      </c>
    </row>
    <row r="41" spans="9:11" ht="34" hidden="1" x14ac:dyDescent="0.2">
      <c r="I41" s="217" t="s">
        <v>42</v>
      </c>
      <c r="K41" s="204" t="s">
        <v>43</v>
      </c>
    </row>
    <row r="42" spans="9:11" ht="17" hidden="1" x14ac:dyDescent="0.2">
      <c r="I42" s="217" t="s">
        <v>44</v>
      </c>
      <c r="K42" s="204" t="s">
        <v>45</v>
      </c>
    </row>
    <row r="43" spans="9:11" hidden="1" x14ac:dyDescent="0.2">
      <c r="I43" s="218" t="s">
        <v>46</v>
      </c>
      <c r="K43" s="204" t="s">
        <v>47</v>
      </c>
    </row>
    <row r="44" spans="9:11" hidden="1" x14ac:dyDescent="0.2">
      <c r="I44" s="204" t="s">
        <v>48</v>
      </c>
      <c r="K44" s="204" t="s">
        <v>49</v>
      </c>
    </row>
    <row r="45" spans="9:11" hidden="1" x14ac:dyDescent="0.2">
      <c r="I45" s="204" t="s">
        <v>50</v>
      </c>
      <c r="K45" s="204" t="s">
        <v>51</v>
      </c>
    </row>
    <row r="46" spans="9:11" hidden="1" x14ac:dyDescent="0.2">
      <c r="I46" s="204" t="s">
        <v>52</v>
      </c>
      <c r="K46" s="204" t="s">
        <v>53</v>
      </c>
    </row>
    <row r="47" spans="9:11" hidden="1" x14ac:dyDescent="0.2">
      <c r="I47" s="204" t="s">
        <v>54</v>
      </c>
      <c r="K47" s="204" t="s">
        <v>55</v>
      </c>
    </row>
    <row r="48" spans="9:11" hidden="1" x14ac:dyDescent="0.2">
      <c r="I48" s="204" t="s">
        <v>56</v>
      </c>
      <c r="K48" s="204" t="s">
        <v>57</v>
      </c>
    </row>
    <row r="49" spans="9:11" hidden="1" x14ac:dyDescent="0.2">
      <c r="I49" s="204" t="s">
        <v>58</v>
      </c>
      <c r="K49" s="204" t="s">
        <v>59</v>
      </c>
    </row>
    <row r="50" spans="9:11" hidden="1" x14ac:dyDescent="0.2">
      <c r="I50" s="204" t="s">
        <v>60</v>
      </c>
      <c r="K50" s="204" t="s">
        <v>61</v>
      </c>
    </row>
    <row r="51" spans="9:11" hidden="1" x14ac:dyDescent="0.2">
      <c r="K51" s="204" t="s">
        <v>62</v>
      </c>
    </row>
    <row r="52" spans="9:11" hidden="1" x14ac:dyDescent="0.2">
      <c r="K52" s="204" t="s">
        <v>63</v>
      </c>
    </row>
    <row r="53" spans="9:11" hidden="1" x14ac:dyDescent="0.2">
      <c r="K53" s="204" t="s">
        <v>64</v>
      </c>
    </row>
    <row r="54" spans="9:11" hidden="1" x14ac:dyDescent="0.2">
      <c r="K54" s="204" t="s">
        <v>65</v>
      </c>
    </row>
    <row r="55" spans="9:11" hidden="1" x14ac:dyDescent="0.2">
      <c r="K55" s="204" t="s">
        <v>66</v>
      </c>
    </row>
    <row r="56" spans="9:11" hidden="1" x14ac:dyDescent="0.2">
      <c r="K56" s="204" t="s">
        <v>67</v>
      </c>
    </row>
    <row r="57" spans="9:11" hidden="1" x14ac:dyDescent="0.2">
      <c r="K57" s="204" t="s">
        <v>68</v>
      </c>
    </row>
    <row r="58" spans="9:11" hidden="1" x14ac:dyDescent="0.2">
      <c r="K58" s="204" t="s">
        <v>69</v>
      </c>
    </row>
    <row r="59" spans="9:11" hidden="1" x14ac:dyDescent="0.2">
      <c r="K59" s="204" t="s">
        <v>70</v>
      </c>
    </row>
    <row r="60" spans="9:11" hidden="1" x14ac:dyDescent="0.2">
      <c r="K60" s="204" t="s">
        <v>71</v>
      </c>
    </row>
    <row r="61" spans="9:11" hidden="1" x14ac:dyDescent="0.2">
      <c r="K61" s="204" t="s">
        <v>72</v>
      </c>
    </row>
    <row r="62" spans="9:11" hidden="1" x14ac:dyDescent="0.2">
      <c r="K62" s="204" t="s">
        <v>73</v>
      </c>
    </row>
    <row r="63" spans="9:11" hidden="1" x14ac:dyDescent="0.2">
      <c r="K63" s="204" t="s">
        <v>67</v>
      </c>
    </row>
    <row r="64" spans="9:11" hidden="1" x14ac:dyDescent="0.2">
      <c r="K64" s="204" t="s">
        <v>74</v>
      </c>
    </row>
    <row r="65" spans="11:11" hidden="1" x14ac:dyDescent="0.2">
      <c r="K65" s="204" t="s">
        <v>75</v>
      </c>
    </row>
    <row r="66" spans="11:11" hidden="1" x14ac:dyDescent="0.2">
      <c r="K66" s="204" t="s">
        <v>76</v>
      </c>
    </row>
    <row r="67" spans="11:11" hidden="1" x14ac:dyDescent="0.2">
      <c r="K67" s="204" t="s">
        <v>77</v>
      </c>
    </row>
    <row r="68" spans="11:11" hidden="1" x14ac:dyDescent="0.2">
      <c r="K68" s="204" t="s">
        <v>78</v>
      </c>
    </row>
    <row r="69" spans="11:11" hidden="1" x14ac:dyDescent="0.2">
      <c r="K69" s="204" t="s">
        <v>79</v>
      </c>
    </row>
    <row r="70" spans="11:11" hidden="1" x14ac:dyDescent="0.2">
      <c r="K70" s="204" t="s">
        <v>80</v>
      </c>
    </row>
    <row r="71" spans="11:11" hidden="1" x14ac:dyDescent="0.2">
      <c r="K71" s="204" t="s">
        <v>81</v>
      </c>
    </row>
    <row r="72" spans="11:11" hidden="1" x14ac:dyDescent="0.2">
      <c r="K72" s="204" t="s">
        <v>82</v>
      </c>
    </row>
    <row r="73" spans="11:11" hidden="1" x14ac:dyDescent="0.2">
      <c r="K73" s="204" t="s">
        <v>83</v>
      </c>
    </row>
    <row r="74" spans="11:11" hidden="1" x14ac:dyDescent="0.2">
      <c r="K74" s="204" t="s">
        <v>84</v>
      </c>
    </row>
    <row r="75" spans="11:11" hidden="1" x14ac:dyDescent="0.2">
      <c r="K75" s="204" t="s">
        <v>85</v>
      </c>
    </row>
    <row r="76" spans="11:11" hidden="1" x14ac:dyDescent="0.2">
      <c r="K76" s="204" t="s">
        <v>86</v>
      </c>
    </row>
    <row r="77" spans="11:11" hidden="1" x14ac:dyDescent="0.2">
      <c r="K77" s="204" t="s">
        <v>87</v>
      </c>
    </row>
    <row r="78" spans="11:11" hidden="1" x14ac:dyDescent="0.2">
      <c r="K78" s="204" t="s">
        <v>88</v>
      </c>
    </row>
    <row r="79" spans="11:11" hidden="1" x14ac:dyDescent="0.2">
      <c r="K79" s="204" t="s">
        <v>89</v>
      </c>
    </row>
    <row r="80" spans="11:11" hidden="1" x14ac:dyDescent="0.2">
      <c r="K80" s="204" t="s">
        <v>90</v>
      </c>
    </row>
    <row r="81" spans="11:11" hidden="1" x14ac:dyDescent="0.2">
      <c r="K81" s="204" t="s">
        <v>91</v>
      </c>
    </row>
    <row r="82" spans="11:11" hidden="1" x14ac:dyDescent="0.2">
      <c r="K82" s="204" t="s">
        <v>92</v>
      </c>
    </row>
    <row r="83" spans="11:11" hidden="1" x14ac:dyDescent="0.2">
      <c r="K83" s="204" t="s">
        <v>93</v>
      </c>
    </row>
    <row r="84" spans="11:11" hidden="1" x14ac:dyDescent="0.2">
      <c r="K84" s="204" t="s">
        <v>94</v>
      </c>
    </row>
    <row r="85" spans="11:11" hidden="1" x14ac:dyDescent="0.2">
      <c r="K85" s="204" t="s">
        <v>47</v>
      </c>
    </row>
  </sheetData>
  <dataValidations count="3">
    <dataValidation type="list" allowBlank="1" showInputMessage="1" showErrorMessage="1" sqref="B16:B19" xr:uid="{318DC313-66E3-4FA3-8001-3B0EBB0BF780}">
      <formula1>$K$29:$K$85</formula1>
    </dataValidation>
    <dataValidation type="list" allowBlank="1" showInputMessage="1" showErrorMessage="1" sqref="B20:B21" xr:uid="{2402F1F6-2C33-451A-BEA7-C712A021AEF8}">
      <formula1>$K$29:$K$40</formula1>
    </dataValidation>
    <dataValidation type="list" allowBlank="1" showInputMessage="1" showErrorMessage="1" sqref="I50 K15:K21" xr:uid="{AB2B3343-0B6E-4BF7-997F-2A04E0B09CAF}">
      <formula1>$I$41:$I$50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E289A-5920-4F1D-988E-272A71654D73}">
  <dimension ref="A1:K85"/>
  <sheetViews>
    <sheetView workbookViewId="0">
      <selection sqref="A1:XFD1048576"/>
    </sheetView>
  </sheetViews>
  <sheetFormatPr baseColWidth="10" defaultColWidth="9.1640625" defaultRowHeight="16" x14ac:dyDescent="0.2"/>
  <cols>
    <col min="1" max="1" width="5.1640625" style="204" customWidth="1"/>
    <col min="2" max="2" width="22.5" style="204" customWidth="1"/>
    <col min="3" max="3" width="6.1640625" style="204" customWidth="1"/>
    <col min="4" max="4" width="12.5" style="204" bestFit="1" customWidth="1"/>
    <col min="5" max="5" width="9.83203125" style="204" customWidth="1"/>
    <col min="6" max="6" width="9.33203125" style="204" bestFit="1" customWidth="1"/>
    <col min="7" max="7" width="8.6640625" style="204" customWidth="1"/>
    <col min="8" max="8" width="9.5" style="204" bestFit="1" customWidth="1"/>
    <col min="9" max="9" width="17.83203125" style="204" bestFit="1" customWidth="1"/>
    <col min="10" max="10" width="10.33203125" style="204" bestFit="1" customWidth="1"/>
    <col min="11" max="11" width="75" style="204" bestFit="1" customWidth="1"/>
    <col min="12" max="16384" width="9.1640625" style="204"/>
  </cols>
  <sheetData>
    <row r="1" spans="1:11" x14ac:dyDescent="0.2">
      <c r="A1" s="204" t="s">
        <v>0</v>
      </c>
      <c r="I1" s="219"/>
    </row>
    <row r="2" spans="1:11" x14ac:dyDescent="0.2">
      <c r="J2" s="220"/>
    </row>
    <row r="3" spans="1:11" x14ac:dyDescent="0.2">
      <c r="A3" s="219" t="s">
        <v>1</v>
      </c>
    </row>
    <row r="4" spans="1:11" x14ac:dyDescent="0.2">
      <c r="A4" s="219"/>
      <c r="I4" s="220" t="s">
        <v>2</v>
      </c>
      <c r="J4" s="221">
        <v>45949</v>
      </c>
    </row>
    <row r="5" spans="1:11" x14ac:dyDescent="0.2">
      <c r="J5" s="204" t="s">
        <v>3</v>
      </c>
    </row>
    <row r="6" spans="1:11" ht="34" x14ac:dyDescent="0.2">
      <c r="A6" s="11" t="s">
        <v>4</v>
      </c>
      <c r="B6" s="11" t="s">
        <v>5</v>
      </c>
      <c r="C6" s="11" t="s">
        <v>6</v>
      </c>
      <c r="D6" s="11" t="s">
        <v>7</v>
      </c>
      <c r="E6" s="11" t="s">
        <v>8</v>
      </c>
      <c r="F6" s="11" t="s">
        <v>9</v>
      </c>
      <c r="G6" s="222" t="s">
        <v>10</v>
      </c>
      <c r="H6" s="222" t="s">
        <v>11</v>
      </c>
      <c r="I6" s="222" t="s">
        <v>12</v>
      </c>
      <c r="J6" s="223"/>
      <c r="K6" s="11" t="s">
        <v>13</v>
      </c>
    </row>
    <row r="7" spans="1:11" ht="34" x14ac:dyDescent="0.2">
      <c r="A7" s="222"/>
      <c r="B7" s="224"/>
      <c r="C7" s="11"/>
      <c r="D7" s="11" t="s">
        <v>14</v>
      </c>
      <c r="E7" s="11" t="s">
        <v>15</v>
      </c>
      <c r="F7" s="225" t="s">
        <v>16</v>
      </c>
      <c r="G7" s="225" t="s">
        <v>15</v>
      </c>
      <c r="H7" s="225" t="s">
        <v>17</v>
      </c>
      <c r="I7" s="11" t="s">
        <v>18</v>
      </c>
      <c r="J7" s="225" t="s">
        <v>19</v>
      </c>
      <c r="K7" s="225"/>
    </row>
    <row r="8" spans="1:11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2">
      <c r="A9" s="186">
        <v>1</v>
      </c>
      <c r="B9" s="187" t="s">
        <v>241</v>
      </c>
      <c r="C9" s="161">
        <v>16.5</v>
      </c>
      <c r="D9" s="14">
        <v>2.85</v>
      </c>
      <c r="E9" s="163">
        <v>1485</v>
      </c>
      <c r="F9" s="162">
        <v>23.8</v>
      </c>
      <c r="G9" s="15">
        <f t="shared" ref="G9:G12" si="0">E9*F9</f>
        <v>35343</v>
      </c>
      <c r="H9" s="16">
        <f>F9*C9</f>
        <v>392.7</v>
      </c>
      <c r="I9" s="179" t="s">
        <v>20</v>
      </c>
      <c r="J9" s="188">
        <v>2.4305555555555556E-2</v>
      </c>
      <c r="K9" s="202" t="s">
        <v>239</v>
      </c>
    </row>
    <row r="10" spans="1:11" ht="17" x14ac:dyDescent="0.2">
      <c r="A10" s="190">
        <v>2</v>
      </c>
      <c r="B10" s="187" t="s">
        <v>241</v>
      </c>
      <c r="C10" s="161">
        <v>19</v>
      </c>
      <c r="D10" s="14">
        <v>2.85</v>
      </c>
      <c r="E10" s="163">
        <v>1369</v>
      </c>
      <c r="F10" s="162">
        <v>15.7</v>
      </c>
      <c r="G10" s="15">
        <f t="shared" si="0"/>
        <v>21493.3</v>
      </c>
      <c r="H10" s="16">
        <f t="shared" ref="H10:H12" si="1">F10*C10</f>
        <v>298.3</v>
      </c>
      <c r="I10" s="179" t="s">
        <v>44</v>
      </c>
      <c r="J10" s="188">
        <v>2.7777777777777776E-2</v>
      </c>
      <c r="K10" s="189" t="s">
        <v>44</v>
      </c>
    </row>
    <row r="11" spans="1:11" ht="17" x14ac:dyDescent="0.2">
      <c r="A11" s="186">
        <v>3</v>
      </c>
      <c r="B11" s="187" t="s">
        <v>236</v>
      </c>
      <c r="C11" s="161">
        <v>19</v>
      </c>
      <c r="D11" s="14">
        <v>2.85</v>
      </c>
      <c r="E11" s="163">
        <v>1312</v>
      </c>
      <c r="F11" s="175">
        <v>16</v>
      </c>
      <c r="G11" s="15">
        <f t="shared" si="0"/>
        <v>20992</v>
      </c>
      <c r="H11" s="16">
        <f t="shared" si="1"/>
        <v>304</v>
      </c>
      <c r="I11" s="179"/>
      <c r="J11" s="188"/>
      <c r="K11" s="189"/>
    </row>
    <row r="12" spans="1:11" ht="19.25" customHeight="1" x14ac:dyDescent="0.2">
      <c r="A12" s="190">
        <v>4</v>
      </c>
      <c r="B12" s="187" t="s">
        <v>261</v>
      </c>
      <c r="C12" s="176">
        <v>22</v>
      </c>
      <c r="D12" s="14">
        <v>2.85</v>
      </c>
      <c r="E12" s="177">
        <v>1284</v>
      </c>
      <c r="F12" s="178">
        <v>39.5</v>
      </c>
      <c r="G12" s="15">
        <f t="shared" si="0"/>
        <v>50718</v>
      </c>
      <c r="H12" s="16">
        <f t="shared" si="1"/>
        <v>869</v>
      </c>
      <c r="I12" s="195"/>
      <c r="J12" s="194"/>
      <c r="K12" s="189"/>
    </row>
    <row r="13" spans="1:11" x14ac:dyDescent="0.2">
      <c r="A13" s="191"/>
      <c r="B13" s="187"/>
      <c r="C13" s="176"/>
      <c r="D13" s="14"/>
      <c r="E13" s="177"/>
      <c r="F13" s="178"/>
      <c r="G13" s="15"/>
      <c r="H13" s="16"/>
      <c r="I13" s="179"/>
      <c r="J13" s="188"/>
      <c r="K13" s="189"/>
    </row>
    <row r="14" spans="1:11" x14ac:dyDescent="0.2">
      <c r="A14" s="186"/>
      <c r="B14" s="187"/>
      <c r="C14" s="180"/>
      <c r="D14" s="14"/>
      <c r="E14" s="181"/>
      <c r="F14" s="182"/>
      <c r="G14" s="15"/>
      <c r="H14" s="16"/>
      <c r="I14" s="195"/>
      <c r="J14" s="194"/>
      <c r="K14" s="203"/>
    </row>
    <row r="15" spans="1:11" x14ac:dyDescent="0.2">
      <c r="A15" s="190"/>
      <c r="B15" s="187"/>
      <c r="C15" s="192"/>
      <c r="D15" s="14"/>
      <c r="E15" s="181"/>
      <c r="F15" s="193"/>
      <c r="G15" s="15"/>
      <c r="H15" s="16"/>
      <c r="I15" s="19"/>
      <c r="J15" s="18"/>
      <c r="K15" s="17"/>
    </row>
    <row r="16" spans="1:11" x14ac:dyDescent="0.2">
      <c r="A16" s="197"/>
      <c r="B16" s="198"/>
      <c r="C16" s="161"/>
      <c r="D16" s="14"/>
      <c r="E16" s="177"/>
      <c r="F16" s="161"/>
      <c r="G16" s="15"/>
      <c r="H16" s="16"/>
      <c r="I16" s="19"/>
      <c r="J16" s="18"/>
      <c r="K16" s="20"/>
    </row>
    <row r="17" spans="1:11" x14ac:dyDescent="0.2">
      <c r="A17" s="197"/>
      <c r="B17" s="198"/>
      <c r="C17" s="161"/>
      <c r="D17" s="14"/>
      <c r="E17" s="181"/>
      <c r="F17" s="161"/>
      <c r="G17" s="15"/>
      <c r="H17" s="16"/>
      <c r="I17" s="19"/>
      <c r="J17" s="18"/>
      <c r="K17" s="20"/>
    </row>
    <row r="18" spans="1:11" x14ac:dyDescent="0.2">
      <c r="A18" s="197"/>
      <c r="B18" s="198"/>
      <c r="C18" s="161"/>
      <c r="D18" s="14"/>
      <c r="E18" s="181"/>
      <c r="F18" s="161"/>
      <c r="G18" s="15"/>
      <c r="H18" s="16"/>
      <c r="I18" s="10"/>
      <c r="J18" s="13"/>
      <c r="K18" s="10"/>
    </row>
    <row r="19" spans="1:11" x14ac:dyDescent="0.2">
      <c r="A19" s="11"/>
      <c r="B19" s="10"/>
      <c r="C19" s="12"/>
      <c r="D19" s="200"/>
      <c r="E19" s="11"/>
      <c r="F19" s="12"/>
      <c r="G19" s="201"/>
      <c r="H19" s="12"/>
      <c r="I19" s="10"/>
      <c r="J19" s="13"/>
      <c r="K19" s="10"/>
    </row>
    <row r="20" spans="1:11" x14ac:dyDescent="0.2">
      <c r="A20" s="11"/>
      <c r="B20" s="10"/>
      <c r="C20" s="12"/>
      <c r="D20" s="200"/>
      <c r="E20" s="11"/>
      <c r="F20" s="12"/>
      <c r="G20" s="201"/>
      <c r="H20" s="12"/>
      <c r="I20" s="10"/>
      <c r="J20" s="13"/>
      <c r="K20" s="10"/>
    </row>
    <row r="21" spans="1:11" x14ac:dyDescent="0.2">
      <c r="A21" s="11"/>
      <c r="B21" s="10"/>
      <c r="C21" s="205"/>
      <c r="D21" s="11"/>
      <c r="E21" s="13"/>
      <c r="F21" s="205"/>
      <c r="G21" s="201"/>
      <c r="H21" s="12"/>
      <c r="I21" s="10"/>
      <c r="J21" s="13"/>
      <c r="K21" s="10"/>
    </row>
    <row r="22" spans="1:11" x14ac:dyDescent="0.2">
      <c r="A22" s="206"/>
      <c r="B22" s="207"/>
      <c r="C22" s="208"/>
      <c r="D22" s="208"/>
      <c r="E22" s="226" t="s">
        <v>21</v>
      </c>
      <c r="F22" s="227">
        <f>SUM(F9:F21)</f>
        <v>95</v>
      </c>
      <c r="G22" s="228">
        <f>SUM(G9:G21)/F22</f>
        <v>1353.118947368421</v>
      </c>
      <c r="H22" s="229">
        <f>SUM(H9:H21)/F22</f>
        <v>19.621052631578948</v>
      </c>
      <c r="I22" s="209" t="s">
        <v>22</v>
      </c>
      <c r="J22" s="210">
        <v>5.2083333333333336E-2</v>
      </c>
      <c r="K22" s="207"/>
    </row>
    <row r="23" spans="1:11" x14ac:dyDescent="0.2">
      <c r="E23" s="211"/>
      <c r="F23" s="212"/>
      <c r="I23" s="230" t="s">
        <v>23</v>
      </c>
      <c r="J23" s="231">
        <v>1.25</v>
      </c>
    </row>
    <row r="24" spans="1:11" x14ac:dyDescent="0.2">
      <c r="I24" s="212"/>
      <c r="J24" s="213"/>
    </row>
    <row r="25" spans="1:11" x14ac:dyDescent="0.2">
      <c r="A25" s="10" t="s">
        <v>24</v>
      </c>
      <c r="B25" s="10"/>
      <c r="C25" s="10"/>
      <c r="D25" s="205"/>
      <c r="H25" s="220" t="s">
        <v>25</v>
      </c>
      <c r="I25" s="220"/>
      <c r="J25" s="211">
        <f>F22</f>
        <v>95</v>
      </c>
      <c r="K25" s="204" t="s">
        <v>16</v>
      </c>
    </row>
    <row r="26" spans="1:11" x14ac:dyDescent="0.2">
      <c r="A26" s="10" t="s">
        <v>26</v>
      </c>
      <c r="B26" s="10"/>
      <c r="C26" s="10"/>
      <c r="D26" s="205"/>
      <c r="H26" s="220" t="s">
        <v>27</v>
      </c>
      <c r="I26" s="220"/>
      <c r="J26" s="211">
        <f>100+96+78+70+83+72+85+80+69+83+83+96+82+82+80+75+80+82+95</f>
        <v>1571</v>
      </c>
      <c r="K26" s="204" t="s">
        <v>16</v>
      </c>
    </row>
    <row r="27" spans="1:11" ht="17" thickBot="1" x14ac:dyDescent="0.25">
      <c r="A27" s="214"/>
      <c r="B27" s="214"/>
      <c r="C27" s="214"/>
      <c r="D27" s="214"/>
      <c r="E27" s="215"/>
      <c r="F27" s="215"/>
      <c r="G27" s="214"/>
      <c r="H27" s="232" t="s">
        <v>28</v>
      </c>
      <c r="I27" s="232"/>
      <c r="J27" s="216">
        <v>40.58</v>
      </c>
      <c r="K27" s="214" t="s">
        <v>29</v>
      </c>
    </row>
    <row r="28" spans="1:11" x14ac:dyDescent="0.2">
      <c r="J28" s="204" t="s">
        <v>3</v>
      </c>
    </row>
    <row r="29" spans="1:11" hidden="1" x14ac:dyDescent="0.2">
      <c r="K29" s="204" t="s">
        <v>30</v>
      </c>
    </row>
    <row r="30" spans="1:11" hidden="1" x14ac:dyDescent="0.2">
      <c r="K30" s="204" t="s">
        <v>31</v>
      </c>
    </row>
    <row r="31" spans="1:11" hidden="1" x14ac:dyDescent="0.2">
      <c r="K31" s="204" t="s">
        <v>32</v>
      </c>
    </row>
    <row r="32" spans="1:11" hidden="1" x14ac:dyDescent="0.2">
      <c r="K32" s="204" t="s">
        <v>33</v>
      </c>
    </row>
    <row r="33" spans="9:11" hidden="1" x14ac:dyDescent="0.2">
      <c r="K33" s="204" t="s">
        <v>34</v>
      </c>
    </row>
    <row r="34" spans="9:11" hidden="1" x14ac:dyDescent="0.2">
      <c r="K34" s="204" t="s">
        <v>35</v>
      </c>
    </row>
    <row r="35" spans="9:11" hidden="1" x14ac:dyDescent="0.2">
      <c r="K35" s="204" t="s">
        <v>36</v>
      </c>
    </row>
    <row r="36" spans="9:11" hidden="1" x14ac:dyDescent="0.2">
      <c r="K36" s="204" t="s">
        <v>37</v>
      </c>
    </row>
    <row r="37" spans="9:11" hidden="1" x14ac:dyDescent="0.2">
      <c r="K37" s="204" t="s">
        <v>38</v>
      </c>
    </row>
    <row r="38" spans="9:11" hidden="1" x14ac:dyDescent="0.2">
      <c r="K38" s="204" t="s">
        <v>39</v>
      </c>
    </row>
    <row r="39" spans="9:11" hidden="1" x14ac:dyDescent="0.2">
      <c r="K39" s="204" t="s">
        <v>40</v>
      </c>
    </row>
    <row r="40" spans="9:11" hidden="1" x14ac:dyDescent="0.2">
      <c r="K40" s="204" t="s">
        <v>41</v>
      </c>
    </row>
    <row r="41" spans="9:11" ht="34" hidden="1" x14ac:dyDescent="0.2">
      <c r="I41" s="217" t="s">
        <v>42</v>
      </c>
      <c r="K41" s="204" t="s">
        <v>43</v>
      </c>
    </row>
    <row r="42" spans="9:11" ht="17" hidden="1" x14ac:dyDescent="0.2">
      <c r="I42" s="217" t="s">
        <v>44</v>
      </c>
      <c r="K42" s="204" t="s">
        <v>45</v>
      </c>
    </row>
    <row r="43" spans="9:11" hidden="1" x14ac:dyDescent="0.2">
      <c r="I43" s="218" t="s">
        <v>46</v>
      </c>
      <c r="K43" s="204" t="s">
        <v>47</v>
      </c>
    </row>
    <row r="44" spans="9:11" hidden="1" x14ac:dyDescent="0.2">
      <c r="I44" s="204" t="s">
        <v>48</v>
      </c>
      <c r="K44" s="204" t="s">
        <v>49</v>
      </c>
    </row>
    <row r="45" spans="9:11" hidden="1" x14ac:dyDescent="0.2">
      <c r="I45" s="204" t="s">
        <v>50</v>
      </c>
      <c r="K45" s="204" t="s">
        <v>51</v>
      </c>
    </row>
    <row r="46" spans="9:11" hidden="1" x14ac:dyDescent="0.2">
      <c r="I46" s="204" t="s">
        <v>52</v>
      </c>
      <c r="K46" s="204" t="s">
        <v>53</v>
      </c>
    </row>
    <row r="47" spans="9:11" hidden="1" x14ac:dyDescent="0.2">
      <c r="I47" s="204" t="s">
        <v>54</v>
      </c>
      <c r="K47" s="204" t="s">
        <v>55</v>
      </c>
    </row>
    <row r="48" spans="9:11" hidden="1" x14ac:dyDescent="0.2">
      <c r="I48" s="204" t="s">
        <v>56</v>
      </c>
      <c r="K48" s="204" t="s">
        <v>57</v>
      </c>
    </row>
    <row r="49" spans="9:11" hidden="1" x14ac:dyDescent="0.2">
      <c r="I49" s="204" t="s">
        <v>58</v>
      </c>
      <c r="K49" s="204" t="s">
        <v>59</v>
      </c>
    </row>
    <row r="50" spans="9:11" hidden="1" x14ac:dyDescent="0.2">
      <c r="I50" s="204" t="s">
        <v>60</v>
      </c>
      <c r="K50" s="204" t="s">
        <v>61</v>
      </c>
    </row>
    <row r="51" spans="9:11" hidden="1" x14ac:dyDescent="0.2">
      <c r="K51" s="204" t="s">
        <v>62</v>
      </c>
    </row>
    <row r="52" spans="9:11" hidden="1" x14ac:dyDescent="0.2">
      <c r="K52" s="204" t="s">
        <v>63</v>
      </c>
    </row>
    <row r="53" spans="9:11" hidden="1" x14ac:dyDescent="0.2">
      <c r="K53" s="204" t="s">
        <v>64</v>
      </c>
    </row>
    <row r="54" spans="9:11" hidden="1" x14ac:dyDescent="0.2">
      <c r="K54" s="204" t="s">
        <v>65</v>
      </c>
    </row>
    <row r="55" spans="9:11" hidden="1" x14ac:dyDescent="0.2">
      <c r="K55" s="204" t="s">
        <v>66</v>
      </c>
    </row>
    <row r="56" spans="9:11" hidden="1" x14ac:dyDescent="0.2">
      <c r="K56" s="204" t="s">
        <v>67</v>
      </c>
    </row>
    <row r="57" spans="9:11" hidden="1" x14ac:dyDescent="0.2">
      <c r="K57" s="204" t="s">
        <v>68</v>
      </c>
    </row>
    <row r="58" spans="9:11" hidden="1" x14ac:dyDescent="0.2">
      <c r="K58" s="204" t="s">
        <v>69</v>
      </c>
    </row>
    <row r="59" spans="9:11" hidden="1" x14ac:dyDescent="0.2">
      <c r="K59" s="204" t="s">
        <v>70</v>
      </c>
    </row>
    <row r="60" spans="9:11" hidden="1" x14ac:dyDescent="0.2">
      <c r="K60" s="204" t="s">
        <v>71</v>
      </c>
    </row>
    <row r="61" spans="9:11" hidden="1" x14ac:dyDescent="0.2">
      <c r="K61" s="204" t="s">
        <v>72</v>
      </c>
    </row>
    <row r="62" spans="9:11" hidden="1" x14ac:dyDescent="0.2">
      <c r="K62" s="204" t="s">
        <v>73</v>
      </c>
    </row>
    <row r="63" spans="9:11" hidden="1" x14ac:dyDescent="0.2">
      <c r="K63" s="204" t="s">
        <v>67</v>
      </c>
    </row>
    <row r="64" spans="9:11" hidden="1" x14ac:dyDescent="0.2">
      <c r="K64" s="204" t="s">
        <v>74</v>
      </c>
    </row>
    <row r="65" spans="11:11" hidden="1" x14ac:dyDescent="0.2">
      <c r="K65" s="204" t="s">
        <v>75</v>
      </c>
    </row>
    <row r="66" spans="11:11" hidden="1" x14ac:dyDescent="0.2">
      <c r="K66" s="204" t="s">
        <v>76</v>
      </c>
    </row>
    <row r="67" spans="11:11" hidden="1" x14ac:dyDescent="0.2">
      <c r="K67" s="204" t="s">
        <v>77</v>
      </c>
    </row>
    <row r="68" spans="11:11" hidden="1" x14ac:dyDescent="0.2">
      <c r="K68" s="204" t="s">
        <v>78</v>
      </c>
    </row>
    <row r="69" spans="11:11" hidden="1" x14ac:dyDescent="0.2">
      <c r="K69" s="204" t="s">
        <v>79</v>
      </c>
    </row>
    <row r="70" spans="11:11" hidden="1" x14ac:dyDescent="0.2">
      <c r="K70" s="204" t="s">
        <v>80</v>
      </c>
    </row>
    <row r="71" spans="11:11" hidden="1" x14ac:dyDescent="0.2">
      <c r="K71" s="204" t="s">
        <v>81</v>
      </c>
    </row>
    <row r="72" spans="11:11" hidden="1" x14ac:dyDescent="0.2">
      <c r="K72" s="204" t="s">
        <v>82</v>
      </c>
    </row>
    <row r="73" spans="11:11" hidden="1" x14ac:dyDescent="0.2">
      <c r="K73" s="204" t="s">
        <v>83</v>
      </c>
    </row>
    <row r="74" spans="11:11" hidden="1" x14ac:dyDescent="0.2">
      <c r="K74" s="204" t="s">
        <v>84</v>
      </c>
    </row>
    <row r="75" spans="11:11" hidden="1" x14ac:dyDescent="0.2">
      <c r="K75" s="204" t="s">
        <v>85</v>
      </c>
    </row>
    <row r="76" spans="11:11" hidden="1" x14ac:dyDescent="0.2">
      <c r="K76" s="204" t="s">
        <v>86</v>
      </c>
    </row>
    <row r="77" spans="11:11" hidden="1" x14ac:dyDescent="0.2">
      <c r="K77" s="204" t="s">
        <v>87</v>
      </c>
    </row>
    <row r="78" spans="11:11" hidden="1" x14ac:dyDescent="0.2">
      <c r="K78" s="204" t="s">
        <v>88</v>
      </c>
    </row>
    <row r="79" spans="11:11" hidden="1" x14ac:dyDescent="0.2">
      <c r="K79" s="204" t="s">
        <v>89</v>
      </c>
    </row>
    <row r="80" spans="11:11" hidden="1" x14ac:dyDescent="0.2">
      <c r="K80" s="204" t="s">
        <v>90</v>
      </c>
    </row>
    <row r="81" spans="11:11" hidden="1" x14ac:dyDescent="0.2">
      <c r="K81" s="204" t="s">
        <v>91</v>
      </c>
    </row>
    <row r="82" spans="11:11" hidden="1" x14ac:dyDescent="0.2">
      <c r="K82" s="204" t="s">
        <v>92</v>
      </c>
    </row>
    <row r="83" spans="11:11" hidden="1" x14ac:dyDescent="0.2">
      <c r="K83" s="204" t="s">
        <v>93</v>
      </c>
    </row>
    <row r="84" spans="11:11" hidden="1" x14ac:dyDescent="0.2">
      <c r="K84" s="204" t="s">
        <v>94</v>
      </c>
    </row>
    <row r="85" spans="11:11" hidden="1" x14ac:dyDescent="0.2">
      <c r="K85" s="204" t="s">
        <v>47</v>
      </c>
    </row>
  </sheetData>
  <dataValidations count="3">
    <dataValidation type="list" allowBlank="1" showInputMessage="1" showErrorMessage="1" sqref="I50 K15:K21" xr:uid="{CFA7B4FE-19D1-483C-BF76-8F4D0819E638}">
      <formula1>$I$41:$I$50</formula1>
    </dataValidation>
    <dataValidation type="list" allowBlank="1" showInputMessage="1" showErrorMessage="1" sqref="B20:B21" xr:uid="{773920D3-28D3-44AB-8F31-FCDE59DF4F62}">
      <formula1>$K$29:$K$40</formula1>
    </dataValidation>
    <dataValidation type="list" allowBlank="1" showInputMessage="1" showErrorMessage="1" sqref="B16:B19" xr:uid="{DB5E5981-09B2-4B90-BBC6-E5AAFD4E0E1D}">
      <formula1>$K$29:$K$85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EC449-D17B-4BA6-99B6-55322862041F}">
  <dimension ref="A1:K85"/>
  <sheetViews>
    <sheetView workbookViewId="0">
      <selection sqref="A1:XFD1048576"/>
    </sheetView>
  </sheetViews>
  <sheetFormatPr baseColWidth="10" defaultColWidth="9.1640625" defaultRowHeight="16" x14ac:dyDescent="0.2"/>
  <cols>
    <col min="1" max="1" width="5.1640625" style="204" customWidth="1"/>
    <col min="2" max="2" width="22.5" style="204" customWidth="1"/>
    <col min="3" max="3" width="6.1640625" style="204" customWidth="1"/>
    <col min="4" max="4" width="12.5" style="204" bestFit="1" customWidth="1"/>
    <col min="5" max="5" width="9.83203125" style="204" customWidth="1"/>
    <col min="6" max="6" width="9.33203125" style="204" bestFit="1" customWidth="1"/>
    <col min="7" max="7" width="8.6640625" style="204" customWidth="1"/>
    <col min="8" max="8" width="9.5" style="204" bestFit="1" customWidth="1"/>
    <col min="9" max="9" width="17.83203125" style="204" bestFit="1" customWidth="1"/>
    <col min="10" max="10" width="10.33203125" style="204" bestFit="1" customWidth="1"/>
    <col min="11" max="11" width="75" style="204" bestFit="1" customWidth="1"/>
    <col min="12" max="16384" width="9.1640625" style="204"/>
  </cols>
  <sheetData>
    <row r="1" spans="1:11" x14ac:dyDescent="0.2">
      <c r="A1" s="204" t="s">
        <v>0</v>
      </c>
      <c r="I1" s="219"/>
    </row>
    <row r="2" spans="1:11" x14ac:dyDescent="0.2">
      <c r="J2" s="220"/>
    </row>
    <row r="3" spans="1:11" x14ac:dyDescent="0.2">
      <c r="A3" s="219" t="s">
        <v>1</v>
      </c>
    </row>
    <row r="4" spans="1:11" x14ac:dyDescent="0.2">
      <c r="A4" s="219"/>
      <c r="I4" s="220" t="s">
        <v>2</v>
      </c>
      <c r="J4" s="221">
        <v>45950</v>
      </c>
    </row>
    <row r="5" spans="1:11" x14ac:dyDescent="0.2">
      <c r="J5" s="204" t="s">
        <v>3</v>
      </c>
    </row>
    <row r="6" spans="1:11" ht="34" x14ac:dyDescent="0.2">
      <c r="A6" s="11" t="s">
        <v>4</v>
      </c>
      <c r="B6" s="11" t="s">
        <v>5</v>
      </c>
      <c r="C6" s="11" t="s">
        <v>6</v>
      </c>
      <c r="D6" s="11" t="s">
        <v>7</v>
      </c>
      <c r="E6" s="11" t="s">
        <v>8</v>
      </c>
      <c r="F6" s="11" t="s">
        <v>9</v>
      </c>
      <c r="G6" s="222" t="s">
        <v>10</v>
      </c>
      <c r="H6" s="222" t="s">
        <v>11</v>
      </c>
      <c r="I6" s="222" t="s">
        <v>12</v>
      </c>
      <c r="J6" s="223"/>
      <c r="K6" s="11" t="s">
        <v>13</v>
      </c>
    </row>
    <row r="7" spans="1:11" ht="34" x14ac:dyDescent="0.2">
      <c r="A7" s="222"/>
      <c r="B7" s="224"/>
      <c r="C7" s="11"/>
      <c r="D7" s="11" t="s">
        <v>14</v>
      </c>
      <c r="E7" s="11" t="s">
        <v>15</v>
      </c>
      <c r="F7" s="225" t="s">
        <v>16</v>
      </c>
      <c r="G7" s="225" t="s">
        <v>15</v>
      </c>
      <c r="H7" s="225" t="s">
        <v>17</v>
      </c>
      <c r="I7" s="11" t="s">
        <v>18</v>
      </c>
      <c r="J7" s="225" t="s">
        <v>19</v>
      </c>
      <c r="K7" s="225"/>
    </row>
    <row r="8" spans="1:11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2">
      <c r="A9" s="186">
        <v>1</v>
      </c>
      <c r="B9" s="187" t="s">
        <v>241</v>
      </c>
      <c r="C9" s="161">
        <v>17</v>
      </c>
      <c r="D9" s="14">
        <v>2.85</v>
      </c>
      <c r="E9" s="163">
        <v>1411</v>
      </c>
      <c r="F9" s="162">
        <v>2.4</v>
      </c>
      <c r="G9" s="15">
        <f t="shared" ref="G9:G10" si="0">E9*F9</f>
        <v>3386.4</v>
      </c>
      <c r="H9" s="16">
        <f>F9*C9</f>
        <v>40.799999999999997</v>
      </c>
      <c r="I9" s="179" t="s">
        <v>20</v>
      </c>
      <c r="J9" s="188">
        <v>2.0833333333333332E-2</v>
      </c>
      <c r="K9" s="202" t="s">
        <v>239</v>
      </c>
    </row>
    <row r="10" spans="1:11" ht="17" x14ac:dyDescent="0.2">
      <c r="A10" s="190">
        <v>2</v>
      </c>
      <c r="B10" s="187" t="s">
        <v>236</v>
      </c>
      <c r="C10" s="161">
        <v>19</v>
      </c>
      <c r="D10" s="14">
        <v>2.85</v>
      </c>
      <c r="E10" s="163">
        <v>1328</v>
      </c>
      <c r="F10" s="162">
        <v>91.6</v>
      </c>
      <c r="G10" s="15">
        <f t="shared" si="0"/>
        <v>121644.79999999999</v>
      </c>
      <c r="H10" s="16">
        <f t="shared" ref="H10" si="1">F10*C10</f>
        <v>1740.3999999999999</v>
      </c>
      <c r="I10" s="179" t="s">
        <v>44</v>
      </c>
      <c r="J10" s="188">
        <v>6.9444444444444441E-3</v>
      </c>
      <c r="K10" s="189" t="s">
        <v>44</v>
      </c>
    </row>
    <row r="11" spans="1:11" x14ac:dyDescent="0.2">
      <c r="A11" s="186"/>
      <c r="B11" s="187"/>
      <c r="C11" s="161"/>
      <c r="D11" s="14"/>
      <c r="E11" s="163"/>
      <c r="F11" s="175"/>
      <c r="G11" s="15"/>
      <c r="H11" s="16"/>
      <c r="I11" s="179" t="s">
        <v>233</v>
      </c>
      <c r="J11" s="188">
        <v>4.8611111111111112E-2</v>
      </c>
      <c r="K11" s="189" t="s">
        <v>238</v>
      </c>
    </row>
    <row r="12" spans="1:11" ht="19.25" customHeight="1" x14ac:dyDescent="0.2">
      <c r="A12" s="190"/>
      <c r="B12" s="187"/>
      <c r="C12" s="176"/>
      <c r="D12" s="14"/>
      <c r="E12" s="177"/>
      <c r="F12" s="178"/>
      <c r="G12" s="15"/>
      <c r="H12" s="16"/>
      <c r="I12" s="195"/>
      <c r="J12" s="194"/>
      <c r="K12" s="189"/>
    </row>
    <row r="13" spans="1:11" x14ac:dyDescent="0.2">
      <c r="A13" s="191"/>
      <c r="B13" s="187"/>
      <c r="C13" s="176"/>
      <c r="D13" s="14"/>
      <c r="E13" s="177"/>
      <c r="F13" s="178"/>
      <c r="G13" s="15"/>
      <c r="H13" s="16"/>
      <c r="I13" s="179"/>
      <c r="J13" s="188"/>
      <c r="K13" s="189"/>
    </row>
    <row r="14" spans="1:11" x14ac:dyDescent="0.2">
      <c r="A14" s="186"/>
      <c r="B14" s="187"/>
      <c r="C14" s="180"/>
      <c r="D14" s="14"/>
      <c r="E14" s="181"/>
      <c r="F14" s="182"/>
      <c r="G14" s="15"/>
      <c r="H14" s="16"/>
      <c r="I14" s="195"/>
      <c r="J14" s="194"/>
      <c r="K14" s="203"/>
    </row>
    <row r="15" spans="1:11" x14ac:dyDescent="0.2">
      <c r="A15" s="190"/>
      <c r="B15" s="187"/>
      <c r="C15" s="192"/>
      <c r="D15" s="14"/>
      <c r="E15" s="181"/>
      <c r="F15" s="193"/>
      <c r="G15" s="15"/>
      <c r="H15" s="16"/>
      <c r="I15" s="19"/>
      <c r="J15" s="18"/>
      <c r="K15" s="17"/>
    </row>
    <row r="16" spans="1:11" x14ac:dyDescent="0.2">
      <c r="A16" s="197"/>
      <c r="B16" s="198"/>
      <c r="C16" s="161"/>
      <c r="D16" s="14"/>
      <c r="E16" s="177"/>
      <c r="F16" s="161"/>
      <c r="G16" s="15"/>
      <c r="H16" s="16"/>
      <c r="I16" s="19"/>
      <c r="J16" s="18"/>
      <c r="K16" s="20"/>
    </row>
    <row r="17" spans="1:11" x14ac:dyDescent="0.2">
      <c r="A17" s="197"/>
      <c r="B17" s="198"/>
      <c r="C17" s="161"/>
      <c r="D17" s="14"/>
      <c r="E17" s="181"/>
      <c r="F17" s="161"/>
      <c r="G17" s="15"/>
      <c r="H17" s="16"/>
      <c r="I17" s="19"/>
      <c r="J17" s="18"/>
      <c r="K17" s="20"/>
    </row>
    <row r="18" spans="1:11" x14ac:dyDescent="0.2">
      <c r="A18" s="197"/>
      <c r="B18" s="198"/>
      <c r="C18" s="161"/>
      <c r="D18" s="14"/>
      <c r="E18" s="181"/>
      <c r="F18" s="161"/>
      <c r="G18" s="15"/>
      <c r="H18" s="16"/>
      <c r="I18" s="10"/>
      <c r="J18" s="13"/>
      <c r="K18" s="10"/>
    </row>
    <row r="19" spans="1:11" x14ac:dyDescent="0.2">
      <c r="A19" s="11"/>
      <c r="B19" s="10"/>
      <c r="C19" s="12"/>
      <c r="D19" s="200"/>
      <c r="E19" s="11"/>
      <c r="F19" s="12"/>
      <c r="G19" s="201"/>
      <c r="H19" s="12"/>
      <c r="I19" s="10"/>
      <c r="J19" s="13"/>
      <c r="K19" s="10"/>
    </row>
    <row r="20" spans="1:11" x14ac:dyDescent="0.2">
      <c r="A20" s="11"/>
      <c r="B20" s="10"/>
      <c r="C20" s="12"/>
      <c r="D20" s="200"/>
      <c r="E20" s="11"/>
      <c r="F20" s="12"/>
      <c r="G20" s="201"/>
      <c r="H20" s="12"/>
      <c r="I20" s="10"/>
      <c r="J20" s="13"/>
      <c r="K20" s="10"/>
    </row>
    <row r="21" spans="1:11" x14ac:dyDescent="0.2">
      <c r="A21" s="11"/>
      <c r="B21" s="10"/>
      <c r="C21" s="205"/>
      <c r="D21" s="11"/>
      <c r="E21" s="13"/>
      <c r="F21" s="205"/>
      <c r="G21" s="201"/>
      <c r="H21" s="12"/>
      <c r="I21" s="10"/>
      <c r="J21" s="13"/>
      <c r="K21" s="10"/>
    </row>
    <row r="22" spans="1:11" x14ac:dyDescent="0.2">
      <c r="A22" s="206"/>
      <c r="B22" s="207"/>
      <c r="C22" s="208"/>
      <c r="D22" s="208"/>
      <c r="E22" s="226" t="s">
        <v>21</v>
      </c>
      <c r="F22" s="227">
        <f>SUM(F9:F21)</f>
        <v>94</v>
      </c>
      <c r="G22" s="228">
        <f>SUM(G9:G21)/F22</f>
        <v>1330.1191489361699</v>
      </c>
      <c r="H22" s="229">
        <f>SUM(H9:H21)/F22</f>
        <v>18.948936170212765</v>
      </c>
      <c r="I22" s="209" t="s">
        <v>22</v>
      </c>
      <c r="J22" s="210">
        <v>7.6388888888888895E-2</v>
      </c>
      <c r="K22" s="207"/>
    </row>
    <row r="23" spans="1:11" x14ac:dyDescent="0.2">
      <c r="E23" s="211"/>
      <c r="F23" s="212"/>
      <c r="I23" s="230" t="s">
        <v>23</v>
      </c>
      <c r="J23" s="231">
        <v>1.83</v>
      </c>
    </row>
    <row r="24" spans="1:11" x14ac:dyDescent="0.2">
      <c r="I24" s="212"/>
      <c r="J24" s="213"/>
    </row>
    <row r="25" spans="1:11" x14ac:dyDescent="0.2">
      <c r="A25" s="10" t="s">
        <v>24</v>
      </c>
      <c r="B25" s="10"/>
      <c r="C25" s="10"/>
      <c r="D25" s="205"/>
      <c r="H25" s="220" t="s">
        <v>25</v>
      </c>
      <c r="I25" s="220"/>
      <c r="J25" s="211">
        <f>F22</f>
        <v>94</v>
      </c>
      <c r="K25" s="204" t="s">
        <v>16</v>
      </c>
    </row>
    <row r="26" spans="1:11" x14ac:dyDescent="0.2">
      <c r="A26" s="10" t="s">
        <v>26</v>
      </c>
      <c r="B26" s="10"/>
      <c r="C26" s="10"/>
      <c r="D26" s="205"/>
      <c r="H26" s="220" t="s">
        <v>27</v>
      </c>
      <c r="I26" s="220"/>
      <c r="J26" s="211">
        <f>100+96+78+70+83+72+85+80+69+83+83+96+82+82+80+75+80+82+95+94</f>
        <v>1665</v>
      </c>
      <c r="K26" s="204" t="s">
        <v>16</v>
      </c>
    </row>
    <row r="27" spans="1:11" ht="17" thickBot="1" x14ac:dyDescent="0.25">
      <c r="A27" s="214"/>
      <c r="B27" s="214"/>
      <c r="C27" s="214"/>
      <c r="D27" s="214"/>
      <c r="E27" s="215"/>
      <c r="F27" s="215"/>
      <c r="G27" s="214"/>
      <c r="H27" s="232" t="s">
        <v>28</v>
      </c>
      <c r="I27" s="232"/>
      <c r="J27" s="216">
        <v>42.42</v>
      </c>
      <c r="K27" s="214" t="s">
        <v>29</v>
      </c>
    </row>
    <row r="28" spans="1:11" x14ac:dyDescent="0.2">
      <c r="J28" s="204" t="s">
        <v>3</v>
      </c>
    </row>
    <row r="29" spans="1:11" hidden="1" x14ac:dyDescent="0.2">
      <c r="K29" s="204" t="s">
        <v>30</v>
      </c>
    </row>
    <row r="30" spans="1:11" hidden="1" x14ac:dyDescent="0.2">
      <c r="K30" s="204" t="s">
        <v>31</v>
      </c>
    </row>
    <row r="31" spans="1:11" hidden="1" x14ac:dyDescent="0.2">
      <c r="K31" s="204" t="s">
        <v>32</v>
      </c>
    </row>
    <row r="32" spans="1:11" hidden="1" x14ac:dyDescent="0.2">
      <c r="K32" s="204" t="s">
        <v>33</v>
      </c>
    </row>
    <row r="33" spans="9:11" hidden="1" x14ac:dyDescent="0.2">
      <c r="K33" s="204" t="s">
        <v>34</v>
      </c>
    </row>
    <row r="34" spans="9:11" hidden="1" x14ac:dyDescent="0.2">
      <c r="K34" s="204" t="s">
        <v>35</v>
      </c>
    </row>
    <row r="35" spans="9:11" hidden="1" x14ac:dyDescent="0.2">
      <c r="K35" s="204" t="s">
        <v>36</v>
      </c>
    </row>
    <row r="36" spans="9:11" hidden="1" x14ac:dyDescent="0.2">
      <c r="K36" s="204" t="s">
        <v>37</v>
      </c>
    </row>
    <row r="37" spans="9:11" hidden="1" x14ac:dyDescent="0.2">
      <c r="K37" s="204" t="s">
        <v>38</v>
      </c>
    </row>
    <row r="38" spans="9:11" hidden="1" x14ac:dyDescent="0.2">
      <c r="K38" s="204" t="s">
        <v>39</v>
      </c>
    </row>
    <row r="39" spans="9:11" hidden="1" x14ac:dyDescent="0.2">
      <c r="K39" s="204" t="s">
        <v>40</v>
      </c>
    </row>
    <row r="40" spans="9:11" hidden="1" x14ac:dyDescent="0.2">
      <c r="K40" s="204" t="s">
        <v>41</v>
      </c>
    </row>
    <row r="41" spans="9:11" ht="34" hidden="1" x14ac:dyDescent="0.2">
      <c r="I41" s="217" t="s">
        <v>42</v>
      </c>
      <c r="K41" s="204" t="s">
        <v>43</v>
      </c>
    </row>
    <row r="42" spans="9:11" ht="17" hidden="1" x14ac:dyDescent="0.2">
      <c r="I42" s="217" t="s">
        <v>44</v>
      </c>
      <c r="K42" s="204" t="s">
        <v>45</v>
      </c>
    </row>
    <row r="43" spans="9:11" hidden="1" x14ac:dyDescent="0.2">
      <c r="I43" s="218" t="s">
        <v>46</v>
      </c>
      <c r="K43" s="204" t="s">
        <v>47</v>
      </c>
    </row>
    <row r="44" spans="9:11" hidden="1" x14ac:dyDescent="0.2">
      <c r="I44" s="204" t="s">
        <v>48</v>
      </c>
      <c r="K44" s="204" t="s">
        <v>49</v>
      </c>
    </row>
    <row r="45" spans="9:11" hidden="1" x14ac:dyDescent="0.2">
      <c r="I45" s="204" t="s">
        <v>50</v>
      </c>
      <c r="K45" s="204" t="s">
        <v>51</v>
      </c>
    </row>
    <row r="46" spans="9:11" hidden="1" x14ac:dyDescent="0.2">
      <c r="I46" s="204" t="s">
        <v>52</v>
      </c>
      <c r="K46" s="204" t="s">
        <v>53</v>
      </c>
    </row>
    <row r="47" spans="9:11" hidden="1" x14ac:dyDescent="0.2">
      <c r="I47" s="204" t="s">
        <v>54</v>
      </c>
      <c r="K47" s="204" t="s">
        <v>55</v>
      </c>
    </row>
    <row r="48" spans="9:11" hidden="1" x14ac:dyDescent="0.2">
      <c r="I48" s="204" t="s">
        <v>56</v>
      </c>
      <c r="K48" s="204" t="s">
        <v>57</v>
      </c>
    </row>
    <row r="49" spans="9:11" hidden="1" x14ac:dyDescent="0.2">
      <c r="I49" s="204" t="s">
        <v>58</v>
      </c>
      <c r="K49" s="204" t="s">
        <v>59</v>
      </c>
    </row>
    <row r="50" spans="9:11" hidden="1" x14ac:dyDescent="0.2">
      <c r="I50" s="204" t="s">
        <v>60</v>
      </c>
      <c r="K50" s="204" t="s">
        <v>61</v>
      </c>
    </row>
    <row r="51" spans="9:11" hidden="1" x14ac:dyDescent="0.2">
      <c r="K51" s="204" t="s">
        <v>62</v>
      </c>
    </row>
    <row r="52" spans="9:11" hidden="1" x14ac:dyDescent="0.2">
      <c r="K52" s="204" t="s">
        <v>63</v>
      </c>
    </row>
    <row r="53" spans="9:11" hidden="1" x14ac:dyDescent="0.2">
      <c r="K53" s="204" t="s">
        <v>64</v>
      </c>
    </row>
    <row r="54" spans="9:11" hidden="1" x14ac:dyDescent="0.2">
      <c r="K54" s="204" t="s">
        <v>65</v>
      </c>
    </row>
    <row r="55" spans="9:11" hidden="1" x14ac:dyDescent="0.2">
      <c r="K55" s="204" t="s">
        <v>66</v>
      </c>
    </row>
    <row r="56" spans="9:11" hidden="1" x14ac:dyDescent="0.2">
      <c r="K56" s="204" t="s">
        <v>67</v>
      </c>
    </row>
    <row r="57" spans="9:11" hidden="1" x14ac:dyDescent="0.2">
      <c r="K57" s="204" t="s">
        <v>68</v>
      </c>
    </row>
    <row r="58" spans="9:11" hidden="1" x14ac:dyDescent="0.2">
      <c r="K58" s="204" t="s">
        <v>69</v>
      </c>
    </row>
    <row r="59" spans="9:11" hidden="1" x14ac:dyDescent="0.2">
      <c r="K59" s="204" t="s">
        <v>70</v>
      </c>
    </row>
    <row r="60" spans="9:11" hidden="1" x14ac:dyDescent="0.2">
      <c r="K60" s="204" t="s">
        <v>71</v>
      </c>
    </row>
    <row r="61" spans="9:11" hidden="1" x14ac:dyDescent="0.2">
      <c r="K61" s="204" t="s">
        <v>72</v>
      </c>
    </row>
    <row r="62" spans="9:11" hidden="1" x14ac:dyDescent="0.2">
      <c r="K62" s="204" t="s">
        <v>73</v>
      </c>
    </row>
    <row r="63" spans="9:11" hidden="1" x14ac:dyDescent="0.2">
      <c r="K63" s="204" t="s">
        <v>67</v>
      </c>
    </row>
    <row r="64" spans="9:11" hidden="1" x14ac:dyDescent="0.2">
      <c r="K64" s="204" t="s">
        <v>74</v>
      </c>
    </row>
    <row r="65" spans="11:11" hidden="1" x14ac:dyDescent="0.2">
      <c r="K65" s="204" t="s">
        <v>75</v>
      </c>
    </row>
    <row r="66" spans="11:11" hidden="1" x14ac:dyDescent="0.2">
      <c r="K66" s="204" t="s">
        <v>76</v>
      </c>
    </row>
    <row r="67" spans="11:11" hidden="1" x14ac:dyDescent="0.2">
      <c r="K67" s="204" t="s">
        <v>77</v>
      </c>
    </row>
    <row r="68" spans="11:11" hidden="1" x14ac:dyDescent="0.2">
      <c r="K68" s="204" t="s">
        <v>78</v>
      </c>
    </row>
    <row r="69" spans="11:11" hidden="1" x14ac:dyDescent="0.2">
      <c r="K69" s="204" t="s">
        <v>79</v>
      </c>
    </row>
    <row r="70" spans="11:11" hidden="1" x14ac:dyDescent="0.2">
      <c r="K70" s="204" t="s">
        <v>80</v>
      </c>
    </row>
    <row r="71" spans="11:11" hidden="1" x14ac:dyDescent="0.2">
      <c r="K71" s="204" t="s">
        <v>81</v>
      </c>
    </row>
    <row r="72" spans="11:11" hidden="1" x14ac:dyDescent="0.2">
      <c r="K72" s="204" t="s">
        <v>82</v>
      </c>
    </row>
    <row r="73" spans="11:11" hidden="1" x14ac:dyDescent="0.2">
      <c r="K73" s="204" t="s">
        <v>83</v>
      </c>
    </row>
    <row r="74" spans="11:11" hidden="1" x14ac:dyDescent="0.2">
      <c r="K74" s="204" t="s">
        <v>84</v>
      </c>
    </row>
    <row r="75" spans="11:11" hidden="1" x14ac:dyDescent="0.2">
      <c r="K75" s="204" t="s">
        <v>85</v>
      </c>
    </row>
    <row r="76" spans="11:11" hidden="1" x14ac:dyDescent="0.2">
      <c r="K76" s="204" t="s">
        <v>86</v>
      </c>
    </row>
    <row r="77" spans="11:11" hidden="1" x14ac:dyDescent="0.2">
      <c r="K77" s="204" t="s">
        <v>87</v>
      </c>
    </row>
    <row r="78" spans="11:11" hidden="1" x14ac:dyDescent="0.2">
      <c r="K78" s="204" t="s">
        <v>88</v>
      </c>
    </row>
    <row r="79" spans="11:11" hidden="1" x14ac:dyDescent="0.2">
      <c r="K79" s="204" t="s">
        <v>89</v>
      </c>
    </row>
    <row r="80" spans="11:11" hidden="1" x14ac:dyDescent="0.2">
      <c r="K80" s="204" t="s">
        <v>90</v>
      </c>
    </row>
    <row r="81" spans="11:11" hidden="1" x14ac:dyDescent="0.2">
      <c r="K81" s="204" t="s">
        <v>91</v>
      </c>
    </row>
    <row r="82" spans="11:11" hidden="1" x14ac:dyDescent="0.2">
      <c r="K82" s="204" t="s">
        <v>92</v>
      </c>
    </row>
    <row r="83" spans="11:11" hidden="1" x14ac:dyDescent="0.2">
      <c r="K83" s="204" t="s">
        <v>93</v>
      </c>
    </row>
    <row r="84" spans="11:11" hidden="1" x14ac:dyDescent="0.2">
      <c r="K84" s="204" t="s">
        <v>94</v>
      </c>
    </row>
    <row r="85" spans="11:11" hidden="1" x14ac:dyDescent="0.2">
      <c r="K85" s="204" t="s">
        <v>47</v>
      </c>
    </row>
  </sheetData>
  <dataValidations count="3">
    <dataValidation type="list" allowBlank="1" showInputMessage="1" showErrorMessage="1" sqref="B16:B19" xr:uid="{495E6A04-F671-4208-A026-0E07079A5A37}">
      <formula1>$K$29:$K$85</formula1>
    </dataValidation>
    <dataValidation type="list" allowBlank="1" showInputMessage="1" showErrorMessage="1" sqref="B20:B21" xr:uid="{7019F34E-1B66-4570-8ACC-ED3EAA696A0C}">
      <formula1>$K$29:$K$40</formula1>
    </dataValidation>
    <dataValidation type="list" allowBlank="1" showInputMessage="1" showErrorMessage="1" sqref="I50 K15:K21" xr:uid="{0A016B41-BB56-41DE-A1C8-2A8717A82665}">
      <formula1>$I$41:$I$50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723E2-D9D8-4A8F-844E-F575D70E68CE}">
  <dimension ref="A1:K85"/>
  <sheetViews>
    <sheetView workbookViewId="0">
      <selection sqref="A1:XFD1048576"/>
    </sheetView>
  </sheetViews>
  <sheetFormatPr baseColWidth="10" defaultColWidth="9.1640625" defaultRowHeight="16" x14ac:dyDescent="0.2"/>
  <cols>
    <col min="1" max="1" width="5.1640625" style="204" customWidth="1"/>
    <col min="2" max="2" width="22.5" style="204" customWidth="1"/>
    <col min="3" max="3" width="6.1640625" style="204" customWidth="1"/>
    <col min="4" max="4" width="12.5" style="204" bestFit="1" customWidth="1"/>
    <col min="5" max="5" width="9.83203125" style="204" customWidth="1"/>
    <col min="6" max="6" width="9.33203125" style="204" bestFit="1" customWidth="1"/>
    <col min="7" max="7" width="8.6640625" style="204" customWidth="1"/>
    <col min="8" max="8" width="9.5" style="204" bestFit="1" customWidth="1"/>
    <col min="9" max="9" width="17.83203125" style="204" bestFit="1" customWidth="1"/>
    <col min="10" max="10" width="10.33203125" style="204" bestFit="1" customWidth="1"/>
    <col min="11" max="11" width="75" style="204" bestFit="1" customWidth="1"/>
    <col min="12" max="16384" width="9.1640625" style="204"/>
  </cols>
  <sheetData>
    <row r="1" spans="1:11" x14ac:dyDescent="0.2">
      <c r="A1" s="204" t="s">
        <v>0</v>
      </c>
      <c r="I1" s="219"/>
    </row>
    <row r="2" spans="1:11" x14ac:dyDescent="0.2">
      <c r="J2" s="220"/>
    </row>
    <row r="3" spans="1:11" x14ac:dyDescent="0.2">
      <c r="A3" s="219" t="s">
        <v>1</v>
      </c>
    </row>
    <row r="4" spans="1:11" x14ac:dyDescent="0.2">
      <c r="A4" s="219"/>
      <c r="I4" s="220" t="s">
        <v>2</v>
      </c>
      <c r="J4" s="221">
        <v>45951</v>
      </c>
    </row>
    <row r="5" spans="1:11" x14ac:dyDescent="0.2">
      <c r="J5" s="204" t="s">
        <v>3</v>
      </c>
    </row>
    <row r="6" spans="1:11" ht="34" x14ac:dyDescent="0.2">
      <c r="A6" s="11" t="s">
        <v>4</v>
      </c>
      <c r="B6" s="11" t="s">
        <v>5</v>
      </c>
      <c r="C6" s="11" t="s">
        <v>6</v>
      </c>
      <c r="D6" s="11" t="s">
        <v>7</v>
      </c>
      <c r="E6" s="11" t="s">
        <v>8</v>
      </c>
      <c r="F6" s="11" t="s">
        <v>9</v>
      </c>
      <c r="G6" s="222" t="s">
        <v>10</v>
      </c>
      <c r="H6" s="222" t="s">
        <v>11</v>
      </c>
      <c r="I6" s="222" t="s">
        <v>12</v>
      </c>
      <c r="J6" s="223"/>
      <c r="K6" s="11" t="s">
        <v>13</v>
      </c>
    </row>
    <row r="7" spans="1:11" ht="34" x14ac:dyDescent="0.2">
      <c r="A7" s="222"/>
      <c r="B7" s="224"/>
      <c r="C7" s="11"/>
      <c r="D7" s="11" t="s">
        <v>14</v>
      </c>
      <c r="E7" s="11" t="s">
        <v>15</v>
      </c>
      <c r="F7" s="225" t="s">
        <v>16</v>
      </c>
      <c r="G7" s="225" t="s">
        <v>15</v>
      </c>
      <c r="H7" s="225" t="s">
        <v>17</v>
      </c>
      <c r="I7" s="11" t="s">
        <v>18</v>
      </c>
      <c r="J7" s="225" t="s">
        <v>19</v>
      </c>
      <c r="K7" s="225"/>
    </row>
    <row r="8" spans="1:11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2">
      <c r="A9" s="186">
        <v>1</v>
      </c>
      <c r="B9" s="187" t="s">
        <v>241</v>
      </c>
      <c r="C9" s="161">
        <v>15</v>
      </c>
      <c r="D9" s="14">
        <v>2.85</v>
      </c>
      <c r="E9" s="163">
        <v>1494</v>
      </c>
      <c r="F9" s="162">
        <v>63.3</v>
      </c>
      <c r="G9" s="15">
        <f t="shared" ref="G9:G10" si="0">E9*F9</f>
        <v>94570.2</v>
      </c>
      <c r="H9" s="16">
        <f>F9*C9</f>
        <v>949.5</v>
      </c>
      <c r="I9" s="179" t="s">
        <v>20</v>
      </c>
      <c r="J9" s="188">
        <v>2.0833333333333332E-2</v>
      </c>
      <c r="K9" s="202" t="s">
        <v>239</v>
      </c>
    </row>
    <row r="10" spans="1:11" ht="17" x14ac:dyDescent="0.2">
      <c r="A10" s="190">
        <v>2</v>
      </c>
      <c r="B10" s="187" t="s">
        <v>241</v>
      </c>
      <c r="C10" s="161">
        <v>17</v>
      </c>
      <c r="D10" s="14">
        <v>2.85</v>
      </c>
      <c r="E10" s="163">
        <v>1411</v>
      </c>
      <c r="F10" s="162">
        <v>19.7</v>
      </c>
      <c r="G10" s="15">
        <f t="shared" si="0"/>
        <v>27796.7</v>
      </c>
      <c r="H10" s="16">
        <f t="shared" ref="H10" si="1">F10*C10</f>
        <v>334.9</v>
      </c>
      <c r="I10" s="179" t="s">
        <v>44</v>
      </c>
      <c r="J10" s="188">
        <v>6.9444444444444441E-3</v>
      </c>
      <c r="K10" s="189" t="s">
        <v>44</v>
      </c>
    </row>
    <row r="11" spans="1:11" x14ac:dyDescent="0.2">
      <c r="A11" s="186"/>
      <c r="B11" s="187"/>
      <c r="C11" s="161"/>
      <c r="D11" s="14"/>
      <c r="E11" s="163"/>
      <c r="F11" s="175"/>
      <c r="G11" s="15"/>
      <c r="H11" s="16"/>
      <c r="I11" s="179" t="s">
        <v>244</v>
      </c>
      <c r="J11" s="188">
        <v>1.3888888888888888E-2</v>
      </c>
      <c r="K11" s="189" t="s">
        <v>269</v>
      </c>
    </row>
    <row r="12" spans="1:11" ht="19.25" customHeight="1" x14ac:dyDescent="0.2">
      <c r="A12" s="190"/>
      <c r="B12" s="187"/>
      <c r="C12" s="176"/>
      <c r="D12" s="14"/>
      <c r="E12" s="177"/>
      <c r="F12" s="178"/>
      <c r="G12" s="15"/>
      <c r="H12" s="16"/>
      <c r="I12" s="195" t="s">
        <v>233</v>
      </c>
      <c r="J12" s="194">
        <v>4.1666666666666664E-2</v>
      </c>
      <c r="K12" s="189" t="s">
        <v>238</v>
      </c>
    </row>
    <row r="13" spans="1:11" x14ac:dyDescent="0.2">
      <c r="A13" s="191"/>
      <c r="B13" s="187"/>
      <c r="C13" s="176"/>
      <c r="D13" s="14"/>
      <c r="E13" s="177"/>
      <c r="F13" s="178"/>
      <c r="G13" s="15"/>
      <c r="H13" s="16"/>
      <c r="I13" s="179"/>
      <c r="J13" s="188"/>
      <c r="K13" s="189"/>
    </row>
    <row r="14" spans="1:11" x14ac:dyDescent="0.2">
      <c r="A14" s="186"/>
      <c r="B14" s="187"/>
      <c r="C14" s="180"/>
      <c r="D14" s="14"/>
      <c r="E14" s="181"/>
      <c r="F14" s="182"/>
      <c r="G14" s="15"/>
      <c r="H14" s="16"/>
      <c r="I14" s="195"/>
      <c r="J14" s="194"/>
      <c r="K14" s="203"/>
    </row>
    <row r="15" spans="1:11" x14ac:dyDescent="0.2">
      <c r="A15" s="190"/>
      <c r="B15" s="187"/>
      <c r="C15" s="192"/>
      <c r="D15" s="14"/>
      <c r="E15" s="181"/>
      <c r="F15" s="193"/>
      <c r="G15" s="15"/>
      <c r="H15" s="16"/>
      <c r="I15" s="19"/>
      <c r="J15" s="18"/>
      <c r="K15" s="17"/>
    </row>
    <row r="16" spans="1:11" x14ac:dyDescent="0.2">
      <c r="A16" s="197"/>
      <c r="B16" s="198"/>
      <c r="C16" s="161"/>
      <c r="D16" s="14"/>
      <c r="E16" s="177"/>
      <c r="F16" s="161"/>
      <c r="G16" s="15"/>
      <c r="H16" s="16"/>
      <c r="I16" s="19"/>
      <c r="J16" s="18"/>
      <c r="K16" s="20"/>
    </row>
    <row r="17" spans="1:11" x14ac:dyDescent="0.2">
      <c r="A17" s="197"/>
      <c r="B17" s="198"/>
      <c r="C17" s="161"/>
      <c r="D17" s="14"/>
      <c r="E17" s="181"/>
      <c r="F17" s="161"/>
      <c r="G17" s="15"/>
      <c r="H17" s="16"/>
      <c r="I17" s="19"/>
      <c r="J17" s="18"/>
      <c r="K17" s="20"/>
    </row>
    <row r="18" spans="1:11" x14ac:dyDescent="0.2">
      <c r="A18" s="197"/>
      <c r="B18" s="198"/>
      <c r="C18" s="161"/>
      <c r="D18" s="14"/>
      <c r="E18" s="181"/>
      <c r="F18" s="161"/>
      <c r="G18" s="15"/>
      <c r="H18" s="16"/>
      <c r="I18" s="10"/>
      <c r="J18" s="13"/>
      <c r="K18" s="10"/>
    </row>
    <row r="19" spans="1:11" x14ac:dyDescent="0.2">
      <c r="A19" s="11"/>
      <c r="B19" s="10"/>
      <c r="C19" s="12"/>
      <c r="D19" s="200"/>
      <c r="E19" s="11"/>
      <c r="F19" s="12"/>
      <c r="G19" s="201"/>
      <c r="H19" s="12"/>
      <c r="I19" s="10"/>
      <c r="J19" s="13"/>
      <c r="K19" s="10"/>
    </row>
    <row r="20" spans="1:11" x14ac:dyDescent="0.2">
      <c r="A20" s="11"/>
      <c r="B20" s="10"/>
      <c r="C20" s="12"/>
      <c r="D20" s="200"/>
      <c r="E20" s="11"/>
      <c r="F20" s="12"/>
      <c r="G20" s="201"/>
      <c r="H20" s="12"/>
      <c r="I20" s="10"/>
      <c r="J20" s="13"/>
      <c r="K20" s="10"/>
    </row>
    <row r="21" spans="1:11" x14ac:dyDescent="0.2">
      <c r="A21" s="11"/>
      <c r="B21" s="10"/>
      <c r="C21" s="205"/>
      <c r="D21" s="11"/>
      <c r="E21" s="13"/>
      <c r="F21" s="205"/>
      <c r="G21" s="201"/>
      <c r="H21" s="12"/>
      <c r="I21" s="10"/>
      <c r="J21" s="13"/>
      <c r="K21" s="10"/>
    </row>
    <row r="22" spans="1:11" x14ac:dyDescent="0.2">
      <c r="A22" s="206"/>
      <c r="B22" s="207"/>
      <c r="C22" s="208"/>
      <c r="D22" s="208"/>
      <c r="E22" s="226" t="s">
        <v>21</v>
      </c>
      <c r="F22" s="227">
        <f>SUM(F9:F21)</f>
        <v>83</v>
      </c>
      <c r="G22" s="228">
        <f>SUM(G9:G21)/F22</f>
        <v>1474.3</v>
      </c>
      <c r="H22" s="229">
        <f>SUM(H9:H21)/F22</f>
        <v>15.474698795180723</v>
      </c>
      <c r="I22" s="209" t="s">
        <v>22</v>
      </c>
      <c r="J22" s="210">
        <v>8.3333333333333329E-2</v>
      </c>
      <c r="K22" s="207"/>
    </row>
    <row r="23" spans="1:11" x14ac:dyDescent="0.2">
      <c r="E23" s="211"/>
      <c r="F23" s="212"/>
      <c r="I23" s="230" t="s">
        <v>23</v>
      </c>
      <c r="J23" s="231">
        <v>2</v>
      </c>
    </row>
    <row r="24" spans="1:11" x14ac:dyDescent="0.2">
      <c r="I24" s="212"/>
      <c r="J24" s="213"/>
    </row>
    <row r="25" spans="1:11" x14ac:dyDescent="0.2">
      <c r="A25" s="10" t="s">
        <v>24</v>
      </c>
      <c r="B25" s="10"/>
      <c r="C25" s="10"/>
      <c r="D25" s="205"/>
      <c r="H25" s="220" t="s">
        <v>25</v>
      </c>
      <c r="I25" s="220"/>
      <c r="J25" s="211">
        <f>F22</f>
        <v>83</v>
      </c>
      <c r="K25" s="204" t="s">
        <v>16</v>
      </c>
    </row>
    <row r="26" spans="1:11" x14ac:dyDescent="0.2">
      <c r="A26" s="10" t="s">
        <v>26</v>
      </c>
      <c r="B26" s="10"/>
      <c r="C26" s="10"/>
      <c r="D26" s="205"/>
      <c r="H26" s="220" t="s">
        <v>27</v>
      </c>
      <c r="I26" s="220"/>
      <c r="J26" s="211">
        <f>100+96+78+70+83+72+85+80+69+83+83+96+82+82+80+75+80+82+95+94+83</f>
        <v>1748</v>
      </c>
      <c r="K26" s="204" t="s">
        <v>16</v>
      </c>
    </row>
    <row r="27" spans="1:11" ht="17" thickBot="1" x14ac:dyDescent="0.25">
      <c r="A27" s="214"/>
      <c r="B27" s="214"/>
      <c r="C27" s="214"/>
      <c r="D27" s="214"/>
      <c r="E27" s="215"/>
      <c r="F27" s="215"/>
      <c r="G27" s="214"/>
      <c r="H27" s="232" t="s">
        <v>28</v>
      </c>
      <c r="I27" s="232"/>
      <c r="J27" s="216">
        <v>44.42</v>
      </c>
      <c r="K27" s="214" t="s">
        <v>29</v>
      </c>
    </row>
    <row r="28" spans="1:11" x14ac:dyDescent="0.2">
      <c r="J28" s="204" t="s">
        <v>3</v>
      </c>
    </row>
    <row r="29" spans="1:11" hidden="1" x14ac:dyDescent="0.2">
      <c r="K29" s="204" t="s">
        <v>30</v>
      </c>
    </row>
    <row r="30" spans="1:11" hidden="1" x14ac:dyDescent="0.2">
      <c r="K30" s="204" t="s">
        <v>31</v>
      </c>
    </row>
    <row r="31" spans="1:11" hidden="1" x14ac:dyDescent="0.2">
      <c r="K31" s="204" t="s">
        <v>32</v>
      </c>
    </row>
    <row r="32" spans="1:11" hidden="1" x14ac:dyDescent="0.2">
      <c r="K32" s="204" t="s">
        <v>33</v>
      </c>
    </row>
    <row r="33" spans="9:11" hidden="1" x14ac:dyDescent="0.2">
      <c r="K33" s="204" t="s">
        <v>34</v>
      </c>
    </row>
    <row r="34" spans="9:11" hidden="1" x14ac:dyDescent="0.2">
      <c r="K34" s="204" t="s">
        <v>35</v>
      </c>
    </row>
    <row r="35" spans="9:11" hidden="1" x14ac:dyDescent="0.2">
      <c r="K35" s="204" t="s">
        <v>36</v>
      </c>
    </row>
    <row r="36" spans="9:11" hidden="1" x14ac:dyDescent="0.2">
      <c r="K36" s="204" t="s">
        <v>37</v>
      </c>
    </row>
    <row r="37" spans="9:11" hidden="1" x14ac:dyDescent="0.2">
      <c r="K37" s="204" t="s">
        <v>38</v>
      </c>
    </row>
    <row r="38" spans="9:11" hidden="1" x14ac:dyDescent="0.2">
      <c r="K38" s="204" t="s">
        <v>39</v>
      </c>
    </row>
    <row r="39" spans="9:11" hidden="1" x14ac:dyDescent="0.2">
      <c r="K39" s="204" t="s">
        <v>40</v>
      </c>
    </row>
    <row r="40" spans="9:11" hidden="1" x14ac:dyDescent="0.2">
      <c r="K40" s="204" t="s">
        <v>41</v>
      </c>
    </row>
    <row r="41" spans="9:11" ht="34" hidden="1" x14ac:dyDescent="0.2">
      <c r="I41" s="217" t="s">
        <v>42</v>
      </c>
      <c r="K41" s="204" t="s">
        <v>43</v>
      </c>
    </row>
    <row r="42" spans="9:11" ht="17" hidden="1" x14ac:dyDescent="0.2">
      <c r="I42" s="217" t="s">
        <v>44</v>
      </c>
      <c r="K42" s="204" t="s">
        <v>45</v>
      </c>
    </row>
    <row r="43" spans="9:11" hidden="1" x14ac:dyDescent="0.2">
      <c r="I43" s="218" t="s">
        <v>46</v>
      </c>
      <c r="K43" s="204" t="s">
        <v>47</v>
      </c>
    </row>
    <row r="44" spans="9:11" hidden="1" x14ac:dyDescent="0.2">
      <c r="I44" s="204" t="s">
        <v>48</v>
      </c>
      <c r="K44" s="204" t="s">
        <v>49</v>
      </c>
    </row>
    <row r="45" spans="9:11" hidden="1" x14ac:dyDescent="0.2">
      <c r="I45" s="204" t="s">
        <v>50</v>
      </c>
      <c r="K45" s="204" t="s">
        <v>51</v>
      </c>
    </row>
    <row r="46" spans="9:11" hidden="1" x14ac:dyDescent="0.2">
      <c r="I46" s="204" t="s">
        <v>52</v>
      </c>
      <c r="K46" s="204" t="s">
        <v>53</v>
      </c>
    </row>
    <row r="47" spans="9:11" hidden="1" x14ac:dyDescent="0.2">
      <c r="I47" s="204" t="s">
        <v>54</v>
      </c>
      <c r="K47" s="204" t="s">
        <v>55</v>
      </c>
    </row>
    <row r="48" spans="9:11" hidden="1" x14ac:dyDescent="0.2">
      <c r="I48" s="204" t="s">
        <v>56</v>
      </c>
      <c r="K48" s="204" t="s">
        <v>57</v>
      </c>
    </row>
    <row r="49" spans="9:11" hidden="1" x14ac:dyDescent="0.2">
      <c r="I49" s="204" t="s">
        <v>58</v>
      </c>
      <c r="K49" s="204" t="s">
        <v>59</v>
      </c>
    </row>
    <row r="50" spans="9:11" hidden="1" x14ac:dyDescent="0.2">
      <c r="I50" s="204" t="s">
        <v>60</v>
      </c>
      <c r="K50" s="204" t="s">
        <v>61</v>
      </c>
    </row>
    <row r="51" spans="9:11" hidden="1" x14ac:dyDescent="0.2">
      <c r="K51" s="204" t="s">
        <v>62</v>
      </c>
    </row>
    <row r="52" spans="9:11" hidden="1" x14ac:dyDescent="0.2">
      <c r="K52" s="204" t="s">
        <v>63</v>
      </c>
    </row>
    <row r="53" spans="9:11" hidden="1" x14ac:dyDescent="0.2">
      <c r="K53" s="204" t="s">
        <v>64</v>
      </c>
    </row>
    <row r="54" spans="9:11" hidden="1" x14ac:dyDescent="0.2">
      <c r="K54" s="204" t="s">
        <v>65</v>
      </c>
    </row>
    <row r="55" spans="9:11" hidden="1" x14ac:dyDescent="0.2">
      <c r="K55" s="204" t="s">
        <v>66</v>
      </c>
    </row>
    <row r="56" spans="9:11" hidden="1" x14ac:dyDescent="0.2">
      <c r="K56" s="204" t="s">
        <v>67</v>
      </c>
    </row>
    <row r="57" spans="9:11" hidden="1" x14ac:dyDescent="0.2">
      <c r="K57" s="204" t="s">
        <v>68</v>
      </c>
    </row>
    <row r="58" spans="9:11" hidden="1" x14ac:dyDescent="0.2">
      <c r="K58" s="204" t="s">
        <v>69</v>
      </c>
    </row>
    <row r="59" spans="9:11" hidden="1" x14ac:dyDescent="0.2">
      <c r="K59" s="204" t="s">
        <v>70</v>
      </c>
    </row>
    <row r="60" spans="9:11" hidden="1" x14ac:dyDescent="0.2">
      <c r="K60" s="204" t="s">
        <v>71</v>
      </c>
    </row>
    <row r="61" spans="9:11" hidden="1" x14ac:dyDescent="0.2">
      <c r="K61" s="204" t="s">
        <v>72</v>
      </c>
    </row>
    <row r="62" spans="9:11" hidden="1" x14ac:dyDescent="0.2">
      <c r="K62" s="204" t="s">
        <v>73</v>
      </c>
    </row>
    <row r="63" spans="9:11" hidden="1" x14ac:dyDescent="0.2">
      <c r="K63" s="204" t="s">
        <v>67</v>
      </c>
    </row>
    <row r="64" spans="9:11" hidden="1" x14ac:dyDescent="0.2">
      <c r="K64" s="204" t="s">
        <v>74</v>
      </c>
    </row>
    <row r="65" spans="11:11" hidden="1" x14ac:dyDescent="0.2">
      <c r="K65" s="204" t="s">
        <v>75</v>
      </c>
    </row>
    <row r="66" spans="11:11" hidden="1" x14ac:dyDescent="0.2">
      <c r="K66" s="204" t="s">
        <v>76</v>
      </c>
    </row>
    <row r="67" spans="11:11" hidden="1" x14ac:dyDescent="0.2">
      <c r="K67" s="204" t="s">
        <v>77</v>
      </c>
    </row>
    <row r="68" spans="11:11" hidden="1" x14ac:dyDescent="0.2">
      <c r="K68" s="204" t="s">
        <v>78</v>
      </c>
    </row>
    <row r="69" spans="11:11" hidden="1" x14ac:dyDescent="0.2">
      <c r="K69" s="204" t="s">
        <v>79</v>
      </c>
    </row>
    <row r="70" spans="11:11" hidden="1" x14ac:dyDescent="0.2">
      <c r="K70" s="204" t="s">
        <v>80</v>
      </c>
    </row>
    <row r="71" spans="11:11" hidden="1" x14ac:dyDescent="0.2">
      <c r="K71" s="204" t="s">
        <v>81</v>
      </c>
    </row>
    <row r="72" spans="11:11" hidden="1" x14ac:dyDescent="0.2">
      <c r="K72" s="204" t="s">
        <v>82</v>
      </c>
    </row>
    <row r="73" spans="11:11" hidden="1" x14ac:dyDescent="0.2">
      <c r="K73" s="204" t="s">
        <v>83</v>
      </c>
    </row>
    <row r="74" spans="11:11" hidden="1" x14ac:dyDescent="0.2">
      <c r="K74" s="204" t="s">
        <v>84</v>
      </c>
    </row>
    <row r="75" spans="11:11" hidden="1" x14ac:dyDescent="0.2">
      <c r="K75" s="204" t="s">
        <v>85</v>
      </c>
    </row>
    <row r="76" spans="11:11" hidden="1" x14ac:dyDescent="0.2">
      <c r="K76" s="204" t="s">
        <v>86</v>
      </c>
    </row>
    <row r="77" spans="11:11" hidden="1" x14ac:dyDescent="0.2">
      <c r="K77" s="204" t="s">
        <v>87</v>
      </c>
    </row>
    <row r="78" spans="11:11" hidden="1" x14ac:dyDescent="0.2">
      <c r="K78" s="204" t="s">
        <v>88</v>
      </c>
    </row>
    <row r="79" spans="11:11" hidden="1" x14ac:dyDescent="0.2">
      <c r="K79" s="204" t="s">
        <v>89</v>
      </c>
    </row>
    <row r="80" spans="11:11" hidden="1" x14ac:dyDescent="0.2">
      <c r="K80" s="204" t="s">
        <v>90</v>
      </c>
    </row>
    <row r="81" spans="11:11" hidden="1" x14ac:dyDescent="0.2">
      <c r="K81" s="204" t="s">
        <v>91</v>
      </c>
    </row>
    <row r="82" spans="11:11" hidden="1" x14ac:dyDescent="0.2">
      <c r="K82" s="204" t="s">
        <v>92</v>
      </c>
    </row>
    <row r="83" spans="11:11" hidden="1" x14ac:dyDescent="0.2">
      <c r="K83" s="204" t="s">
        <v>93</v>
      </c>
    </row>
    <row r="84" spans="11:11" hidden="1" x14ac:dyDescent="0.2">
      <c r="K84" s="204" t="s">
        <v>94</v>
      </c>
    </row>
    <row r="85" spans="11:11" hidden="1" x14ac:dyDescent="0.2">
      <c r="K85" s="204" t="s">
        <v>47</v>
      </c>
    </row>
  </sheetData>
  <dataValidations count="3">
    <dataValidation type="list" allowBlank="1" showInputMessage="1" showErrorMessage="1" sqref="I50 K15:K21" xr:uid="{028E8A14-82EE-48B4-955F-DEA60F5E199C}">
      <formula1>$I$41:$I$50</formula1>
    </dataValidation>
    <dataValidation type="list" allowBlank="1" showInputMessage="1" showErrorMessage="1" sqref="B20:B21" xr:uid="{82F2E903-3A76-4900-A47F-9437DFE46774}">
      <formula1>$K$29:$K$40</formula1>
    </dataValidation>
    <dataValidation type="list" allowBlank="1" showInputMessage="1" showErrorMessage="1" sqref="B16:B19" xr:uid="{9C43FF01-AFB6-484E-A37B-DEC62F1EE0C1}">
      <formula1>$K$29:$K$85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15F0D-C609-4853-85BA-CA025047E550}">
  <dimension ref="A1:K85"/>
  <sheetViews>
    <sheetView topLeftCell="A9" workbookViewId="0">
      <selection activeCell="A9" sqref="A1:XFD1048576"/>
    </sheetView>
  </sheetViews>
  <sheetFormatPr baseColWidth="10" defaultColWidth="9.1640625" defaultRowHeight="16" x14ac:dyDescent="0.2"/>
  <cols>
    <col min="1" max="1" width="5.1640625" style="204" customWidth="1"/>
    <col min="2" max="2" width="22.5" style="204" customWidth="1"/>
    <col min="3" max="3" width="6.1640625" style="204" customWidth="1"/>
    <col min="4" max="4" width="12.5" style="204" bestFit="1" customWidth="1"/>
    <col min="5" max="5" width="9.83203125" style="204" customWidth="1"/>
    <col min="6" max="6" width="9.33203125" style="204" bestFit="1" customWidth="1"/>
    <col min="7" max="7" width="8.6640625" style="204" customWidth="1"/>
    <col min="8" max="8" width="9.5" style="204" bestFit="1" customWidth="1"/>
    <col min="9" max="9" width="17.83203125" style="204" bestFit="1" customWidth="1"/>
    <col min="10" max="10" width="10.33203125" style="204" bestFit="1" customWidth="1"/>
    <col min="11" max="11" width="75" style="204" bestFit="1" customWidth="1"/>
    <col min="12" max="16384" width="9.1640625" style="204"/>
  </cols>
  <sheetData>
    <row r="1" spans="1:11" x14ac:dyDescent="0.2">
      <c r="A1" s="204" t="s">
        <v>0</v>
      </c>
      <c r="I1" s="219"/>
    </row>
    <row r="2" spans="1:11" x14ac:dyDescent="0.2">
      <c r="J2" s="220"/>
    </row>
    <row r="3" spans="1:11" x14ac:dyDescent="0.2">
      <c r="A3" s="219" t="s">
        <v>1</v>
      </c>
    </row>
    <row r="4" spans="1:11" x14ac:dyDescent="0.2">
      <c r="A4" s="219"/>
      <c r="I4" s="220" t="s">
        <v>2</v>
      </c>
      <c r="J4" s="221">
        <v>45952</v>
      </c>
    </row>
    <row r="5" spans="1:11" x14ac:dyDescent="0.2">
      <c r="J5" s="204" t="s">
        <v>3</v>
      </c>
    </row>
    <row r="6" spans="1:11" ht="34" x14ac:dyDescent="0.2">
      <c r="A6" s="11" t="s">
        <v>4</v>
      </c>
      <c r="B6" s="11" t="s">
        <v>5</v>
      </c>
      <c r="C6" s="11" t="s">
        <v>6</v>
      </c>
      <c r="D6" s="11" t="s">
        <v>7</v>
      </c>
      <c r="E6" s="11" t="s">
        <v>8</v>
      </c>
      <c r="F6" s="11" t="s">
        <v>9</v>
      </c>
      <c r="G6" s="222" t="s">
        <v>10</v>
      </c>
      <c r="H6" s="222" t="s">
        <v>11</v>
      </c>
      <c r="I6" s="222" t="s">
        <v>12</v>
      </c>
      <c r="J6" s="223"/>
      <c r="K6" s="11" t="s">
        <v>13</v>
      </c>
    </row>
    <row r="7" spans="1:11" ht="34" x14ac:dyDescent="0.2">
      <c r="A7" s="222"/>
      <c r="B7" s="224"/>
      <c r="C7" s="11"/>
      <c r="D7" s="11" t="s">
        <v>14</v>
      </c>
      <c r="E7" s="11" t="s">
        <v>15</v>
      </c>
      <c r="F7" s="225" t="s">
        <v>16</v>
      </c>
      <c r="G7" s="225" t="s">
        <v>15</v>
      </c>
      <c r="H7" s="225" t="s">
        <v>17</v>
      </c>
      <c r="I7" s="11" t="s">
        <v>18</v>
      </c>
      <c r="J7" s="225" t="s">
        <v>19</v>
      </c>
      <c r="K7" s="225"/>
    </row>
    <row r="8" spans="1:11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2">
      <c r="A9" s="186">
        <v>1</v>
      </c>
      <c r="B9" s="187" t="s">
        <v>250</v>
      </c>
      <c r="C9" s="161">
        <v>14</v>
      </c>
      <c r="D9" s="14">
        <v>2.85</v>
      </c>
      <c r="E9" s="163">
        <v>1449</v>
      </c>
      <c r="F9" s="162">
        <v>13</v>
      </c>
      <c r="G9" s="15">
        <f t="shared" ref="G9:G11" si="0">E9*F9</f>
        <v>18837</v>
      </c>
      <c r="H9" s="16">
        <f>F9*C9</f>
        <v>182</v>
      </c>
      <c r="I9" s="179" t="s">
        <v>20</v>
      </c>
      <c r="J9" s="188">
        <v>2.0833333333333332E-2</v>
      </c>
      <c r="K9" s="202" t="s">
        <v>239</v>
      </c>
    </row>
    <row r="10" spans="1:11" ht="17" x14ac:dyDescent="0.2">
      <c r="A10" s="190">
        <v>2</v>
      </c>
      <c r="B10" s="187" t="s">
        <v>241</v>
      </c>
      <c r="C10" s="161">
        <v>15</v>
      </c>
      <c r="D10" s="14">
        <v>2.85</v>
      </c>
      <c r="E10" s="163">
        <v>1512</v>
      </c>
      <c r="F10" s="162">
        <v>64.400000000000006</v>
      </c>
      <c r="G10" s="15">
        <f t="shared" si="0"/>
        <v>97372.800000000003</v>
      </c>
      <c r="H10" s="16">
        <f t="shared" ref="H10" si="1">F10*C10</f>
        <v>966.00000000000011</v>
      </c>
      <c r="I10" s="179" t="s">
        <v>44</v>
      </c>
      <c r="J10" s="188">
        <v>2.0833333333333332E-2</v>
      </c>
      <c r="K10" s="189" t="s">
        <v>44</v>
      </c>
    </row>
    <row r="11" spans="1:11" ht="17" x14ac:dyDescent="0.2">
      <c r="A11" s="186">
        <v>3</v>
      </c>
      <c r="B11" s="187" t="s">
        <v>236</v>
      </c>
      <c r="C11" s="161">
        <v>19</v>
      </c>
      <c r="D11" s="14">
        <v>2.85</v>
      </c>
      <c r="E11" s="163">
        <v>1312</v>
      </c>
      <c r="F11" s="175">
        <v>6.6</v>
      </c>
      <c r="G11" s="15">
        <f t="shared" si="0"/>
        <v>8659.1999999999989</v>
      </c>
      <c r="H11" s="16">
        <f>F11*C11</f>
        <v>125.39999999999999</v>
      </c>
      <c r="I11" s="179"/>
      <c r="J11" s="188"/>
      <c r="K11" s="189"/>
    </row>
    <row r="12" spans="1:11" ht="19.25" customHeight="1" x14ac:dyDescent="0.2">
      <c r="A12" s="190"/>
      <c r="B12" s="187"/>
      <c r="C12" s="176"/>
      <c r="D12" s="14"/>
      <c r="E12" s="177"/>
      <c r="F12" s="178"/>
      <c r="G12" s="15"/>
      <c r="H12" s="16"/>
      <c r="I12" s="195"/>
      <c r="J12" s="194"/>
      <c r="K12" s="189"/>
    </row>
    <row r="13" spans="1:11" x14ac:dyDescent="0.2">
      <c r="A13" s="191"/>
      <c r="B13" s="187"/>
      <c r="C13" s="176"/>
      <c r="D13" s="14"/>
      <c r="E13" s="177"/>
      <c r="F13" s="178"/>
      <c r="G13" s="15"/>
      <c r="H13" s="16"/>
      <c r="I13" s="179"/>
      <c r="J13" s="188"/>
      <c r="K13" s="189"/>
    </row>
    <row r="14" spans="1:11" x14ac:dyDescent="0.2">
      <c r="A14" s="186"/>
      <c r="B14" s="187"/>
      <c r="C14" s="180"/>
      <c r="D14" s="14"/>
      <c r="E14" s="181"/>
      <c r="F14" s="182"/>
      <c r="G14" s="15"/>
      <c r="H14" s="16"/>
      <c r="I14" s="195"/>
      <c r="J14" s="194"/>
      <c r="K14" s="203"/>
    </row>
    <row r="15" spans="1:11" x14ac:dyDescent="0.2">
      <c r="A15" s="190"/>
      <c r="B15" s="187"/>
      <c r="C15" s="192"/>
      <c r="D15" s="14"/>
      <c r="E15" s="181"/>
      <c r="F15" s="193"/>
      <c r="G15" s="15"/>
      <c r="H15" s="16"/>
      <c r="I15" s="19"/>
      <c r="J15" s="18"/>
      <c r="K15" s="17"/>
    </row>
    <row r="16" spans="1:11" x14ac:dyDescent="0.2">
      <c r="A16" s="197"/>
      <c r="B16" s="198"/>
      <c r="C16" s="161"/>
      <c r="D16" s="14"/>
      <c r="E16" s="177"/>
      <c r="F16" s="161"/>
      <c r="G16" s="15"/>
      <c r="H16" s="16"/>
      <c r="I16" s="19"/>
      <c r="J16" s="18"/>
      <c r="K16" s="20"/>
    </row>
    <row r="17" spans="1:11" x14ac:dyDescent="0.2">
      <c r="A17" s="197"/>
      <c r="B17" s="198"/>
      <c r="C17" s="161"/>
      <c r="D17" s="14"/>
      <c r="E17" s="181"/>
      <c r="F17" s="161"/>
      <c r="G17" s="15"/>
      <c r="H17" s="16"/>
      <c r="I17" s="19"/>
      <c r="J17" s="18"/>
      <c r="K17" s="20"/>
    </row>
    <row r="18" spans="1:11" x14ac:dyDescent="0.2">
      <c r="A18" s="197"/>
      <c r="B18" s="198"/>
      <c r="C18" s="161"/>
      <c r="D18" s="14"/>
      <c r="E18" s="181"/>
      <c r="F18" s="161"/>
      <c r="G18" s="15"/>
      <c r="H18" s="16"/>
      <c r="I18" s="10"/>
      <c r="J18" s="13"/>
      <c r="K18" s="10"/>
    </row>
    <row r="19" spans="1:11" x14ac:dyDescent="0.2">
      <c r="A19" s="11"/>
      <c r="B19" s="10"/>
      <c r="C19" s="12"/>
      <c r="D19" s="200"/>
      <c r="E19" s="11"/>
      <c r="F19" s="12"/>
      <c r="G19" s="201"/>
      <c r="H19" s="12"/>
      <c r="I19" s="10"/>
      <c r="J19" s="13"/>
      <c r="K19" s="10"/>
    </row>
    <row r="20" spans="1:11" x14ac:dyDescent="0.2">
      <c r="A20" s="11"/>
      <c r="B20" s="10"/>
      <c r="C20" s="12"/>
      <c r="D20" s="200"/>
      <c r="E20" s="11"/>
      <c r="F20" s="12"/>
      <c r="G20" s="201"/>
      <c r="H20" s="12"/>
      <c r="I20" s="10"/>
      <c r="J20" s="13"/>
      <c r="K20" s="10"/>
    </row>
    <row r="21" spans="1:11" x14ac:dyDescent="0.2">
      <c r="A21" s="11"/>
      <c r="B21" s="10"/>
      <c r="C21" s="205"/>
      <c r="D21" s="11"/>
      <c r="E21" s="13"/>
      <c r="F21" s="205"/>
      <c r="G21" s="201"/>
      <c r="H21" s="12"/>
      <c r="I21" s="10"/>
      <c r="J21" s="13"/>
      <c r="K21" s="10"/>
    </row>
    <row r="22" spans="1:11" x14ac:dyDescent="0.2">
      <c r="A22" s="206"/>
      <c r="B22" s="207"/>
      <c r="C22" s="208"/>
      <c r="D22" s="208"/>
      <c r="E22" s="226" t="s">
        <v>21</v>
      </c>
      <c r="F22" s="227">
        <f>SUM(F9:F21)</f>
        <v>84</v>
      </c>
      <c r="G22" s="228">
        <f>SUM(G9:G21)/F22</f>
        <v>1486.5357142857142</v>
      </c>
      <c r="H22" s="229">
        <f>SUM(H9:H21)/F22</f>
        <v>15.15952380952381</v>
      </c>
      <c r="I22" s="209" t="s">
        <v>22</v>
      </c>
      <c r="J22" s="210">
        <v>4.1666666666666664E-2</v>
      </c>
      <c r="K22" s="207"/>
    </row>
    <row r="23" spans="1:11" x14ac:dyDescent="0.2">
      <c r="E23" s="211"/>
      <c r="F23" s="212"/>
      <c r="I23" s="230" t="s">
        <v>23</v>
      </c>
      <c r="J23" s="231">
        <v>1</v>
      </c>
    </row>
    <row r="24" spans="1:11" x14ac:dyDescent="0.2">
      <c r="I24" s="212"/>
      <c r="J24" s="213"/>
    </row>
    <row r="25" spans="1:11" x14ac:dyDescent="0.2">
      <c r="A25" s="10" t="s">
        <v>24</v>
      </c>
      <c r="B25" s="10"/>
      <c r="C25" s="10"/>
      <c r="D25" s="205"/>
      <c r="H25" s="220" t="s">
        <v>25</v>
      </c>
      <c r="I25" s="220"/>
      <c r="J25" s="211">
        <f>F22</f>
        <v>84</v>
      </c>
      <c r="K25" s="204" t="s">
        <v>16</v>
      </c>
    </row>
    <row r="26" spans="1:11" x14ac:dyDescent="0.2">
      <c r="A26" s="10" t="s">
        <v>26</v>
      </c>
      <c r="B26" s="10"/>
      <c r="C26" s="10"/>
      <c r="D26" s="205"/>
      <c r="H26" s="220" t="s">
        <v>27</v>
      </c>
      <c r="I26" s="220"/>
      <c r="J26" s="211">
        <f>100+96+78+70+83+72+85+80+69+83+83+96+82+82+80+75+80+82+95+94+83+84</f>
        <v>1832</v>
      </c>
      <c r="K26" s="204" t="s">
        <v>16</v>
      </c>
    </row>
    <row r="27" spans="1:11" ht="17" thickBot="1" x14ac:dyDescent="0.25">
      <c r="A27" s="214"/>
      <c r="B27" s="214"/>
      <c r="C27" s="214"/>
      <c r="D27" s="214"/>
      <c r="E27" s="215"/>
      <c r="F27" s="215"/>
      <c r="G27" s="214"/>
      <c r="H27" s="232" t="s">
        <v>28</v>
      </c>
      <c r="I27" s="232"/>
      <c r="J27" s="216">
        <v>45.42</v>
      </c>
      <c r="K27" s="214" t="s">
        <v>29</v>
      </c>
    </row>
    <row r="28" spans="1:11" x14ac:dyDescent="0.2">
      <c r="J28" s="204" t="s">
        <v>3</v>
      </c>
    </row>
    <row r="29" spans="1:11" hidden="1" x14ac:dyDescent="0.2">
      <c r="K29" s="204" t="s">
        <v>30</v>
      </c>
    </row>
    <row r="30" spans="1:11" hidden="1" x14ac:dyDescent="0.2">
      <c r="K30" s="204" t="s">
        <v>31</v>
      </c>
    </row>
    <row r="31" spans="1:11" hidden="1" x14ac:dyDescent="0.2">
      <c r="K31" s="204" t="s">
        <v>32</v>
      </c>
    </row>
    <row r="32" spans="1:11" hidden="1" x14ac:dyDescent="0.2">
      <c r="K32" s="204" t="s">
        <v>33</v>
      </c>
    </row>
    <row r="33" spans="9:11" hidden="1" x14ac:dyDescent="0.2">
      <c r="K33" s="204" t="s">
        <v>34</v>
      </c>
    </row>
    <row r="34" spans="9:11" hidden="1" x14ac:dyDescent="0.2">
      <c r="K34" s="204" t="s">
        <v>35</v>
      </c>
    </row>
    <row r="35" spans="9:11" hidden="1" x14ac:dyDescent="0.2">
      <c r="K35" s="204" t="s">
        <v>36</v>
      </c>
    </row>
    <row r="36" spans="9:11" hidden="1" x14ac:dyDescent="0.2">
      <c r="K36" s="204" t="s">
        <v>37</v>
      </c>
    </row>
    <row r="37" spans="9:11" hidden="1" x14ac:dyDescent="0.2">
      <c r="K37" s="204" t="s">
        <v>38</v>
      </c>
    </row>
    <row r="38" spans="9:11" hidden="1" x14ac:dyDescent="0.2">
      <c r="K38" s="204" t="s">
        <v>39</v>
      </c>
    </row>
    <row r="39" spans="9:11" hidden="1" x14ac:dyDescent="0.2">
      <c r="K39" s="204" t="s">
        <v>40</v>
      </c>
    </row>
    <row r="40" spans="9:11" hidden="1" x14ac:dyDescent="0.2">
      <c r="K40" s="204" t="s">
        <v>41</v>
      </c>
    </row>
    <row r="41" spans="9:11" ht="34" hidden="1" x14ac:dyDescent="0.2">
      <c r="I41" s="217" t="s">
        <v>42</v>
      </c>
      <c r="K41" s="204" t="s">
        <v>43</v>
      </c>
    </row>
    <row r="42" spans="9:11" ht="17" hidden="1" x14ac:dyDescent="0.2">
      <c r="I42" s="217" t="s">
        <v>44</v>
      </c>
      <c r="K42" s="204" t="s">
        <v>45</v>
      </c>
    </row>
    <row r="43" spans="9:11" hidden="1" x14ac:dyDescent="0.2">
      <c r="I43" s="218" t="s">
        <v>46</v>
      </c>
      <c r="K43" s="204" t="s">
        <v>47</v>
      </c>
    </row>
    <row r="44" spans="9:11" hidden="1" x14ac:dyDescent="0.2">
      <c r="I44" s="204" t="s">
        <v>48</v>
      </c>
      <c r="K44" s="204" t="s">
        <v>49</v>
      </c>
    </row>
    <row r="45" spans="9:11" hidden="1" x14ac:dyDescent="0.2">
      <c r="I45" s="204" t="s">
        <v>50</v>
      </c>
      <c r="K45" s="204" t="s">
        <v>51</v>
      </c>
    </row>
    <row r="46" spans="9:11" hidden="1" x14ac:dyDescent="0.2">
      <c r="I46" s="204" t="s">
        <v>52</v>
      </c>
      <c r="K46" s="204" t="s">
        <v>53</v>
      </c>
    </row>
    <row r="47" spans="9:11" hidden="1" x14ac:dyDescent="0.2">
      <c r="I47" s="204" t="s">
        <v>54</v>
      </c>
      <c r="K47" s="204" t="s">
        <v>55</v>
      </c>
    </row>
    <row r="48" spans="9:11" hidden="1" x14ac:dyDescent="0.2">
      <c r="I48" s="204" t="s">
        <v>56</v>
      </c>
      <c r="K48" s="204" t="s">
        <v>57</v>
      </c>
    </row>
    <row r="49" spans="9:11" hidden="1" x14ac:dyDescent="0.2">
      <c r="I49" s="204" t="s">
        <v>58</v>
      </c>
      <c r="K49" s="204" t="s">
        <v>59</v>
      </c>
    </row>
    <row r="50" spans="9:11" hidden="1" x14ac:dyDescent="0.2">
      <c r="I50" s="204" t="s">
        <v>60</v>
      </c>
      <c r="K50" s="204" t="s">
        <v>61</v>
      </c>
    </row>
    <row r="51" spans="9:11" hidden="1" x14ac:dyDescent="0.2">
      <c r="K51" s="204" t="s">
        <v>62</v>
      </c>
    </row>
    <row r="52" spans="9:11" hidden="1" x14ac:dyDescent="0.2">
      <c r="K52" s="204" t="s">
        <v>63</v>
      </c>
    </row>
    <row r="53" spans="9:11" hidden="1" x14ac:dyDescent="0.2">
      <c r="K53" s="204" t="s">
        <v>64</v>
      </c>
    </row>
    <row r="54" spans="9:11" hidden="1" x14ac:dyDescent="0.2">
      <c r="K54" s="204" t="s">
        <v>65</v>
      </c>
    </row>
    <row r="55" spans="9:11" hidden="1" x14ac:dyDescent="0.2">
      <c r="K55" s="204" t="s">
        <v>66</v>
      </c>
    </row>
    <row r="56" spans="9:11" hidden="1" x14ac:dyDescent="0.2">
      <c r="K56" s="204" t="s">
        <v>67</v>
      </c>
    </row>
    <row r="57" spans="9:11" hidden="1" x14ac:dyDescent="0.2">
      <c r="K57" s="204" t="s">
        <v>68</v>
      </c>
    </row>
    <row r="58" spans="9:11" hidden="1" x14ac:dyDescent="0.2">
      <c r="K58" s="204" t="s">
        <v>69</v>
      </c>
    </row>
    <row r="59" spans="9:11" hidden="1" x14ac:dyDescent="0.2">
      <c r="K59" s="204" t="s">
        <v>70</v>
      </c>
    </row>
    <row r="60" spans="9:11" hidden="1" x14ac:dyDescent="0.2">
      <c r="K60" s="204" t="s">
        <v>71</v>
      </c>
    </row>
    <row r="61" spans="9:11" hidden="1" x14ac:dyDescent="0.2">
      <c r="K61" s="204" t="s">
        <v>72</v>
      </c>
    </row>
    <row r="62" spans="9:11" hidden="1" x14ac:dyDescent="0.2">
      <c r="K62" s="204" t="s">
        <v>73</v>
      </c>
    </row>
    <row r="63" spans="9:11" hidden="1" x14ac:dyDescent="0.2">
      <c r="K63" s="204" t="s">
        <v>67</v>
      </c>
    </row>
    <row r="64" spans="9:11" hidden="1" x14ac:dyDescent="0.2">
      <c r="K64" s="204" t="s">
        <v>74</v>
      </c>
    </row>
    <row r="65" spans="11:11" hidden="1" x14ac:dyDescent="0.2">
      <c r="K65" s="204" t="s">
        <v>75</v>
      </c>
    </row>
    <row r="66" spans="11:11" hidden="1" x14ac:dyDescent="0.2">
      <c r="K66" s="204" t="s">
        <v>76</v>
      </c>
    </row>
    <row r="67" spans="11:11" hidden="1" x14ac:dyDescent="0.2">
      <c r="K67" s="204" t="s">
        <v>77</v>
      </c>
    </row>
    <row r="68" spans="11:11" hidden="1" x14ac:dyDescent="0.2">
      <c r="K68" s="204" t="s">
        <v>78</v>
      </c>
    </row>
    <row r="69" spans="11:11" hidden="1" x14ac:dyDescent="0.2">
      <c r="K69" s="204" t="s">
        <v>79</v>
      </c>
    </row>
    <row r="70" spans="11:11" hidden="1" x14ac:dyDescent="0.2">
      <c r="K70" s="204" t="s">
        <v>80</v>
      </c>
    </row>
    <row r="71" spans="11:11" hidden="1" x14ac:dyDescent="0.2">
      <c r="K71" s="204" t="s">
        <v>81</v>
      </c>
    </row>
    <row r="72" spans="11:11" hidden="1" x14ac:dyDescent="0.2">
      <c r="K72" s="204" t="s">
        <v>82</v>
      </c>
    </row>
    <row r="73" spans="11:11" hidden="1" x14ac:dyDescent="0.2">
      <c r="K73" s="204" t="s">
        <v>83</v>
      </c>
    </row>
    <row r="74" spans="11:11" hidden="1" x14ac:dyDescent="0.2">
      <c r="K74" s="204" t="s">
        <v>84</v>
      </c>
    </row>
    <row r="75" spans="11:11" hidden="1" x14ac:dyDescent="0.2">
      <c r="K75" s="204" t="s">
        <v>85</v>
      </c>
    </row>
    <row r="76" spans="11:11" hidden="1" x14ac:dyDescent="0.2">
      <c r="K76" s="204" t="s">
        <v>86</v>
      </c>
    </row>
    <row r="77" spans="11:11" hidden="1" x14ac:dyDescent="0.2">
      <c r="K77" s="204" t="s">
        <v>87</v>
      </c>
    </row>
    <row r="78" spans="11:11" hidden="1" x14ac:dyDescent="0.2">
      <c r="K78" s="204" t="s">
        <v>88</v>
      </c>
    </row>
    <row r="79" spans="11:11" hidden="1" x14ac:dyDescent="0.2">
      <c r="K79" s="204" t="s">
        <v>89</v>
      </c>
    </row>
    <row r="80" spans="11:11" hidden="1" x14ac:dyDescent="0.2">
      <c r="K80" s="204" t="s">
        <v>90</v>
      </c>
    </row>
    <row r="81" spans="11:11" hidden="1" x14ac:dyDescent="0.2">
      <c r="K81" s="204" t="s">
        <v>91</v>
      </c>
    </row>
    <row r="82" spans="11:11" hidden="1" x14ac:dyDescent="0.2">
      <c r="K82" s="204" t="s">
        <v>92</v>
      </c>
    </row>
    <row r="83" spans="11:11" hidden="1" x14ac:dyDescent="0.2">
      <c r="K83" s="204" t="s">
        <v>93</v>
      </c>
    </row>
    <row r="84" spans="11:11" hidden="1" x14ac:dyDescent="0.2">
      <c r="K84" s="204" t="s">
        <v>94</v>
      </c>
    </row>
    <row r="85" spans="11:11" hidden="1" x14ac:dyDescent="0.2">
      <c r="K85" s="204" t="s">
        <v>47</v>
      </c>
    </row>
  </sheetData>
  <dataValidations count="3">
    <dataValidation type="list" allowBlank="1" showInputMessage="1" showErrorMessage="1" sqref="B16:B19" xr:uid="{ABAA58E2-A789-47FC-9976-DFADC8799B57}">
      <formula1>$K$29:$K$85</formula1>
    </dataValidation>
    <dataValidation type="list" allowBlank="1" showInputMessage="1" showErrorMessage="1" sqref="B20:B21" xr:uid="{68DF8417-845B-4559-81A8-30D3B4FEB8A9}">
      <formula1>$K$29:$K$40</formula1>
    </dataValidation>
    <dataValidation type="list" allowBlank="1" showInputMessage="1" showErrorMessage="1" sqref="I50 K15:K21" xr:uid="{01101B7B-06B1-4BAF-96A6-9FF675AA75AB}">
      <formula1>$I$41:$I$50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35C95-74A7-4C24-8186-37C685DB20BD}">
  <dimension ref="A1:K85"/>
  <sheetViews>
    <sheetView workbookViewId="0">
      <selection sqref="A1:XFD1048576"/>
    </sheetView>
  </sheetViews>
  <sheetFormatPr baseColWidth="10" defaultColWidth="9.1640625" defaultRowHeight="16" x14ac:dyDescent="0.2"/>
  <cols>
    <col min="1" max="1" width="5.1640625" style="204" customWidth="1"/>
    <col min="2" max="2" width="22.5" style="204" customWidth="1"/>
    <col min="3" max="3" width="6.1640625" style="204" customWidth="1"/>
    <col min="4" max="4" width="12.5" style="204" bestFit="1" customWidth="1"/>
    <col min="5" max="5" width="9.83203125" style="204" customWidth="1"/>
    <col min="6" max="6" width="9.33203125" style="204" bestFit="1" customWidth="1"/>
    <col min="7" max="7" width="8.6640625" style="204" customWidth="1"/>
    <col min="8" max="8" width="9.5" style="204" bestFit="1" customWidth="1"/>
    <col min="9" max="9" width="17.83203125" style="204" bestFit="1" customWidth="1"/>
    <col min="10" max="10" width="10.33203125" style="204" bestFit="1" customWidth="1"/>
    <col min="11" max="11" width="75" style="204" bestFit="1" customWidth="1"/>
    <col min="12" max="16384" width="9.1640625" style="204"/>
  </cols>
  <sheetData>
    <row r="1" spans="1:11" x14ac:dyDescent="0.2">
      <c r="A1" s="204" t="s">
        <v>0</v>
      </c>
      <c r="I1" s="219"/>
    </row>
    <row r="2" spans="1:11" x14ac:dyDescent="0.2">
      <c r="J2" s="220"/>
    </row>
    <row r="3" spans="1:11" x14ac:dyDescent="0.2">
      <c r="A3" s="219" t="s">
        <v>1</v>
      </c>
    </row>
    <row r="4" spans="1:11" x14ac:dyDescent="0.2">
      <c r="A4" s="219"/>
      <c r="I4" s="220" t="s">
        <v>2</v>
      </c>
      <c r="J4" s="221">
        <v>45953</v>
      </c>
    </row>
    <row r="5" spans="1:11" x14ac:dyDescent="0.2">
      <c r="J5" s="204" t="s">
        <v>3</v>
      </c>
    </row>
    <row r="6" spans="1:11" ht="34" x14ac:dyDescent="0.2">
      <c r="A6" s="11" t="s">
        <v>4</v>
      </c>
      <c r="B6" s="11" t="s">
        <v>5</v>
      </c>
      <c r="C6" s="11" t="s">
        <v>6</v>
      </c>
      <c r="D6" s="11" t="s">
        <v>7</v>
      </c>
      <c r="E6" s="11" t="s">
        <v>8</v>
      </c>
      <c r="F6" s="11" t="s">
        <v>9</v>
      </c>
      <c r="G6" s="222" t="s">
        <v>10</v>
      </c>
      <c r="H6" s="222" t="s">
        <v>11</v>
      </c>
      <c r="I6" s="222" t="s">
        <v>12</v>
      </c>
      <c r="J6" s="223"/>
      <c r="K6" s="11" t="s">
        <v>13</v>
      </c>
    </row>
    <row r="7" spans="1:11" ht="34" x14ac:dyDescent="0.2">
      <c r="A7" s="222"/>
      <c r="B7" s="224"/>
      <c r="C7" s="11"/>
      <c r="D7" s="11" t="s">
        <v>14</v>
      </c>
      <c r="E7" s="11" t="s">
        <v>15</v>
      </c>
      <c r="F7" s="225" t="s">
        <v>16</v>
      </c>
      <c r="G7" s="225" t="s">
        <v>15</v>
      </c>
      <c r="H7" s="225" t="s">
        <v>17</v>
      </c>
      <c r="I7" s="11" t="s">
        <v>18</v>
      </c>
      <c r="J7" s="225" t="s">
        <v>19</v>
      </c>
      <c r="K7" s="225"/>
    </row>
    <row r="8" spans="1:11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2">
      <c r="A9" s="186">
        <v>1</v>
      </c>
      <c r="B9" s="187" t="s">
        <v>250</v>
      </c>
      <c r="C9" s="161">
        <v>14</v>
      </c>
      <c r="D9" s="14">
        <v>2.85</v>
      </c>
      <c r="E9" s="163">
        <v>1409</v>
      </c>
      <c r="F9" s="162">
        <v>56</v>
      </c>
      <c r="G9" s="15">
        <f t="shared" ref="G9:G10" si="0">E9*F9</f>
        <v>78904</v>
      </c>
      <c r="H9" s="16">
        <f>F9*C9</f>
        <v>784</v>
      </c>
      <c r="I9" s="179" t="s">
        <v>20</v>
      </c>
      <c r="J9" s="188">
        <v>2.0833333333333332E-2</v>
      </c>
      <c r="K9" s="202" t="s">
        <v>239</v>
      </c>
    </row>
    <row r="10" spans="1:11" ht="17" x14ac:dyDescent="0.2">
      <c r="A10" s="190">
        <v>2</v>
      </c>
      <c r="B10" s="187" t="s">
        <v>236</v>
      </c>
      <c r="C10" s="161">
        <v>17</v>
      </c>
      <c r="D10" s="14">
        <v>2.85</v>
      </c>
      <c r="E10" s="163">
        <v>1377</v>
      </c>
      <c r="F10" s="162">
        <v>14</v>
      </c>
      <c r="G10" s="15">
        <f t="shared" si="0"/>
        <v>19278</v>
      </c>
      <c r="H10" s="16">
        <f t="shared" ref="H10" si="1">F10*C10</f>
        <v>238</v>
      </c>
      <c r="I10" s="179" t="s">
        <v>44</v>
      </c>
      <c r="J10" s="188">
        <v>6.9444444444444441E-3</v>
      </c>
      <c r="K10" s="189" t="s">
        <v>44</v>
      </c>
    </row>
    <row r="11" spans="1:11" x14ac:dyDescent="0.2">
      <c r="A11" s="186"/>
      <c r="B11" s="187"/>
      <c r="C11" s="161"/>
      <c r="D11" s="14"/>
      <c r="E11" s="163"/>
      <c r="F11" s="175"/>
      <c r="G11" s="15"/>
      <c r="H11" s="16"/>
      <c r="I11" s="179" t="s">
        <v>233</v>
      </c>
      <c r="J11" s="188">
        <v>6.25E-2</v>
      </c>
      <c r="K11" s="189" t="s">
        <v>238</v>
      </c>
    </row>
    <row r="12" spans="1:11" ht="19.25" customHeight="1" x14ac:dyDescent="0.2">
      <c r="A12" s="190"/>
      <c r="B12" s="187"/>
      <c r="C12" s="176"/>
      <c r="D12" s="14"/>
      <c r="E12" s="177"/>
      <c r="F12" s="178"/>
      <c r="G12" s="15"/>
      <c r="H12" s="16"/>
      <c r="I12" s="195" t="s">
        <v>258</v>
      </c>
      <c r="J12" s="194">
        <v>3.125E-2</v>
      </c>
      <c r="K12" s="189" t="s">
        <v>270</v>
      </c>
    </row>
    <row r="13" spans="1:11" x14ac:dyDescent="0.2">
      <c r="A13" s="191"/>
      <c r="B13" s="187"/>
      <c r="C13" s="176"/>
      <c r="D13" s="14"/>
      <c r="E13" s="177"/>
      <c r="F13" s="178"/>
      <c r="G13" s="15"/>
      <c r="H13" s="16"/>
      <c r="I13" s="179" t="s">
        <v>260</v>
      </c>
      <c r="J13" s="188">
        <v>3.125E-2</v>
      </c>
      <c r="K13" s="189" t="s">
        <v>270</v>
      </c>
    </row>
    <row r="14" spans="1:11" ht="18" x14ac:dyDescent="0.2">
      <c r="A14" s="186"/>
      <c r="B14" s="187"/>
      <c r="C14" s="180"/>
      <c r="D14" s="14"/>
      <c r="E14" s="181"/>
      <c r="F14" s="182"/>
      <c r="G14" s="15"/>
      <c r="H14" s="16"/>
      <c r="I14" s="236"/>
      <c r="J14" s="237"/>
      <c r="K14" s="238"/>
    </row>
    <row r="15" spans="1:11" x14ac:dyDescent="0.2">
      <c r="A15" s="190"/>
      <c r="B15" s="187"/>
      <c r="C15" s="192"/>
      <c r="D15" s="14"/>
      <c r="E15" s="181"/>
      <c r="F15" s="193"/>
      <c r="G15" s="15"/>
      <c r="H15" s="16"/>
      <c r="I15" s="19"/>
      <c r="J15" s="18"/>
      <c r="K15" s="17"/>
    </row>
    <row r="16" spans="1:11" x14ac:dyDescent="0.2">
      <c r="A16" s="197"/>
      <c r="B16" s="198"/>
      <c r="C16" s="161"/>
      <c r="D16" s="14"/>
      <c r="E16" s="177"/>
      <c r="F16" s="161"/>
      <c r="G16" s="15"/>
      <c r="H16" s="16"/>
      <c r="I16" s="19"/>
      <c r="J16" s="18"/>
      <c r="K16" s="20"/>
    </row>
    <row r="17" spans="1:11" x14ac:dyDescent="0.2">
      <c r="A17" s="197"/>
      <c r="B17" s="198"/>
      <c r="C17" s="161"/>
      <c r="D17" s="14"/>
      <c r="E17" s="181"/>
      <c r="F17" s="161"/>
      <c r="G17" s="15"/>
      <c r="H17" s="16"/>
      <c r="I17" s="19"/>
      <c r="J17" s="18"/>
      <c r="K17" s="20"/>
    </row>
    <row r="18" spans="1:11" x14ac:dyDescent="0.2">
      <c r="A18" s="197"/>
      <c r="B18" s="198"/>
      <c r="C18" s="161"/>
      <c r="D18" s="14"/>
      <c r="E18" s="181"/>
      <c r="F18" s="161"/>
      <c r="G18" s="15"/>
      <c r="H18" s="16"/>
      <c r="I18" s="10"/>
      <c r="J18" s="13"/>
      <c r="K18" s="10"/>
    </row>
    <row r="19" spans="1:11" x14ac:dyDescent="0.2">
      <c r="A19" s="11"/>
      <c r="B19" s="10"/>
      <c r="C19" s="12"/>
      <c r="D19" s="200"/>
      <c r="E19" s="11"/>
      <c r="F19" s="12"/>
      <c r="G19" s="201"/>
      <c r="H19" s="12"/>
      <c r="I19" s="10"/>
      <c r="J19" s="13"/>
      <c r="K19" s="10"/>
    </row>
    <row r="20" spans="1:11" x14ac:dyDescent="0.2">
      <c r="A20" s="11"/>
      <c r="B20" s="10"/>
      <c r="C20" s="12"/>
      <c r="D20" s="200"/>
      <c r="E20" s="11"/>
      <c r="F20" s="12"/>
      <c r="G20" s="201"/>
      <c r="H20" s="12"/>
      <c r="I20" s="10"/>
      <c r="J20" s="13"/>
      <c r="K20" s="10"/>
    </row>
    <row r="21" spans="1:11" x14ac:dyDescent="0.2">
      <c r="A21" s="11"/>
      <c r="B21" s="10"/>
      <c r="C21" s="205"/>
      <c r="D21" s="11"/>
      <c r="E21" s="13"/>
      <c r="F21" s="205"/>
      <c r="G21" s="201"/>
      <c r="H21" s="12"/>
      <c r="I21" s="10"/>
      <c r="J21" s="13"/>
      <c r="K21" s="10"/>
    </row>
    <row r="22" spans="1:11" x14ac:dyDescent="0.2">
      <c r="A22" s="206"/>
      <c r="B22" s="207"/>
      <c r="C22" s="208"/>
      <c r="D22" s="208"/>
      <c r="E22" s="226" t="s">
        <v>21</v>
      </c>
      <c r="F22" s="227">
        <f>SUM(F9:F21)</f>
        <v>70</v>
      </c>
      <c r="G22" s="228">
        <f>SUM(G9:G21)/F22</f>
        <v>1402.6</v>
      </c>
      <c r="H22" s="229">
        <f>SUM(H9:H21)/F22</f>
        <v>14.6</v>
      </c>
      <c r="I22" s="209" t="s">
        <v>22</v>
      </c>
      <c r="J22" s="210">
        <v>0.15277777777777779</v>
      </c>
      <c r="K22" s="207"/>
    </row>
    <row r="23" spans="1:11" x14ac:dyDescent="0.2">
      <c r="E23" s="211"/>
      <c r="F23" s="212"/>
      <c r="I23" s="230" t="s">
        <v>23</v>
      </c>
      <c r="J23" s="231">
        <v>3.67</v>
      </c>
    </row>
    <row r="24" spans="1:11" x14ac:dyDescent="0.2">
      <c r="I24" s="212"/>
      <c r="J24" s="213"/>
    </row>
    <row r="25" spans="1:11" x14ac:dyDescent="0.2">
      <c r="A25" s="10" t="s">
        <v>24</v>
      </c>
      <c r="B25" s="10"/>
      <c r="C25" s="10"/>
      <c r="D25" s="205"/>
      <c r="H25" s="220" t="s">
        <v>25</v>
      </c>
      <c r="I25" s="220"/>
      <c r="J25" s="211">
        <f>F22</f>
        <v>70</v>
      </c>
      <c r="K25" s="204" t="s">
        <v>16</v>
      </c>
    </row>
    <row r="26" spans="1:11" x14ac:dyDescent="0.2">
      <c r="A26" s="10" t="s">
        <v>26</v>
      </c>
      <c r="B26" s="10"/>
      <c r="C26" s="10"/>
      <c r="D26" s="205"/>
      <c r="H26" s="220" t="s">
        <v>27</v>
      </c>
      <c r="I26" s="220"/>
      <c r="J26" s="211">
        <f>100+96+78+70+83+72+85+80+69+83+83+96+82+82+80+75+80+82+95+94+83+84+70</f>
        <v>1902</v>
      </c>
      <c r="K26" s="204" t="s">
        <v>16</v>
      </c>
    </row>
    <row r="27" spans="1:11" ht="17" thickBot="1" x14ac:dyDescent="0.25">
      <c r="A27" s="214"/>
      <c r="B27" s="214"/>
      <c r="C27" s="214"/>
      <c r="D27" s="214"/>
      <c r="E27" s="215"/>
      <c r="F27" s="215"/>
      <c r="G27" s="214"/>
      <c r="H27" s="232" t="s">
        <v>28</v>
      </c>
      <c r="I27" s="232"/>
      <c r="J27" s="216">
        <v>49.08</v>
      </c>
      <c r="K27" s="214" t="s">
        <v>29</v>
      </c>
    </row>
    <row r="28" spans="1:11" x14ac:dyDescent="0.2">
      <c r="J28" s="204" t="s">
        <v>3</v>
      </c>
    </row>
    <row r="29" spans="1:11" hidden="1" x14ac:dyDescent="0.2">
      <c r="K29" s="204" t="s">
        <v>30</v>
      </c>
    </row>
    <row r="30" spans="1:11" hidden="1" x14ac:dyDescent="0.2">
      <c r="K30" s="204" t="s">
        <v>31</v>
      </c>
    </row>
    <row r="31" spans="1:11" hidden="1" x14ac:dyDescent="0.2">
      <c r="K31" s="204" t="s">
        <v>32</v>
      </c>
    </row>
    <row r="32" spans="1:11" hidden="1" x14ac:dyDescent="0.2">
      <c r="K32" s="204" t="s">
        <v>33</v>
      </c>
    </row>
    <row r="33" spans="9:11" hidden="1" x14ac:dyDescent="0.2">
      <c r="K33" s="204" t="s">
        <v>34</v>
      </c>
    </row>
    <row r="34" spans="9:11" hidden="1" x14ac:dyDescent="0.2">
      <c r="K34" s="204" t="s">
        <v>35</v>
      </c>
    </row>
    <row r="35" spans="9:11" hidden="1" x14ac:dyDescent="0.2">
      <c r="K35" s="204" t="s">
        <v>36</v>
      </c>
    </row>
    <row r="36" spans="9:11" hidden="1" x14ac:dyDescent="0.2">
      <c r="K36" s="204" t="s">
        <v>37</v>
      </c>
    </row>
    <row r="37" spans="9:11" hidden="1" x14ac:dyDescent="0.2">
      <c r="K37" s="204" t="s">
        <v>38</v>
      </c>
    </row>
    <row r="38" spans="9:11" hidden="1" x14ac:dyDescent="0.2">
      <c r="K38" s="204" t="s">
        <v>39</v>
      </c>
    </row>
    <row r="39" spans="9:11" hidden="1" x14ac:dyDescent="0.2">
      <c r="K39" s="204" t="s">
        <v>40</v>
      </c>
    </row>
    <row r="40" spans="9:11" hidden="1" x14ac:dyDescent="0.2">
      <c r="K40" s="204" t="s">
        <v>41</v>
      </c>
    </row>
    <row r="41" spans="9:11" ht="34" hidden="1" x14ac:dyDescent="0.2">
      <c r="I41" s="217" t="s">
        <v>42</v>
      </c>
      <c r="K41" s="204" t="s">
        <v>43</v>
      </c>
    </row>
    <row r="42" spans="9:11" ht="17" hidden="1" x14ac:dyDescent="0.2">
      <c r="I42" s="217" t="s">
        <v>44</v>
      </c>
      <c r="K42" s="204" t="s">
        <v>45</v>
      </c>
    </row>
    <row r="43" spans="9:11" hidden="1" x14ac:dyDescent="0.2">
      <c r="I43" s="218" t="s">
        <v>46</v>
      </c>
      <c r="K43" s="204" t="s">
        <v>47</v>
      </c>
    </row>
    <row r="44" spans="9:11" hidden="1" x14ac:dyDescent="0.2">
      <c r="I44" s="204" t="s">
        <v>48</v>
      </c>
      <c r="K44" s="204" t="s">
        <v>49</v>
      </c>
    </row>
    <row r="45" spans="9:11" hidden="1" x14ac:dyDescent="0.2">
      <c r="I45" s="204" t="s">
        <v>50</v>
      </c>
      <c r="K45" s="204" t="s">
        <v>51</v>
      </c>
    </row>
    <row r="46" spans="9:11" hidden="1" x14ac:dyDescent="0.2">
      <c r="I46" s="204" t="s">
        <v>52</v>
      </c>
      <c r="K46" s="204" t="s">
        <v>53</v>
      </c>
    </row>
    <row r="47" spans="9:11" hidden="1" x14ac:dyDescent="0.2">
      <c r="I47" s="204" t="s">
        <v>54</v>
      </c>
      <c r="K47" s="204" t="s">
        <v>55</v>
      </c>
    </row>
    <row r="48" spans="9:11" hidden="1" x14ac:dyDescent="0.2">
      <c r="I48" s="204" t="s">
        <v>56</v>
      </c>
      <c r="K48" s="204" t="s">
        <v>57</v>
      </c>
    </row>
    <row r="49" spans="9:11" hidden="1" x14ac:dyDescent="0.2">
      <c r="I49" s="204" t="s">
        <v>58</v>
      </c>
      <c r="K49" s="204" t="s">
        <v>59</v>
      </c>
    </row>
    <row r="50" spans="9:11" hidden="1" x14ac:dyDescent="0.2">
      <c r="I50" s="204" t="s">
        <v>60</v>
      </c>
      <c r="K50" s="204" t="s">
        <v>61</v>
      </c>
    </row>
    <row r="51" spans="9:11" hidden="1" x14ac:dyDescent="0.2">
      <c r="K51" s="204" t="s">
        <v>62</v>
      </c>
    </row>
    <row r="52" spans="9:11" hidden="1" x14ac:dyDescent="0.2">
      <c r="K52" s="204" t="s">
        <v>63</v>
      </c>
    </row>
    <row r="53" spans="9:11" hidden="1" x14ac:dyDescent="0.2">
      <c r="K53" s="204" t="s">
        <v>64</v>
      </c>
    </row>
    <row r="54" spans="9:11" hidden="1" x14ac:dyDescent="0.2">
      <c r="K54" s="204" t="s">
        <v>65</v>
      </c>
    </row>
    <row r="55" spans="9:11" hidden="1" x14ac:dyDescent="0.2">
      <c r="K55" s="204" t="s">
        <v>66</v>
      </c>
    </row>
    <row r="56" spans="9:11" hidden="1" x14ac:dyDescent="0.2">
      <c r="K56" s="204" t="s">
        <v>67</v>
      </c>
    </row>
    <row r="57" spans="9:11" hidden="1" x14ac:dyDescent="0.2">
      <c r="K57" s="204" t="s">
        <v>68</v>
      </c>
    </row>
    <row r="58" spans="9:11" hidden="1" x14ac:dyDescent="0.2">
      <c r="K58" s="204" t="s">
        <v>69</v>
      </c>
    </row>
    <row r="59" spans="9:11" hidden="1" x14ac:dyDescent="0.2">
      <c r="K59" s="204" t="s">
        <v>70</v>
      </c>
    </row>
    <row r="60" spans="9:11" hidden="1" x14ac:dyDescent="0.2">
      <c r="K60" s="204" t="s">
        <v>71</v>
      </c>
    </row>
    <row r="61" spans="9:11" hidden="1" x14ac:dyDescent="0.2">
      <c r="K61" s="204" t="s">
        <v>72</v>
      </c>
    </row>
    <row r="62" spans="9:11" hidden="1" x14ac:dyDescent="0.2">
      <c r="K62" s="204" t="s">
        <v>73</v>
      </c>
    </row>
    <row r="63" spans="9:11" hidden="1" x14ac:dyDescent="0.2">
      <c r="K63" s="204" t="s">
        <v>67</v>
      </c>
    </row>
    <row r="64" spans="9:11" hidden="1" x14ac:dyDescent="0.2">
      <c r="K64" s="204" t="s">
        <v>74</v>
      </c>
    </row>
    <row r="65" spans="11:11" hidden="1" x14ac:dyDescent="0.2">
      <c r="K65" s="204" t="s">
        <v>75</v>
      </c>
    </row>
    <row r="66" spans="11:11" hidden="1" x14ac:dyDescent="0.2">
      <c r="K66" s="204" t="s">
        <v>76</v>
      </c>
    </row>
    <row r="67" spans="11:11" hidden="1" x14ac:dyDescent="0.2">
      <c r="K67" s="204" t="s">
        <v>77</v>
      </c>
    </row>
    <row r="68" spans="11:11" hidden="1" x14ac:dyDescent="0.2">
      <c r="K68" s="204" t="s">
        <v>78</v>
      </c>
    </row>
    <row r="69" spans="11:11" hidden="1" x14ac:dyDescent="0.2">
      <c r="K69" s="204" t="s">
        <v>79</v>
      </c>
    </row>
    <row r="70" spans="11:11" hidden="1" x14ac:dyDescent="0.2">
      <c r="K70" s="204" t="s">
        <v>80</v>
      </c>
    </row>
    <row r="71" spans="11:11" hidden="1" x14ac:dyDescent="0.2">
      <c r="K71" s="204" t="s">
        <v>81</v>
      </c>
    </row>
    <row r="72" spans="11:11" hidden="1" x14ac:dyDescent="0.2">
      <c r="K72" s="204" t="s">
        <v>82</v>
      </c>
    </row>
    <row r="73" spans="11:11" hidden="1" x14ac:dyDescent="0.2">
      <c r="K73" s="204" t="s">
        <v>83</v>
      </c>
    </row>
    <row r="74" spans="11:11" hidden="1" x14ac:dyDescent="0.2">
      <c r="K74" s="204" t="s">
        <v>84</v>
      </c>
    </row>
    <row r="75" spans="11:11" hidden="1" x14ac:dyDescent="0.2">
      <c r="K75" s="204" t="s">
        <v>85</v>
      </c>
    </row>
    <row r="76" spans="11:11" hidden="1" x14ac:dyDescent="0.2">
      <c r="K76" s="204" t="s">
        <v>86</v>
      </c>
    </row>
    <row r="77" spans="11:11" hidden="1" x14ac:dyDescent="0.2">
      <c r="K77" s="204" t="s">
        <v>87</v>
      </c>
    </row>
    <row r="78" spans="11:11" hidden="1" x14ac:dyDescent="0.2">
      <c r="K78" s="204" t="s">
        <v>88</v>
      </c>
    </row>
    <row r="79" spans="11:11" hidden="1" x14ac:dyDescent="0.2">
      <c r="K79" s="204" t="s">
        <v>89</v>
      </c>
    </row>
    <row r="80" spans="11:11" hidden="1" x14ac:dyDescent="0.2">
      <c r="K80" s="204" t="s">
        <v>90</v>
      </c>
    </row>
    <row r="81" spans="11:11" hidden="1" x14ac:dyDescent="0.2">
      <c r="K81" s="204" t="s">
        <v>91</v>
      </c>
    </row>
    <row r="82" spans="11:11" hidden="1" x14ac:dyDescent="0.2">
      <c r="K82" s="204" t="s">
        <v>92</v>
      </c>
    </row>
    <row r="83" spans="11:11" hidden="1" x14ac:dyDescent="0.2">
      <c r="K83" s="204" t="s">
        <v>93</v>
      </c>
    </row>
    <row r="84" spans="11:11" hidden="1" x14ac:dyDescent="0.2">
      <c r="K84" s="204" t="s">
        <v>94</v>
      </c>
    </row>
    <row r="85" spans="11:11" hidden="1" x14ac:dyDescent="0.2">
      <c r="K85" s="204" t="s">
        <v>47</v>
      </c>
    </row>
  </sheetData>
  <dataValidations count="3">
    <dataValidation type="list" allowBlank="1" showInputMessage="1" showErrorMessage="1" sqref="I50 K15:K21" xr:uid="{9A3803D5-616B-42AB-8D6C-9C79D15B633C}">
      <formula1>$I$41:$I$50</formula1>
    </dataValidation>
    <dataValidation type="list" allowBlank="1" showInputMessage="1" showErrorMessage="1" sqref="B20:B21" xr:uid="{BFB79123-39AC-42BA-816A-0A07DA3D9528}">
      <formula1>$K$29:$K$40</formula1>
    </dataValidation>
    <dataValidation type="list" allowBlank="1" showInputMessage="1" showErrorMessage="1" sqref="B16:B19" xr:uid="{60726181-9A4E-4F8A-9C0D-6BED84D3754E}">
      <formula1>$K$29:$K$85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22CE7-3EC9-463F-849D-6B7538EEF96A}">
  <dimension ref="A1:K85"/>
  <sheetViews>
    <sheetView workbookViewId="0">
      <selection sqref="A1:XFD1048576"/>
    </sheetView>
  </sheetViews>
  <sheetFormatPr baseColWidth="10" defaultColWidth="9.1640625" defaultRowHeight="16" x14ac:dyDescent="0.2"/>
  <cols>
    <col min="1" max="1" width="5.1640625" style="204" customWidth="1"/>
    <col min="2" max="2" width="22.5" style="204" customWidth="1"/>
    <col min="3" max="3" width="6.1640625" style="204" customWidth="1"/>
    <col min="4" max="4" width="12.5" style="204" bestFit="1" customWidth="1"/>
    <col min="5" max="5" width="9.83203125" style="204" customWidth="1"/>
    <col min="6" max="6" width="9.33203125" style="204" bestFit="1" customWidth="1"/>
    <col min="7" max="7" width="8.6640625" style="204" customWidth="1"/>
    <col min="8" max="8" width="9.5" style="204" bestFit="1" customWidth="1"/>
    <col min="9" max="9" width="17.83203125" style="204" bestFit="1" customWidth="1"/>
    <col min="10" max="10" width="10.33203125" style="204" bestFit="1" customWidth="1"/>
    <col min="11" max="11" width="75" style="204" bestFit="1" customWidth="1"/>
    <col min="12" max="16384" width="9.1640625" style="204"/>
  </cols>
  <sheetData>
    <row r="1" spans="1:11" x14ac:dyDescent="0.2">
      <c r="A1" s="204" t="s">
        <v>0</v>
      </c>
      <c r="I1" s="219"/>
    </row>
    <row r="2" spans="1:11" x14ac:dyDescent="0.2">
      <c r="J2" s="220"/>
    </row>
    <row r="3" spans="1:11" x14ac:dyDescent="0.2">
      <c r="A3" s="219" t="s">
        <v>1</v>
      </c>
    </row>
    <row r="4" spans="1:11" x14ac:dyDescent="0.2">
      <c r="A4" s="219"/>
      <c r="I4" s="220" t="s">
        <v>2</v>
      </c>
      <c r="J4" s="221">
        <v>45954</v>
      </c>
    </row>
    <row r="5" spans="1:11" x14ac:dyDescent="0.2">
      <c r="J5" s="204" t="s">
        <v>3</v>
      </c>
    </row>
    <row r="6" spans="1:11" ht="34" x14ac:dyDescent="0.2">
      <c r="A6" s="11" t="s">
        <v>4</v>
      </c>
      <c r="B6" s="11" t="s">
        <v>5</v>
      </c>
      <c r="C6" s="11" t="s">
        <v>6</v>
      </c>
      <c r="D6" s="11" t="s">
        <v>7</v>
      </c>
      <c r="E6" s="11" t="s">
        <v>8</v>
      </c>
      <c r="F6" s="11" t="s">
        <v>9</v>
      </c>
      <c r="G6" s="222" t="s">
        <v>10</v>
      </c>
      <c r="H6" s="222" t="s">
        <v>11</v>
      </c>
      <c r="I6" s="222" t="s">
        <v>12</v>
      </c>
      <c r="J6" s="223"/>
      <c r="K6" s="11" t="s">
        <v>13</v>
      </c>
    </row>
    <row r="7" spans="1:11" ht="34" x14ac:dyDescent="0.2">
      <c r="A7" s="222"/>
      <c r="B7" s="224"/>
      <c r="C7" s="11"/>
      <c r="D7" s="11" t="s">
        <v>14</v>
      </c>
      <c r="E7" s="11" t="s">
        <v>15</v>
      </c>
      <c r="F7" s="225" t="s">
        <v>16</v>
      </c>
      <c r="G7" s="225" t="s">
        <v>15</v>
      </c>
      <c r="H7" s="225" t="s">
        <v>17</v>
      </c>
      <c r="I7" s="11" t="s">
        <v>18</v>
      </c>
      <c r="J7" s="225" t="s">
        <v>19</v>
      </c>
      <c r="K7" s="225"/>
    </row>
    <row r="8" spans="1:11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2">
      <c r="A9" s="186">
        <v>1</v>
      </c>
      <c r="B9" s="187" t="s">
        <v>241</v>
      </c>
      <c r="C9" s="161">
        <v>15</v>
      </c>
      <c r="D9" s="14">
        <v>2.85</v>
      </c>
      <c r="E9" s="163">
        <v>1461</v>
      </c>
      <c r="F9" s="162">
        <v>21.8</v>
      </c>
      <c r="G9" s="15">
        <f t="shared" ref="G9:G10" si="0">E9*F9</f>
        <v>31849.8</v>
      </c>
      <c r="H9" s="16">
        <f>F9*C9</f>
        <v>327</v>
      </c>
      <c r="I9" s="179" t="s">
        <v>20</v>
      </c>
      <c r="J9" s="188">
        <v>2.0833333333333332E-2</v>
      </c>
      <c r="K9" s="202" t="s">
        <v>239</v>
      </c>
    </row>
    <row r="10" spans="1:11" ht="17" x14ac:dyDescent="0.2">
      <c r="A10" s="190">
        <v>2</v>
      </c>
      <c r="B10" s="187" t="s">
        <v>236</v>
      </c>
      <c r="C10" s="161">
        <v>17</v>
      </c>
      <c r="D10" s="14">
        <v>2.85</v>
      </c>
      <c r="E10" s="163">
        <v>1344</v>
      </c>
      <c r="F10" s="162">
        <v>68.2</v>
      </c>
      <c r="G10" s="15">
        <f t="shared" si="0"/>
        <v>91660.800000000003</v>
      </c>
      <c r="H10" s="16">
        <f t="shared" ref="H10" si="1">F10*C10</f>
        <v>1159.4000000000001</v>
      </c>
      <c r="I10" s="179" t="s">
        <v>44</v>
      </c>
      <c r="J10" s="188">
        <v>1.3888888888888888E-2</v>
      </c>
      <c r="K10" s="189" t="s">
        <v>44</v>
      </c>
    </row>
    <row r="11" spans="1:11" x14ac:dyDescent="0.2">
      <c r="A11" s="186"/>
      <c r="B11" s="187"/>
      <c r="C11" s="161"/>
      <c r="D11" s="14"/>
      <c r="E11" s="163"/>
      <c r="F11" s="175"/>
      <c r="G11" s="15"/>
      <c r="H11" s="16"/>
      <c r="I11" s="179"/>
      <c r="J11" s="188"/>
      <c r="K11" s="189"/>
    </row>
    <row r="12" spans="1:11" ht="19.25" customHeight="1" x14ac:dyDescent="0.2">
      <c r="A12" s="190"/>
      <c r="B12" s="187"/>
      <c r="C12" s="176"/>
      <c r="D12" s="14"/>
      <c r="E12" s="177"/>
      <c r="F12" s="178"/>
      <c r="G12" s="15"/>
      <c r="H12" s="16"/>
      <c r="I12" s="195"/>
      <c r="J12" s="194"/>
      <c r="K12" s="189"/>
    </row>
    <row r="13" spans="1:11" x14ac:dyDescent="0.2">
      <c r="A13" s="191"/>
      <c r="B13" s="187"/>
      <c r="C13" s="176"/>
      <c r="D13" s="14"/>
      <c r="E13" s="177"/>
      <c r="F13" s="178"/>
      <c r="G13" s="15"/>
      <c r="H13" s="16"/>
      <c r="I13" s="179"/>
      <c r="J13" s="188"/>
      <c r="K13" s="189"/>
    </row>
    <row r="14" spans="1:11" ht="18" x14ac:dyDescent="0.2">
      <c r="A14" s="186"/>
      <c r="B14" s="187"/>
      <c r="C14" s="180"/>
      <c r="D14" s="14"/>
      <c r="E14" s="181"/>
      <c r="F14" s="182"/>
      <c r="G14" s="15"/>
      <c r="H14" s="16"/>
      <c r="I14" s="236"/>
      <c r="J14" s="237"/>
      <c r="K14" s="238"/>
    </row>
    <row r="15" spans="1:11" x14ac:dyDescent="0.2">
      <c r="A15" s="190"/>
      <c r="B15" s="187"/>
      <c r="C15" s="192"/>
      <c r="D15" s="14"/>
      <c r="E15" s="181"/>
      <c r="F15" s="193"/>
      <c r="G15" s="15"/>
      <c r="H15" s="16"/>
      <c r="I15" s="19"/>
      <c r="J15" s="18"/>
      <c r="K15" s="17"/>
    </row>
    <row r="16" spans="1:11" x14ac:dyDescent="0.2">
      <c r="A16" s="197"/>
      <c r="B16" s="198"/>
      <c r="C16" s="161"/>
      <c r="D16" s="14"/>
      <c r="E16" s="177"/>
      <c r="F16" s="161"/>
      <c r="G16" s="15"/>
      <c r="H16" s="16"/>
      <c r="I16" s="19"/>
      <c r="J16" s="18"/>
      <c r="K16" s="20"/>
    </row>
    <row r="17" spans="1:11" x14ac:dyDescent="0.2">
      <c r="A17" s="197"/>
      <c r="B17" s="198"/>
      <c r="C17" s="161"/>
      <c r="D17" s="14"/>
      <c r="E17" s="181"/>
      <c r="F17" s="161"/>
      <c r="G17" s="15"/>
      <c r="H17" s="16"/>
      <c r="I17" s="19"/>
      <c r="J17" s="18"/>
      <c r="K17" s="20"/>
    </row>
    <row r="18" spans="1:11" x14ac:dyDescent="0.2">
      <c r="A18" s="197"/>
      <c r="B18" s="198"/>
      <c r="C18" s="161"/>
      <c r="D18" s="14"/>
      <c r="E18" s="181"/>
      <c r="F18" s="161"/>
      <c r="G18" s="15"/>
      <c r="H18" s="16"/>
      <c r="I18" s="10"/>
      <c r="J18" s="13"/>
      <c r="K18" s="10"/>
    </row>
    <row r="19" spans="1:11" x14ac:dyDescent="0.2">
      <c r="A19" s="11"/>
      <c r="B19" s="10"/>
      <c r="C19" s="12"/>
      <c r="D19" s="200"/>
      <c r="E19" s="11"/>
      <c r="F19" s="12"/>
      <c r="G19" s="201"/>
      <c r="H19" s="12"/>
      <c r="I19" s="10"/>
      <c r="J19" s="13"/>
      <c r="K19" s="10"/>
    </row>
    <row r="20" spans="1:11" x14ac:dyDescent="0.2">
      <c r="A20" s="11"/>
      <c r="B20" s="10"/>
      <c r="C20" s="12"/>
      <c r="D20" s="200"/>
      <c r="E20" s="11"/>
      <c r="F20" s="12"/>
      <c r="G20" s="201"/>
      <c r="H20" s="12"/>
      <c r="I20" s="10"/>
      <c r="J20" s="13"/>
      <c r="K20" s="10"/>
    </row>
    <row r="21" spans="1:11" x14ac:dyDescent="0.2">
      <c r="A21" s="11"/>
      <c r="B21" s="10"/>
      <c r="C21" s="205"/>
      <c r="D21" s="11"/>
      <c r="E21" s="13"/>
      <c r="F21" s="205"/>
      <c r="G21" s="201"/>
      <c r="H21" s="12"/>
      <c r="I21" s="10"/>
      <c r="J21" s="13"/>
      <c r="K21" s="10"/>
    </row>
    <row r="22" spans="1:11" x14ac:dyDescent="0.2">
      <c r="A22" s="206"/>
      <c r="B22" s="207"/>
      <c r="C22" s="208"/>
      <c r="D22" s="208"/>
      <c r="E22" s="226" t="s">
        <v>21</v>
      </c>
      <c r="F22" s="227">
        <f>SUM(F9:F21)</f>
        <v>90</v>
      </c>
      <c r="G22" s="228">
        <f>SUM(G9:G21)/F22</f>
        <v>1372.3400000000001</v>
      </c>
      <c r="H22" s="229">
        <f>SUM(H9:H21)/F22</f>
        <v>16.515555555555558</v>
      </c>
      <c r="I22" s="209" t="s">
        <v>22</v>
      </c>
      <c r="J22" s="210">
        <v>3.4722222222222224E-2</v>
      </c>
      <c r="K22" s="207"/>
    </row>
    <row r="23" spans="1:11" x14ac:dyDescent="0.2">
      <c r="E23" s="211"/>
      <c r="F23" s="212"/>
      <c r="I23" s="230" t="s">
        <v>23</v>
      </c>
      <c r="J23" s="231">
        <v>0.83</v>
      </c>
    </row>
    <row r="24" spans="1:11" x14ac:dyDescent="0.2">
      <c r="I24" s="212"/>
      <c r="J24" s="213"/>
    </row>
    <row r="25" spans="1:11" x14ac:dyDescent="0.2">
      <c r="A25" s="10" t="s">
        <v>24</v>
      </c>
      <c r="B25" s="10"/>
      <c r="C25" s="10"/>
      <c r="D25" s="205"/>
      <c r="H25" s="220" t="s">
        <v>25</v>
      </c>
      <c r="I25" s="220"/>
      <c r="J25" s="211">
        <f>F22</f>
        <v>90</v>
      </c>
      <c r="K25" s="204" t="s">
        <v>16</v>
      </c>
    </row>
    <row r="26" spans="1:11" x14ac:dyDescent="0.2">
      <c r="A26" s="10" t="s">
        <v>26</v>
      </c>
      <c r="B26" s="10"/>
      <c r="C26" s="10"/>
      <c r="D26" s="205"/>
      <c r="H26" s="220" t="s">
        <v>27</v>
      </c>
      <c r="I26" s="220"/>
      <c r="J26" s="211">
        <f>100+96+78+70+83+72+85+80+69+83+83+96+82+82+80+75+80+82+95+94+83+84+70+90</f>
        <v>1992</v>
      </c>
      <c r="K26" s="204" t="s">
        <v>16</v>
      </c>
    </row>
    <row r="27" spans="1:11" ht="17" thickBot="1" x14ac:dyDescent="0.25">
      <c r="A27" s="214"/>
      <c r="B27" s="214"/>
      <c r="C27" s="214"/>
      <c r="D27" s="214"/>
      <c r="E27" s="215"/>
      <c r="F27" s="215"/>
      <c r="G27" s="214"/>
      <c r="H27" s="232" t="s">
        <v>28</v>
      </c>
      <c r="I27" s="232"/>
      <c r="J27" s="216">
        <v>49.92</v>
      </c>
      <c r="K27" s="214" t="s">
        <v>29</v>
      </c>
    </row>
    <row r="28" spans="1:11" x14ac:dyDescent="0.2">
      <c r="J28" s="204" t="s">
        <v>3</v>
      </c>
    </row>
    <row r="29" spans="1:11" hidden="1" x14ac:dyDescent="0.2">
      <c r="K29" s="204" t="s">
        <v>30</v>
      </c>
    </row>
    <row r="30" spans="1:11" hidden="1" x14ac:dyDescent="0.2">
      <c r="K30" s="204" t="s">
        <v>31</v>
      </c>
    </row>
    <row r="31" spans="1:11" hidden="1" x14ac:dyDescent="0.2">
      <c r="K31" s="204" t="s">
        <v>32</v>
      </c>
    </row>
    <row r="32" spans="1:11" hidden="1" x14ac:dyDescent="0.2">
      <c r="K32" s="204" t="s">
        <v>33</v>
      </c>
    </row>
    <row r="33" spans="9:11" hidden="1" x14ac:dyDescent="0.2">
      <c r="K33" s="204" t="s">
        <v>34</v>
      </c>
    </row>
    <row r="34" spans="9:11" hidden="1" x14ac:dyDescent="0.2">
      <c r="K34" s="204" t="s">
        <v>35</v>
      </c>
    </row>
    <row r="35" spans="9:11" hidden="1" x14ac:dyDescent="0.2">
      <c r="K35" s="204" t="s">
        <v>36</v>
      </c>
    </row>
    <row r="36" spans="9:11" hidden="1" x14ac:dyDescent="0.2">
      <c r="K36" s="204" t="s">
        <v>37</v>
      </c>
    </row>
    <row r="37" spans="9:11" hidden="1" x14ac:dyDescent="0.2">
      <c r="K37" s="204" t="s">
        <v>38</v>
      </c>
    </row>
    <row r="38" spans="9:11" hidden="1" x14ac:dyDescent="0.2">
      <c r="K38" s="204" t="s">
        <v>39</v>
      </c>
    </row>
    <row r="39" spans="9:11" hidden="1" x14ac:dyDescent="0.2">
      <c r="K39" s="204" t="s">
        <v>40</v>
      </c>
    </row>
    <row r="40" spans="9:11" hidden="1" x14ac:dyDescent="0.2">
      <c r="K40" s="204" t="s">
        <v>41</v>
      </c>
    </row>
    <row r="41" spans="9:11" ht="34" hidden="1" x14ac:dyDescent="0.2">
      <c r="I41" s="217" t="s">
        <v>42</v>
      </c>
      <c r="K41" s="204" t="s">
        <v>43</v>
      </c>
    </row>
    <row r="42" spans="9:11" ht="17" hidden="1" x14ac:dyDescent="0.2">
      <c r="I42" s="217" t="s">
        <v>44</v>
      </c>
      <c r="K42" s="204" t="s">
        <v>45</v>
      </c>
    </row>
    <row r="43" spans="9:11" hidden="1" x14ac:dyDescent="0.2">
      <c r="I43" s="218" t="s">
        <v>46</v>
      </c>
      <c r="K43" s="204" t="s">
        <v>47</v>
      </c>
    </row>
    <row r="44" spans="9:11" hidden="1" x14ac:dyDescent="0.2">
      <c r="I44" s="204" t="s">
        <v>48</v>
      </c>
      <c r="K44" s="204" t="s">
        <v>49</v>
      </c>
    </row>
    <row r="45" spans="9:11" hidden="1" x14ac:dyDescent="0.2">
      <c r="I45" s="204" t="s">
        <v>50</v>
      </c>
      <c r="K45" s="204" t="s">
        <v>51</v>
      </c>
    </row>
    <row r="46" spans="9:11" hidden="1" x14ac:dyDescent="0.2">
      <c r="I46" s="204" t="s">
        <v>52</v>
      </c>
      <c r="K46" s="204" t="s">
        <v>53</v>
      </c>
    </row>
    <row r="47" spans="9:11" hidden="1" x14ac:dyDescent="0.2">
      <c r="I47" s="204" t="s">
        <v>54</v>
      </c>
      <c r="K47" s="204" t="s">
        <v>55</v>
      </c>
    </row>
    <row r="48" spans="9:11" hidden="1" x14ac:dyDescent="0.2">
      <c r="I48" s="204" t="s">
        <v>56</v>
      </c>
      <c r="K48" s="204" t="s">
        <v>57</v>
      </c>
    </row>
    <row r="49" spans="9:11" hidden="1" x14ac:dyDescent="0.2">
      <c r="I49" s="204" t="s">
        <v>58</v>
      </c>
      <c r="K49" s="204" t="s">
        <v>59</v>
      </c>
    </row>
    <row r="50" spans="9:11" hidden="1" x14ac:dyDescent="0.2">
      <c r="I50" s="204" t="s">
        <v>60</v>
      </c>
      <c r="K50" s="204" t="s">
        <v>61</v>
      </c>
    </row>
    <row r="51" spans="9:11" hidden="1" x14ac:dyDescent="0.2">
      <c r="K51" s="204" t="s">
        <v>62</v>
      </c>
    </row>
    <row r="52" spans="9:11" hidden="1" x14ac:dyDescent="0.2">
      <c r="K52" s="204" t="s">
        <v>63</v>
      </c>
    </row>
    <row r="53" spans="9:11" hidden="1" x14ac:dyDescent="0.2">
      <c r="K53" s="204" t="s">
        <v>64</v>
      </c>
    </row>
    <row r="54" spans="9:11" hidden="1" x14ac:dyDescent="0.2">
      <c r="K54" s="204" t="s">
        <v>65</v>
      </c>
    </row>
    <row r="55" spans="9:11" hidden="1" x14ac:dyDescent="0.2">
      <c r="K55" s="204" t="s">
        <v>66</v>
      </c>
    </row>
    <row r="56" spans="9:11" hidden="1" x14ac:dyDescent="0.2">
      <c r="K56" s="204" t="s">
        <v>67</v>
      </c>
    </row>
    <row r="57" spans="9:11" hidden="1" x14ac:dyDescent="0.2">
      <c r="K57" s="204" t="s">
        <v>68</v>
      </c>
    </row>
    <row r="58" spans="9:11" hidden="1" x14ac:dyDescent="0.2">
      <c r="K58" s="204" t="s">
        <v>69</v>
      </c>
    </row>
    <row r="59" spans="9:11" hidden="1" x14ac:dyDescent="0.2">
      <c r="K59" s="204" t="s">
        <v>70</v>
      </c>
    </row>
    <row r="60" spans="9:11" hidden="1" x14ac:dyDescent="0.2">
      <c r="K60" s="204" t="s">
        <v>71</v>
      </c>
    </row>
    <row r="61" spans="9:11" hidden="1" x14ac:dyDescent="0.2">
      <c r="K61" s="204" t="s">
        <v>72</v>
      </c>
    </row>
    <row r="62" spans="9:11" hidden="1" x14ac:dyDescent="0.2">
      <c r="K62" s="204" t="s">
        <v>73</v>
      </c>
    </row>
    <row r="63" spans="9:11" hidden="1" x14ac:dyDescent="0.2">
      <c r="K63" s="204" t="s">
        <v>67</v>
      </c>
    </row>
    <row r="64" spans="9:11" hidden="1" x14ac:dyDescent="0.2">
      <c r="K64" s="204" t="s">
        <v>74</v>
      </c>
    </row>
    <row r="65" spans="11:11" hidden="1" x14ac:dyDescent="0.2">
      <c r="K65" s="204" t="s">
        <v>75</v>
      </c>
    </row>
    <row r="66" spans="11:11" hidden="1" x14ac:dyDescent="0.2">
      <c r="K66" s="204" t="s">
        <v>76</v>
      </c>
    </row>
    <row r="67" spans="11:11" hidden="1" x14ac:dyDescent="0.2">
      <c r="K67" s="204" t="s">
        <v>77</v>
      </c>
    </row>
    <row r="68" spans="11:11" hidden="1" x14ac:dyDescent="0.2">
      <c r="K68" s="204" t="s">
        <v>78</v>
      </c>
    </row>
    <row r="69" spans="11:11" hidden="1" x14ac:dyDescent="0.2">
      <c r="K69" s="204" t="s">
        <v>79</v>
      </c>
    </row>
    <row r="70" spans="11:11" hidden="1" x14ac:dyDescent="0.2">
      <c r="K70" s="204" t="s">
        <v>80</v>
      </c>
    </row>
    <row r="71" spans="11:11" hidden="1" x14ac:dyDescent="0.2">
      <c r="K71" s="204" t="s">
        <v>81</v>
      </c>
    </row>
    <row r="72" spans="11:11" hidden="1" x14ac:dyDescent="0.2">
      <c r="K72" s="204" t="s">
        <v>82</v>
      </c>
    </row>
    <row r="73" spans="11:11" hidden="1" x14ac:dyDescent="0.2">
      <c r="K73" s="204" t="s">
        <v>83</v>
      </c>
    </row>
    <row r="74" spans="11:11" hidden="1" x14ac:dyDescent="0.2">
      <c r="K74" s="204" t="s">
        <v>84</v>
      </c>
    </row>
    <row r="75" spans="11:11" hidden="1" x14ac:dyDescent="0.2">
      <c r="K75" s="204" t="s">
        <v>85</v>
      </c>
    </row>
    <row r="76" spans="11:11" hidden="1" x14ac:dyDescent="0.2">
      <c r="K76" s="204" t="s">
        <v>86</v>
      </c>
    </row>
    <row r="77" spans="11:11" hidden="1" x14ac:dyDescent="0.2">
      <c r="K77" s="204" t="s">
        <v>87</v>
      </c>
    </row>
    <row r="78" spans="11:11" hidden="1" x14ac:dyDescent="0.2">
      <c r="K78" s="204" t="s">
        <v>88</v>
      </c>
    </row>
    <row r="79" spans="11:11" hidden="1" x14ac:dyDescent="0.2">
      <c r="K79" s="204" t="s">
        <v>89</v>
      </c>
    </row>
    <row r="80" spans="11:11" hidden="1" x14ac:dyDescent="0.2">
      <c r="K80" s="204" t="s">
        <v>90</v>
      </c>
    </row>
    <row r="81" spans="11:11" hidden="1" x14ac:dyDescent="0.2">
      <c r="K81" s="204" t="s">
        <v>91</v>
      </c>
    </row>
    <row r="82" spans="11:11" hidden="1" x14ac:dyDescent="0.2">
      <c r="K82" s="204" t="s">
        <v>92</v>
      </c>
    </row>
    <row r="83" spans="11:11" hidden="1" x14ac:dyDescent="0.2">
      <c r="K83" s="204" t="s">
        <v>93</v>
      </c>
    </row>
    <row r="84" spans="11:11" hidden="1" x14ac:dyDescent="0.2">
      <c r="K84" s="204" t="s">
        <v>94</v>
      </c>
    </row>
    <row r="85" spans="11:11" hidden="1" x14ac:dyDescent="0.2">
      <c r="K85" s="204" t="s">
        <v>47</v>
      </c>
    </row>
  </sheetData>
  <dataValidations count="3">
    <dataValidation type="list" allowBlank="1" showInputMessage="1" showErrorMessage="1" sqref="B16:B19" xr:uid="{681A637D-88D4-4D05-83E5-B9B71B8CDA34}">
      <formula1>$K$29:$K$85</formula1>
    </dataValidation>
    <dataValidation type="list" allowBlank="1" showInputMessage="1" showErrorMessage="1" sqref="B20:B21" xr:uid="{C4564950-233C-48A6-8195-258F4A3EF764}">
      <formula1>$K$29:$K$40</formula1>
    </dataValidation>
    <dataValidation type="list" allowBlank="1" showInputMessage="1" showErrorMessage="1" sqref="I50 K15:K21" xr:uid="{AFC9A0A0-EBC7-441C-9824-3D96A508F57D}">
      <formula1>$I$41:$I$50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1B214-B2F6-4949-A045-0016F99F569D}">
  <dimension ref="A1:K85"/>
  <sheetViews>
    <sheetView workbookViewId="0">
      <selection sqref="A1:XFD1048576"/>
    </sheetView>
  </sheetViews>
  <sheetFormatPr baseColWidth="10" defaultColWidth="9.1640625" defaultRowHeight="16" x14ac:dyDescent="0.2"/>
  <cols>
    <col min="1" max="1" width="5.1640625" style="204" customWidth="1"/>
    <col min="2" max="2" width="22.5" style="204" customWidth="1"/>
    <col min="3" max="3" width="6.1640625" style="204" customWidth="1"/>
    <col min="4" max="4" width="12.5" style="204" bestFit="1" customWidth="1"/>
    <col min="5" max="5" width="9.83203125" style="204" customWidth="1"/>
    <col min="6" max="6" width="9.33203125" style="204" bestFit="1" customWidth="1"/>
    <col min="7" max="7" width="8.6640625" style="204" customWidth="1"/>
    <col min="8" max="8" width="9.5" style="204" bestFit="1" customWidth="1"/>
    <col min="9" max="9" width="17.83203125" style="204" bestFit="1" customWidth="1"/>
    <col min="10" max="10" width="10.33203125" style="204" bestFit="1" customWidth="1"/>
    <col min="11" max="11" width="75" style="204" bestFit="1" customWidth="1"/>
    <col min="12" max="16384" width="9.1640625" style="204"/>
  </cols>
  <sheetData>
    <row r="1" spans="1:11" x14ac:dyDescent="0.2">
      <c r="A1" s="204" t="s">
        <v>0</v>
      </c>
      <c r="I1" s="219"/>
    </row>
    <row r="2" spans="1:11" x14ac:dyDescent="0.2">
      <c r="J2" s="220"/>
    </row>
    <row r="3" spans="1:11" x14ac:dyDescent="0.2">
      <c r="A3" s="219" t="s">
        <v>1</v>
      </c>
    </row>
    <row r="4" spans="1:11" x14ac:dyDescent="0.2">
      <c r="A4" s="219"/>
      <c r="I4" s="220" t="s">
        <v>2</v>
      </c>
      <c r="J4" s="221">
        <v>45955</v>
      </c>
    </row>
    <row r="5" spans="1:11" x14ac:dyDescent="0.2">
      <c r="J5" s="204" t="s">
        <v>3</v>
      </c>
    </row>
    <row r="6" spans="1:11" ht="34" x14ac:dyDescent="0.2">
      <c r="A6" s="11" t="s">
        <v>4</v>
      </c>
      <c r="B6" s="11" t="s">
        <v>5</v>
      </c>
      <c r="C6" s="11" t="s">
        <v>6</v>
      </c>
      <c r="D6" s="11" t="s">
        <v>7</v>
      </c>
      <c r="E6" s="11" t="s">
        <v>8</v>
      </c>
      <c r="F6" s="11" t="s">
        <v>9</v>
      </c>
      <c r="G6" s="222" t="s">
        <v>10</v>
      </c>
      <c r="H6" s="222" t="s">
        <v>11</v>
      </c>
      <c r="I6" s="222" t="s">
        <v>12</v>
      </c>
      <c r="J6" s="223"/>
      <c r="K6" s="11" t="s">
        <v>13</v>
      </c>
    </row>
    <row r="7" spans="1:11" ht="34" x14ac:dyDescent="0.2">
      <c r="A7" s="222"/>
      <c r="B7" s="224"/>
      <c r="C7" s="11"/>
      <c r="D7" s="11" t="s">
        <v>14</v>
      </c>
      <c r="E7" s="11" t="s">
        <v>15</v>
      </c>
      <c r="F7" s="225" t="s">
        <v>16</v>
      </c>
      <c r="G7" s="225" t="s">
        <v>15</v>
      </c>
      <c r="H7" s="225" t="s">
        <v>17</v>
      </c>
      <c r="I7" s="11" t="s">
        <v>18</v>
      </c>
      <c r="J7" s="225" t="s">
        <v>19</v>
      </c>
      <c r="K7" s="225"/>
    </row>
    <row r="8" spans="1:11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2">
      <c r="A9" s="186">
        <v>1</v>
      </c>
      <c r="B9" s="187" t="s">
        <v>241</v>
      </c>
      <c r="C9" s="161">
        <v>15</v>
      </c>
      <c r="D9" s="14">
        <v>2.85</v>
      </c>
      <c r="E9" s="163">
        <v>1512</v>
      </c>
      <c r="F9" s="162">
        <v>2.5</v>
      </c>
      <c r="G9" s="15">
        <f t="shared" ref="G9:G15" si="0">E9*F9</f>
        <v>3780</v>
      </c>
      <c r="H9" s="16">
        <f>F9*C9</f>
        <v>37.5</v>
      </c>
      <c r="I9" s="179" t="s">
        <v>20</v>
      </c>
      <c r="J9" s="188">
        <v>2.0833333333333332E-2</v>
      </c>
      <c r="K9" s="202" t="s">
        <v>239</v>
      </c>
    </row>
    <row r="10" spans="1:11" ht="17" x14ac:dyDescent="0.2">
      <c r="A10" s="190">
        <v>2</v>
      </c>
      <c r="B10" s="187" t="s">
        <v>241</v>
      </c>
      <c r="C10" s="161">
        <v>17</v>
      </c>
      <c r="D10" s="14">
        <v>2.85</v>
      </c>
      <c r="E10" s="163">
        <v>1344</v>
      </c>
      <c r="F10" s="162">
        <v>4</v>
      </c>
      <c r="G10" s="15">
        <f t="shared" si="0"/>
        <v>5376</v>
      </c>
      <c r="H10" s="16">
        <f t="shared" ref="H10:H15" si="1">F10*C10</f>
        <v>68</v>
      </c>
      <c r="I10" s="179" t="s">
        <v>44</v>
      </c>
      <c r="J10" s="188">
        <v>4.5138888888888888E-2</v>
      </c>
      <c r="K10" s="189" t="s">
        <v>44</v>
      </c>
    </row>
    <row r="11" spans="1:11" ht="17" x14ac:dyDescent="0.2">
      <c r="A11" s="186">
        <v>3</v>
      </c>
      <c r="B11" s="187" t="s">
        <v>261</v>
      </c>
      <c r="C11" s="161">
        <v>22</v>
      </c>
      <c r="D11" s="14">
        <v>2.85</v>
      </c>
      <c r="E11" s="163">
        <v>1183</v>
      </c>
      <c r="F11" s="175">
        <v>16</v>
      </c>
      <c r="G11" s="15">
        <f t="shared" si="0"/>
        <v>18928</v>
      </c>
      <c r="H11" s="16">
        <f t="shared" si="1"/>
        <v>352</v>
      </c>
      <c r="I11" s="179" t="s">
        <v>247</v>
      </c>
      <c r="J11" s="188">
        <v>2.0833333333333332E-2</v>
      </c>
      <c r="K11" s="189" t="s">
        <v>271</v>
      </c>
    </row>
    <row r="12" spans="1:11" ht="19.25" customHeight="1" x14ac:dyDescent="0.2">
      <c r="A12" s="190">
        <v>4</v>
      </c>
      <c r="B12" s="187" t="s">
        <v>261</v>
      </c>
      <c r="C12" s="176">
        <v>32</v>
      </c>
      <c r="D12" s="14">
        <v>2.85</v>
      </c>
      <c r="E12" s="177">
        <v>821</v>
      </c>
      <c r="F12" s="178">
        <v>26</v>
      </c>
      <c r="G12" s="15">
        <f t="shared" si="0"/>
        <v>21346</v>
      </c>
      <c r="H12" s="16">
        <f t="shared" si="1"/>
        <v>832</v>
      </c>
      <c r="I12" s="195"/>
      <c r="J12" s="194"/>
      <c r="K12" s="189"/>
    </row>
    <row r="13" spans="1:11" ht="17" x14ac:dyDescent="0.2">
      <c r="A13" s="191">
        <v>5</v>
      </c>
      <c r="B13" s="187" t="s">
        <v>261</v>
      </c>
      <c r="C13" s="176">
        <v>35</v>
      </c>
      <c r="D13" s="14">
        <v>2.85</v>
      </c>
      <c r="E13" s="177">
        <v>709</v>
      </c>
      <c r="F13" s="178">
        <v>14</v>
      </c>
      <c r="G13" s="15">
        <f t="shared" si="0"/>
        <v>9926</v>
      </c>
      <c r="H13" s="16">
        <f t="shared" si="1"/>
        <v>490</v>
      </c>
      <c r="I13" s="179"/>
      <c r="J13" s="188"/>
      <c r="K13" s="189"/>
    </row>
    <row r="14" spans="1:11" ht="17" x14ac:dyDescent="0.2">
      <c r="A14" s="186">
        <v>6</v>
      </c>
      <c r="B14" s="187" t="s">
        <v>261</v>
      </c>
      <c r="C14" s="180">
        <v>36</v>
      </c>
      <c r="D14" s="14">
        <v>2.85</v>
      </c>
      <c r="E14" s="181">
        <v>686</v>
      </c>
      <c r="F14" s="182">
        <v>9.5</v>
      </c>
      <c r="G14" s="15">
        <f t="shared" si="0"/>
        <v>6517</v>
      </c>
      <c r="H14" s="16">
        <f t="shared" si="1"/>
        <v>342</v>
      </c>
      <c r="I14" s="195"/>
      <c r="J14" s="194"/>
      <c r="K14" s="203"/>
    </row>
    <row r="15" spans="1:11" ht="17" x14ac:dyDescent="0.2">
      <c r="A15" s="190">
        <v>7</v>
      </c>
      <c r="B15" s="187" t="s">
        <v>261</v>
      </c>
      <c r="C15" s="192">
        <v>40</v>
      </c>
      <c r="D15" s="14">
        <v>2.85</v>
      </c>
      <c r="E15" s="181">
        <v>609</v>
      </c>
      <c r="F15" s="193">
        <v>18</v>
      </c>
      <c r="G15" s="15">
        <f t="shared" si="0"/>
        <v>10962</v>
      </c>
      <c r="H15" s="16">
        <f t="shared" si="1"/>
        <v>720</v>
      </c>
      <c r="I15" s="19"/>
      <c r="J15" s="18"/>
      <c r="K15" s="17"/>
    </row>
    <row r="16" spans="1:11" x14ac:dyDescent="0.2">
      <c r="A16" s="197"/>
      <c r="B16" s="198"/>
      <c r="C16" s="161"/>
      <c r="D16" s="14"/>
      <c r="E16" s="177"/>
      <c r="F16" s="161"/>
      <c r="G16" s="15"/>
      <c r="H16" s="16"/>
      <c r="I16" s="19"/>
      <c r="J16" s="18"/>
      <c r="K16" s="20"/>
    </row>
    <row r="17" spans="1:11" x14ac:dyDescent="0.2">
      <c r="A17" s="197"/>
      <c r="B17" s="198"/>
      <c r="C17" s="161"/>
      <c r="D17" s="14"/>
      <c r="E17" s="181"/>
      <c r="F17" s="161"/>
      <c r="G17" s="15"/>
      <c r="H17" s="16"/>
      <c r="I17" s="19"/>
      <c r="J17" s="18"/>
      <c r="K17" s="20"/>
    </row>
    <row r="18" spans="1:11" x14ac:dyDescent="0.2">
      <c r="A18" s="197"/>
      <c r="B18" s="198"/>
      <c r="C18" s="161"/>
      <c r="D18" s="14"/>
      <c r="E18" s="181"/>
      <c r="F18" s="161"/>
      <c r="G18" s="15"/>
      <c r="H18" s="16"/>
      <c r="I18" s="10"/>
      <c r="J18" s="13"/>
      <c r="K18" s="10"/>
    </row>
    <row r="19" spans="1:11" x14ac:dyDescent="0.2">
      <c r="A19" s="11"/>
      <c r="B19" s="10"/>
      <c r="C19" s="12"/>
      <c r="D19" s="200"/>
      <c r="E19" s="11"/>
      <c r="F19" s="12"/>
      <c r="G19" s="201"/>
      <c r="H19" s="12"/>
      <c r="I19" s="10"/>
      <c r="J19" s="13"/>
      <c r="K19" s="10"/>
    </row>
    <row r="20" spans="1:11" x14ac:dyDescent="0.2">
      <c r="A20" s="11"/>
      <c r="B20" s="10"/>
      <c r="C20" s="12"/>
      <c r="D20" s="200"/>
      <c r="E20" s="11"/>
      <c r="F20" s="12"/>
      <c r="G20" s="201"/>
      <c r="H20" s="12"/>
      <c r="I20" s="10"/>
      <c r="J20" s="13"/>
      <c r="K20" s="10"/>
    </row>
    <row r="21" spans="1:11" x14ac:dyDescent="0.2">
      <c r="A21" s="11"/>
      <c r="B21" s="10"/>
      <c r="C21" s="205"/>
      <c r="D21" s="11"/>
      <c r="E21" s="13"/>
      <c r="F21" s="205"/>
      <c r="G21" s="201"/>
      <c r="H21" s="12"/>
      <c r="I21" s="10"/>
      <c r="J21" s="13"/>
      <c r="K21" s="10"/>
    </row>
    <row r="22" spans="1:11" x14ac:dyDescent="0.2">
      <c r="A22" s="206"/>
      <c r="B22" s="207"/>
      <c r="C22" s="208"/>
      <c r="D22" s="208"/>
      <c r="E22" s="226" t="s">
        <v>21</v>
      </c>
      <c r="F22" s="227">
        <f>SUM(F9:F21)</f>
        <v>90</v>
      </c>
      <c r="G22" s="228">
        <f>SUM(G9:G21)/F22</f>
        <v>853.72222222222217</v>
      </c>
      <c r="H22" s="229">
        <f>SUM(H9:H21)/F22</f>
        <v>31.572222222222223</v>
      </c>
      <c r="I22" s="209" t="s">
        <v>22</v>
      </c>
      <c r="J22" s="210">
        <v>8.6805555555555552E-2</v>
      </c>
      <c r="K22" s="207"/>
    </row>
    <row r="23" spans="1:11" x14ac:dyDescent="0.2">
      <c r="E23" s="211"/>
      <c r="F23" s="212"/>
      <c r="I23" s="230" t="s">
        <v>23</v>
      </c>
      <c r="J23" s="231">
        <v>2.08</v>
      </c>
    </row>
    <row r="24" spans="1:11" x14ac:dyDescent="0.2">
      <c r="I24" s="212"/>
      <c r="J24" s="213"/>
    </row>
    <row r="25" spans="1:11" x14ac:dyDescent="0.2">
      <c r="A25" s="10" t="s">
        <v>24</v>
      </c>
      <c r="B25" s="10"/>
      <c r="C25" s="10"/>
      <c r="D25" s="205"/>
      <c r="H25" s="220" t="s">
        <v>25</v>
      </c>
      <c r="I25" s="220"/>
      <c r="J25" s="211">
        <f>F22</f>
        <v>90</v>
      </c>
      <c r="K25" s="204" t="s">
        <v>16</v>
      </c>
    </row>
    <row r="26" spans="1:11" x14ac:dyDescent="0.2">
      <c r="A26" s="10" t="s">
        <v>26</v>
      </c>
      <c r="B26" s="10"/>
      <c r="C26" s="10"/>
      <c r="D26" s="205"/>
      <c r="H26" s="220" t="s">
        <v>27</v>
      </c>
      <c r="I26" s="220"/>
      <c r="J26" s="211">
        <f>100+96+78+70+83+72+85+80+69+83+83+96+82+82+80+75+80+82+95+94+83+84+70+90+90</f>
        <v>2082</v>
      </c>
      <c r="K26" s="204" t="s">
        <v>16</v>
      </c>
    </row>
    <row r="27" spans="1:11" ht="17" thickBot="1" x14ac:dyDescent="0.25">
      <c r="A27" s="214"/>
      <c r="B27" s="214"/>
      <c r="C27" s="214"/>
      <c r="D27" s="214"/>
      <c r="E27" s="215"/>
      <c r="F27" s="215"/>
      <c r="G27" s="214"/>
      <c r="H27" s="232" t="s">
        <v>28</v>
      </c>
      <c r="I27" s="232"/>
      <c r="J27" s="216">
        <v>52</v>
      </c>
      <c r="K27" s="214" t="s">
        <v>29</v>
      </c>
    </row>
    <row r="28" spans="1:11" x14ac:dyDescent="0.2">
      <c r="J28" s="204" t="s">
        <v>3</v>
      </c>
    </row>
    <row r="29" spans="1:11" hidden="1" x14ac:dyDescent="0.2">
      <c r="K29" s="204" t="s">
        <v>30</v>
      </c>
    </row>
    <row r="30" spans="1:11" hidden="1" x14ac:dyDescent="0.2">
      <c r="K30" s="204" t="s">
        <v>31</v>
      </c>
    </row>
    <row r="31" spans="1:11" hidden="1" x14ac:dyDescent="0.2">
      <c r="K31" s="204" t="s">
        <v>32</v>
      </c>
    </row>
    <row r="32" spans="1:11" hidden="1" x14ac:dyDescent="0.2">
      <c r="K32" s="204" t="s">
        <v>33</v>
      </c>
    </row>
    <row r="33" spans="9:11" hidden="1" x14ac:dyDescent="0.2">
      <c r="K33" s="204" t="s">
        <v>34</v>
      </c>
    </row>
    <row r="34" spans="9:11" hidden="1" x14ac:dyDescent="0.2">
      <c r="K34" s="204" t="s">
        <v>35</v>
      </c>
    </row>
    <row r="35" spans="9:11" hidden="1" x14ac:dyDescent="0.2">
      <c r="K35" s="204" t="s">
        <v>36</v>
      </c>
    </row>
    <row r="36" spans="9:11" hidden="1" x14ac:dyDescent="0.2">
      <c r="K36" s="204" t="s">
        <v>37</v>
      </c>
    </row>
    <row r="37" spans="9:11" hidden="1" x14ac:dyDescent="0.2">
      <c r="K37" s="204" t="s">
        <v>38</v>
      </c>
    </row>
    <row r="38" spans="9:11" hidden="1" x14ac:dyDescent="0.2">
      <c r="K38" s="204" t="s">
        <v>39</v>
      </c>
    </row>
    <row r="39" spans="9:11" hidden="1" x14ac:dyDescent="0.2">
      <c r="K39" s="204" t="s">
        <v>40</v>
      </c>
    </row>
    <row r="40" spans="9:11" hidden="1" x14ac:dyDescent="0.2">
      <c r="K40" s="204" t="s">
        <v>41</v>
      </c>
    </row>
    <row r="41" spans="9:11" ht="34" hidden="1" x14ac:dyDescent="0.2">
      <c r="I41" s="217" t="s">
        <v>42</v>
      </c>
      <c r="K41" s="204" t="s">
        <v>43</v>
      </c>
    </row>
    <row r="42" spans="9:11" ht="17" hidden="1" x14ac:dyDescent="0.2">
      <c r="I42" s="217" t="s">
        <v>44</v>
      </c>
      <c r="K42" s="204" t="s">
        <v>45</v>
      </c>
    </row>
    <row r="43" spans="9:11" hidden="1" x14ac:dyDescent="0.2">
      <c r="I43" s="218" t="s">
        <v>46</v>
      </c>
      <c r="K43" s="204" t="s">
        <v>47</v>
      </c>
    </row>
    <row r="44" spans="9:11" hidden="1" x14ac:dyDescent="0.2">
      <c r="I44" s="204" t="s">
        <v>48</v>
      </c>
      <c r="K44" s="204" t="s">
        <v>49</v>
      </c>
    </row>
    <row r="45" spans="9:11" hidden="1" x14ac:dyDescent="0.2">
      <c r="I45" s="204" t="s">
        <v>50</v>
      </c>
      <c r="K45" s="204" t="s">
        <v>51</v>
      </c>
    </row>
    <row r="46" spans="9:11" hidden="1" x14ac:dyDescent="0.2">
      <c r="I46" s="204" t="s">
        <v>52</v>
      </c>
      <c r="K46" s="204" t="s">
        <v>53</v>
      </c>
    </row>
    <row r="47" spans="9:11" hidden="1" x14ac:dyDescent="0.2">
      <c r="I47" s="204" t="s">
        <v>54</v>
      </c>
      <c r="K47" s="204" t="s">
        <v>55</v>
      </c>
    </row>
    <row r="48" spans="9:11" hidden="1" x14ac:dyDescent="0.2">
      <c r="I48" s="204" t="s">
        <v>56</v>
      </c>
      <c r="K48" s="204" t="s">
        <v>57</v>
      </c>
    </row>
    <row r="49" spans="9:11" hidden="1" x14ac:dyDescent="0.2">
      <c r="I49" s="204" t="s">
        <v>58</v>
      </c>
      <c r="K49" s="204" t="s">
        <v>59</v>
      </c>
    </row>
    <row r="50" spans="9:11" hidden="1" x14ac:dyDescent="0.2">
      <c r="I50" s="204" t="s">
        <v>60</v>
      </c>
      <c r="K50" s="204" t="s">
        <v>61</v>
      </c>
    </row>
    <row r="51" spans="9:11" hidden="1" x14ac:dyDescent="0.2">
      <c r="K51" s="204" t="s">
        <v>62</v>
      </c>
    </row>
    <row r="52" spans="9:11" hidden="1" x14ac:dyDescent="0.2">
      <c r="K52" s="204" t="s">
        <v>63</v>
      </c>
    </row>
    <row r="53" spans="9:11" hidden="1" x14ac:dyDescent="0.2">
      <c r="K53" s="204" t="s">
        <v>64</v>
      </c>
    </row>
    <row r="54" spans="9:11" hidden="1" x14ac:dyDescent="0.2">
      <c r="K54" s="204" t="s">
        <v>65</v>
      </c>
    </row>
    <row r="55" spans="9:11" hidden="1" x14ac:dyDescent="0.2">
      <c r="K55" s="204" t="s">
        <v>66</v>
      </c>
    </row>
    <row r="56" spans="9:11" hidden="1" x14ac:dyDescent="0.2">
      <c r="K56" s="204" t="s">
        <v>67</v>
      </c>
    </row>
    <row r="57" spans="9:11" hidden="1" x14ac:dyDescent="0.2">
      <c r="K57" s="204" t="s">
        <v>68</v>
      </c>
    </row>
    <row r="58" spans="9:11" hidden="1" x14ac:dyDescent="0.2">
      <c r="K58" s="204" t="s">
        <v>69</v>
      </c>
    </row>
    <row r="59" spans="9:11" hidden="1" x14ac:dyDescent="0.2">
      <c r="K59" s="204" t="s">
        <v>70</v>
      </c>
    </row>
    <row r="60" spans="9:11" hidden="1" x14ac:dyDescent="0.2">
      <c r="K60" s="204" t="s">
        <v>71</v>
      </c>
    </row>
    <row r="61" spans="9:11" hidden="1" x14ac:dyDescent="0.2">
      <c r="K61" s="204" t="s">
        <v>72</v>
      </c>
    </row>
    <row r="62" spans="9:11" hidden="1" x14ac:dyDescent="0.2">
      <c r="K62" s="204" t="s">
        <v>73</v>
      </c>
    </row>
    <row r="63" spans="9:11" hidden="1" x14ac:dyDescent="0.2">
      <c r="K63" s="204" t="s">
        <v>67</v>
      </c>
    </row>
    <row r="64" spans="9:11" hidden="1" x14ac:dyDescent="0.2">
      <c r="K64" s="204" t="s">
        <v>74</v>
      </c>
    </row>
    <row r="65" spans="11:11" hidden="1" x14ac:dyDescent="0.2">
      <c r="K65" s="204" t="s">
        <v>75</v>
      </c>
    </row>
    <row r="66" spans="11:11" hidden="1" x14ac:dyDescent="0.2">
      <c r="K66" s="204" t="s">
        <v>76</v>
      </c>
    </row>
    <row r="67" spans="11:11" hidden="1" x14ac:dyDescent="0.2">
      <c r="K67" s="204" t="s">
        <v>77</v>
      </c>
    </row>
    <row r="68" spans="11:11" hidden="1" x14ac:dyDescent="0.2">
      <c r="K68" s="204" t="s">
        <v>78</v>
      </c>
    </row>
    <row r="69" spans="11:11" hidden="1" x14ac:dyDescent="0.2">
      <c r="K69" s="204" t="s">
        <v>79</v>
      </c>
    </row>
    <row r="70" spans="11:11" hidden="1" x14ac:dyDescent="0.2">
      <c r="K70" s="204" t="s">
        <v>80</v>
      </c>
    </row>
    <row r="71" spans="11:11" hidden="1" x14ac:dyDescent="0.2">
      <c r="K71" s="204" t="s">
        <v>81</v>
      </c>
    </row>
    <row r="72" spans="11:11" hidden="1" x14ac:dyDescent="0.2">
      <c r="K72" s="204" t="s">
        <v>82</v>
      </c>
    </row>
    <row r="73" spans="11:11" hidden="1" x14ac:dyDescent="0.2">
      <c r="K73" s="204" t="s">
        <v>83</v>
      </c>
    </row>
    <row r="74" spans="11:11" hidden="1" x14ac:dyDescent="0.2">
      <c r="K74" s="204" t="s">
        <v>84</v>
      </c>
    </row>
    <row r="75" spans="11:11" hidden="1" x14ac:dyDescent="0.2">
      <c r="K75" s="204" t="s">
        <v>85</v>
      </c>
    </row>
    <row r="76" spans="11:11" hidden="1" x14ac:dyDescent="0.2">
      <c r="K76" s="204" t="s">
        <v>86</v>
      </c>
    </row>
    <row r="77" spans="11:11" hidden="1" x14ac:dyDescent="0.2">
      <c r="K77" s="204" t="s">
        <v>87</v>
      </c>
    </row>
    <row r="78" spans="11:11" hidden="1" x14ac:dyDescent="0.2">
      <c r="K78" s="204" t="s">
        <v>88</v>
      </c>
    </row>
    <row r="79" spans="11:11" hidden="1" x14ac:dyDescent="0.2">
      <c r="K79" s="204" t="s">
        <v>89</v>
      </c>
    </row>
    <row r="80" spans="11:11" hidden="1" x14ac:dyDescent="0.2">
      <c r="K80" s="204" t="s">
        <v>90</v>
      </c>
    </row>
    <row r="81" spans="11:11" hidden="1" x14ac:dyDescent="0.2">
      <c r="K81" s="204" t="s">
        <v>91</v>
      </c>
    </row>
    <row r="82" spans="11:11" hidden="1" x14ac:dyDescent="0.2">
      <c r="K82" s="204" t="s">
        <v>92</v>
      </c>
    </row>
    <row r="83" spans="11:11" hidden="1" x14ac:dyDescent="0.2">
      <c r="K83" s="204" t="s">
        <v>93</v>
      </c>
    </row>
    <row r="84" spans="11:11" hidden="1" x14ac:dyDescent="0.2">
      <c r="K84" s="204" t="s">
        <v>94</v>
      </c>
    </row>
    <row r="85" spans="11:11" hidden="1" x14ac:dyDescent="0.2">
      <c r="K85" s="204" t="s">
        <v>47</v>
      </c>
    </row>
  </sheetData>
  <dataValidations count="3">
    <dataValidation type="list" allowBlank="1" showInputMessage="1" showErrorMessage="1" sqref="I50 K15:K21" xr:uid="{EFA5B4D7-CFA7-44B9-B6B6-FE1B138DDA7F}">
      <formula1>$I$41:$I$50</formula1>
    </dataValidation>
    <dataValidation type="list" allowBlank="1" showInputMessage="1" showErrorMessage="1" sqref="B20:B21" xr:uid="{F3092B23-3C7B-4125-BDD7-0BD7C32FF038}">
      <formula1>$K$29:$K$40</formula1>
    </dataValidation>
    <dataValidation type="list" allowBlank="1" showInputMessage="1" showErrorMessage="1" sqref="B16:B19" xr:uid="{5836B383-8508-4692-BB9D-6083D0E816E5}">
      <formula1>$K$29:$K$85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C0E85-AB42-47F5-97B2-53ADF4E6E169}">
  <dimension ref="A1:K85"/>
  <sheetViews>
    <sheetView workbookViewId="0">
      <selection sqref="A1:XFD1048576"/>
    </sheetView>
  </sheetViews>
  <sheetFormatPr baseColWidth="10" defaultColWidth="9.1640625" defaultRowHeight="16" x14ac:dyDescent="0.2"/>
  <cols>
    <col min="1" max="1" width="5.1640625" style="204" customWidth="1"/>
    <col min="2" max="2" width="22.5" style="204" customWidth="1"/>
    <col min="3" max="3" width="6.1640625" style="204" customWidth="1"/>
    <col min="4" max="4" width="12.5" style="204" bestFit="1" customWidth="1"/>
    <col min="5" max="5" width="9.83203125" style="204" customWidth="1"/>
    <col min="6" max="6" width="9.33203125" style="204" bestFit="1" customWidth="1"/>
    <col min="7" max="7" width="8.6640625" style="204" customWidth="1"/>
    <col min="8" max="8" width="9.5" style="204" bestFit="1" customWidth="1"/>
    <col min="9" max="9" width="17.83203125" style="204" bestFit="1" customWidth="1"/>
    <col min="10" max="10" width="10.33203125" style="204" bestFit="1" customWidth="1"/>
    <col min="11" max="11" width="75" style="204" bestFit="1" customWidth="1"/>
    <col min="12" max="16384" width="9.1640625" style="204"/>
  </cols>
  <sheetData>
    <row r="1" spans="1:11" x14ac:dyDescent="0.2">
      <c r="A1" s="204" t="s">
        <v>0</v>
      </c>
      <c r="I1" s="219"/>
    </row>
    <row r="2" spans="1:11" x14ac:dyDescent="0.2">
      <c r="J2" s="220"/>
    </row>
    <row r="3" spans="1:11" x14ac:dyDescent="0.2">
      <c r="A3" s="219" t="s">
        <v>1</v>
      </c>
    </row>
    <row r="4" spans="1:11" x14ac:dyDescent="0.2">
      <c r="A4" s="219"/>
      <c r="I4" s="220" t="s">
        <v>2</v>
      </c>
      <c r="J4" s="221">
        <v>45956</v>
      </c>
    </row>
    <row r="5" spans="1:11" x14ac:dyDescent="0.2">
      <c r="J5" s="204" t="s">
        <v>3</v>
      </c>
    </row>
    <row r="6" spans="1:11" ht="34" x14ac:dyDescent="0.2">
      <c r="A6" s="11" t="s">
        <v>4</v>
      </c>
      <c r="B6" s="11" t="s">
        <v>5</v>
      </c>
      <c r="C6" s="11" t="s">
        <v>6</v>
      </c>
      <c r="D6" s="11" t="s">
        <v>7</v>
      </c>
      <c r="E6" s="11" t="s">
        <v>8</v>
      </c>
      <c r="F6" s="11" t="s">
        <v>9</v>
      </c>
      <c r="G6" s="222" t="s">
        <v>10</v>
      </c>
      <c r="H6" s="222" t="s">
        <v>11</v>
      </c>
      <c r="I6" s="222" t="s">
        <v>12</v>
      </c>
      <c r="J6" s="223"/>
      <c r="K6" s="11" t="s">
        <v>13</v>
      </c>
    </row>
    <row r="7" spans="1:11" ht="34" x14ac:dyDescent="0.2">
      <c r="A7" s="222"/>
      <c r="B7" s="224"/>
      <c r="C7" s="11"/>
      <c r="D7" s="11" t="s">
        <v>14</v>
      </c>
      <c r="E7" s="11" t="s">
        <v>15</v>
      </c>
      <c r="F7" s="225" t="s">
        <v>16</v>
      </c>
      <c r="G7" s="225" t="s">
        <v>15</v>
      </c>
      <c r="H7" s="225" t="s">
        <v>17</v>
      </c>
      <c r="I7" s="11" t="s">
        <v>18</v>
      </c>
      <c r="J7" s="225" t="s">
        <v>19</v>
      </c>
      <c r="K7" s="225"/>
    </row>
    <row r="8" spans="1:11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2">
      <c r="A9" s="186">
        <v>1</v>
      </c>
      <c r="B9" s="187" t="s">
        <v>241</v>
      </c>
      <c r="C9" s="161">
        <v>15</v>
      </c>
      <c r="D9" s="14">
        <v>2.85</v>
      </c>
      <c r="E9" s="163">
        <v>1478</v>
      </c>
      <c r="F9" s="162">
        <v>50</v>
      </c>
      <c r="G9" s="15">
        <f t="shared" ref="G9:G13" si="0">E9*F9</f>
        <v>73900</v>
      </c>
      <c r="H9" s="16">
        <f>F9*C9</f>
        <v>750</v>
      </c>
      <c r="I9" s="179" t="s">
        <v>20</v>
      </c>
      <c r="J9" s="188">
        <v>2.0833333333333332E-2</v>
      </c>
      <c r="K9" s="202" t="s">
        <v>239</v>
      </c>
    </row>
    <row r="10" spans="1:11" ht="17" x14ac:dyDescent="0.2">
      <c r="A10" s="190">
        <v>2</v>
      </c>
      <c r="B10" s="187" t="s">
        <v>241</v>
      </c>
      <c r="C10" s="161">
        <v>16</v>
      </c>
      <c r="D10" s="14">
        <v>2.85</v>
      </c>
      <c r="E10" s="163">
        <v>1428</v>
      </c>
      <c r="F10" s="162">
        <v>15</v>
      </c>
      <c r="G10" s="15">
        <f t="shared" si="0"/>
        <v>21420</v>
      </c>
      <c r="H10" s="16">
        <f t="shared" ref="H10:H13" si="1">F10*C10</f>
        <v>240</v>
      </c>
      <c r="I10" s="179" t="s">
        <v>44</v>
      </c>
      <c r="J10" s="188">
        <v>3.8194444444444448E-2</v>
      </c>
      <c r="K10" s="189" t="s">
        <v>44</v>
      </c>
    </row>
    <row r="11" spans="1:11" ht="17" x14ac:dyDescent="0.2">
      <c r="A11" s="186">
        <v>3</v>
      </c>
      <c r="B11" s="187" t="s">
        <v>261</v>
      </c>
      <c r="C11" s="161">
        <v>22</v>
      </c>
      <c r="D11" s="14">
        <v>2.85</v>
      </c>
      <c r="E11" s="163">
        <v>1141</v>
      </c>
      <c r="F11" s="175">
        <v>6</v>
      </c>
      <c r="G11" s="15">
        <f t="shared" si="0"/>
        <v>6846</v>
      </c>
      <c r="H11" s="16">
        <f t="shared" si="1"/>
        <v>132</v>
      </c>
      <c r="I11" s="179"/>
      <c r="J11" s="188"/>
      <c r="K11" s="189"/>
    </row>
    <row r="12" spans="1:11" ht="19.25" customHeight="1" x14ac:dyDescent="0.2">
      <c r="A12" s="190">
        <v>4</v>
      </c>
      <c r="B12" s="187" t="s">
        <v>261</v>
      </c>
      <c r="C12" s="176">
        <v>30</v>
      </c>
      <c r="D12" s="14">
        <v>2.85</v>
      </c>
      <c r="E12" s="177">
        <v>835</v>
      </c>
      <c r="F12" s="178">
        <v>9</v>
      </c>
      <c r="G12" s="15">
        <f t="shared" si="0"/>
        <v>7515</v>
      </c>
      <c r="H12" s="16">
        <f t="shared" si="1"/>
        <v>270</v>
      </c>
      <c r="I12" s="195"/>
      <c r="J12" s="194"/>
      <c r="K12" s="189"/>
    </row>
    <row r="13" spans="1:11" ht="17" x14ac:dyDescent="0.2">
      <c r="A13" s="191">
        <v>5</v>
      </c>
      <c r="B13" s="187" t="s">
        <v>261</v>
      </c>
      <c r="C13" s="176">
        <v>32</v>
      </c>
      <c r="D13" s="14">
        <v>2.85</v>
      </c>
      <c r="E13" s="177">
        <v>783</v>
      </c>
      <c r="F13" s="178">
        <v>5</v>
      </c>
      <c r="G13" s="15">
        <f t="shared" si="0"/>
        <v>3915</v>
      </c>
      <c r="H13" s="16">
        <f t="shared" si="1"/>
        <v>160</v>
      </c>
      <c r="I13" s="179"/>
      <c r="J13" s="188"/>
      <c r="K13" s="189"/>
    </row>
    <row r="14" spans="1:11" x14ac:dyDescent="0.2">
      <c r="A14" s="186"/>
      <c r="B14" s="187"/>
      <c r="C14" s="180"/>
      <c r="D14" s="14"/>
      <c r="E14" s="181"/>
      <c r="F14" s="182"/>
      <c r="G14" s="15"/>
      <c r="H14" s="16"/>
      <c r="I14" s="195"/>
      <c r="J14" s="194"/>
      <c r="K14" s="203"/>
    </row>
    <row r="15" spans="1:11" x14ac:dyDescent="0.2">
      <c r="A15" s="190"/>
      <c r="B15" s="187"/>
      <c r="C15" s="192"/>
      <c r="D15" s="14"/>
      <c r="E15" s="181"/>
      <c r="F15" s="193"/>
      <c r="G15" s="15"/>
      <c r="H15" s="16"/>
      <c r="I15" s="19"/>
      <c r="J15" s="18"/>
      <c r="K15" s="17"/>
    </row>
    <row r="16" spans="1:11" x14ac:dyDescent="0.2">
      <c r="A16" s="197"/>
      <c r="B16" s="198"/>
      <c r="C16" s="161"/>
      <c r="D16" s="14"/>
      <c r="E16" s="177"/>
      <c r="F16" s="161"/>
      <c r="G16" s="15"/>
      <c r="H16" s="16"/>
      <c r="I16" s="19"/>
      <c r="J16" s="18"/>
      <c r="K16" s="20"/>
    </row>
    <row r="17" spans="1:11" x14ac:dyDescent="0.2">
      <c r="A17" s="197"/>
      <c r="B17" s="198"/>
      <c r="C17" s="161"/>
      <c r="D17" s="14"/>
      <c r="E17" s="181"/>
      <c r="F17" s="161"/>
      <c r="G17" s="15"/>
      <c r="H17" s="16"/>
      <c r="I17" s="19"/>
      <c r="J17" s="18"/>
      <c r="K17" s="20"/>
    </row>
    <row r="18" spans="1:11" x14ac:dyDescent="0.2">
      <c r="A18" s="197"/>
      <c r="B18" s="198"/>
      <c r="C18" s="161"/>
      <c r="D18" s="14"/>
      <c r="E18" s="181"/>
      <c r="F18" s="161"/>
      <c r="G18" s="15"/>
      <c r="H18" s="16"/>
      <c r="I18" s="10"/>
      <c r="J18" s="13"/>
      <c r="K18" s="10"/>
    </row>
    <row r="19" spans="1:11" x14ac:dyDescent="0.2">
      <c r="A19" s="11"/>
      <c r="B19" s="10"/>
      <c r="C19" s="12"/>
      <c r="D19" s="200"/>
      <c r="E19" s="11"/>
      <c r="F19" s="12"/>
      <c r="G19" s="201"/>
      <c r="H19" s="12"/>
      <c r="I19" s="10"/>
      <c r="J19" s="13"/>
      <c r="K19" s="10"/>
    </row>
    <row r="20" spans="1:11" x14ac:dyDescent="0.2">
      <c r="A20" s="11"/>
      <c r="B20" s="10"/>
      <c r="C20" s="12"/>
      <c r="D20" s="200"/>
      <c r="E20" s="11"/>
      <c r="F20" s="12"/>
      <c r="G20" s="201"/>
      <c r="H20" s="12"/>
      <c r="I20" s="10"/>
      <c r="J20" s="13"/>
      <c r="K20" s="10"/>
    </row>
    <row r="21" spans="1:11" x14ac:dyDescent="0.2">
      <c r="A21" s="11"/>
      <c r="B21" s="10"/>
      <c r="C21" s="205"/>
      <c r="D21" s="11"/>
      <c r="E21" s="13"/>
      <c r="F21" s="205"/>
      <c r="G21" s="201"/>
      <c r="H21" s="12"/>
      <c r="I21" s="10"/>
      <c r="J21" s="13"/>
      <c r="K21" s="10"/>
    </row>
    <row r="22" spans="1:11" x14ac:dyDescent="0.2">
      <c r="A22" s="206"/>
      <c r="B22" s="207"/>
      <c r="C22" s="208"/>
      <c r="D22" s="208"/>
      <c r="E22" s="226" t="s">
        <v>21</v>
      </c>
      <c r="F22" s="227">
        <f>SUM(F9:F21)</f>
        <v>85</v>
      </c>
      <c r="G22" s="228">
        <f>SUM(G9:G21)/F22</f>
        <v>1336.4235294117648</v>
      </c>
      <c r="H22" s="229">
        <f>SUM(H9:H21)/F22</f>
        <v>18.258823529411764</v>
      </c>
      <c r="I22" s="209" t="s">
        <v>22</v>
      </c>
      <c r="J22" s="210">
        <v>5.9027777777777776E-2</v>
      </c>
      <c r="K22" s="207"/>
    </row>
    <row r="23" spans="1:11" x14ac:dyDescent="0.2">
      <c r="E23" s="211"/>
      <c r="F23" s="212"/>
      <c r="I23" s="230" t="s">
        <v>23</v>
      </c>
      <c r="J23" s="231">
        <v>1.42</v>
      </c>
    </row>
    <row r="24" spans="1:11" x14ac:dyDescent="0.2">
      <c r="I24" s="212"/>
      <c r="J24" s="213"/>
    </row>
    <row r="25" spans="1:11" x14ac:dyDescent="0.2">
      <c r="A25" s="10" t="s">
        <v>24</v>
      </c>
      <c r="B25" s="10"/>
      <c r="C25" s="10"/>
      <c r="D25" s="205"/>
      <c r="H25" s="220" t="s">
        <v>25</v>
      </c>
      <c r="I25" s="220"/>
      <c r="J25" s="211">
        <f>F22</f>
        <v>85</v>
      </c>
      <c r="K25" s="204" t="s">
        <v>16</v>
      </c>
    </row>
    <row r="26" spans="1:11" x14ac:dyDescent="0.2">
      <c r="A26" s="10" t="s">
        <v>26</v>
      </c>
      <c r="B26" s="10"/>
      <c r="C26" s="10"/>
      <c r="D26" s="205"/>
      <c r="H26" s="220" t="s">
        <v>27</v>
      </c>
      <c r="I26" s="220"/>
      <c r="J26" s="211">
        <f>100+96+78+70+83+72+85+80+69+83+83+96+82+82+80+75+80+82+95+94+83+84+70+90+90+85</f>
        <v>2167</v>
      </c>
      <c r="K26" s="204" t="s">
        <v>16</v>
      </c>
    </row>
    <row r="27" spans="1:11" ht="17" thickBot="1" x14ac:dyDescent="0.25">
      <c r="A27" s="214"/>
      <c r="B27" s="214"/>
      <c r="C27" s="214"/>
      <c r="D27" s="214"/>
      <c r="E27" s="215"/>
      <c r="F27" s="215"/>
      <c r="G27" s="214"/>
      <c r="H27" s="232" t="s">
        <v>28</v>
      </c>
      <c r="I27" s="232"/>
      <c r="J27" s="216">
        <v>53.42</v>
      </c>
      <c r="K27" s="214" t="s">
        <v>29</v>
      </c>
    </row>
    <row r="28" spans="1:11" x14ac:dyDescent="0.2">
      <c r="J28" s="204" t="s">
        <v>3</v>
      </c>
    </row>
    <row r="29" spans="1:11" hidden="1" x14ac:dyDescent="0.2">
      <c r="K29" s="204" t="s">
        <v>30</v>
      </c>
    </row>
    <row r="30" spans="1:11" hidden="1" x14ac:dyDescent="0.2">
      <c r="K30" s="204" t="s">
        <v>31</v>
      </c>
    </row>
    <row r="31" spans="1:11" hidden="1" x14ac:dyDescent="0.2">
      <c r="K31" s="204" t="s">
        <v>32</v>
      </c>
    </row>
    <row r="32" spans="1:11" hidden="1" x14ac:dyDescent="0.2">
      <c r="K32" s="204" t="s">
        <v>33</v>
      </c>
    </row>
    <row r="33" spans="9:11" hidden="1" x14ac:dyDescent="0.2">
      <c r="K33" s="204" t="s">
        <v>34</v>
      </c>
    </row>
    <row r="34" spans="9:11" hidden="1" x14ac:dyDescent="0.2">
      <c r="K34" s="204" t="s">
        <v>35</v>
      </c>
    </row>
    <row r="35" spans="9:11" hidden="1" x14ac:dyDescent="0.2">
      <c r="K35" s="204" t="s">
        <v>36</v>
      </c>
    </row>
    <row r="36" spans="9:11" hidden="1" x14ac:dyDescent="0.2">
      <c r="K36" s="204" t="s">
        <v>37</v>
      </c>
    </row>
    <row r="37" spans="9:11" hidden="1" x14ac:dyDescent="0.2">
      <c r="K37" s="204" t="s">
        <v>38</v>
      </c>
    </row>
    <row r="38" spans="9:11" hidden="1" x14ac:dyDescent="0.2">
      <c r="K38" s="204" t="s">
        <v>39</v>
      </c>
    </row>
    <row r="39" spans="9:11" hidden="1" x14ac:dyDescent="0.2">
      <c r="K39" s="204" t="s">
        <v>40</v>
      </c>
    </row>
    <row r="40" spans="9:11" hidden="1" x14ac:dyDescent="0.2">
      <c r="K40" s="204" t="s">
        <v>41</v>
      </c>
    </row>
    <row r="41" spans="9:11" ht="34" hidden="1" x14ac:dyDescent="0.2">
      <c r="I41" s="217" t="s">
        <v>42</v>
      </c>
      <c r="K41" s="204" t="s">
        <v>43</v>
      </c>
    </row>
    <row r="42" spans="9:11" ht="17" hidden="1" x14ac:dyDescent="0.2">
      <c r="I42" s="217" t="s">
        <v>44</v>
      </c>
      <c r="K42" s="204" t="s">
        <v>45</v>
      </c>
    </row>
    <row r="43" spans="9:11" hidden="1" x14ac:dyDescent="0.2">
      <c r="I43" s="218" t="s">
        <v>46</v>
      </c>
      <c r="K43" s="204" t="s">
        <v>47</v>
      </c>
    </row>
    <row r="44" spans="9:11" hidden="1" x14ac:dyDescent="0.2">
      <c r="I44" s="204" t="s">
        <v>48</v>
      </c>
      <c r="K44" s="204" t="s">
        <v>49</v>
      </c>
    </row>
    <row r="45" spans="9:11" hidden="1" x14ac:dyDescent="0.2">
      <c r="I45" s="204" t="s">
        <v>50</v>
      </c>
      <c r="K45" s="204" t="s">
        <v>51</v>
      </c>
    </row>
    <row r="46" spans="9:11" hidden="1" x14ac:dyDescent="0.2">
      <c r="I46" s="204" t="s">
        <v>52</v>
      </c>
      <c r="K46" s="204" t="s">
        <v>53</v>
      </c>
    </row>
    <row r="47" spans="9:11" hidden="1" x14ac:dyDescent="0.2">
      <c r="I47" s="204" t="s">
        <v>54</v>
      </c>
      <c r="K47" s="204" t="s">
        <v>55</v>
      </c>
    </row>
    <row r="48" spans="9:11" hidden="1" x14ac:dyDescent="0.2">
      <c r="I48" s="204" t="s">
        <v>56</v>
      </c>
      <c r="K48" s="204" t="s">
        <v>57</v>
      </c>
    </row>
    <row r="49" spans="9:11" hidden="1" x14ac:dyDescent="0.2">
      <c r="I49" s="204" t="s">
        <v>58</v>
      </c>
      <c r="K49" s="204" t="s">
        <v>59</v>
      </c>
    </row>
    <row r="50" spans="9:11" hidden="1" x14ac:dyDescent="0.2">
      <c r="I50" s="204" t="s">
        <v>60</v>
      </c>
      <c r="K50" s="204" t="s">
        <v>61</v>
      </c>
    </row>
    <row r="51" spans="9:11" hidden="1" x14ac:dyDescent="0.2">
      <c r="K51" s="204" t="s">
        <v>62</v>
      </c>
    </row>
    <row r="52" spans="9:11" hidden="1" x14ac:dyDescent="0.2">
      <c r="K52" s="204" t="s">
        <v>63</v>
      </c>
    </row>
    <row r="53" spans="9:11" hidden="1" x14ac:dyDescent="0.2">
      <c r="K53" s="204" t="s">
        <v>64</v>
      </c>
    </row>
    <row r="54" spans="9:11" hidden="1" x14ac:dyDescent="0.2">
      <c r="K54" s="204" t="s">
        <v>65</v>
      </c>
    </row>
    <row r="55" spans="9:11" hidden="1" x14ac:dyDescent="0.2">
      <c r="K55" s="204" t="s">
        <v>66</v>
      </c>
    </row>
    <row r="56" spans="9:11" hidden="1" x14ac:dyDescent="0.2">
      <c r="K56" s="204" t="s">
        <v>67</v>
      </c>
    </row>
    <row r="57" spans="9:11" hidden="1" x14ac:dyDescent="0.2">
      <c r="K57" s="204" t="s">
        <v>68</v>
      </c>
    </row>
    <row r="58" spans="9:11" hidden="1" x14ac:dyDescent="0.2">
      <c r="K58" s="204" t="s">
        <v>69</v>
      </c>
    </row>
    <row r="59" spans="9:11" hidden="1" x14ac:dyDescent="0.2">
      <c r="K59" s="204" t="s">
        <v>70</v>
      </c>
    </row>
    <row r="60" spans="9:11" hidden="1" x14ac:dyDescent="0.2">
      <c r="K60" s="204" t="s">
        <v>71</v>
      </c>
    </row>
    <row r="61" spans="9:11" hidden="1" x14ac:dyDescent="0.2">
      <c r="K61" s="204" t="s">
        <v>72</v>
      </c>
    </row>
    <row r="62" spans="9:11" hidden="1" x14ac:dyDescent="0.2">
      <c r="K62" s="204" t="s">
        <v>73</v>
      </c>
    </row>
    <row r="63" spans="9:11" hidden="1" x14ac:dyDescent="0.2">
      <c r="K63" s="204" t="s">
        <v>67</v>
      </c>
    </row>
    <row r="64" spans="9:11" hidden="1" x14ac:dyDescent="0.2">
      <c r="K64" s="204" t="s">
        <v>74</v>
      </c>
    </row>
    <row r="65" spans="11:11" hidden="1" x14ac:dyDescent="0.2">
      <c r="K65" s="204" t="s">
        <v>75</v>
      </c>
    </row>
    <row r="66" spans="11:11" hidden="1" x14ac:dyDescent="0.2">
      <c r="K66" s="204" t="s">
        <v>76</v>
      </c>
    </row>
    <row r="67" spans="11:11" hidden="1" x14ac:dyDescent="0.2">
      <c r="K67" s="204" t="s">
        <v>77</v>
      </c>
    </row>
    <row r="68" spans="11:11" hidden="1" x14ac:dyDescent="0.2">
      <c r="K68" s="204" t="s">
        <v>78</v>
      </c>
    </row>
    <row r="69" spans="11:11" hidden="1" x14ac:dyDescent="0.2">
      <c r="K69" s="204" t="s">
        <v>79</v>
      </c>
    </row>
    <row r="70" spans="11:11" hidden="1" x14ac:dyDescent="0.2">
      <c r="K70" s="204" t="s">
        <v>80</v>
      </c>
    </row>
    <row r="71" spans="11:11" hidden="1" x14ac:dyDescent="0.2">
      <c r="K71" s="204" t="s">
        <v>81</v>
      </c>
    </row>
    <row r="72" spans="11:11" hidden="1" x14ac:dyDescent="0.2">
      <c r="K72" s="204" t="s">
        <v>82</v>
      </c>
    </row>
    <row r="73" spans="11:11" hidden="1" x14ac:dyDescent="0.2">
      <c r="K73" s="204" t="s">
        <v>83</v>
      </c>
    </row>
    <row r="74" spans="11:11" hidden="1" x14ac:dyDescent="0.2">
      <c r="K74" s="204" t="s">
        <v>84</v>
      </c>
    </row>
    <row r="75" spans="11:11" hidden="1" x14ac:dyDescent="0.2">
      <c r="K75" s="204" t="s">
        <v>85</v>
      </c>
    </row>
    <row r="76" spans="11:11" hidden="1" x14ac:dyDescent="0.2">
      <c r="K76" s="204" t="s">
        <v>86</v>
      </c>
    </row>
    <row r="77" spans="11:11" hidden="1" x14ac:dyDescent="0.2">
      <c r="K77" s="204" t="s">
        <v>87</v>
      </c>
    </row>
    <row r="78" spans="11:11" hidden="1" x14ac:dyDescent="0.2">
      <c r="K78" s="204" t="s">
        <v>88</v>
      </c>
    </row>
    <row r="79" spans="11:11" hidden="1" x14ac:dyDescent="0.2">
      <c r="K79" s="204" t="s">
        <v>89</v>
      </c>
    </row>
    <row r="80" spans="11:11" hidden="1" x14ac:dyDescent="0.2">
      <c r="K80" s="204" t="s">
        <v>90</v>
      </c>
    </row>
    <row r="81" spans="11:11" hidden="1" x14ac:dyDescent="0.2">
      <c r="K81" s="204" t="s">
        <v>91</v>
      </c>
    </row>
    <row r="82" spans="11:11" hidden="1" x14ac:dyDescent="0.2">
      <c r="K82" s="204" t="s">
        <v>92</v>
      </c>
    </row>
    <row r="83" spans="11:11" hidden="1" x14ac:dyDescent="0.2">
      <c r="K83" s="204" t="s">
        <v>93</v>
      </c>
    </row>
    <row r="84" spans="11:11" hidden="1" x14ac:dyDescent="0.2">
      <c r="K84" s="204" t="s">
        <v>94</v>
      </c>
    </row>
    <row r="85" spans="11:11" hidden="1" x14ac:dyDescent="0.2">
      <c r="K85" s="204" t="s">
        <v>47</v>
      </c>
    </row>
  </sheetData>
  <dataValidations count="3">
    <dataValidation type="list" allowBlank="1" showInputMessage="1" showErrorMessage="1" sqref="B16:B19" xr:uid="{B76080A5-6CC5-4325-A637-D7113EFD024A}">
      <formula1>$K$29:$K$85</formula1>
    </dataValidation>
    <dataValidation type="list" allowBlank="1" showInputMessage="1" showErrorMessage="1" sqref="B20:B21" xr:uid="{F3685CE1-B274-4F09-8818-D01488EE0100}">
      <formula1>$K$29:$K$40</formula1>
    </dataValidation>
    <dataValidation type="list" allowBlank="1" showInputMessage="1" showErrorMessage="1" sqref="I50 K15:K21" xr:uid="{38008CD6-87D0-444A-B915-3989151931D0}">
      <formula1>$I$41:$I$50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759C2-021A-47FB-AB6D-869AF5B85262}">
  <dimension ref="A1:K85"/>
  <sheetViews>
    <sheetView workbookViewId="0">
      <selection sqref="A1:XFD1048576"/>
    </sheetView>
  </sheetViews>
  <sheetFormatPr baseColWidth="10" defaultColWidth="9.1640625" defaultRowHeight="16" x14ac:dyDescent="0.2"/>
  <cols>
    <col min="1" max="1" width="5.1640625" style="204" customWidth="1"/>
    <col min="2" max="2" width="22.5" style="204" customWidth="1"/>
    <col min="3" max="3" width="6.1640625" style="204" customWidth="1"/>
    <col min="4" max="4" width="12.5" style="204" bestFit="1" customWidth="1"/>
    <col min="5" max="5" width="9.83203125" style="204" customWidth="1"/>
    <col min="6" max="6" width="9.33203125" style="204" bestFit="1" customWidth="1"/>
    <col min="7" max="7" width="8.6640625" style="204" customWidth="1"/>
    <col min="8" max="8" width="9.5" style="204" bestFit="1" customWidth="1"/>
    <col min="9" max="9" width="17.83203125" style="204" bestFit="1" customWidth="1"/>
    <col min="10" max="10" width="10.33203125" style="204" bestFit="1" customWidth="1"/>
    <col min="11" max="11" width="75" style="204" bestFit="1" customWidth="1"/>
    <col min="12" max="16384" width="9.1640625" style="204"/>
  </cols>
  <sheetData>
    <row r="1" spans="1:11" x14ac:dyDescent="0.2">
      <c r="A1" s="204" t="s">
        <v>0</v>
      </c>
      <c r="I1" s="219"/>
    </row>
    <row r="2" spans="1:11" x14ac:dyDescent="0.2">
      <c r="J2" s="220"/>
    </row>
    <row r="3" spans="1:11" x14ac:dyDescent="0.2">
      <c r="A3" s="219" t="s">
        <v>1</v>
      </c>
    </row>
    <row r="4" spans="1:11" x14ac:dyDescent="0.2">
      <c r="A4" s="219"/>
      <c r="I4" s="220" t="s">
        <v>2</v>
      </c>
      <c r="J4" s="221">
        <v>45957</v>
      </c>
    </row>
    <row r="5" spans="1:11" x14ac:dyDescent="0.2">
      <c r="J5" s="204" t="s">
        <v>3</v>
      </c>
    </row>
    <row r="6" spans="1:11" ht="34" x14ac:dyDescent="0.2">
      <c r="A6" s="11" t="s">
        <v>4</v>
      </c>
      <c r="B6" s="11" t="s">
        <v>5</v>
      </c>
      <c r="C6" s="11" t="s">
        <v>6</v>
      </c>
      <c r="D6" s="11" t="s">
        <v>7</v>
      </c>
      <c r="E6" s="11" t="s">
        <v>8</v>
      </c>
      <c r="F6" s="11" t="s">
        <v>9</v>
      </c>
      <c r="G6" s="222" t="s">
        <v>10</v>
      </c>
      <c r="H6" s="222" t="s">
        <v>11</v>
      </c>
      <c r="I6" s="222" t="s">
        <v>12</v>
      </c>
      <c r="J6" s="223"/>
      <c r="K6" s="11" t="s">
        <v>13</v>
      </c>
    </row>
    <row r="7" spans="1:11" ht="34" x14ac:dyDescent="0.2">
      <c r="A7" s="222"/>
      <c r="B7" s="224"/>
      <c r="C7" s="11"/>
      <c r="D7" s="11" t="s">
        <v>14</v>
      </c>
      <c r="E7" s="11" t="s">
        <v>15</v>
      </c>
      <c r="F7" s="225" t="s">
        <v>16</v>
      </c>
      <c r="G7" s="225" t="s">
        <v>15</v>
      </c>
      <c r="H7" s="225" t="s">
        <v>17</v>
      </c>
      <c r="I7" s="11" t="s">
        <v>18</v>
      </c>
      <c r="J7" s="225" t="s">
        <v>19</v>
      </c>
      <c r="K7" s="225"/>
    </row>
    <row r="8" spans="1:11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2">
      <c r="A9" s="186">
        <v>1</v>
      </c>
      <c r="B9" s="187" t="s">
        <v>241</v>
      </c>
      <c r="C9" s="161">
        <v>14</v>
      </c>
      <c r="D9" s="14">
        <v>2.85</v>
      </c>
      <c r="E9" s="163">
        <v>1394</v>
      </c>
      <c r="F9" s="162">
        <v>6.3</v>
      </c>
      <c r="G9" s="15">
        <f t="shared" ref="G9:G13" si="0">E9*F9</f>
        <v>8782.1999999999989</v>
      </c>
      <c r="H9" s="16">
        <f>F9*C9</f>
        <v>88.2</v>
      </c>
      <c r="I9" s="179" t="s">
        <v>20</v>
      </c>
      <c r="J9" s="188">
        <v>2.0833333333333332E-2</v>
      </c>
      <c r="K9" s="202" t="s">
        <v>239</v>
      </c>
    </row>
    <row r="10" spans="1:11" ht="17" x14ac:dyDescent="0.2">
      <c r="A10" s="190">
        <v>2</v>
      </c>
      <c r="B10" s="187" t="s">
        <v>241</v>
      </c>
      <c r="C10" s="161">
        <v>15</v>
      </c>
      <c r="D10" s="14">
        <v>2.85</v>
      </c>
      <c r="E10" s="163">
        <v>1503</v>
      </c>
      <c r="F10" s="162">
        <v>13.2</v>
      </c>
      <c r="G10" s="15">
        <f t="shared" si="0"/>
        <v>19839.599999999999</v>
      </c>
      <c r="H10" s="16">
        <f t="shared" ref="H10:H13" si="1">F10*C10</f>
        <v>198</v>
      </c>
      <c r="I10" s="179" t="s">
        <v>44</v>
      </c>
      <c r="J10" s="188">
        <v>2.7777777777777776E-2</v>
      </c>
      <c r="K10" s="189" t="s">
        <v>44</v>
      </c>
    </row>
    <row r="11" spans="1:11" ht="17" x14ac:dyDescent="0.2">
      <c r="A11" s="186">
        <v>3</v>
      </c>
      <c r="B11" s="187" t="s">
        <v>241</v>
      </c>
      <c r="C11" s="161">
        <v>16</v>
      </c>
      <c r="D11" s="14">
        <v>2.85</v>
      </c>
      <c r="E11" s="163">
        <v>1347</v>
      </c>
      <c r="F11" s="175">
        <v>3</v>
      </c>
      <c r="G11" s="15">
        <f t="shared" si="0"/>
        <v>4041</v>
      </c>
      <c r="H11" s="16">
        <f t="shared" si="1"/>
        <v>48</v>
      </c>
      <c r="I11" s="179" t="s">
        <v>247</v>
      </c>
      <c r="J11" s="188">
        <v>4.8611111111111112E-2</v>
      </c>
      <c r="K11" s="189" t="s">
        <v>273</v>
      </c>
    </row>
    <row r="12" spans="1:11" ht="19.25" customHeight="1" x14ac:dyDescent="0.2">
      <c r="A12" s="190">
        <v>4</v>
      </c>
      <c r="B12" s="187" t="s">
        <v>272</v>
      </c>
      <c r="C12" s="176">
        <v>15</v>
      </c>
      <c r="D12" s="14">
        <v>2.85</v>
      </c>
      <c r="E12" s="177">
        <v>1320</v>
      </c>
      <c r="F12" s="178">
        <v>6.5</v>
      </c>
      <c r="G12" s="15">
        <f t="shared" si="0"/>
        <v>8580</v>
      </c>
      <c r="H12" s="16">
        <f t="shared" si="1"/>
        <v>97.5</v>
      </c>
      <c r="I12" s="195" t="s">
        <v>260</v>
      </c>
      <c r="J12" s="194">
        <v>2.0833333333333332E-2</v>
      </c>
      <c r="K12" s="189" t="s">
        <v>274</v>
      </c>
    </row>
    <row r="13" spans="1:11" ht="17" x14ac:dyDescent="0.2">
      <c r="A13" s="191">
        <v>5</v>
      </c>
      <c r="B13" s="187" t="s">
        <v>272</v>
      </c>
      <c r="C13" s="176">
        <v>17</v>
      </c>
      <c r="D13" s="14">
        <v>2.85</v>
      </c>
      <c r="E13" s="177">
        <v>1334</v>
      </c>
      <c r="F13" s="178">
        <v>53</v>
      </c>
      <c r="G13" s="15">
        <f t="shared" si="0"/>
        <v>70702</v>
      </c>
      <c r="H13" s="16">
        <f t="shared" si="1"/>
        <v>901</v>
      </c>
      <c r="I13" s="179" t="s">
        <v>258</v>
      </c>
      <c r="J13" s="188">
        <v>2.0833333333333332E-2</v>
      </c>
      <c r="K13" s="189" t="s">
        <v>274</v>
      </c>
    </row>
    <row r="14" spans="1:11" x14ac:dyDescent="0.2">
      <c r="A14" s="186"/>
      <c r="B14" s="187"/>
      <c r="C14" s="180"/>
      <c r="D14" s="14"/>
      <c r="E14" s="181"/>
      <c r="F14" s="182"/>
      <c r="G14" s="15"/>
      <c r="H14" s="16"/>
      <c r="I14" s="195" t="s">
        <v>275</v>
      </c>
      <c r="J14" s="188">
        <v>2.0833333333333332E-2</v>
      </c>
      <c r="K14" s="189" t="s">
        <v>274</v>
      </c>
    </row>
    <row r="15" spans="1:11" x14ac:dyDescent="0.2">
      <c r="A15" s="190"/>
      <c r="B15" s="187"/>
      <c r="C15" s="192"/>
      <c r="D15" s="14"/>
      <c r="E15" s="181"/>
      <c r="F15" s="193"/>
      <c r="G15" s="15"/>
      <c r="H15" s="16"/>
      <c r="I15" s="19"/>
      <c r="J15" s="18"/>
      <c r="K15" s="17"/>
    </row>
    <row r="16" spans="1:11" x14ac:dyDescent="0.2">
      <c r="A16" s="197"/>
      <c r="B16" s="198"/>
      <c r="C16" s="161"/>
      <c r="D16" s="14"/>
      <c r="E16" s="177"/>
      <c r="F16" s="161"/>
      <c r="G16" s="15"/>
      <c r="H16" s="16"/>
      <c r="I16" s="19"/>
      <c r="J16" s="18"/>
      <c r="K16" s="20"/>
    </row>
    <row r="17" spans="1:11" x14ac:dyDescent="0.2">
      <c r="A17" s="197"/>
      <c r="B17" s="198"/>
      <c r="C17" s="161"/>
      <c r="D17" s="14"/>
      <c r="E17" s="181"/>
      <c r="F17" s="161"/>
      <c r="G17" s="15"/>
      <c r="H17" s="16"/>
      <c r="I17" s="19"/>
      <c r="J17" s="18"/>
      <c r="K17" s="20"/>
    </row>
    <row r="18" spans="1:11" x14ac:dyDescent="0.2">
      <c r="A18" s="197"/>
      <c r="B18" s="198"/>
      <c r="C18" s="161"/>
      <c r="D18" s="14"/>
      <c r="E18" s="181"/>
      <c r="F18" s="161"/>
      <c r="G18" s="15"/>
      <c r="H18" s="16"/>
      <c r="I18" s="10"/>
      <c r="J18" s="13"/>
      <c r="K18" s="10"/>
    </row>
    <row r="19" spans="1:11" x14ac:dyDescent="0.2">
      <c r="A19" s="11"/>
      <c r="B19" s="10"/>
      <c r="C19" s="12"/>
      <c r="D19" s="200"/>
      <c r="E19" s="11"/>
      <c r="F19" s="12"/>
      <c r="G19" s="201"/>
      <c r="H19" s="12"/>
      <c r="I19" s="10"/>
      <c r="J19" s="13"/>
      <c r="K19" s="10"/>
    </row>
    <row r="20" spans="1:11" x14ac:dyDescent="0.2">
      <c r="A20" s="11"/>
      <c r="B20" s="10"/>
      <c r="C20" s="12"/>
      <c r="D20" s="200"/>
      <c r="E20" s="11"/>
      <c r="F20" s="12"/>
      <c r="G20" s="201"/>
      <c r="H20" s="12"/>
      <c r="I20" s="10"/>
      <c r="J20" s="13"/>
      <c r="K20" s="10"/>
    </row>
    <row r="21" spans="1:11" x14ac:dyDescent="0.2">
      <c r="A21" s="11"/>
      <c r="B21" s="10"/>
      <c r="C21" s="205"/>
      <c r="D21" s="11"/>
      <c r="E21" s="13"/>
      <c r="F21" s="205"/>
      <c r="G21" s="201"/>
      <c r="H21" s="12"/>
      <c r="I21" s="10"/>
      <c r="J21" s="13"/>
      <c r="K21" s="10"/>
    </row>
    <row r="22" spans="1:11" x14ac:dyDescent="0.2">
      <c r="A22" s="206"/>
      <c r="B22" s="207"/>
      <c r="C22" s="208"/>
      <c r="D22" s="208"/>
      <c r="E22" s="226" t="s">
        <v>21</v>
      </c>
      <c r="F22" s="227">
        <f>SUM(F9:F21)</f>
        <v>82</v>
      </c>
      <c r="G22" s="228">
        <f>SUM(G9:G21)/F22</f>
        <v>1365.1804878048779</v>
      </c>
      <c r="H22" s="229">
        <f>SUM(H9:H21)/F22</f>
        <v>16.252439024390245</v>
      </c>
      <c r="I22" s="209" t="s">
        <v>22</v>
      </c>
      <c r="J22" s="210">
        <v>0.15972222222222221</v>
      </c>
      <c r="K22" s="207"/>
    </row>
    <row r="23" spans="1:11" x14ac:dyDescent="0.2">
      <c r="E23" s="211"/>
      <c r="F23" s="212"/>
      <c r="I23" s="230" t="s">
        <v>23</v>
      </c>
      <c r="J23" s="231">
        <v>3.83</v>
      </c>
    </row>
    <row r="24" spans="1:11" x14ac:dyDescent="0.2">
      <c r="I24" s="212"/>
      <c r="J24" s="213"/>
    </row>
    <row r="25" spans="1:11" x14ac:dyDescent="0.2">
      <c r="A25" s="10" t="s">
        <v>24</v>
      </c>
      <c r="B25" s="10"/>
      <c r="C25" s="10"/>
      <c r="D25" s="205"/>
      <c r="H25" s="220" t="s">
        <v>25</v>
      </c>
      <c r="I25" s="220"/>
      <c r="J25" s="211">
        <f>F22</f>
        <v>82</v>
      </c>
      <c r="K25" s="204" t="s">
        <v>16</v>
      </c>
    </row>
    <row r="26" spans="1:11" x14ac:dyDescent="0.2">
      <c r="A26" s="10" t="s">
        <v>26</v>
      </c>
      <c r="B26" s="10"/>
      <c r="C26" s="10"/>
      <c r="D26" s="205"/>
      <c r="H26" s="220" t="s">
        <v>27</v>
      </c>
      <c r="I26" s="220"/>
      <c r="J26" s="211">
        <f>100+96+78+70+83+72+85+80+69+83+83+96+82+82+80+75+80+82+95+94+83+84+70+90+90+85+82</f>
        <v>2249</v>
      </c>
      <c r="K26" s="204" t="s">
        <v>16</v>
      </c>
    </row>
    <row r="27" spans="1:11" ht="17" thickBot="1" x14ac:dyDescent="0.25">
      <c r="A27" s="214"/>
      <c r="B27" s="214"/>
      <c r="C27" s="214"/>
      <c r="D27" s="214"/>
      <c r="E27" s="215"/>
      <c r="F27" s="215"/>
      <c r="G27" s="214"/>
      <c r="H27" s="232" t="s">
        <v>28</v>
      </c>
      <c r="I27" s="232"/>
      <c r="J27" s="216">
        <v>57.25</v>
      </c>
      <c r="K27" s="214" t="s">
        <v>29</v>
      </c>
    </row>
    <row r="28" spans="1:11" x14ac:dyDescent="0.2">
      <c r="J28" s="204" t="s">
        <v>3</v>
      </c>
    </row>
    <row r="29" spans="1:11" hidden="1" x14ac:dyDescent="0.2">
      <c r="K29" s="204" t="s">
        <v>30</v>
      </c>
    </row>
    <row r="30" spans="1:11" hidden="1" x14ac:dyDescent="0.2">
      <c r="K30" s="204" t="s">
        <v>31</v>
      </c>
    </row>
    <row r="31" spans="1:11" hidden="1" x14ac:dyDescent="0.2">
      <c r="K31" s="204" t="s">
        <v>32</v>
      </c>
    </row>
    <row r="32" spans="1:11" hidden="1" x14ac:dyDescent="0.2">
      <c r="K32" s="204" t="s">
        <v>33</v>
      </c>
    </row>
    <row r="33" spans="9:11" hidden="1" x14ac:dyDescent="0.2">
      <c r="K33" s="204" t="s">
        <v>34</v>
      </c>
    </row>
    <row r="34" spans="9:11" hidden="1" x14ac:dyDescent="0.2">
      <c r="K34" s="204" t="s">
        <v>35</v>
      </c>
    </row>
    <row r="35" spans="9:11" hidden="1" x14ac:dyDescent="0.2">
      <c r="K35" s="204" t="s">
        <v>36</v>
      </c>
    </row>
    <row r="36" spans="9:11" hidden="1" x14ac:dyDescent="0.2">
      <c r="K36" s="204" t="s">
        <v>37</v>
      </c>
    </row>
    <row r="37" spans="9:11" hidden="1" x14ac:dyDescent="0.2">
      <c r="K37" s="204" t="s">
        <v>38</v>
      </c>
    </row>
    <row r="38" spans="9:11" hidden="1" x14ac:dyDescent="0.2">
      <c r="K38" s="204" t="s">
        <v>39</v>
      </c>
    </row>
    <row r="39" spans="9:11" hidden="1" x14ac:dyDescent="0.2">
      <c r="K39" s="204" t="s">
        <v>40</v>
      </c>
    </row>
    <row r="40" spans="9:11" hidden="1" x14ac:dyDescent="0.2">
      <c r="K40" s="204" t="s">
        <v>41</v>
      </c>
    </row>
    <row r="41" spans="9:11" ht="34" hidden="1" x14ac:dyDescent="0.2">
      <c r="I41" s="217" t="s">
        <v>42</v>
      </c>
      <c r="K41" s="204" t="s">
        <v>43</v>
      </c>
    </row>
    <row r="42" spans="9:11" ht="17" hidden="1" x14ac:dyDescent="0.2">
      <c r="I42" s="217" t="s">
        <v>44</v>
      </c>
      <c r="K42" s="204" t="s">
        <v>45</v>
      </c>
    </row>
    <row r="43" spans="9:11" hidden="1" x14ac:dyDescent="0.2">
      <c r="I43" s="218" t="s">
        <v>46</v>
      </c>
      <c r="K43" s="204" t="s">
        <v>47</v>
      </c>
    </row>
    <row r="44" spans="9:11" hidden="1" x14ac:dyDescent="0.2">
      <c r="I44" s="204" t="s">
        <v>48</v>
      </c>
      <c r="K44" s="204" t="s">
        <v>49</v>
      </c>
    </row>
    <row r="45" spans="9:11" hidden="1" x14ac:dyDescent="0.2">
      <c r="I45" s="204" t="s">
        <v>50</v>
      </c>
      <c r="K45" s="204" t="s">
        <v>51</v>
      </c>
    </row>
    <row r="46" spans="9:11" hidden="1" x14ac:dyDescent="0.2">
      <c r="I46" s="204" t="s">
        <v>52</v>
      </c>
      <c r="K46" s="204" t="s">
        <v>53</v>
      </c>
    </row>
    <row r="47" spans="9:11" hidden="1" x14ac:dyDescent="0.2">
      <c r="I47" s="204" t="s">
        <v>54</v>
      </c>
      <c r="K47" s="204" t="s">
        <v>55</v>
      </c>
    </row>
    <row r="48" spans="9:11" hidden="1" x14ac:dyDescent="0.2">
      <c r="I48" s="204" t="s">
        <v>56</v>
      </c>
      <c r="K48" s="204" t="s">
        <v>57</v>
      </c>
    </row>
    <row r="49" spans="9:11" hidden="1" x14ac:dyDescent="0.2">
      <c r="I49" s="204" t="s">
        <v>58</v>
      </c>
      <c r="K49" s="204" t="s">
        <v>59</v>
      </c>
    </row>
    <row r="50" spans="9:11" hidden="1" x14ac:dyDescent="0.2">
      <c r="I50" s="204" t="s">
        <v>60</v>
      </c>
      <c r="K50" s="204" t="s">
        <v>61</v>
      </c>
    </row>
    <row r="51" spans="9:11" hidden="1" x14ac:dyDescent="0.2">
      <c r="K51" s="204" t="s">
        <v>62</v>
      </c>
    </row>
    <row r="52" spans="9:11" hidden="1" x14ac:dyDescent="0.2">
      <c r="K52" s="204" t="s">
        <v>63</v>
      </c>
    </row>
    <row r="53" spans="9:11" hidden="1" x14ac:dyDescent="0.2">
      <c r="K53" s="204" t="s">
        <v>64</v>
      </c>
    </row>
    <row r="54" spans="9:11" hidden="1" x14ac:dyDescent="0.2">
      <c r="K54" s="204" t="s">
        <v>65</v>
      </c>
    </row>
    <row r="55" spans="9:11" hidden="1" x14ac:dyDescent="0.2">
      <c r="K55" s="204" t="s">
        <v>66</v>
      </c>
    </row>
    <row r="56" spans="9:11" hidden="1" x14ac:dyDescent="0.2">
      <c r="K56" s="204" t="s">
        <v>67</v>
      </c>
    </row>
    <row r="57" spans="9:11" hidden="1" x14ac:dyDescent="0.2">
      <c r="K57" s="204" t="s">
        <v>68</v>
      </c>
    </row>
    <row r="58" spans="9:11" hidden="1" x14ac:dyDescent="0.2">
      <c r="K58" s="204" t="s">
        <v>69</v>
      </c>
    </row>
    <row r="59" spans="9:11" hidden="1" x14ac:dyDescent="0.2">
      <c r="K59" s="204" t="s">
        <v>70</v>
      </c>
    </row>
    <row r="60" spans="9:11" hidden="1" x14ac:dyDescent="0.2">
      <c r="K60" s="204" t="s">
        <v>71</v>
      </c>
    </row>
    <row r="61" spans="9:11" hidden="1" x14ac:dyDescent="0.2">
      <c r="K61" s="204" t="s">
        <v>72</v>
      </c>
    </row>
    <row r="62" spans="9:11" hidden="1" x14ac:dyDescent="0.2">
      <c r="K62" s="204" t="s">
        <v>73</v>
      </c>
    </row>
    <row r="63" spans="9:11" hidden="1" x14ac:dyDescent="0.2">
      <c r="K63" s="204" t="s">
        <v>67</v>
      </c>
    </row>
    <row r="64" spans="9:11" hidden="1" x14ac:dyDescent="0.2">
      <c r="K64" s="204" t="s">
        <v>74</v>
      </c>
    </row>
    <row r="65" spans="11:11" hidden="1" x14ac:dyDescent="0.2">
      <c r="K65" s="204" t="s">
        <v>75</v>
      </c>
    </row>
    <row r="66" spans="11:11" hidden="1" x14ac:dyDescent="0.2">
      <c r="K66" s="204" t="s">
        <v>76</v>
      </c>
    </row>
    <row r="67" spans="11:11" hidden="1" x14ac:dyDescent="0.2">
      <c r="K67" s="204" t="s">
        <v>77</v>
      </c>
    </row>
    <row r="68" spans="11:11" hidden="1" x14ac:dyDescent="0.2">
      <c r="K68" s="204" t="s">
        <v>78</v>
      </c>
    </row>
    <row r="69" spans="11:11" hidden="1" x14ac:dyDescent="0.2">
      <c r="K69" s="204" t="s">
        <v>79</v>
      </c>
    </row>
    <row r="70" spans="11:11" hidden="1" x14ac:dyDescent="0.2">
      <c r="K70" s="204" t="s">
        <v>80</v>
      </c>
    </row>
    <row r="71" spans="11:11" hidden="1" x14ac:dyDescent="0.2">
      <c r="K71" s="204" t="s">
        <v>81</v>
      </c>
    </row>
    <row r="72" spans="11:11" hidden="1" x14ac:dyDescent="0.2">
      <c r="K72" s="204" t="s">
        <v>82</v>
      </c>
    </row>
    <row r="73" spans="11:11" hidden="1" x14ac:dyDescent="0.2">
      <c r="K73" s="204" t="s">
        <v>83</v>
      </c>
    </row>
    <row r="74" spans="11:11" hidden="1" x14ac:dyDescent="0.2">
      <c r="K74" s="204" t="s">
        <v>84</v>
      </c>
    </row>
    <row r="75" spans="11:11" hidden="1" x14ac:dyDescent="0.2">
      <c r="K75" s="204" t="s">
        <v>85</v>
      </c>
    </row>
    <row r="76" spans="11:11" hidden="1" x14ac:dyDescent="0.2">
      <c r="K76" s="204" t="s">
        <v>86</v>
      </c>
    </row>
    <row r="77" spans="11:11" hidden="1" x14ac:dyDescent="0.2">
      <c r="K77" s="204" t="s">
        <v>87</v>
      </c>
    </row>
    <row r="78" spans="11:11" hidden="1" x14ac:dyDescent="0.2">
      <c r="K78" s="204" t="s">
        <v>88</v>
      </c>
    </row>
    <row r="79" spans="11:11" hidden="1" x14ac:dyDescent="0.2">
      <c r="K79" s="204" t="s">
        <v>89</v>
      </c>
    </row>
    <row r="80" spans="11:11" hidden="1" x14ac:dyDescent="0.2">
      <c r="K80" s="204" t="s">
        <v>90</v>
      </c>
    </row>
    <row r="81" spans="11:11" hidden="1" x14ac:dyDescent="0.2">
      <c r="K81" s="204" t="s">
        <v>91</v>
      </c>
    </row>
    <row r="82" spans="11:11" hidden="1" x14ac:dyDescent="0.2">
      <c r="K82" s="204" t="s">
        <v>92</v>
      </c>
    </row>
    <row r="83" spans="11:11" hidden="1" x14ac:dyDescent="0.2">
      <c r="K83" s="204" t="s">
        <v>93</v>
      </c>
    </row>
    <row r="84" spans="11:11" hidden="1" x14ac:dyDescent="0.2">
      <c r="K84" s="204" t="s">
        <v>94</v>
      </c>
    </row>
    <row r="85" spans="11:11" hidden="1" x14ac:dyDescent="0.2">
      <c r="K85" s="204" t="s">
        <v>47</v>
      </c>
    </row>
  </sheetData>
  <dataValidations count="3">
    <dataValidation type="list" allowBlank="1" showInputMessage="1" showErrorMessage="1" sqref="I50 K15:K21" xr:uid="{D76BCEE2-29F5-4EBA-9356-105031B35AE0}">
      <formula1>$I$41:$I$50</formula1>
    </dataValidation>
    <dataValidation type="list" allowBlank="1" showInputMessage="1" showErrorMessage="1" sqref="B20:B21" xr:uid="{1D16F0EB-C53A-4BD8-8C4B-CCE1570D045E}">
      <formula1>$K$29:$K$40</formula1>
    </dataValidation>
    <dataValidation type="list" allowBlank="1" showInputMessage="1" showErrorMessage="1" sqref="B16:B19" xr:uid="{E85CC861-4947-4437-8270-261B8DDBAD8B}">
      <formula1>$K$29:$K$85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904DE-1D5B-4434-B9FB-B2858F49CC7C}">
  <dimension ref="A1:K85"/>
  <sheetViews>
    <sheetView workbookViewId="0">
      <selection sqref="A1:XFD1048576"/>
    </sheetView>
  </sheetViews>
  <sheetFormatPr baseColWidth="10" defaultColWidth="9.1640625" defaultRowHeight="16" x14ac:dyDescent="0.2"/>
  <cols>
    <col min="1" max="1" width="5.1640625" style="204" customWidth="1"/>
    <col min="2" max="2" width="22.5" style="204" customWidth="1"/>
    <col min="3" max="3" width="6.1640625" style="204" customWidth="1"/>
    <col min="4" max="4" width="12.5" style="204" bestFit="1" customWidth="1"/>
    <col min="5" max="5" width="9.83203125" style="204" customWidth="1"/>
    <col min="6" max="6" width="9.33203125" style="204" bestFit="1" customWidth="1"/>
    <col min="7" max="7" width="8.6640625" style="204" customWidth="1"/>
    <col min="8" max="8" width="9.5" style="204" bestFit="1" customWidth="1"/>
    <col min="9" max="9" width="17.83203125" style="204" bestFit="1" customWidth="1"/>
    <col min="10" max="10" width="10.33203125" style="204" bestFit="1" customWidth="1"/>
    <col min="11" max="11" width="75" style="204" bestFit="1" customWidth="1"/>
    <col min="12" max="16384" width="9.1640625" style="204"/>
  </cols>
  <sheetData>
    <row r="1" spans="1:11" x14ac:dyDescent="0.2">
      <c r="A1" s="204" t="s">
        <v>0</v>
      </c>
      <c r="I1" s="219"/>
    </row>
    <row r="2" spans="1:11" x14ac:dyDescent="0.2">
      <c r="J2" s="220"/>
    </row>
    <row r="3" spans="1:11" x14ac:dyDescent="0.2">
      <c r="A3" s="219" t="s">
        <v>1</v>
      </c>
    </row>
    <row r="4" spans="1:11" x14ac:dyDescent="0.2">
      <c r="A4" s="219"/>
      <c r="I4" s="220" t="s">
        <v>2</v>
      </c>
      <c r="J4" s="221">
        <v>45958</v>
      </c>
    </row>
    <row r="5" spans="1:11" x14ac:dyDescent="0.2">
      <c r="J5" s="204" t="s">
        <v>3</v>
      </c>
    </row>
    <row r="6" spans="1:11" ht="34" x14ac:dyDescent="0.2">
      <c r="A6" s="11" t="s">
        <v>4</v>
      </c>
      <c r="B6" s="11" t="s">
        <v>5</v>
      </c>
      <c r="C6" s="11" t="s">
        <v>6</v>
      </c>
      <c r="D6" s="11" t="s">
        <v>7</v>
      </c>
      <c r="E6" s="11" t="s">
        <v>8</v>
      </c>
      <c r="F6" s="11" t="s">
        <v>9</v>
      </c>
      <c r="G6" s="222" t="s">
        <v>10</v>
      </c>
      <c r="H6" s="222" t="s">
        <v>11</v>
      </c>
      <c r="I6" s="222" t="s">
        <v>12</v>
      </c>
      <c r="J6" s="223"/>
      <c r="K6" s="11" t="s">
        <v>13</v>
      </c>
    </row>
    <row r="7" spans="1:11" ht="34" x14ac:dyDescent="0.2">
      <c r="A7" s="222"/>
      <c r="B7" s="224"/>
      <c r="C7" s="11"/>
      <c r="D7" s="11" t="s">
        <v>14</v>
      </c>
      <c r="E7" s="11" t="s">
        <v>15</v>
      </c>
      <c r="F7" s="225" t="s">
        <v>16</v>
      </c>
      <c r="G7" s="225" t="s">
        <v>15</v>
      </c>
      <c r="H7" s="225" t="s">
        <v>17</v>
      </c>
      <c r="I7" s="11" t="s">
        <v>18</v>
      </c>
      <c r="J7" s="225" t="s">
        <v>19</v>
      </c>
      <c r="K7" s="225"/>
    </row>
    <row r="8" spans="1:11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2">
      <c r="A9" s="186">
        <v>1</v>
      </c>
      <c r="B9" s="187" t="s">
        <v>241</v>
      </c>
      <c r="C9" s="161">
        <v>15</v>
      </c>
      <c r="D9" s="14">
        <v>2.85</v>
      </c>
      <c r="E9" s="163">
        <v>1394</v>
      </c>
      <c r="F9" s="162">
        <v>21</v>
      </c>
      <c r="G9" s="15">
        <f t="shared" ref="G9:G12" si="0">E9*F9</f>
        <v>29274</v>
      </c>
      <c r="H9" s="16">
        <f>F9*C9</f>
        <v>315</v>
      </c>
      <c r="I9" s="179" t="s">
        <v>20</v>
      </c>
      <c r="J9" s="188">
        <v>2.0833333333333332E-2</v>
      </c>
      <c r="K9" s="202" t="s">
        <v>239</v>
      </c>
    </row>
    <row r="10" spans="1:11" ht="17" x14ac:dyDescent="0.2">
      <c r="A10" s="190">
        <v>2</v>
      </c>
      <c r="B10" s="187" t="s">
        <v>241</v>
      </c>
      <c r="C10" s="161">
        <v>16</v>
      </c>
      <c r="D10" s="14">
        <v>2.85</v>
      </c>
      <c r="E10" s="163">
        <v>1394</v>
      </c>
      <c r="F10" s="162">
        <v>33.5</v>
      </c>
      <c r="G10" s="15">
        <f t="shared" si="0"/>
        <v>46699</v>
      </c>
      <c r="H10" s="16">
        <f t="shared" ref="H10:H12" si="1">F10*C10</f>
        <v>536</v>
      </c>
      <c r="I10" s="179" t="s">
        <v>44</v>
      </c>
      <c r="J10" s="188">
        <v>1.3888888888888888E-2</v>
      </c>
      <c r="K10" s="189" t="s">
        <v>44</v>
      </c>
    </row>
    <row r="11" spans="1:11" ht="17" x14ac:dyDescent="0.2">
      <c r="A11" s="186">
        <v>3</v>
      </c>
      <c r="B11" s="187" t="s">
        <v>241</v>
      </c>
      <c r="C11" s="161">
        <v>17</v>
      </c>
      <c r="D11" s="14">
        <v>2.85</v>
      </c>
      <c r="E11" s="163">
        <v>1360</v>
      </c>
      <c r="F11" s="175">
        <v>26.9</v>
      </c>
      <c r="G11" s="15">
        <f t="shared" si="0"/>
        <v>36584</v>
      </c>
      <c r="H11" s="16">
        <f t="shared" si="1"/>
        <v>457.29999999999995</v>
      </c>
      <c r="I11" s="179"/>
      <c r="J11" s="188"/>
      <c r="K11" s="189"/>
    </row>
    <row r="12" spans="1:11" ht="19.25" customHeight="1" x14ac:dyDescent="0.2">
      <c r="A12" s="190">
        <v>4</v>
      </c>
      <c r="B12" s="187" t="s">
        <v>253</v>
      </c>
      <c r="C12" s="176">
        <v>17</v>
      </c>
      <c r="D12" s="14">
        <v>2.85</v>
      </c>
      <c r="E12" s="177">
        <v>1360</v>
      </c>
      <c r="F12" s="178">
        <v>7.6</v>
      </c>
      <c r="G12" s="15">
        <f t="shared" si="0"/>
        <v>10336</v>
      </c>
      <c r="H12" s="16">
        <f t="shared" si="1"/>
        <v>129.19999999999999</v>
      </c>
      <c r="I12" s="195"/>
      <c r="J12" s="194"/>
      <c r="K12" s="189"/>
    </row>
    <row r="13" spans="1:11" x14ac:dyDescent="0.2">
      <c r="A13" s="191"/>
      <c r="B13" s="187"/>
      <c r="C13" s="176"/>
      <c r="D13" s="14"/>
      <c r="E13" s="177"/>
      <c r="F13" s="178"/>
      <c r="G13" s="15"/>
      <c r="H13" s="16"/>
      <c r="I13" s="179"/>
      <c r="J13" s="188"/>
      <c r="K13" s="189"/>
    </row>
    <row r="14" spans="1:11" x14ac:dyDescent="0.2">
      <c r="A14" s="186"/>
      <c r="B14" s="187"/>
      <c r="C14" s="180"/>
      <c r="D14" s="14"/>
      <c r="E14" s="181"/>
      <c r="F14" s="182"/>
      <c r="G14" s="15"/>
      <c r="H14" s="16"/>
      <c r="I14" s="195"/>
      <c r="J14" s="188"/>
      <c r="K14" s="189"/>
    </row>
    <row r="15" spans="1:11" x14ac:dyDescent="0.2">
      <c r="A15" s="190"/>
      <c r="B15" s="187"/>
      <c r="C15" s="192"/>
      <c r="D15" s="14"/>
      <c r="E15" s="181"/>
      <c r="F15" s="193"/>
      <c r="G15" s="15"/>
      <c r="H15" s="16"/>
      <c r="I15" s="19"/>
      <c r="J15" s="18"/>
      <c r="K15" s="17"/>
    </row>
    <row r="16" spans="1:11" x14ac:dyDescent="0.2">
      <c r="A16" s="197"/>
      <c r="B16" s="198"/>
      <c r="C16" s="161"/>
      <c r="D16" s="14"/>
      <c r="E16" s="177"/>
      <c r="F16" s="161"/>
      <c r="G16" s="15"/>
      <c r="H16" s="16"/>
      <c r="I16" s="19"/>
      <c r="J16" s="18"/>
      <c r="K16" s="20"/>
    </row>
    <row r="17" spans="1:11" x14ac:dyDescent="0.2">
      <c r="A17" s="197"/>
      <c r="B17" s="198"/>
      <c r="C17" s="161"/>
      <c r="D17" s="14"/>
      <c r="E17" s="181"/>
      <c r="F17" s="161"/>
      <c r="G17" s="15"/>
      <c r="H17" s="16"/>
      <c r="I17" s="19"/>
      <c r="J17" s="18"/>
      <c r="K17" s="20"/>
    </row>
    <row r="18" spans="1:11" x14ac:dyDescent="0.2">
      <c r="A18" s="197"/>
      <c r="B18" s="198"/>
      <c r="C18" s="161"/>
      <c r="D18" s="14"/>
      <c r="E18" s="181"/>
      <c r="F18" s="161"/>
      <c r="G18" s="15"/>
      <c r="H18" s="16"/>
      <c r="I18" s="10"/>
      <c r="J18" s="13"/>
      <c r="K18" s="10"/>
    </row>
    <row r="19" spans="1:11" x14ac:dyDescent="0.2">
      <c r="A19" s="11"/>
      <c r="B19" s="10"/>
      <c r="C19" s="12"/>
      <c r="D19" s="200"/>
      <c r="E19" s="11"/>
      <c r="F19" s="12"/>
      <c r="G19" s="201"/>
      <c r="H19" s="12"/>
      <c r="I19" s="10"/>
      <c r="J19" s="13"/>
      <c r="K19" s="10"/>
    </row>
    <row r="20" spans="1:11" x14ac:dyDescent="0.2">
      <c r="A20" s="11"/>
      <c r="B20" s="10"/>
      <c r="C20" s="12"/>
      <c r="D20" s="200"/>
      <c r="E20" s="11"/>
      <c r="F20" s="12"/>
      <c r="G20" s="201"/>
      <c r="H20" s="12"/>
      <c r="I20" s="10"/>
      <c r="J20" s="13"/>
      <c r="K20" s="10"/>
    </row>
    <row r="21" spans="1:11" x14ac:dyDescent="0.2">
      <c r="A21" s="11"/>
      <c r="B21" s="10"/>
      <c r="C21" s="205"/>
      <c r="D21" s="11"/>
      <c r="E21" s="13"/>
      <c r="F21" s="205"/>
      <c r="G21" s="201"/>
      <c r="H21" s="12"/>
      <c r="I21" s="10"/>
      <c r="J21" s="13"/>
      <c r="K21" s="10"/>
    </row>
    <row r="22" spans="1:11" x14ac:dyDescent="0.2">
      <c r="A22" s="206"/>
      <c r="B22" s="207"/>
      <c r="C22" s="208"/>
      <c r="D22" s="208"/>
      <c r="E22" s="226" t="s">
        <v>21</v>
      </c>
      <c r="F22" s="227">
        <f>SUM(F9:F21)</f>
        <v>89</v>
      </c>
      <c r="G22" s="228">
        <f>SUM(G9:G21)/F22</f>
        <v>1380.8202247191011</v>
      </c>
      <c r="H22" s="229">
        <f>SUM(H9:H21)/F22</f>
        <v>16.151685393258425</v>
      </c>
      <c r="I22" s="209" t="s">
        <v>22</v>
      </c>
      <c r="J22" s="210">
        <v>3.4722222222222224E-2</v>
      </c>
      <c r="K22" s="207"/>
    </row>
    <row r="23" spans="1:11" x14ac:dyDescent="0.2">
      <c r="E23" s="211"/>
      <c r="F23" s="212"/>
      <c r="I23" s="230" t="s">
        <v>23</v>
      </c>
      <c r="J23" s="231">
        <v>0.83</v>
      </c>
    </row>
    <row r="24" spans="1:11" x14ac:dyDescent="0.2">
      <c r="I24" s="212"/>
      <c r="J24" s="213"/>
    </row>
    <row r="25" spans="1:11" x14ac:dyDescent="0.2">
      <c r="A25" s="10" t="s">
        <v>24</v>
      </c>
      <c r="B25" s="10"/>
      <c r="C25" s="10"/>
      <c r="D25" s="205"/>
      <c r="H25" s="220" t="s">
        <v>25</v>
      </c>
      <c r="I25" s="220"/>
      <c r="J25" s="211">
        <f>F22</f>
        <v>89</v>
      </c>
      <c r="K25" s="204" t="s">
        <v>16</v>
      </c>
    </row>
    <row r="26" spans="1:11" x14ac:dyDescent="0.2">
      <c r="A26" s="10" t="s">
        <v>26</v>
      </c>
      <c r="B26" s="10"/>
      <c r="C26" s="10"/>
      <c r="D26" s="205"/>
      <c r="H26" s="220" t="s">
        <v>27</v>
      </c>
      <c r="I26" s="220"/>
      <c r="J26" s="211">
        <f>100+96+78+70+83+72+85+80+69+83+83+96+82+82+80+75+80+82+95+94+83+84+70+90+90+85+82+89</f>
        <v>2338</v>
      </c>
      <c r="K26" s="204" t="s">
        <v>16</v>
      </c>
    </row>
    <row r="27" spans="1:11" ht="17" thickBot="1" x14ac:dyDescent="0.25">
      <c r="A27" s="214"/>
      <c r="B27" s="214"/>
      <c r="C27" s="214"/>
      <c r="D27" s="214"/>
      <c r="E27" s="215"/>
      <c r="F27" s="215"/>
      <c r="G27" s="214"/>
      <c r="H27" s="232" t="s">
        <v>28</v>
      </c>
      <c r="I27" s="232"/>
      <c r="J27" s="216">
        <v>58.08</v>
      </c>
      <c r="K27" s="214" t="s">
        <v>29</v>
      </c>
    </row>
    <row r="28" spans="1:11" x14ac:dyDescent="0.2">
      <c r="J28" s="204" t="s">
        <v>3</v>
      </c>
    </row>
    <row r="29" spans="1:11" hidden="1" x14ac:dyDescent="0.2">
      <c r="K29" s="204" t="s">
        <v>30</v>
      </c>
    </row>
    <row r="30" spans="1:11" hidden="1" x14ac:dyDescent="0.2">
      <c r="K30" s="204" t="s">
        <v>31</v>
      </c>
    </row>
    <row r="31" spans="1:11" hidden="1" x14ac:dyDescent="0.2">
      <c r="K31" s="204" t="s">
        <v>32</v>
      </c>
    </row>
    <row r="32" spans="1:11" hidden="1" x14ac:dyDescent="0.2">
      <c r="K32" s="204" t="s">
        <v>33</v>
      </c>
    </row>
    <row r="33" spans="9:11" hidden="1" x14ac:dyDescent="0.2">
      <c r="K33" s="204" t="s">
        <v>34</v>
      </c>
    </row>
    <row r="34" spans="9:11" hidden="1" x14ac:dyDescent="0.2">
      <c r="K34" s="204" t="s">
        <v>35</v>
      </c>
    </row>
    <row r="35" spans="9:11" hidden="1" x14ac:dyDescent="0.2">
      <c r="K35" s="204" t="s">
        <v>36</v>
      </c>
    </row>
    <row r="36" spans="9:11" hidden="1" x14ac:dyDescent="0.2">
      <c r="K36" s="204" t="s">
        <v>37</v>
      </c>
    </row>
    <row r="37" spans="9:11" hidden="1" x14ac:dyDescent="0.2">
      <c r="K37" s="204" t="s">
        <v>38</v>
      </c>
    </row>
    <row r="38" spans="9:11" hidden="1" x14ac:dyDescent="0.2">
      <c r="K38" s="204" t="s">
        <v>39</v>
      </c>
    </row>
    <row r="39" spans="9:11" hidden="1" x14ac:dyDescent="0.2">
      <c r="K39" s="204" t="s">
        <v>40</v>
      </c>
    </row>
    <row r="40" spans="9:11" hidden="1" x14ac:dyDescent="0.2">
      <c r="K40" s="204" t="s">
        <v>41</v>
      </c>
    </row>
    <row r="41" spans="9:11" ht="34" hidden="1" x14ac:dyDescent="0.2">
      <c r="I41" s="217" t="s">
        <v>42</v>
      </c>
      <c r="K41" s="204" t="s">
        <v>43</v>
      </c>
    </row>
    <row r="42" spans="9:11" ht="17" hidden="1" x14ac:dyDescent="0.2">
      <c r="I42" s="217" t="s">
        <v>44</v>
      </c>
      <c r="K42" s="204" t="s">
        <v>45</v>
      </c>
    </row>
    <row r="43" spans="9:11" hidden="1" x14ac:dyDescent="0.2">
      <c r="I43" s="218" t="s">
        <v>46</v>
      </c>
      <c r="K43" s="204" t="s">
        <v>47</v>
      </c>
    </row>
    <row r="44" spans="9:11" hidden="1" x14ac:dyDescent="0.2">
      <c r="I44" s="204" t="s">
        <v>48</v>
      </c>
      <c r="K44" s="204" t="s">
        <v>49</v>
      </c>
    </row>
    <row r="45" spans="9:11" hidden="1" x14ac:dyDescent="0.2">
      <c r="I45" s="204" t="s">
        <v>50</v>
      </c>
      <c r="K45" s="204" t="s">
        <v>51</v>
      </c>
    </row>
    <row r="46" spans="9:11" hidden="1" x14ac:dyDescent="0.2">
      <c r="I46" s="204" t="s">
        <v>52</v>
      </c>
      <c r="K46" s="204" t="s">
        <v>53</v>
      </c>
    </row>
    <row r="47" spans="9:11" hidden="1" x14ac:dyDescent="0.2">
      <c r="I47" s="204" t="s">
        <v>54</v>
      </c>
      <c r="K47" s="204" t="s">
        <v>55</v>
      </c>
    </row>
    <row r="48" spans="9:11" hidden="1" x14ac:dyDescent="0.2">
      <c r="I48" s="204" t="s">
        <v>56</v>
      </c>
      <c r="K48" s="204" t="s">
        <v>57</v>
      </c>
    </row>
    <row r="49" spans="9:11" hidden="1" x14ac:dyDescent="0.2">
      <c r="I49" s="204" t="s">
        <v>58</v>
      </c>
      <c r="K49" s="204" t="s">
        <v>59</v>
      </c>
    </row>
    <row r="50" spans="9:11" hidden="1" x14ac:dyDescent="0.2">
      <c r="I50" s="204" t="s">
        <v>60</v>
      </c>
      <c r="K50" s="204" t="s">
        <v>61</v>
      </c>
    </row>
    <row r="51" spans="9:11" hidden="1" x14ac:dyDescent="0.2">
      <c r="K51" s="204" t="s">
        <v>62</v>
      </c>
    </row>
    <row r="52" spans="9:11" hidden="1" x14ac:dyDescent="0.2">
      <c r="K52" s="204" t="s">
        <v>63</v>
      </c>
    </row>
    <row r="53" spans="9:11" hidden="1" x14ac:dyDescent="0.2">
      <c r="K53" s="204" t="s">
        <v>64</v>
      </c>
    </row>
    <row r="54" spans="9:11" hidden="1" x14ac:dyDescent="0.2">
      <c r="K54" s="204" t="s">
        <v>65</v>
      </c>
    </row>
    <row r="55" spans="9:11" hidden="1" x14ac:dyDescent="0.2">
      <c r="K55" s="204" t="s">
        <v>66</v>
      </c>
    </row>
    <row r="56" spans="9:11" hidden="1" x14ac:dyDescent="0.2">
      <c r="K56" s="204" t="s">
        <v>67</v>
      </c>
    </row>
    <row r="57" spans="9:11" hidden="1" x14ac:dyDescent="0.2">
      <c r="K57" s="204" t="s">
        <v>68</v>
      </c>
    </row>
    <row r="58" spans="9:11" hidden="1" x14ac:dyDescent="0.2">
      <c r="K58" s="204" t="s">
        <v>69</v>
      </c>
    </row>
    <row r="59" spans="9:11" hidden="1" x14ac:dyDescent="0.2">
      <c r="K59" s="204" t="s">
        <v>70</v>
      </c>
    </row>
    <row r="60" spans="9:11" hidden="1" x14ac:dyDescent="0.2">
      <c r="K60" s="204" t="s">
        <v>71</v>
      </c>
    </row>
    <row r="61" spans="9:11" hidden="1" x14ac:dyDescent="0.2">
      <c r="K61" s="204" t="s">
        <v>72</v>
      </c>
    </row>
    <row r="62" spans="9:11" hidden="1" x14ac:dyDescent="0.2">
      <c r="K62" s="204" t="s">
        <v>73</v>
      </c>
    </row>
    <row r="63" spans="9:11" hidden="1" x14ac:dyDescent="0.2">
      <c r="K63" s="204" t="s">
        <v>67</v>
      </c>
    </row>
    <row r="64" spans="9:11" hidden="1" x14ac:dyDescent="0.2">
      <c r="K64" s="204" t="s">
        <v>74</v>
      </c>
    </row>
    <row r="65" spans="11:11" hidden="1" x14ac:dyDescent="0.2">
      <c r="K65" s="204" t="s">
        <v>75</v>
      </c>
    </row>
    <row r="66" spans="11:11" hidden="1" x14ac:dyDescent="0.2">
      <c r="K66" s="204" t="s">
        <v>76</v>
      </c>
    </row>
    <row r="67" spans="11:11" hidden="1" x14ac:dyDescent="0.2">
      <c r="K67" s="204" t="s">
        <v>77</v>
      </c>
    </row>
    <row r="68" spans="11:11" hidden="1" x14ac:dyDescent="0.2">
      <c r="K68" s="204" t="s">
        <v>78</v>
      </c>
    </row>
    <row r="69" spans="11:11" hidden="1" x14ac:dyDescent="0.2">
      <c r="K69" s="204" t="s">
        <v>79</v>
      </c>
    </row>
    <row r="70" spans="11:11" hidden="1" x14ac:dyDescent="0.2">
      <c r="K70" s="204" t="s">
        <v>80</v>
      </c>
    </row>
    <row r="71" spans="11:11" hidden="1" x14ac:dyDescent="0.2">
      <c r="K71" s="204" t="s">
        <v>81</v>
      </c>
    </row>
    <row r="72" spans="11:11" hidden="1" x14ac:dyDescent="0.2">
      <c r="K72" s="204" t="s">
        <v>82</v>
      </c>
    </row>
    <row r="73" spans="11:11" hidden="1" x14ac:dyDescent="0.2">
      <c r="K73" s="204" t="s">
        <v>83</v>
      </c>
    </row>
    <row r="74" spans="11:11" hidden="1" x14ac:dyDescent="0.2">
      <c r="K74" s="204" t="s">
        <v>84</v>
      </c>
    </row>
    <row r="75" spans="11:11" hidden="1" x14ac:dyDescent="0.2">
      <c r="K75" s="204" t="s">
        <v>85</v>
      </c>
    </row>
    <row r="76" spans="11:11" hidden="1" x14ac:dyDescent="0.2">
      <c r="K76" s="204" t="s">
        <v>86</v>
      </c>
    </row>
    <row r="77" spans="11:11" hidden="1" x14ac:dyDescent="0.2">
      <c r="K77" s="204" t="s">
        <v>87</v>
      </c>
    </row>
    <row r="78" spans="11:11" hidden="1" x14ac:dyDescent="0.2">
      <c r="K78" s="204" t="s">
        <v>88</v>
      </c>
    </row>
    <row r="79" spans="11:11" hidden="1" x14ac:dyDescent="0.2">
      <c r="K79" s="204" t="s">
        <v>89</v>
      </c>
    </row>
    <row r="80" spans="11:11" hidden="1" x14ac:dyDescent="0.2">
      <c r="K80" s="204" t="s">
        <v>90</v>
      </c>
    </row>
    <row r="81" spans="11:11" hidden="1" x14ac:dyDescent="0.2">
      <c r="K81" s="204" t="s">
        <v>91</v>
      </c>
    </row>
    <row r="82" spans="11:11" hidden="1" x14ac:dyDescent="0.2">
      <c r="K82" s="204" t="s">
        <v>92</v>
      </c>
    </row>
    <row r="83" spans="11:11" hidden="1" x14ac:dyDescent="0.2">
      <c r="K83" s="204" t="s">
        <v>93</v>
      </c>
    </row>
    <row r="84" spans="11:11" hidden="1" x14ac:dyDescent="0.2">
      <c r="K84" s="204" t="s">
        <v>94</v>
      </c>
    </row>
    <row r="85" spans="11:11" hidden="1" x14ac:dyDescent="0.2">
      <c r="K85" s="204" t="s">
        <v>47</v>
      </c>
    </row>
  </sheetData>
  <dataValidations count="3">
    <dataValidation type="list" allowBlank="1" showInputMessage="1" showErrorMessage="1" sqref="B16:B19" xr:uid="{293F458A-0B3A-420F-9555-58951405A117}">
      <formula1>$K$29:$K$85</formula1>
    </dataValidation>
    <dataValidation type="list" allowBlank="1" showInputMessage="1" showErrorMessage="1" sqref="B20:B21" xr:uid="{974CF227-75DB-496D-8220-5EE3A51921C1}">
      <formula1>$K$29:$K$40</formula1>
    </dataValidation>
    <dataValidation type="list" allowBlank="1" showInputMessage="1" showErrorMessage="1" sqref="I50 K15:K21" xr:uid="{F294B3F3-04CD-4152-9EC7-4F9A78D3B57F}">
      <formula1>$I$41:$I$50</formula1>
    </dataValidation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3C0CF-6C52-457D-A7B3-3214B3BA4E05}">
  <dimension ref="A1:K85"/>
  <sheetViews>
    <sheetView workbookViewId="0">
      <selection sqref="A1:XFD1048576"/>
    </sheetView>
  </sheetViews>
  <sheetFormatPr baseColWidth="10" defaultColWidth="9.1640625" defaultRowHeight="16" x14ac:dyDescent="0.2"/>
  <cols>
    <col min="1" max="1" width="5.1640625" style="204" customWidth="1"/>
    <col min="2" max="2" width="22.5" style="204" customWidth="1"/>
    <col min="3" max="3" width="6.1640625" style="204" customWidth="1"/>
    <col min="4" max="4" width="12.5" style="204" bestFit="1" customWidth="1"/>
    <col min="5" max="5" width="9.83203125" style="204" customWidth="1"/>
    <col min="6" max="6" width="9.33203125" style="204" bestFit="1" customWidth="1"/>
    <col min="7" max="7" width="8.6640625" style="204" customWidth="1"/>
    <col min="8" max="8" width="9.5" style="204" bestFit="1" customWidth="1"/>
    <col min="9" max="9" width="17.83203125" style="204" bestFit="1" customWidth="1"/>
    <col min="10" max="10" width="10.33203125" style="204" bestFit="1" customWidth="1"/>
    <col min="11" max="11" width="75" style="204" bestFit="1" customWidth="1"/>
    <col min="12" max="16384" width="9.1640625" style="204"/>
  </cols>
  <sheetData>
    <row r="1" spans="1:11" x14ac:dyDescent="0.2">
      <c r="A1" s="204" t="s">
        <v>0</v>
      </c>
      <c r="I1" s="219"/>
    </row>
    <row r="2" spans="1:11" x14ac:dyDescent="0.2">
      <c r="J2" s="220"/>
    </row>
    <row r="3" spans="1:11" x14ac:dyDescent="0.2">
      <c r="A3" s="219" t="s">
        <v>1</v>
      </c>
    </row>
    <row r="4" spans="1:11" x14ac:dyDescent="0.2">
      <c r="A4" s="219"/>
      <c r="I4" s="220" t="s">
        <v>2</v>
      </c>
      <c r="J4" s="221">
        <v>45959</v>
      </c>
    </row>
    <row r="5" spans="1:11" x14ac:dyDescent="0.2">
      <c r="J5" s="204" t="s">
        <v>3</v>
      </c>
    </row>
    <row r="6" spans="1:11" ht="34" x14ac:dyDescent="0.2">
      <c r="A6" s="11" t="s">
        <v>4</v>
      </c>
      <c r="B6" s="11" t="s">
        <v>5</v>
      </c>
      <c r="C6" s="11" t="s">
        <v>6</v>
      </c>
      <c r="D6" s="11" t="s">
        <v>7</v>
      </c>
      <c r="E6" s="11" t="s">
        <v>8</v>
      </c>
      <c r="F6" s="11" t="s">
        <v>9</v>
      </c>
      <c r="G6" s="222" t="s">
        <v>10</v>
      </c>
      <c r="H6" s="222" t="s">
        <v>11</v>
      </c>
      <c r="I6" s="222" t="s">
        <v>12</v>
      </c>
      <c r="J6" s="223"/>
      <c r="K6" s="11" t="s">
        <v>13</v>
      </c>
    </row>
    <row r="7" spans="1:11" ht="34" x14ac:dyDescent="0.2">
      <c r="A7" s="222"/>
      <c r="B7" s="224"/>
      <c r="C7" s="11"/>
      <c r="D7" s="11" t="s">
        <v>14</v>
      </c>
      <c r="E7" s="11" t="s">
        <v>15</v>
      </c>
      <c r="F7" s="225" t="s">
        <v>16</v>
      </c>
      <c r="G7" s="225" t="s">
        <v>15</v>
      </c>
      <c r="H7" s="225" t="s">
        <v>17</v>
      </c>
      <c r="I7" s="11" t="s">
        <v>18</v>
      </c>
      <c r="J7" s="225" t="s">
        <v>19</v>
      </c>
      <c r="K7" s="225"/>
    </row>
    <row r="8" spans="1:11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2">
      <c r="A9" s="186">
        <v>1</v>
      </c>
      <c r="B9" s="187" t="s">
        <v>241</v>
      </c>
      <c r="C9" s="161">
        <v>15</v>
      </c>
      <c r="D9" s="14">
        <v>2.85</v>
      </c>
      <c r="E9" s="163">
        <v>1370</v>
      </c>
      <c r="F9" s="162">
        <v>21.8</v>
      </c>
      <c r="G9" s="15">
        <f t="shared" ref="G9:G14" si="0">E9*F9</f>
        <v>29866</v>
      </c>
      <c r="H9" s="16">
        <f>F9*C9</f>
        <v>327</v>
      </c>
      <c r="I9" s="179" t="s">
        <v>20</v>
      </c>
      <c r="J9" s="188">
        <v>2.0833333333333332E-2</v>
      </c>
      <c r="K9" s="202" t="s">
        <v>239</v>
      </c>
    </row>
    <row r="10" spans="1:11" ht="17" x14ac:dyDescent="0.2">
      <c r="A10" s="190">
        <v>2</v>
      </c>
      <c r="B10" s="187" t="s">
        <v>241</v>
      </c>
      <c r="C10" s="161">
        <v>16</v>
      </c>
      <c r="D10" s="14">
        <v>2.85</v>
      </c>
      <c r="E10" s="163">
        <v>1370</v>
      </c>
      <c r="F10" s="162">
        <v>3.8</v>
      </c>
      <c r="G10" s="15">
        <f t="shared" si="0"/>
        <v>5206</v>
      </c>
      <c r="H10" s="16">
        <f t="shared" ref="H10:H14" si="1">F10*C10</f>
        <v>60.8</v>
      </c>
      <c r="I10" s="179" t="s">
        <v>44</v>
      </c>
      <c r="J10" s="188">
        <v>2.4305555555555556E-2</v>
      </c>
      <c r="K10" s="189" t="s">
        <v>44</v>
      </c>
    </row>
    <row r="11" spans="1:11" ht="17" x14ac:dyDescent="0.2">
      <c r="A11" s="186">
        <v>3</v>
      </c>
      <c r="B11" s="187" t="s">
        <v>241</v>
      </c>
      <c r="C11" s="161">
        <v>17</v>
      </c>
      <c r="D11" s="14">
        <v>2.85</v>
      </c>
      <c r="E11" s="163">
        <v>1370</v>
      </c>
      <c r="F11" s="175">
        <v>1.9</v>
      </c>
      <c r="G11" s="15">
        <f t="shared" si="0"/>
        <v>2603</v>
      </c>
      <c r="H11" s="16">
        <f t="shared" si="1"/>
        <v>32.299999999999997</v>
      </c>
      <c r="I11" s="179"/>
      <c r="J11" s="188"/>
      <c r="K11" s="189"/>
    </row>
    <row r="12" spans="1:11" ht="19.25" customHeight="1" x14ac:dyDescent="0.2">
      <c r="A12" s="190">
        <v>4</v>
      </c>
      <c r="B12" s="187" t="s">
        <v>241</v>
      </c>
      <c r="C12" s="176">
        <v>18</v>
      </c>
      <c r="D12" s="14">
        <v>2.85</v>
      </c>
      <c r="E12" s="177">
        <v>1315</v>
      </c>
      <c r="F12" s="178">
        <v>5.7</v>
      </c>
      <c r="G12" s="15">
        <f t="shared" si="0"/>
        <v>7495.5</v>
      </c>
      <c r="H12" s="16">
        <f t="shared" si="1"/>
        <v>102.60000000000001</v>
      </c>
      <c r="I12" s="195"/>
      <c r="J12" s="194"/>
      <c r="K12" s="189"/>
    </row>
    <row r="13" spans="1:11" ht="17" x14ac:dyDescent="0.2">
      <c r="A13" s="191">
        <v>5</v>
      </c>
      <c r="B13" s="187" t="s">
        <v>236</v>
      </c>
      <c r="C13" s="176">
        <v>18</v>
      </c>
      <c r="D13" s="14">
        <v>2.85</v>
      </c>
      <c r="E13" s="177">
        <v>1318</v>
      </c>
      <c r="F13" s="178">
        <v>44.6</v>
      </c>
      <c r="G13" s="15">
        <f t="shared" si="0"/>
        <v>58782.8</v>
      </c>
      <c r="H13" s="16">
        <f>F13*C13</f>
        <v>802.80000000000007</v>
      </c>
      <c r="I13" s="179"/>
      <c r="J13" s="188"/>
      <c r="K13" s="189"/>
    </row>
    <row r="14" spans="1:11" ht="17" x14ac:dyDescent="0.2">
      <c r="A14" s="186">
        <v>6</v>
      </c>
      <c r="B14" s="187" t="s">
        <v>255</v>
      </c>
      <c r="C14" s="180">
        <v>17</v>
      </c>
      <c r="D14" s="14">
        <v>2.85</v>
      </c>
      <c r="E14" s="181">
        <v>1369</v>
      </c>
      <c r="F14" s="182">
        <v>13.2</v>
      </c>
      <c r="G14" s="15">
        <f t="shared" si="0"/>
        <v>18070.8</v>
      </c>
      <c r="H14" s="16">
        <f t="shared" si="1"/>
        <v>224.39999999999998</v>
      </c>
      <c r="I14" s="195"/>
      <c r="J14" s="188"/>
      <c r="K14" s="189"/>
    </row>
    <row r="15" spans="1:11" x14ac:dyDescent="0.2">
      <c r="A15" s="190"/>
      <c r="B15" s="187"/>
      <c r="C15" s="192"/>
      <c r="D15" s="14"/>
      <c r="E15" s="181"/>
      <c r="F15" s="193"/>
      <c r="G15" s="15"/>
      <c r="H15" s="16"/>
      <c r="I15" s="19"/>
      <c r="J15" s="18"/>
      <c r="K15" s="17"/>
    </row>
    <row r="16" spans="1:11" x14ac:dyDescent="0.2">
      <c r="A16" s="197"/>
      <c r="B16" s="198"/>
      <c r="C16" s="161"/>
      <c r="D16" s="14"/>
      <c r="E16" s="177"/>
      <c r="F16" s="161"/>
      <c r="G16" s="15"/>
      <c r="H16" s="16"/>
      <c r="I16" s="19"/>
      <c r="J16" s="18"/>
      <c r="K16" s="20"/>
    </row>
    <row r="17" spans="1:11" x14ac:dyDescent="0.2">
      <c r="A17" s="197"/>
      <c r="B17" s="198"/>
      <c r="C17" s="161"/>
      <c r="D17" s="14"/>
      <c r="E17" s="181"/>
      <c r="F17" s="161"/>
      <c r="G17" s="15"/>
      <c r="H17" s="16"/>
      <c r="I17" s="19"/>
      <c r="J17" s="18"/>
      <c r="K17" s="20"/>
    </row>
    <row r="18" spans="1:11" x14ac:dyDescent="0.2">
      <c r="A18" s="197"/>
      <c r="B18" s="198"/>
      <c r="C18" s="161"/>
      <c r="D18" s="14"/>
      <c r="E18" s="181"/>
      <c r="F18" s="161"/>
      <c r="G18" s="15"/>
      <c r="H18" s="16"/>
      <c r="I18" s="10"/>
      <c r="J18" s="13"/>
      <c r="K18" s="10"/>
    </row>
    <row r="19" spans="1:11" x14ac:dyDescent="0.2">
      <c r="A19" s="11"/>
      <c r="B19" s="10"/>
      <c r="C19" s="12"/>
      <c r="D19" s="200"/>
      <c r="E19" s="11"/>
      <c r="F19" s="12"/>
      <c r="G19" s="201"/>
      <c r="H19" s="12"/>
      <c r="I19" s="10"/>
      <c r="J19" s="13"/>
      <c r="K19" s="10"/>
    </row>
    <row r="20" spans="1:11" x14ac:dyDescent="0.2">
      <c r="A20" s="11"/>
      <c r="B20" s="10"/>
      <c r="C20" s="12"/>
      <c r="D20" s="200"/>
      <c r="E20" s="11"/>
      <c r="F20" s="12"/>
      <c r="G20" s="201"/>
      <c r="H20" s="12"/>
      <c r="I20" s="10"/>
      <c r="J20" s="13"/>
      <c r="K20" s="10"/>
    </row>
    <row r="21" spans="1:11" x14ac:dyDescent="0.2">
      <c r="A21" s="11"/>
      <c r="B21" s="10"/>
      <c r="C21" s="205"/>
      <c r="D21" s="11"/>
      <c r="E21" s="13"/>
      <c r="F21" s="205"/>
      <c r="G21" s="201"/>
      <c r="H21" s="12"/>
      <c r="I21" s="10"/>
      <c r="J21" s="13"/>
      <c r="K21" s="10"/>
    </row>
    <row r="22" spans="1:11" x14ac:dyDescent="0.2">
      <c r="A22" s="206"/>
      <c r="B22" s="207"/>
      <c r="C22" s="208"/>
      <c r="D22" s="208"/>
      <c r="E22" s="226" t="s">
        <v>21</v>
      </c>
      <c r="F22" s="227">
        <f>SUM(F9:F21)</f>
        <v>91.000000000000014</v>
      </c>
      <c r="G22" s="228">
        <f>SUM(G9:G21)/F22</f>
        <v>1340.9241758241758</v>
      </c>
      <c r="H22" s="229">
        <f>SUM(H9:H21)/F22</f>
        <v>17.03186813186813</v>
      </c>
      <c r="I22" s="209" t="s">
        <v>22</v>
      </c>
      <c r="J22" s="210">
        <v>4.5138888888888888E-2</v>
      </c>
      <c r="K22" s="207"/>
    </row>
    <row r="23" spans="1:11" x14ac:dyDescent="0.2">
      <c r="E23" s="211"/>
      <c r="F23" s="212"/>
      <c r="I23" s="230" t="s">
        <v>23</v>
      </c>
      <c r="J23" s="231">
        <v>1.08</v>
      </c>
    </row>
    <row r="24" spans="1:11" x14ac:dyDescent="0.2">
      <c r="I24" s="212"/>
      <c r="J24" s="213"/>
    </row>
    <row r="25" spans="1:11" x14ac:dyDescent="0.2">
      <c r="A25" s="10" t="s">
        <v>24</v>
      </c>
      <c r="B25" s="10"/>
      <c r="C25" s="10"/>
      <c r="D25" s="205"/>
      <c r="H25" s="220" t="s">
        <v>25</v>
      </c>
      <c r="I25" s="220"/>
      <c r="J25" s="211">
        <f>F22</f>
        <v>91.000000000000014</v>
      </c>
      <c r="K25" s="204" t="s">
        <v>16</v>
      </c>
    </row>
    <row r="26" spans="1:11" x14ac:dyDescent="0.2">
      <c r="A26" s="10" t="s">
        <v>26</v>
      </c>
      <c r="B26" s="10"/>
      <c r="C26" s="10"/>
      <c r="D26" s="205"/>
      <c r="H26" s="220" t="s">
        <v>27</v>
      </c>
      <c r="I26" s="220"/>
      <c r="J26" s="211">
        <f>100+96+78+70+83+72+85+80+69+83+83+96+82+82+80+75+80+82+95+94+83+84+70+90+90+85+82+89+91</f>
        <v>2429</v>
      </c>
      <c r="K26" s="204" t="s">
        <v>16</v>
      </c>
    </row>
    <row r="27" spans="1:11" ht="17" thickBot="1" x14ac:dyDescent="0.25">
      <c r="A27" s="214"/>
      <c r="B27" s="214"/>
      <c r="C27" s="214"/>
      <c r="D27" s="214"/>
      <c r="E27" s="215"/>
      <c r="F27" s="215"/>
      <c r="G27" s="214"/>
      <c r="H27" s="232" t="s">
        <v>28</v>
      </c>
      <c r="I27" s="232"/>
      <c r="J27" s="216">
        <v>59.17</v>
      </c>
      <c r="K27" s="214" t="s">
        <v>29</v>
      </c>
    </row>
    <row r="28" spans="1:11" x14ac:dyDescent="0.2">
      <c r="J28" s="204" t="s">
        <v>3</v>
      </c>
    </row>
    <row r="29" spans="1:11" hidden="1" x14ac:dyDescent="0.2">
      <c r="K29" s="204" t="s">
        <v>30</v>
      </c>
    </row>
    <row r="30" spans="1:11" hidden="1" x14ac:dyDescent="0.2">
      <c r="K30" s="204" t="s">
        <v>31</v>
      </c>
    </row>
    <row r="31" spans="1:11" hidden="1" x14ac:dyDescent="0.2">
      <c r="K31" s="204" t="s">
        <v>32</v>
      </c>
    </row>
    <row r="32" spans="1:11" hidden="1" x14ac:dyDescent="0.2">
      <c r="K32" s="204" t="s">
        <v>33</v>
      </c>
    </row>
    <row r="33" spans="9:11" hidden="1" x14ac:dyDescent="0.2">
      <c r="K33" s="204" t="s">
        <v>34</v>
      </c>
    </row>
    <row r="34" spans="9:11" hidden="1" x14ac:dyDescent="0.2">
      <c r="K34" s="204" t="s">
        <v>35</v>
      </c>
    </row>
    <row r="35" spans="9:11" hidden="1" x14ac:dyDescent="0.2">
      <c r="K35" s="204" t="s">
        <v>36</v>
      </c>
    </row>
    <row r="36" spans="9:11" hidden="1" x14ac:dyDescent="0.2">
      <c r="K36" s="204" t="s">
        <v>37</v>
      </c>
    </row>
    <row r="37" spans="9:11" hidden="1" x14ac:dyDescent="0.2">
      <c r="K37" s="204" t="s">
        <v>38</v>
      </c>
    </row>
    <row r="38" spans="9:11" hidden="1" x14ac:dyDescent="0.2">
      <c r="K38" s="204" t="s">
        <v>39</v>
      </c>
    </row>
    <row r="39" spans="9:11" hidden="1" x14ac:dyDescent="0.2">
      <c r="K39" s="204" t="s">
        <v>40</v>
      </c>
    </row>
    <row r="40" spans="9:11" hidden="1" x14ac:dyDescent="0.2">
      <c r="K40" s="204" t="s">
        <v>41</v>
      </c>
    </row>
    <row r="41" spans="9:11" ht="34" hidden="1" x14ac:dyDescent="0.2">
      <c r="I41" s="217" t="s">
        <v>42</v>
      </c>
      <c r="K41" s="204" t="s">
        <v>43</v>
      </c>
    </row>
    <row r="42" spans="9:11" ht="17" hidden="1" x14ac:dyDescent="0.2">
      <c r="I42" s="217" t="s">
        <v>44</v>
      </c>
      <c r="K42" s="204" t="s">
        <v>45</v>
      </c>
    </row>
    <row r="43" spans="9:11" hidden="1" x14ac:dyDescent="0.2">
      <c r="I43" s="218" t="s">
        <v>46</v>
      </c>
      <c r="K43" s="204" t="s">
        <v>47</v>
      </c>
    </row>
    <row r="44" spans="9:11" hidden="1" x14ac:dyDescent="0.2">
      <c r="I44" s="204" t="s">
        <v>48</v>
      </c>
      <c r="K44" s="204" t="s">
        <v>49</v>
      </c>
    </row>
    <row r="45" spans="9:11" hidden="1" x14ac:dyDescent="0.2">
      <c r="I45" s="204" t="s">
        <v>50</v>
      </c>
      <c r="K45" s="204" t="s">
        <v>51</v>
      </c>
    </row>
    <row r="46" spans="9:11" hidden="1" x14ac:dyDescent="0.2">
      <c r="I46" s="204" t="s">
        <v>52</v>
      </c>
      <c r="K46" s="204" t="s">
        <v>53</v>
      </c>
    </row>
    <row r="47" spans="9:11" hidden="1" x14ac:dyDescent="0.2">
      <c r="I47" s="204" t="s">
        <v>54</v>
      </c>
      <c r="K47" s="204" t="s">
        <v>55</v>
      </c>
    </row>
    <row r="48" spans="9:11" hidden="1" x14ac:dyDescent="0.2">
      <c r="I48" s="204" t="s">
        <v>56</v>
      </c>
      <c r="K48" s="204" t="s">
        <v>57</v>
      </c>
    </row>
    <row r="49" spans="9:11" hidden="1" x14ac:dyDescent="0.2">
      <c r="I49" s="204" t="s">
        <v>58</v>
      </c>
      <c r="K49" s="204" t="s">
        <v>59</v>
      </c>
    </row>
    <row r="50" spans="9:11" hidden="1" x14ac:dyDescent="0.2">
      <c r="I50" s="204" t="s">
        <v>60</v>
      </c>
      <c r="K50" s="204" t="s">
        <v>61</v>
      </c>
    </row>
    <row r="51" spans="9:11" hidden="1" x14ac:dyDescent="0.2">
      <c r="K51" s="204" t="s">
        <v>62</v>
      </c>
    </row>
    <row r="52" spans="9:11" hidden="1" x14ac:dyDescent="0.2">
      <c r="K52" s="204" t="s">
        <v>63</v>
      </c>
    </row>
    <row r="53" spans="9:11" hidden="1" x14ac:dyDescent="0.2">
      <c r="K53" s="204" t="s">
        <v>64</v>
      </c>
    </row>
    <row r="54" spans="9:11" hidden="1" x14ac:dyDescent="0.2">
      <c r="K54" s="204" t="s">
        <v>65</v>
      </c>
    </row>
    <row r="55" spans="9:11" hidden="1" x14ac:dyDescent="0.2">
      <c r="K55" s="204" t="s">
        <v>66</v>
      </c>
    </row>
    <row r="56" spans="9:11" hidden="1" x14ac:dyDescent="0.2">
      <c r="K56" s="204" t="s">
        <v>67</v>
      </c>
    </row>
    <row r="57" spans="9:11" hidden="1" x14ac:dyDescent="0.2">
      <c r="K57" s="204" t="s">
        <v>68</v>
      </c>
    </row>
    <row r="58" spans="9:11" hidden="1" x14ac:dyDescent="0.2">
      <c r="K58" s="204" t="s">
        <v>69</v>
      </c>
    </row>
    <row r="59" spans="9:11" hidden="1" x14ac:dyDescent="0.2">
      <c r="K59" s="204" t="s">
        <v>70</v>
      </c>
    </row>
    <row r="60" spans="9:11" hidden="1" x14ac:dyDescent="0.2">
      <c r="K60" s="204" t="s">
        <v>71</v>
      </c>
    </row>
    <row r="61" spans="9:11" hidden="1" x14ac:dyDescent="0.2">
      <c r="K61" s="204" t="s">
        <v>72</v>
      </c>
    </row>
    <row r="62" spans="9:11" hidden="1" x14ac:dyDescent="0.2">
      <c r="K62" s="204" t="s">
        <v>73</v>
      </c>
    </row>
    <row r="63" spans="9:11" hidden="1" x14ac:dyDescent="0.2">
      <c r="K63" s="204" t="s">
        <v>67</v>
      </c>
    </row>
    <row r="64" spans="9:11" hidden="1" x14ac:dyDescent="0.2">
      <c r="K64" s="204" t="s">
        <v>74</v>
      </c>
    </row>
    <row r="65" spans="11:11" hidden="1" x14ac:dyDescent="0.2">
      <c r="K65" s="204" t="s">
        <v>75</v>
      </c>
    </row>
    <row r="66" spans="11:11" hidden="1" x14ac:dyDescent="0.2">
      <c r="K66" s="204" t="s">
        <v>76</v>
      </c>
    </row>
    <row r="67" spans="11:11" hidden="1" x14ac:dyDescent="0.2">
      <c r="K67" s="204" t="s">
        <v>77</v>
      </c>
    </row>
    <row r="68" spans="11:11" hidden="1" x14ac:dyDescent="0.2">
      <c r="K68" s="204" t="s">
        <v>78</v>
      </c>
    </row>
    <row r="69" spans="11:11" hidden="1" x14ac:dyDescent="0.2">
      <c r="K69" s="204" t="s">
        <v>79</v>
      </c>
    </row>
    <row r="70" spans="11:11" hidden="1" x14ac:dyDescent="0.2">
      <c r="K70" s="204" t="s">
        <v>80</v>
      </c>
    </row>
    <row r="71" spans="11:11" hidden="1" x14ac:dyDescent="0.2">
      <c r="K71" s="204" t="s">
        <v>81</v>
      </c>
    </row>
    <row r="72" spans="11:11" hidden="1" x14ac:dyDescent="0.2">
      <c r="K72" s="204" t="s">
        <v>82</v>
      </c>
    </row>
    <row r="73" spans="11:11" hidden="1" x14ac:dyDescent="0.2">
      <c r="K73" s="204" t="s">
        <v>83</v>
      </c>
    </row>
    <row r="74" spans="11:11" hidden="1" x14ac:dyDescent="0.2">
      <c r="K74" s="204" t="s">
        <v>84</v>
      </c>
    </row>
    <row r="75" spans="11:11" hidden="1" x14ac:dyDescent="0.2">
      <c r="K75" s="204" t="s">
        <v>85</v>
      </c>
    </row>
    <row r="76" spans="11:11" hidden="1" x14ac:dyDescent="0.2">
      <c r="K76" s="204" t="s">
        <v>86</v>
      </c>
    </row>
    <row r="77" spans="11:11" hidden="1" x14ac:dyDescent="0.2">
      <c r="K77" s="204" t="s">
        <v>87</v>
      </c>
    </row>
    <row r="78" spans="11:11" hidden="1" x14ac:dyDescent="0.2">
      <c r="K78" s="204" t="s">
        <v>88</v>
      </c>
    </row>
    <row r="79" spans="11:11" hidden="1" x14ac:dyDescent="0.2">
      <c r="K79" s="204" t="s">
        <v>89</v>
      </c>
    </row>
    <row r="80" spans="11:11" hidden="1" x14ac:dyDescent="0.2">
      <c r="K80" s="204" t="s">
        <v>90</v>
      </c>
    </row>
    <row r="81" spans="11:11" hidden="1" x14ac:dyDescent="0.2">
      <c r="K81" s="204" t="s">
        <v>91</v>
      </c>
    </row>
    <row r="82" spans="11:11" hidden="1" x14ac:dyDescent="0.2">
      <c r="K82" s="204" t="s">
        <v>92</v>
      </c>
    </row>
    <row r="83" spans="11:11" hidden="1" x14ac:dyDescent="0.2">
      <c r="K83" s="204" t="s">
        <v>93</v>
      </c>
    </row>
    <row r="84" spans="11:11" hidden="1" x14ac:dyDescent="0.2">
      <c r="K84" s="204" t="s">
        <v>94</v>
      </c>
    </row>
    <row r="85" spans="11:11" hidden="1" x14ac:dyDescent="0.2">
      <c r="K85" s="204" t="s">
        <v>47</v>
      </c>
    </row>
  </sheetData>
  <dataValidations count="3">
    <dataValidation type="list" allowBlank="1" showInputMessage="1" showErrorMessage="1" sqref="I50 K15:K21" xr:uid="{A7949050-1BC6-40E2-9935-3E7C4D8C8A85}">
      <formula1>$I$41:$I$50</formula1>
    </dataValidation>
    <dataValidation type="list" allowBlank="1" showInputMessage="1" showErrorMessage="1" sqref="B20:B21" xr:uid="{5DFA1BFD-75F8-4725-BA15-7C3ABEF7050D}">
      <formula1>$K$29:$K$40</formula1>
    </dataValidation>
    <dataValidation type="list" allowBlank="1" showInputMessage="1" showErrorMessage="1" sqref="B16:B19" xr:uid="{33C68CFE-EAB4-4E91-B13E-C4AA95D24A0F}">
      <formula1>$K$29:$K$85</formula1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19CE8-08BD-47B9-88BD-9D2CD001E4D2}">
  <dimension ref="A1:K85"/>
  <sheetViews>
    <sheetView workbookViewId="0">
      <selection sqref="A1:XFD1048576"/>
    </sheetView>
  </sheetViews>
  <sheetFormatPr baseColWidth="10" defaultColWidth="9.1640625" defaultRowHeight="16" x14ac:dyDescent="0.2"/>
  <cols>
    <col min="1" max="1" width="5.1640625" style="204" customWidth="1"/>
    <col min="2" max="2" width="22.5" style="204" customWidth="1"/>
    <col min="3" max="3" width="6.1640625" style="204" customWidth="1"/>
    <col min="4" max="4" width="12.5" style="204" bestFit="1" customWidth="1"/>
    <col min="5" max="5" width="9.83203125" style="204" customWidth="1"/>
    <col min="6" max="6" width="9.33203125" style="204" bestFit="1" customWidth="1"/>
    <col min="7" max="7" width="8.6640625" style="204" customWidth="1"/>
    <col min="8" max="8" width="9.5" style="204" bestFit="1" customWidth="1"/>
    <col min="9" max="9" width="17.83203125" style="204" bestFit="1" customWidth="1"/>
    <col min="10" max="10" width="10.33203125" style="204" bestFit="1" customWidth="1"/>
    <col min="11" max="11" width="75" style="204" bestFit="1" customWidth="1"/>
    <col min="12" max="16384" width="9.1640625" style="204"/>
  </cols>
  <sheetData>
    <row r="1" spans="1:11" x14ac:dyDescent="0.2">
      <c r="A1" s="204" t="s">
        <v>0</v>
      </c>
      <c r="I1" s="219"/>
    </row>
    <row r="2" spans="1:11" x14ac:dyDescent="0.2">
      <c r="J2" s="220"/>
    </row>
    <row r="3" spans="1:11" x14ac:dyDescent="0.2">
      <c r="A3" s="219" t="s">
        <v>1</v>
      </c>
    </row>
    <row r="4" spans="1:11" x14ac:dyDescent="0.2">
      <c r="A4" s="219"/>
      <c r="I4" s="220" t="s">
        <v>2</v>
      </c>
      <c r="J4" s="221">
        <v>45960</v>
      </c>
    </row>
    <row r="5" spans="1:11" x14ac:dyDescent="0.2">
      <c r="J5" s="204" t="s">
        <v>3</v>
      </c>
    </row>
    <row r="6" spans="1:11" ht="34" x14ac:dyDescent="0.2">
      <c r="A6" s="11" t="s">
        <v>4</v>
      </c>
      <c r="B6" s="11" t="s">
        <v>5</v>
      </c>
      <c r="C6" s="11" t="s">
        <v>6</v>
      </c>
      <c r="D6" s="11" t="s">
        <v>7</v>
      </c>
      <c r="E6" s="11" t="s">
        <v>8</v>
      </c>
      <c r="F6" s="11" t="s">
        <v>9</v>
      </c>
      <c r="G6" s="222" t="s">
        <v>10</v>
      </c>
      <c r="H6" s="222" t="s">
        <v>11</v>
      </c>
      <c r="I6" s="222" t="s">
        <v>12</v>
      </c>
      <c r="J6" s="223"/>
      <c r="K6" s="11" t="s">
        <v>13</v>
      </c>
    </row>
    <row r="7" spans="1:11" ht="34" x14ac:dyDescent="0.2">
      <c r="A7" s="222"/>
      <c r="B7" s="224"/>
      <c r="C7" s="11"/>
      <c r="D7" s="11" t="s">
        <v>14</v>
      </c>
      <c r="E7" s="11" t="s">
        <v>15</v>
      </c>
      <c r="F7" s="225" t="s">
        <v>16</v>
      </c>
      <c r="G7" s="225" t="s">
        <v>15</v>
      </c>
      <c r="H7" s="225" t="s">
        <v>17</v>
      </c>
      <c r="I7" s="11" t="s">
        <v>18</v>
      </c>
      <c r="J7" s="225" t="s">
        <v>19</v>
      </c>
      <c r="K7" s="225"/>
    </row>
    <row r="8" spans="1:11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2">
      <c r="A9" s="186">
        <v>1</v>
      </c>
      <c r="B9" s="187" t="s">
        <v>255</v>
      </c>
      <c r="C9" s="161">
        <v>15</v>
      </c>
      <c r="D9" s="14">
        <v>2.85</v>
      </c>
      <c r="E9" s="163">
        <v>1452</v>
      </c>
      <c r="F9" s="162">
        <v>63.5</v>
      </c>
      <c r="G9" s="15">
        <f t="shared" ref="G9:G11" si="0">E9*F9</f>
        <v>92202</v>
      </c>
      <c r="H9" s="16">
        <f>F9*C9</f>
        <v>952.5</v>
      </c>
      <c r="I9" s="179" t="s">
        <v>20</v>
      </c>
      <c r="J9" s="188">
        <v>2.0833333333333332E-2</v>
      </c>
      <c r="K9" s="202" t="s">
        <v>239</v>
      </c>
    </row>
    <row r="10" spans="1:11" ht="17" x14ac:dyDescent="0.2">
      <c r="A10" s="190">
        <v>2</v>
      </c>
      <c r="B10" s="187" t="s">
        <v>255</v>
      </c>
      <c r="C10" s="161">
        <v>16</v>
      </c>
      <c r="D10" s="14">
        <v>2.85</v>
      </c>
      <c r="E10" s="163">
        <v>1411</v>
      </c>
      <c r="F10" s="162">
        <v>12.6</v>
      </c>
      <c r="G10" s="15">
        <f t="shared" si="0"/>
        <v>17778.599999999999</v>
      </c>
      <c r="H10" s="16">
        <f t="shared" ref="H10:H11" si="1">F10*C10</f>
        <v>201.6</v>
      </c>
      <c r="I10" s="179" t="s">
        <v>44</v>
      </c>
      <c r="J10" s="188">
        <v>2.0833333333333332E-2</v>
      </c>
      <c r="K10" s="189" t="s">
        <v>44</v>
      </c>
    </row>
    <row r="11" spans="1:11" ht="17" x14ac:dyDescent="0.2">
      <c r="A11" s="186">
        <v>3</v>
      </c>
      <c r="B11" s="187" t="s">
        <v>255</v>
      </c>
      <c r="C11" s="161">
        <v>17</v>
      </c>
      <c r="D11" s="14">
        <v>2.85</v>
      </c>
      <c r="E11" s="163">
        <v>1432</v>
      </c>
      <c r="F11" s="175">
        <v>8.9</v>
      </c>
      <c r="G11" s="15">
        <f t="shared" si="0"/>
        <v>12744.800000000001</v>
      </c>
      <c r="H11" s="16">
        <f t="shared" si="1"/>
        <v>151.30000000000001</v>
      </c>
      <c r="I11" s="179" t="s">
        <v>257</v>
      </c>
      <c r="J11" s="188">
        <v>2.0833333333333332E-2</v>
      </c>
      <c r="K11" s="189" t="s">
        <v>257</v>
      </c>
    </row>
    <row r="12" spans="1:11" ht="19.25" customHeight="1" x14ac:dyDescent="0.2">
      <c r="A12" s="190"/>
      <c r="B12" s="187"/>
      <c r="C12" s="176"/>
      <c r="D12" s="14"/>
      <c r="E12" s="177"/>
      <c r="F12" s="178"/>
      <c r="G12" s="15"/>
      <c r="H12" s="16"/>
      <c r="I12" s="195"/>
      <c r="J12" s="194"/>
      <c r="K12" s="189"/>
    </row>
    <row r="13" spans="1:11" x14ac:dyDescent="0.2">
      <c r="A13" s="191"/>
      <c r="B13" s="187"/>
      <c r="C13" s="176"/>
      <c r="D13" s="14"/>
      <c r="E13" s="177"/>
      <c r="F13" s="178"/>
      <c r="G13" s="15"/>
      <c r="H13" s="16"/>
      <c r="I13" s="179"/>
      <c r="J13" s="188"/>
      <c r="K13" s="189"/>
    </row>
    <row r="14" spans="1:11" x14ac:dyDescent="0.2">
      <c r="A14" s="186"/>
      <c r="B14" s="187"/>
      <c r="C14" s="180"/>
      <c r="D14" s="14"/>
      <c r="E14" s="181"/>
      <c r="F14" s="182"/>
      <c r="G14" s="15"/>
      <c r="H14" s="16"/>
      <c r="I14" s="195"/>
      <c r="J14" s="188"/>
      <c r="K14" s="189"/>
    </row>
    <row r="15" spans="1:11" x14ac:dyDescent="0.2">
      <c r="A15" s="190"/>
      <c r="B15" s="187"/>
      <c r="C15" s="192"/>
      <c r="D15" s="14"/>
      <c r="E15" s="181"/>
      <c r="F15" s="193"/>
      <c r="G15" s="15"/>
      <c r="H15" s="16"/>
      <c r="I15" s="19"/>
      <c r="J15" s="18"/>
      <c r="K15" s="17"/>
    </row>
    <row r="16" spans="1:11" x14ac:dyDescent="0.2">
      <c r="A16" s="197"/>
      <c r="B16" s="198"/>
      <c r="C16" s="161"/>
      <c r="D16" s="14"/>
      <c r="E16" s="177"/>
      <c r="F16" s="161"/>
      <c r="G16" s="15"/>
      <c r="H16" s="16"/>
      <c r="I16" s="19"/>
      <c r="J16" s="18"/>
      <c r="K16" s="20"/>
    </row>
    <row r="17" spans="1:11" x14ac:dyDescent="0.2">
      <c r="A17" s="197"/>
      <c r="B17" s="198"/>
      <c r="C17" s="161"/>
      <c r="D17" s="14"/>
      <c r="E17" s="181"/>
      <c r="F17" s="161"/>
      <c r="G17" s="15"/>
      <c r="H17" s="16"/>
      <c r="I17" s="19"/>
      <c r="J17" s="18"/>
      <c r="K17" s="20"/>
    </row>
    <row r="18" spans="1:11" x14ac:dyDescent="0.2">
      <c r="A18" s="197"/>
      <c r="B18" s="198"/>
      <c r="C18" s="161"/>
      <c r="D18" s="14"/>
      <c r="E18" s="181"/>
      <c r="F18" s="161"/>
      <c r="G18" s="15"/>
      <c r="H18" s="16"/>
      <c r="I18" s="10"/>
      <c r="J18" s="13"/>
      <c r="K18" s="10"/>
    </row>
    <row r="19" spans="1:11" x14ac:dyDescent="0.2">
      <c r="A19" s="11"/>
      <c r="B19" s="10"/>
      <c r="C19" s="12"/>
      <c r="D19" s="200"/>
      <c r="E19" s="11"/>
      <c r="F19" s="12"/>
      <c r="G19" s="201"/>
      <c r="H19" s="12"/>
      <c r="I19" s="10"/>
      <c r="J19" s="13"/>
      <c r="K19" s="10"/>
    </row>
    <row r="20" spans="1:11" x14ac:dyDescent="0.2">
      <c r="A20" s="11"/>
      <c r="B20" s="10"/>
      <c r="C20" s="12"/>
      <c r="D20" s="200"/>
      <c r="E20" s="11"/>
      <c r="F20" s="12"/>
      <c r="G20" s="201"/>
      <c r="H20" s="12"/>
      <c r="I20" s="10"/>
      <c r="J20" s="13"/>
      <c r="K20" s="10"/>
    </row>
    <row r="21" spans="1:11" x14ac:dyDescent="0.2">
      <c r="A21" s="11"/>
      <c r="B21" s="10"/>
      <c r="C21" s="205"/>
      <c r="D21" s="11"/>
      <c r="E21" s="13"/>
      <c r="F21" s="205"/>
      <c r="G21" s="201"/>
      <c r="H21" s="12"/>
      <c r="I21" s="10"/>
      <c r="J21" s="13"/>
      <c r="K21" s="10"/>
    </row>
    <row r="22" spans="1:11" x14ac:dyDescent="0.2">
      <c r="A22" s="206"/>
      <c r="B22" s="207"/>
      <c r="C22" s="208"/>
      <c r="D22" s="208"/>
      <c r="E22" s="226" t="s">
        <v>21</v>
      </c>
      <c r="F22" s="227">
        <f>SUM(F9:F21)</f>
        <v>85</v>
      </c>
      <c r="G22" s="228">
        <f>SUM(G9:G21)/F22</f>
        <v>1443.8282352941178</v>
      </c>
      <c r="H22" s="229">
        <f>SUM(H9:H21)/F22</f>
        <v>15.357647058823527</v>
      </c>
      <c r="I22" s="209" t="s">
        <v>22</v>
      </c>
      <c r="J22" s="210">
        <v>6.25E-2</v>
      </c>
      <c r="K22" s="207"/>
    </row>
    <row r="23" spans="1:11" x14ac:dyDescent="0.2">
      <c r="E23" s="211"/>
      <c r="F23" s="212"/>
      <c r="I23" s="230" t="s">
        <v>23</v>
      </c>
      <c r="J23" s="231">
        <v>1.5</v>
      </c>
    </row>
    <row r="24" spans="1:11" x14ac:dyDescent="0.2">
      <c r="I24" s="212"/>
      <c r="J24" s="213"/>
    </row>
    <row r="25" spans="1:11" x14ac:dyDescent="0.2">
      <c r="A25" s="10" t="s">
        <v>24</v>
      </c>
      <c r="B25" s="10"/>
      <c r="C25" s="10"/>
      <c r="D25" s="205"/>
      <c r="H25" s="220" t="s">
        <v>25</v>
      </c>
      <c r="I25" s="220"/>
      <c r="J25" s="211">
        <f>F22</f>
        <v>85</v>
      </c>
      <c r="K25" s="204" t="s">
        <v>16</v>
      </c>
    </row>
    <row r="26" spans="1:11" x14ac:dyDescent="0.2">
      <c r="A26" s="10" t="s">
        <v>26</v>
      </c>
      <c r="B26" s="10"/>
      <c r="C26" s="10"/>
      <c r="D26" s="205"/>
      <c r="H26" s="220" t="s">
        <v>27</v>
      </c>
      <c r="I26" s="220"/>
      <c r="J26" s="211">
        <f>100+96+78+70+83+72+85+80+69+83+83+96+82+82+80+75+80+82+95+94+83+84+70+90+90+85+82+89+91+85</f>
        <v>2514</v>
      </c>
      <c r="K26" s="204" t="s">
        <v>16</v>
      </c>
    </row>
    <row r="27" spans="1:11" ht="17" thickBot="1" x14ac:dyDescent="0.25">
      <c r="A27" s="214"/>
      <c r="B27" s="214"/>
      <c r="C27" s="214"/>
      <c r="D27" s="214"/>
      <c r="E27" s="215"/>
      <c r="F27" s="215"/>
      <c r="G27" s="214"/>
      <c r="H27" s="232" t="s">
        <v>28</v>
      </c>
      <c r="I27" s="232"/>
      <c r="J27" s="216">
        <v>60.67</v>
      </c>
      <c r="K27" s="214" t="s">
        <v>29</v>
      </c>
    </row>
    <row r="28" spans="1:11" x14ac:dyDescent="0.2">
      <c r="J28" s="204" t="s">
        <v>3</v>
      </c>
    </row>
    <row r="29" spans="1:11" hidden="1" x14ac:dyDescent="0.2">
      <c r="K29" s="204" t="s">
        <v>30</v>
      </c>
    </row>
    <row r="30" spans="1:11" hidden="1" x14ac:dyDescent="0.2">
      <c r="K30" s="204" t="s">
        <v>31</v>
      </c>
    </row>
    <row r="31" spans="1:11" hidden="1" x14ac:dyDescent="0.2">
      <c r="K31" s="204" t="s">
        <v>32</v>
      </c>
    </row>
    <row r="32" spans="1:11" hidden="1" x14ac:dyDescent="0.2">
      <c r="K32" s="204" t="s">
        <v>33</v>
      </c>
    </row>
    <row r="33" spans="9:11" hidden="1" x14ac:dyDescent="0.2">
      <c r="K33" s="204" t="s">
        <v>34</v>
      </c>
    </row>
    <row r="34" spans="9:11" hidden="1" x14ac:dyDescent="0.2">
      <c r="K34" s="204" t="s">
        <v>35</v>
      </c>
    </row>
    <row r="35" spans="9:11" hidden="1" x14ac:dyDescent="0.2">
      <c r="K35" s="204" t="s">
        <v>36</v>
      </c>
    </row>
    <row r="36" spans="9:11" hidden="1" x14ac:dyDescent="0.2">
      <c r="K36" s="204" t="s">
        <v>37</v>
      </c>
    </row>
    <row r="37" spans="9:11" hidden="1" x14ac:dyDescent="0.2">
      <c r="K37" s="204" t="s">
        <v>38</v>
      </c>
    </row>
    <row r="38" spans="9:11" hidden="1" x14ac:dyDescent="0.2">
      <c r="K38" s="204" t="s">
        <v>39</v>
      </c>
    </row>
    <row r="39" spans="9:11" hidden="1" x14ac:dyDescent="0.2">
      <c r="K39" s="204" t="s">
        <v>40</v>
      </c>
    </row>
    <row r="40" spans="9:11" hidden="1" x14ac:dyDescent="0.2">
      <c r="K40" s="204" t="s">
        <v>41</v>
      </c>
    </row>
    <row r="41" spans="9:11" ht="34" hidden="1" x14ac:dyDescent="0.2">
      <c r="I41" s="217" t="s">
        <v>42</v>
      </c>
      <c r="K41" s="204" t="s">
        <v>43</v>
      </c>
    </row>
    <row r="42" spans="9:11" ht="17" hidden="1" x14ac:dyDescent="0.2">
      <c r="I42" s="217" t="s">
        <v>44</v>
      </c>
      <c r="K42" s="204" t="s">
        <v>45</v>
      </c>
    </row>
    <row r="43" spans="9:11" hidden="1" x14ac:dyDescent="0.2">
      <c r="I43" s="218" t="s">
        <v>46</v>
      </c>
      <c r="K43" s="204" t="s">
        <v>47</v>
      </c>
    </row>
    <row r="44" spans="9:11" hidden="1" x14ac:dyDescent="0.2">
      <c r="I44" s="204" t="s">
        <v>48</v>
      </c>
      <c r="K44" s="204" t="s">
        <v>49</v>
      </c>
    </row>
    <row r="45" spans="9:11" hidden="1" x14ac:dyDescent="0.2">
      <c r="I45" s="204" t="s">
        <v>50</v>
      </c>
      <c r="K45" s="204" t="s">
        <v>51</v>
      </c>
    </row>
    <row r="46" spans="9:11" hidden="1" x14ac:dyDescent="0.2">
      <c r="I46" s="204" t="s">
        <v>52</v>
      </c>
      <c r="K46" s="204" t="s">
        <v>53</v>
      </c>
    </row>
    <row r="47" spans="9:11" hidden="1" x14ac:dyDescent="0.2">
      <c r="I47" s="204" t="s">
        <v>54</v>
      </c>
      <c r="K47" s="204" t="s">
        <v>55</v>
      </c>
    </row>
    <row r="48" spans="9:11" hidden="1" x14ac:dyDescent="0.2">
      <c r="I48" s="204" t="s">
        <v>56</v>
      </c>
      <c r="K48" s="204" t="s">
        <v>57</v>
      </c>
    </row>
    <row r="49" spans="9:11" hidden="1" x14ac:dyDescent="0.2">
      <c r="I49" s="204" t="s">
        <v>58</v>
      </c>
      <c r="K49" s="204" t="s">
        <v>59</v>
      </c>
    </row>
    <row r="50" spans="9:11" hidden="1" x14ac:dyDescent="0.2">
      <c r="I50" s="204" t="s">
        <v>60</v>
      </c>
      <c r="K50" s="204" t="s">
        <v>61</v>
      </c>
    </row>
    <row r="51" spans="9:11" hidden="1" x14ac:dyDescent="0.2">
      <c r="K51" s="204" t="s">
        <v>62</v>
      </c>
    </row>
    <row r="52" spans="9:11" hidden="1" x14ac:dyDescent="0.2">
      <c r="K52" s="204" t="s">
        <v>63</v>
      </c>
    </row>
    <row r="53" spans="9:11" hidden="1" x14ac:dyDescent="0.2">
      <c r="K53" s="204" t="s">
        <v>64</v>
      </c>
    </row>
    <row r="54" spans="9:11" hidden="1" x14ac:dyDescent="0.2">
      <c r="K54" s="204" t="s">
        <v>65</v>
      </c>
    </row>
    <row r="55" spans="9:11" hidden="1" x14ac:dyDescent="0.2">
      <c r="K55" s="204" t="s">
        <v>66</v>
      </c>
    </row>
    <row r="56" spans="9:11" hidden="1" x14ac:dyDescent="0.2">
      <c r="K56" s="204" t="s">
        <v>67</v>
      </c>
    </row>
    <row r="57" spans="9:11" hidden="1" x14ac:dyDescent="0.2">
      <c r="K57" s="204" t="s">
        <v>68</v>
      </c>
    </row>
    <row r="58" spans="9:11" hidden="1" x14ac:dyDescent="0.2">
      <c r="K58" s="204" t="s">
        <v>69</v>
      </c>
    </row>
    <row r="59" spans="9:11" hidden="1" x14ac:dyDescent="0.2">
      <c r="K59" s="204" t="s">
        <v>70</v>
      </c>
    </row>
    <row r="60" spans="9:11" hidden="1" x14ac:dyDescent="0.2">
      <c r="K60" s="204" t="s">
        <v>71</v>
      </c>
    </row>
    <row r="61" spans="9:11" hidden="1" x14ac:dyDescent="0.2">
      <c r="K61" s="204" t="s">
        <v>72</v>
      </c>
    </row>
    <row r="62" spans="9:11" hidden="1" x14ac:dyDescent="0.2">
      <c r="K62" s="204" t="s">
        <v>73</v>
      </c>
    </row>
    <row r="63" spans="9:11" hidden="1" x14ac:dyDescent="0.2">
      <c r="K63" s="204" t="s">
        <v>67</v>
      </c>
    </row>
    <row r="64" spans="9:11" hidden="1" x14ac:dyDescent="0.2">
      <c r="K64" s="204" t="s">
        <v>74</v>
      </c>
    </row>
    <row r="65" spans="11:11" hidden="1" x14ac:dyDescent="0.2">
      <c r="K65" s="204" t="s">
        <v>75</v>
      </c>
    </row>
    <row r="66" spans="11:11" hidden="1" x14ac:dyDescent="0.2">
      <c r="K66" s="204" t="s">
        <v>76</v>
      </c>
    </row>
    <row r="67" spans="11:11" hidden="1" x14ac:dyDescent="0.2">
      <c r="K67" s="204" t="s">
        <v>77</v>
      </c>
    </row>
    <row r="68" spans="11:11" hidden="1" x14ac:dyDescent="0.2">
      <c r="K68" s="204" t="s">
        <v>78</v>
      </c>
    </row>
    <row r="69" spans="11:11" hidden="1" x14ac:dyDescent="0.2">
      <c r="K69" s="204" t="s">
        <v>79</v>
      </c>
    </row>
    <row r="70" spans="11:11" hidden="1" x14ac:dyDescent="0.2">
      <c r="K70" s="204" t="s">
        <v>80</v>
      </c>
    </row>
    <row r="71" spans="11:11" hidden="1" x14ac:dyDescent="0.2">
      <c r="K71" s="204" t="s">
        <v>81</v>
      </c>
    </row>
    <row r="72" spans="11:11" hidden="1" x14ac:dyDescent="0.2">
      <c r="K72" s="204" t="s">
        <v>82</v>
      </c>
    </row>
    <row r="73" spans="11:11" hidden="1" x14ac:dyDescent="0.2">
      <c r="K73" s="204" t="s">
        <v>83</v>
      </c>
    </row>
    <row r="74" spans="11:11" hidden="1" x14ac:dyDescent="0.2">
      <c r="K74" s="204" t="s">
        <v>84</v>
      </c>
    </row>
    <row r="75" spans="11:11" hidden="1" x14ac:dyDescent="0.2">
      <c r="K75" s="204" t="s">
        <v>85</v>
      </c>
    </row>
    <row r="76" spans="11:11" hidden="1" x14ac:dyDescent="0.2">
      <c r="K76" s="204" t="s">
        <v>86</v>
      </c>
    </row>
    <row r="77" spans="11:11" hidden="1" x14ac:dyDescent="0.2">
      <c r="K77" s="204" t="s">
        <v>87</v>
      </c>
    </row>
    <row r="78" spans="11:11" hidden="1" x14ac:dyDescent="0.2">
      <c r="K78" s="204" t="s">
        <v>88</v>
      </c>
    </row>
    <row r="79" spans="11:11" hidden="1" x14ac:dyDescent="0.2">
      <c r="K79" s="204" t="s">
        <v>89</v>
      </c>
    </row>
    <row r="80" spans="11:11" hidden="1" x14ac:dyDescent="0.2">
      <c r="K80" s="204" t="s">
        <v>90</v>
      </c>
    </row>
    <row r="81" spans="11:11" hidden="1" x14ac:dyDescent="0.2">
      <c r="K81" s="204" t="s">
        <v>91</v>
      </c>
    </row>
    <row r="82" spans="11:11" hidden="1" x14ac:dyDescent="0.2">
      <c r="K82" s="204" t="s">
        <v>92</v>
      </c>
    </row>
    <row r="83" spans="11:11" hidden="1" x14ac:dyDescent="0.2">
      <c r="K83" s="204" t="s">
        <v>93</v>
      </c>
    </row>
    <row r="84" spans="11:11" hidden="1" x14ac:dyDescent="0.2">
      <c r="K84" s="204" t="s">
        <v>94</v>
      </c>
    </row>
    <row r="85" spans="11:11" hidden="1" x14ac:dyDescent="0.2">
      <c r="K85" s="204" t="s">
        <v>47</v>
      </c>
    </row>
  </sheetData>
  <dataValidations count="3">
    <dataValidation type="list" allowBlank="1" showInputMessage="1" showErrorMessage="1" sqref="B16:B19" xr:uid="{64D9CAAD-71CF-45E8-9635-22709A2873E1}">
      <formula1>$K$29:$K$85</formula1>
    </dataValidation>
    <dataValidation type="list" allowBlank="1" showInputMessage="1" showErrorMessage="1" sqref="B20:B21" xr:uid="{243E7A08-0125-4F70-9306-C39ED7C27763}">
      <formula1>$K$29:$K$40</formula1>
    </dataValidation>
    <dataValidation type="list" allowBlank="1" showInputMessage="1" showErrorMessage="1" sqref="I50 K15:K21" xr:uid="{4561B525-7CC8-4128-98B2-08192A1CE1AD}">
      <formula1>$I$41:$I$50</formula1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E74B4-6580-4CAF-B2BB-19EC40DABD30}">
  <dimension ref="A1:K85"/>
  <sheetViews>
    <sheetView workbookViewId="0">
      <selection activeCell="K20" sqref="K20"/>
    </sheetView>
  </sheetViews>
  <sheetFormatPr baseColWidth="10" defaultColWidth="9.1640625" defaultRowHeight="16" x14ac:dyDescent="0.2"/>
  <cols>
    <col min="1" max="1" width="5.1640625" style="204" customWidth="1"/>
    <col min="2" max="2" width="22.5" style="204" customWidth="1"/>
    <col min="3" max="3" width="6.1640625" style="204" customWidth="1"/>
    <col min="4" max="4" width="12.5" style="204" bestFit="1" customWidth="1"/>
    <col min="5" max="5" width="9.83203125" style="204" customWidth="1"/>
    <col min="6" max="6" width="9.33203125" style="204" bestFit="1" customWidth="1"/>
    <col min="7" max="7" width="8.6640625" style="204" customWidth="1"/>
    <col min="8" max="8" width="9.5" style="204" bestFit="1" customWidth="1"/>
    <col min="9" max="9" width="17.83203125" style="204" bestFit="1" customWidth="1"/>
    <col min="10" max="10" width="10.33203125" style="204" bestFit="1" customWidth="1"/>
    <col min="11" max="11" width="75" style="204" bestFit="1" customWidth="1"/>
    <col min="12" max="16384" width="9.1640625" style="204"/>
  </cols>
  <sheetData>
    <row r="1" spans="1:11" x14ac:dyDescent="0.2">
      <c r="A1" s="204" t="s">
        <v>0</v>
      </c>
      <c r="I1" s="219"/>
    </row>
    <row r="2" spans="1:11" x14ac:dyDescent="0.2">
      <c r="J2" s="220"/>
    </row>
    <row r="3" spans="1:11" x14ac:dyDescent="0.2">
      <c r="A3" s="219" t="s">
        <v>1</v>
      </c>
    </row>
    <row r="4" spans="1:11" x14ac:dyDescent="0.2">
      <c r="A4" s="219"/>
      <c r="I4" s="220" t="s">
        <v>2</v>
      </c>
      <c r="J4" s="221">
        <v>45961</v>
      </c>
    </row>
    <row r="5" spans="1:11" x14ac:dyDescent="0.2">
      <c r="J5" s="204" t="s">
        <v>3</v>
      </c>
    </row>
    <row r="6" spans="1:11" ht="34" x14ac:dyDescent="0.2">
      <c r="A6" s="11" t="s">
        <v>4</v>
      </c>
      <c r="B6" s="11" t="s">
        <v>5</v>
      </c>
      <c r="C6" s="11" t="s">
        <v>6</v>
      </c>
      <c r="D6" s="11" t="s">
        <v>7</v>
      </c>
      <c r="E6" s="11" t="s">
        <v>8</v>
      </c>
      <c r="F6" s="11" t="s">
        <v>9</v>
      </c>
      <c r="G6" s="222" t="s">
        <v>10</v>
      </c>
      <c r="H6" s="222" t="s">
        <v>11</v>
      </c>
      <c r="I6" s="222" t="s">
        <v>12</v>
      </c>
      <c r="J6" s="223"/>
      <c r="K6" s="11" t="s">
        <v>13</v>
      </c>
    </row>
    <row r="7" spans="1:11" ht="34" x14ac:dyDescent="0.2">
      <c r="A7" s="222"/>
      <c r="B7" s="224"/>
      <c r="C7" s="11"/>
      <c r="D7" s="11" t="s">
        <v>14</v>
      </c>
      <c r="E7" s="11" t="s">
        <v>15</v>
      </c>
      <c r="F7" s="225" t="s">
        <v>16</v>
      </c>
      <c r="G7" s="225" t="s">
        <v>15</v>
      </c>
      <c r="H7" s="225" t="s">
        <v>17</v>
      </c>
      <c r="I7" s="11" t="s">
        <v>18</v>
      </c>
      <c r="J7" s="225" t="s">
        <v>19</v>
      </c>
      <c r="K7" s="225"/>
    </row>
    <row r="8" spans="1:11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2">
      <c r="A9" s="186">
        <v>1</v>
      </c>
      <c r="B9" s="187" t="s">
        <v>255</v>
      </c>
      <c r="C9" s="161">
        <v>15</v>
      </c>
      <c r="D9" s="14">
        <v>2.85</v>
      </c>
      <c r="E9" s="163">
        <v>1494</v>
      </c>
      <c r="F9" s="162">
        <v>29</v>
      </c>
      <c r="G9" s="15">
        <f t="shared" ref="G9:G12" si="0">E9*F9</f>
        <v>43326</v>
      </c>
      <c r="H9" s="16">
        <f>F9*C9</f>
        <v>435</v>
      </c>
      <c r="I9" s="179" t="s">
        <v>20</v>
      </c>
      <c r="J9" s="188">
        <v>2.0833333333333332E-2</v>
      </c>
      <c r="K9" s="202" t="s">
        <v>239</v>
      </c>
    </row>
    <row r="10" spans="1:11" ht="17" x14ac:dyDescent="0.2">
      <c r="A10" s="190">
        <v>2</v>
      </c>
      <c r="B10" s="187" t="s">
        <v>255</v>
      </c>
      <c r="C10" s="161">
        <v>16</v>
      </c>
      <c r="D10" s="14">
        <v>2.85</v>
      </c>
      <c r="E10" s="163">
        <v>1378</v>
      </c>
      <c r="F10" s="162">
        <v>17.8</v>
      </c>
      <c r="G10" s="15">
        <f t="shared" si="0"/>
        <v>24528.400000000001</v>
      </c>
      <c r="H10" s="16">
        <f t="shared" ref="H10:H11" si="1">F10*C10</f>
        <v>284.8</v>
      </c>
      <c r="I10" s="179" t="s">
        <v>44</v>
      </c>
      <c r="J10" s="188">
        <v>2.0833333333333332E-2</v>
      </c>
      <c r="K10" s="189" t="s">
        <v>44</v>
      </c>
    </row>
    <row r="11" spans="1:11" ht="17" x14ac:dyDescent="0.2">
      <c r="A11" s="186">
        <v>3</v>
      </c>
      <c r="B11" s="187" t="s">
        <v>255</v>
      </c>
      <c r="C11" s="161">
        <v>16.5</v>
      </c>
      <c r="D11" s="14">
        <v>2.85</v>
      </c>
      <c r="E11" s="163">
        <v>1320</v>
      </c>
      <c r="F11" s="175">
        <v>16.8</v>
      </c>
      <c r="G11" s="15">
        <f t="shared" si="0"/>
        <v>22176</v>
      </c>
      <c r="H11" s="16">
        <f t="shared" si="1"/>
        <v>277.2</v>
      </c>
      <c r="I11" s="179"/>
      <c r="J11" s="188"/>
      <c r="K11" s="189"/>
    </row>
    <row r="12" spans="1:11" ht="19.25" customHeight="1" x14ac:dyDescent="0.2">
      <c r="A12" s="190">
        <v>4</v>
      </c>
      <c r="B12" s="187" t="s">
        <v>255</v>
      </c>
      <c r="C12" s="176">
        <v>17</v>
      </c>
      <c r="D12" s="14">
        <v>2.85</v>
      </c>
      <c r="E12" s="177">
        <v>1419</v>
      </c>
      <c r="F12" s="178">
        <v>24.4</v>
      </c>
      <c r="G12" s="15">
        <f t="shared" si="0"/>
        <v>34623.599999999999</v>
      </c>
      <c r="H12" s="16">
        <f>F12*C12</f>
        <v>414.79999999999995</v>
      </c>
      <c r="I12" s="195"/>
      <c r="J12" s="194"/>
      <c r="K12" s="189"/>
    </row>
    <row r="13" spans="1:11" x14ac:dyDescent="0.2">
      <c r="A13" s="191"/>
      <c r="B13" s="187"/>
      <c r="C13" s="176"/>
      <c r="D13" s="14"/>
      <c r="E13" s="177"/>
      <c r="F13" s="178"/>
      <c r="G13" s="15"/>
      <c r="H13" s="16"/>
      <c r="I13" s="179"/>
      <c r="J13" s="188"/>
      <c r="K13" s="189"/>
    </row>
    <row r="14" spans="1:11" x14ac:dyDescent="0.2">
      <c r="A14" s="186"/>
      <c r="B14" s="187"/>
      <c r="C14" s="180"/>
      <c r="D14" s="14"/>
      <c r="E14" s="181"/>
      <c r="F14" s="182"/>
      <c r="G14" s="15"/>
      <c r="H14" s="16"/>
      <c r="I14" s="195"/>
      <c r="J14" s="188"/>
      <c r="K14" s="189"/>
    </row>
    <row r="15" spans="1:11" x14ac:dyDescent="0.2">
      <c r="A15" s="190"/>
      <c r="B15" s="187"/>
      <c r="C15" s="192"/>
      <c r="D15" s="14"/>
      <c r="E15" s="181"/>
      <c r="F15" s="193"/>
      <c r="G15" s="15"/>
      <c r="H15" s="16"/>
      <c r="I15" s="19"/>
      <c r="J15" s="18"/>
      <c r="K15" s="17"/>
    </row>
    <row r="16" spans="1:11" x14ac:dyDescent="0.2">
      <c r="A16" s="197"/>
      <c r="B16" s="198"/>
      <c r="C16" s="161"/>
      <c r="D16" s="14"/>
      <c r="E16" s="177"/>
      <c r="F16" s="161"/>
      <c r="G16" s="15"/>
      <c r="H16" s="16"/>
      <c r="I16" s="19"/>
      <c r="J16" s="18"/>
      <c r="K16" s="20"/>
    </row>
    <row r="17" spans="1:11" x14ac:dyDescent="0.2">
      <c r="A17" s="197"/>
      <c r="B17" s="198"/>
      <c r="C17" s="161"/>
      <c r="D17" s="14"/>
      <c r="E17" s="181"/>
      <c r="F17" s="161"/>
      <c r="G17" s="15"/>
      <c r="H17" s="16"/>
      <c r="I17" s="19"/>
      <c r="J17" s="18"/>
      <c r="K17" s="20"/>
    </row>
    <row r="18" spans="1:11" x14ac:dyDescent="0.2">
      <c r="A18" s="197"/>
      <c r="B18" s="198"/>
      <c r="C18" s="161"/>
      <c r="D18" s="14"/>
      <c r="E18" s="181"/>
      <c r="F18" s="161"/>
      <c r="G18" s="15"/>
      <c r="H18" s="16"/>
      <c r="I18" s="10"/>
      <c r="J18" s="13"/>
      <c r="K18" s="10"/>
    </row>
    <row r="19" spans="1:11" x14ac:dyDescent="0.2">
      <c r="A19" s="11"/>
      <c r="B19" s="10"/>
      <c r="C19" s="12"/>
      <c r="D19" s="200"/>
      <c r="E19" s="11"/>
      <c r="F19" s="12"/>
      <c r="G19" s="201"/>
      <c r="H19" s="12"/>
      <c r="I19" s="10"/>
      <c r="J19" s="13"/>
      <c r="K19" s="10"/>
    </row>
    <row r="20" spans="1:11" x14ac:dyDescent="0.2">
      <c r="A20" s="11"/>
      <c r="B20" s="10"/>
      <c r="C20" s="12"/>
      <c r="D20" s="200"/>
      <c r="E20" s="11"/>
      <c r="F20" s="12"/>
      <c r="G20" s="201"/>
      <c r="H20" s="12"/>
      <c r="I20" s="10"/>
      <c r="J20" s="13"/>
      <c r="K20" s="10"/>
    </row>
    <row r="21" spans="1:11" x14ac:dyDescent="0.2">
      <c r="A21" s="11"/>
      <c r="B21" s="10"/>
      <c r="C21" s="205"/>
      <c r="D21" s="11"/>
      <c r="E21" s="13"/>
      <c r="F21" s="205"/>
      <c r="G21" s="201"/>
      <c r="H21" s="12"/>
      <c r="I21" s="10"/>
      <c r="J21" s="13"/>
      <c r="K21" s="10"/>
    </row>
    <row r="22" spans="1:11" x14ac:dyDescent="0.2">
      <c r="A22" s="206"/>
      <c r="B22" s="207"/>
      <c r="C22" s="208"/>
      <c r="D22" s="208"/>
      <c r="E22" s="226" t="s">
        <v>21</v>
      </c>
      <c r="F22" s="227">
        <f>SUM(F9:F21)</f>
        <v>88</v>
      </c>
      <c r="G22" s="228">
        <f>SUM(G9:G21)/F22</f>
        <v>1416.5227272727273</v>
      </c>
      <c r="H22" s="229">
        <f>SUM(H9:H21)/F22</f>
        <v>16.043181818181818</v>
      </c>
      <c r="I22" s="209" t="s">
        <v>22</v>
      </c>
      <c r="J22" s="210">
        <v>4.1666666666666664E-2</v>
      </c>
      <c r="K22" s="207"/>
    </row>
    <row r="23" spans="1:11" x14ac:dyDescent="0.2">
      <c r="E23" s="211"/>
      <c r="F23" s="212"/>
      <c r="I23" s="230" t="s">
        <v>23</v>
      </c>
      <c r="J23" s="231">
        <v>1</v>
      </c>
    </row>
    <row r="24" spans="1:11" x14ac:dyDescent="0.2">
      <c r="I24" s="212"/>
      <c r="J24" s="213"/>
    </row>
    <row r="25" spans="1:11" x14ac:dyDescent="0.2">
      <c r="A25" s="10" t="s">
        <v>24</v>
      </c>
      <c r="B25" s="10"/>
      <c r="C25" s="10"/>
      <c r="D25" s="205"/>
      <c r="H25" s="220" t="s">
        <v>25</v>
      </c>
      <c r="I25" s="220"/>
      <c r="J25" s="211">
        <f>F22</f>
        <v>88</v>
      </c>
      <c r="K25" s="204" t="s">
        <v>16</v>
      </c>
    </row>
    <row r="26" spans="1:11" x14ac:dyDescent="0.2">
      <c r="A26" s="10" t="s">
        <v>26</v>
      </c>
      <c r="B26" s="10"/>
      <c r="C26" s="10"/>
      <c r="D26" s="205"/>
      <c r="H26" s="220" t="s">
        <v>27</v>
      </c>
      <c r="I26" s="220"/>
      <c r="J26" s="211">
        <f>100+96+78+70+83+72+85+80+69+83+83+96+82+82+80+75+80+82+95+94+83+84+70+90+90+85+82+89+91+85+88</f>
        <v>2602</v>
      </c>
      <c r="K26" s="204" t="s">
        <v>16</v>
      </c>
    </row>
    <row r="27" spans="1:11" ht="17" thickBot="1" x14ac:dyDescent="0.25">
      <c r="A27" s="214"/>
      <c r="B27" s="214"/>
      <c r="C27" s="214"/>
      <c r="D27" s="214"/>
      <c r="E27" s="215"/>
      <c r="F27" s="215"/>
      <c r="G27" s="214"/>
      <c r="H27" s="232" t="s">
        <v>28</v>
      </c>
      <c r="I27" s="232"/>
      <c r="J27" s="216">
        <v>61.67</v>
      </c>
      <c r="K27" s="214" t="s">
        <v>29</v>
      </c>
    </row>
    <row r="28" spans="1:11" x14ac:dyDescent="0.2">
      <c r="J28" s="204" t="s">
        <v>3</v>
      </c>
    </row>
    <row r="29" spans="1:11" hidden="1" x14ac:dyDescent="0.2">
      <c r="K29" s="204" t="s">
        <v>30</v>
      </c>
    </row>
    <row r="30" spans="1:11" hidden="1" x14ac:dyDescent="0.2">
      <c r="K30" s="204" t="s">
        <v>31</v>
      </c>
    </row>
    <row r="31" spans="1:11" hidden="1" x14ac:dyDescent="0.2">
      <c r="K31" s="204" t="s">
        <v>32</v>
      </c>
    </row>
    <row r="32" spans="1:11" hidden="1" x14ac:dyDescent="0.2">
      <c r="K32" s="204" t="s">
        <v>33</v>
      </c>
    </row>
    <row r="33" spans="9:11" hidden="1" x14ac:dyDescent="0.2">
      <c r="K33" s="204" t="s">
        <v>34</v>
      </c>
    </row>
    <row r="34" spans="9:11" hidden="1" x14ac:dyDescent="0.2">
      <c r="K34" s="204" t="s">
        <v>35</v>
      </c>
    </row>
    <row r="35" spans="9:11" hidden="1" x14ac:dyDescent="0.2">
      <c r="K35" s="204" t="s">
        <v>36</v>
      </c>
    </row>
    <row r="36" spans="9:11" hidden="1" x14ac:dyDescent="0.2">
      <c r="K36" s="204" t="s">
        <v>37</v>
      </c>
    </row>
    <row r="37" spans="9:11" hidden="1" x14ac:dyDescent="0.2">
      <c r="K37" s="204" t="s">
        <v>38</v>
      </c>
    </row>
    <row r="38" spans="9:11" hidden="1" x14ac:dyDescent="0.2">
      <c r="K38" s="204" t="s">
        <v>39</v>
      </c>
    </row>
    <row r="39" spans="9:11" hidden="1" x14ac:dyDescent="0.2">
      <c r="K39" s="204" t="s">
        <v>40</v>
      </c>
    </row>
    <row r="40" spans="9:11" hidden="1" x14ac:dyDescent="0.2">
      <c r="K40" s="204" t="s">
        <v>41</v>
      </c>
    </row>
    <row r="41" spans="9:11" ht="34" hidden="1" x14ac:dyDescent="0.2">
      <c r="I41" s="217" t="s">
        <v>42</v>
      </c>
      <c r="K41" s="204" t="s">
        <v>43</v>
      </c>
    </row>
    <row r="42" spans="9:11" ht="17" hidden="1" x14ac:dyDescent="0.2">
      <c r="I42" s="217" t="s">
        <v>44</v>
      </c>
      <c r="K42" s="204" t="s">
        <v>45</v>
      </c>
    </row>
    <row r="43" spans="9:11" hidden="1" x14ac:dyDescent="0.2">
      <c r="I43" s="218" t="s">
        <v>46</v>
      </c>
      <c r="K43" s="204" t="s">
        <v>47</v>
      </c>
    </row>
    <row r="44" spans="9:11" hidden="1" x14ac:dyDescent="0.2">
      <c r="I44" s="204" t="s">
        <v>48</v>
      </c>
      <c r="K44" s="204" t="s">
        <v>49</v>
      </c>
    </row>
    <row r="45" spans="9:11" hidden="1" x14ac:dyDescent="0.2">
      <c r="I45" s="204" t="s">
        <v>50</v>
      </c>
      <c r="K45" s="204" t="s">
        <v>51</v>
      </c>
    </row>
    <row r="46" spans="9:11" hidden="1" x14ac:dyDescent="0.2">
      <c r="I46" s="204" t="s">
        <v>52</v>
      </c>
      <c r="K46" s="204" t="s">
        <v>53</v>
      </c>
    </row>
    <row r="47" spans="9:11" hidden="1" x14ac:dyDescent="0.2">
      <c r="I47" s="204" t="s">
        <v>54</v>
      </c>
      <c r="K47" s="204" t="s">
        <v>55</v>
      </c>
    </row>
    <row r="48" spans="9:11" hidden="1" x14ac:dyDescent="0.2">
      <c r="I48" s="204" t="s">
        <v>56</v>
      </c>
      <c r="K48" s="204" t="s">
        <v>57</v>
      </c>
    </row>
    <row r="49" spans="9:11" hidden="1" x14ac:dyDescent="0.2">
      <c r="I49" s="204" t="s">
        <v>58</v>
      </c>
      <c r="K49" s="204" t="s">
        <v>59</v>
      </c>
    </row>
    <row r="50" spans="9:11" hidden="1" x14ac:dyDescent="0.2">
      <c r="I50" s="204" t="s">
        <v>60</v>
      </c>
      <c r="K50" s="204" t="s">
        <v>61</v>
      </c>
    </row>
    <row r="51" spans="9:11" hidden="1" x14ac:dyDescent="0.2">
      <c r="K51" s="204" t="s">
        <v>62</v>
      </c>
    </row>
    <row r="52" spans="9:11" hidden="1" x14ac:dyDescent="0.2">
      <c r="K52" s="204" t="s">
        <v>63</v>
      </c>
    </row>
    <row r="53" spans="9:11" hidden="1" x14ac:dyDescent="0.2">
      <c r="K53" s="204" t="s">
        <v>64</v>
      </c>
    </row>
    <row r="54" spans="9:11" hidden="1" x14ac:dyDescent="0.2">
      <c r="K54" s="204" t="s">
        <v>65</v>
      </c>
    </row>
    <row r="55" spans="9:11" hidden="1" x14ac:dyDescent="0.2">
      <c r="K55" s="204" t="s">
        <v>66</v>
      </c>
    </row>
    <row r="56" spans="9:11" hidden="1" x14ac:dyDescent="0.2">
      <c r="K56" s="204" t="s">
        <v>67</v>
      </c>
    </row>
    <row r="57" spans="9:11" hidden="1" x14ac:dyDescent="0.2">
      <c r="K57" s="204" t="s">
        <v>68</v>
      </c>
    </row>
    <row r="58" spans="9:11" hidden="1" x14ac:dyDescent="0.2">
      <c r="K58" s="204" t="s">
        <v>69</v>
      </c>
    </row>
    <row r="59" spans="9:11" hidden="1" x14ac:dyDescent="0.2">
      <c r="K59" s="204" t="s">
        <v>70</v>
      </c>
    </row>
    <row r="60" spans="9:11" hidden="1" x14ac:dyDescent="0.2">
      <c r="K60" s="204" t="s">
        <v>71</v>
      </c>
    </row>
    <row r="61" spans="9:11" hidden="1" x14ac:dyDescent="0.2">
      <c r="K61" s="204" t="s">
        <v>72</v>
      </c>
    </row>
    <row r="62" spans="9:11" hidden="1" x14ac:dyDescent="0.2">
      <c r="K62" s="204" t="s">
        <v>73</v>
      </c>
    </row>
    <row r="63" spans="9:11" hidden="1" x14ac:dyDescent="0.2">
      <c r="K63" s="204" t="s">
        <v>67</v>
      </c>
    </row>
    <row r="64" spans="9:11" hidden="1" x14ac:dyDescent="0.2">
      <c r="K64" s="204" t="s">
        <v>74</v>
      </c>
    </row>
    <row r="65" spans="11:11" hidden="1" x14ac:dyDescent="0.2">
      <c r="K65" s="204" t="s">
        <v>75</v>
      </c>
    </row>
    <row r="66" spans="11:11" hidden="1" x14ac:dyDescent="0.2">
      <c r="K66" s="204" t="s">
        <v>76</v>
      </c>
    </row>
    <row r="67" spans="11:11" hidden="1" x14ac:dyDescent="0.2">
      <c r="K67" s="204" t="s">
        <v>77</v>
      </c>
    </row>
    <row r="68" spans="11:11" hidden="1" x14ac:dyDescent="0.2">
      <c r="K68" s="204" t="s">
        <v>78</v>
      </c>
    </row>
    <row r="69" spans="11:11" hidden="1" x14ac:dyDescent="0.2">
      <c r="K69" s="204" t="s">
        <v>79</v>
      </c>
    </row>
    <row r="70" spans="11:11" hidden="1" x14ac:dyDescent="0.2">
      <c r="K70" s="204" t="s">
        <v>80</v>
      </c>
    </row>
    <row r="71" spans="11:11" hidden="1" x14ac:dyDescent="0.2">
      <c r="K71" s="204" t="s">
        <v>81</v>
      </c>
    </row>
    <row r="72" spans="11:11" hidden="1" x14ac:dyDescent="0.2">
      <c r="K72" s="204" t="s">
        <v>82</v>
      </c>
    </row>
    <row r="73" spans="11:11" hidden="1" x14ac:dyDescent="0.2">
      <c r="K73" s="204" t="s">
        <v>83</v>
      </c>
    </row>
    <row r="74" spans="11:11" hidden="1" x14ac:dyDescent="0.2">
      <c r="K74" s="204" t="s">
        <v>84</v>
      </c>
    </row>
    <row r="75" spans="11:11" hidden="1" x14ac:dyDescent="0.2">
      <c r="K75" s="204" t="s">
        <v>85</v>
      </c>
    </row>
    <row r="76" spans="11:11" hidden="1" x14ac:dyDescent="0.2">
      <c r="K76" s="204" t="s">
        <v>86</v>
      </c>
    </row>
    <row r="77" spans="11:11" hidden="1" x14ac:dyDescent="0.2">
      <c r="K77" s="204" t="s">
        <v>87</v>
      </c>
    </row>
    <row r="78" spans="11:11" hidden="1" x14ac:dyDescent="0.2">
      <c r="K78" s="204" t="s">
        <v>88</v>
      </c>
    </row>
    <row r="79" spans="11:11" hidden="1" x14ac:dyDescent="0.2">
      <c r="K79" s="204" t="s">
        <v>89</v>
      </c>
    </row>
    <row r="80" spans="11:11" hidden="1" x14ac:dyDescent="0.2">
      <c r="K80" s="204" t="s">
        <v>90</v>
      </c>
    </row>
    <row r="81" spans="11:11" hidden="1" x14ac:dyDescent="0.2">
      <c r="K81" s="204" t="s">
        <v>91</v>
      </c>
    </row>
    <row r="82" spans="11:11" hidden="1" x14ac:dyDescent="0.2">
      <c r="K82" s="204" t="s">
        <v>92</v>
      </c>
    </row>
    <row r="83" spans="11:11" hidden="1" x14ac:dyDescent="0.2">
      <c r="K83" s="204" t="s">
        <v>93</v>
      </c>
    </row>
    <row r="84" spans="11:11" hidden="1" x14ac:dyDescent="0.2">
      <c r="K84" s="204" t="s">
        <v>94</v>
      </c>
    </row>
    <row r="85" spans="11:11" hidden="1" x14ac:dyDescent="0.2">
      <c r="K85" s="204" t="s">
        <v>47</v>
      </c>
    </row>
  </sheetData>
  <dataValidations count="3">
    <dataValidation type="list" allowBlank="1" showInputMessage="1" showErrorMessage="1" sqref="I50 K15:K21" xr:uid="{5A97664C-1A85-440D-8BE3-B1331F8E282F}">
      <formula1>$I$41:$I$50</formula1>
    </dataValidation>
    <dataValidation type="list" allowBlank="1" showInputMessage="1" showErrorMessage="1" sqref="B20:B21" xr:uid="{A24EE620-4897-4F4B-9C80-6B2681C79C73}">
      <formula1>$K$29:$K$40</formula1>
    </dataValidation>
    <dataValidation type="list" allowBlank="1" showInputMessage="1" showErrorMessage="1" sqref="B16:B19" xr:uid="{BA8C63F9-C8CD-4E39-9203-4DE27922C483}">
      <formula1>$K$29:$K$85</formula1>
    </dataValidation>
  </dataValidation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X125"/>
  <sheetViews>
    <sheetView tabSelected="1" topLeftCell="O54" zoomScale="94" zoomScaleNormal="94" workbookViewId="0">
      <selection activeCell="H116" sqref="H116:AK122"/>
    </sheetView>
  </sheetViews>
  <sheetFormatPr baseColWidth="10" defaultColWidth="9.1640625" defaultRowHeight="20" x14ac:dyDescent="0.2"/>
  <cols>
    <col min="1" max="1" width="5.5" style="157" bestFit="1" customWidth="1"/>
    <col min="2" max="2" width="65.5" style="55" bestFit="1" customWidth="1"/>
    <col min="3" max="3" width="14.83203125" style="158" hidden="1" customWidth="1"/>
    <col min="4" max="4" width="12.1640625" style="55" customWidth="1"/>
    <col min="5" max="5" width="12.6640625" style="55" hidden="1" customWidth="1"/>
    <col min="6" max="6" width="17.33203125" style="55" hidden="1" customWidth="1"/>
    <col min="7" max="7" width="16.1640625" style="55" bestFit="1" customWidth="1"/>
    <col min="8" max="8" width="14.1640625" style="55" bestFit="1" customWidth="1"/>
    <col min="9" max="9" width="13.6640625" style="55" bestFit="1" customWidth="1"/>
    <col min="10" max="11" width="13.1640625" style="55" bestFit="1" customWidth="1"/>
    <col min="12" max="17" width="12.5" style="55" bestFit="1" customWidth="1"/>
    <col min="18" max="18" width="14.6640625" style="55" bestFit="1" customWidth="1"/>
    <col min="19" max="20" width="12.5" style="55" bestFit="1" customWidth="1"/>
    <col min="21" max="21" width="13.5" style="55" bestFit="1" customWidth="1"/>
    <col min="22" max="22" width="14" style="55" bestFit="1" customWidth="1"/>
    <col min="23" max="23" width="12.83203125" style="55" bestFit="1" customWidth="1"/>
    <col min="24" max="35" width="12.5" style="55" bestFit="1" customWidth="1"/>
    <col min="36" max="37" width="13.83203125" style="55" bestFit="1" customWidth="1"/>
    <col min="38" max="38" width="10.1640625" style="55" hidden="1" customWidth="1"/>
    <col min="39" max="39" width="11.6640625" style="55" hidden="1" customWidth="1"/>
    <col min="40" max="40" width="12.5" style="55" hidden="1" customWidth="1"/>
    <col min="41" max="41" width="11.6640625" style="55" hidden="1" customWidth="1"/>
    <col min="42" max="42" width="12" style="55" hidden="1" customWidth="1"/>
    <col min="43" max="43" width="12.1640625" style="55" hidden="1" customWidth="1"/>
    <col min="44" max="44" width="11.83203125" style="55" hidden="1" customWidth="1"/>
    <col min="45" max="45" width="11" style="55" hidden="1" customWidth="1"/>
    <col min="46" max="50" width="11.33203125" style="55" hidden="1" customWidth="1"/>
    <col min="51" max="51" width="13.1640625" style="55" hidden="1" customWidth="1"/>
    <col min="52" max="52" width="12.6640625" style="55" hidden="1" customWidth="1"/>
    <col min="53" max="59" width="11.33203125" style="55" hidden="1" customWidth="1"/>
    <col min="60" max="72" width="11" style="55" hidden="1" customWidth="1"/>
    <col min="73" max="73" width="34.33203125" style="159" customWidth="1"/>
    <col min="74" max="74" width="14.83203125" style="55" customWidth="1"/>
    <col min="75" max="75" width="13.5" style="55" customWidth="1"/>
    <col min="76" max="76" width="17" style="55" customWidth="1"/>
    <col min="77" max="77" width="10" style="55" customWidth="1"/>
    <col min="78" max="16384" width="9.1640625" style="55"/>
  </cols>
  <sheetData>
    <row r="1" spans="1:75" ht="23" x14ac:dyDescent="0.25">
      <c r="A1" s="51" t="s">
        <v>3</v>
      </c>
      <c r="B1" s="52" t="s">
        <v>240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3"/>
      <c r="BF1" s="53"/>
      <c r="BG1" s="53"/>
      <c r="BH1" s="53"/>
      <c r="BI1" s="53"/>
      <c r="BJ1" s="53"/>
      <c r="BK1" s="53"/>
      <c r="BL1" s="53"/>
      <c r="BM1" s="53"/>
      <c r="BN1" s="53"/>
      <c r="BO1" s="53"/>
      <c r="BP1" s="53"/>
      <c r="BQ1" s="53"/>
      <c r="BR1" s="53"/>
      <c r="BS1" s="53"/>
      <c r="BT1" s="53"/>
      <c r="BU1" s="54"/>
    </row>
    <row r="2" spans="1:75" ht="44.25" customHeight="1" x14ac:dyDescent="0.2">
      <c r="A2" s="56"/>
      <c r="B2" s="57" t="s">
        <v>95</v>
      </c>
      <c r="C2" s="57" t="s">
        <v>96</v>
      </c>
      <c r="D2" s="58" t="s">
        <v>97</v>
      </c>
      <c r="E2" s="58">
        <v>1</v>
      </c>
      <c r="F2" s="58">
        <v>2</v>
      </c>
      <c r="G2" s="58">
        <v>1</v>
      </c>
      <c r="H2" s="58">
        <v>2</v>
      </c>
      <c r="I2" s="58">
        <v>3</v>
      </c>
      <c r="J2" s="58">
        <v>4</v>
      </c>
      <c r="K2" s="58">
        <v>5</v>
      </c>
      <c r="L2" s="58">
        <v>6</v>
      </c>
      <c r="M2" s="58">
        <v>7</v>
      </c>
      <c r="N2" s="58">
        <v>8</v>
      </c>
      <c r="O2" s="58">
        <v>9</v>
      </c>
      <c r="P2" s="58">
        <v>10</v>
      </c>
      <c r="Q2" s="58">
        <v>11</v>
      </c>
      <c r="R2" s="58">
        <v>12</v>
      </c>
      <c r="S2" s="58">
        <v>13</v>
      </c>
      <c r="T2" s="58">
        <v>14</v>
      </c>
      <c r="U2" s="58">
        <v>15</v>
      </c>
      <c r="V2" s="58">
        <v>16</v>
      </c>
      <c r="W2" s="58">
        <v>17</v>
      </c>
      <c r="X2" s="58">
        <v>18</v>
      </c>
      <c r="Y2" s="58">
        <v>19</v>
      </c>
      <c r="Z2" s="58">
        <v>20</v>
      </c>
      <c r="AA2" s="58">
        <v>21</v>
      </c>
      <c r="AB2" s="58">
        <v>22</v>
      </c>
      <c r="AC2" s="58">
        <v>23</v>
      </c>
      <c r="AD2" s="58">
        <v>24</v>
      </c>
      <c r="AE2" s="58">
        <v>25</v>
      </c>
      <c r="AF2" s="58">
        <v>26</v>
      </c>
      <c r="AG2" s="58">
        <v>27</v>
      </c>
      <c r="AH2" s="58">
        <v>28</v>
      </c>
      <c r="AI2" s="58">
        <v>29</v>
      </c>
      <c r="AJ2" s="58">
        <v>30</v>
      </c>
      <c r="AK2" s="58">
        <v>31</v>
      </c>
      <c r="AL2" s="58">
        <v>7</v>
      </c>
      <c r="AM2" s="58">
        <v>8</v>
      </c>
      <c r="AN2" s="58">
        <v>9</v>
      </c>
      <c r="AO2" s="58">
        <v>10</v>
      </c>
      <c r="AP2" s="58">
        <v>11</v>
      </c>
      <c r="AQ2" s="58">
        <v>12</v>
      </c>
      <c r="AR2" s="58">
        <v>13</v>
      </c>
      <c r="AS2" s="58">
        <v>14</v>
      </c>
      <c r="AT2" s="58">
        <v>15</v>
      </c>
      <c r="AU2" s="58">
        <v>16</v>
      </c>
      <c r="AV2" s="58">
        <v>17</v>
      </c>
      <c r="AW2" s="58">
        <v>18</v>
      </c>
      <c r="AX2" s="58">
        <v>19</v>
      </c>
      <c r="AY2" s="58">
        <v>20</v>
      </c>
      <c r="AZ2" s="58">
        <v>21</v>
      </c>
      <c r="BA2" s="58">
        <v>22</v>
      </c>
      <c r="BB2" s="58">
        <v>23</v>
      </c>
      <c r="BC2" s="58">
        <v>24</v>
      </c>
      <c r="BD2" s="58">
        <v>25</v>
      </c>
      <c r="BE2" s="58">
        <v>26</v>
      </c>
      <c r="BF2" s="58">
        <v>27</v>
      </c>
      <c r="BG2" s="58">
        <v>28</v>
      </c>
      <c r="BH2" s="58">
        <v>16</v>
      </c>
      <c r="BI2" s="58">
        <v>17</v>
      </c>
      <c r="BJ2" s="58">
        <v>18</v>
      </c>
      <c r="BK2" s="58">
        <v>19</v>
      </c>
      <c r="BL2" s="58">
        <v>20</v>
      </c>
      <c r="BM2" s="58">
        <v>21</v>
      </c>
      <c r="BN2" s="58">
        <v>22</v>
      </c>
      <c r="BO2" s="58">
        <v>23</v>
      </c>
      <c r="BP2" s="58">
        <v>24</v>
      </c>
      <c r="BQ2" s="58">
        <v>25</v>
      </c>
      <c r="BR2" s="58">
        <v>26</v>
      </c>
      <c r="BS2" s="58">
        <v>27</v>
      </c>
      <c r="BT2" s="58">
        <v>28</v>
      </c>
      <c r="BU2" s="59" t="s">
        <v>98</v>
      </c>
    </row>
    <row r="3" spans="1:75" s="66" customFormat="1" x14ac:dyDescent="0.2">
      <c r="A3" s="60" t="s">
        <v>99</v>
      </c>
      <c r="B3" s="61" t="s">
        <v>100</v>
      </c>
      <c r="C3" s="62"/>
      <c r="D3" s="63" t="s">
        <v>101</v>
      </c>
      <c r="E3" s="64"/>
      <c r="F3" s="65"/>
      <c r="G3" s="65"/>
      <c r="H3" s="65"/>
      <c r="I3" s="242"/>
      <c r="J3" s="243"/>
      <c r="K3" s="243"/>
      <c r="L3" s="243"/>
      <c r="M3" s="243"/>
      <c r="N3" s="243"/>
      <c r="O3" s="243"/>
      <c r="P3" s="243"/>
      <c r="Q3" s="243"/>
      <c r="R3" s="243"/>
      <c r="S3" s="243"/>
      <c r="T3" s="243"/>
      <c r="U3" s="243"/>
      <c r="V3" s="243"/>
      <c r="W3" s="243"/>
      <c r="X3" s="243"/>
      <c r="Y3" s="243"/>
      <c r="Z3" s="243"/>
      <c r="AA3" s="243"/>
      <c r="AB3" s="243"/>
      <c r="AC3" s="243"/>
      <c r="AD3" s="243"/>
      <c r="AE3" s="243"/>
      <c r="AF3" s="243"/>
      <c r="AG3" s="243"/>
      <c r="AH3" s="243"/>
      <c r="AI3" s="243"/>
      <c r="AJ3" s="243"/>
      <c r="AK3" s="243"/>
      <c r="AL3" s="243"/>
      <c r="AM3" s="243"/>
      <c r="AN3" s="243"/>
      <c r="AO3" s="243"/>
      <c r="AP3" s="243"/>
      <c r="AQ3" s="243"/>
      <c r="AR3" s="243"/>
      <c r="AS3" s="243"/>
      <c r="AT3" s="243"/>
      <c r="AU3" s="243"/>
      <c r="AV3" s="243"/>
      <c r="AW3" s="243"/>
      <c r="AX3" s="243"/>
      <c r="AY3" s="243"/>
      <c r="AZ3" s="243"/>
      <c r="BA3" s="243"/>
      <c r="BB3" s="243"/>
      <c r="BC3" s="243"/>
      <c r="BD3" s="243"/>
      <c r="BE3" s="243"/>
      <c r="BF3" s="243"/>
      <c r="BG3" s="243"/>
      <c r="BH3" s="243"/>
      <c r="BI3" s="243"/>
      <c r="BJ3" s="243"/>
      <c r="BK3" s="243"/>
      <c r="BL3" s="243"/>
      <c r="BM3" s="243"/>
      <c r="BN3" s="243"/>
      <c r="BO3" s="243"/>
      <c r="BP3" s="243"/>
      <c r="BQ3" s="243"/>
      <c r="BR3" s="243"/>
      <c r="BS3" s="243"/>
      <c r="BT3" s="243"/>
      <c r="BU3" s="244"/>
    </row>
    <row r="4" spans="1:75" x14ac:dyDescent="0.2">
      <c r="A4" s="67">
        <v>1</v>
      </c>
      <c r="B4" s="68" t="s">
        <v>102</v>
      </c>
      <c r="C4" s="69"/>
      <c r="D4" s="70" t="s">
        <v>16</v>
      </c>
      <c r="E4" s="64">
        <v>0</v>
      </c>
      <c r="F4" s="64">
        <v>0</v>
      </c>
      <c r="G4" s="71">
        <v>0</v>
      </c>
      <c r="H4" s="71">
        <v>0</v>
      </c>
      <c r="I4" s="71">
        <v>0</v>
      </c>
      <c r="J4" s="71">
        <v>0</v>
      </c>
      <c r="K4" s="71">
        <v>0</v>
      </c>
      <c r="L4" s="71">
        <v>0</v>
      </c>
      <c r="M4" s="71">
        <v>0</v>
      </c>
      <c r="N4" s="71">
        <v>0</v>
      </c>
      <c r="O4" s="71">
        <v>0</v>
      </c>
      <c r="P4" s="71">
        <v>0</v>
      </c>
      <c r="Q4" s="71">
        <v>0</v>
      </c>
      <c r="R4" s="71">
        <v>0</v>
      </c>
      <c r="S4" s="71">
        <v>0</v>
      </c>
      <c r="T4" s="71">
        <v>0</v>
      </c>
      <c r="U4" s="71">
        <v>0</v>
      </c>
      <c r="V4" s="71">
        <v>0</v>
      </c>
      <c r="W4" s="71">
        <v>0</v>
      </c>
      <c r="X4" s="71">
        <v>0</v>
      </c>
      <c r="Y4" s="71">
        <v>0</v>
      </c>
      <c r="Z4" s="71">
        <v>0</v>
      </c>
      <c r="AA4" s="71">
        <v>0</v>
      </c>
      <c r="AB4" s="71">
        <v>0</v>
      </c>
      <c r="AC4" s="71">
        <v>0</v>
      </c>
      <c r="AD4" s="71">
        <v>0</v>
      </c>
      <c r="AE4" s="71">
        <v>0</v>
      </c>
      <c r="AF4" s="71">
        <v>0</v>
      </c>
      <c r="AG4" s="71">
        <v>0</v>
      </c>
      <c r="AH4" s="71">
        <v>0</v>
      </c>
      <c r="AI4" s="71">
        <v>0</v>
      </c>
      <c r="AJ4" s="71">
        <v>0</v>
      </c>
      <c r="AK4" s="71">
        <v>0</v>
      </c>
      <c r="AL4" s="71"/>
      <c r="AM4" s="71"/>
      <c r="AN4" s="72"/>
      <c r="AO4" s="72"/>
      <c r="AP4" s="72"/>
      <c r="AQ4" s="72"/>
      <c r="AR4" s="72"/>
      <c r="AS4" s="72"/>
      <c r="AT4" s="72"/>
      <c r="AU4" s="72"/>
      <c r="AV4" s="72"/>
      <c r="AW4" s="72"/>
      <c r="AX4" s="72"/>
      <c r="AY4" s="72"/>
      <c r="AZ4" s="72"/>
      <c r="BA4" s="72"/>
      <c r="BB4" s="72"/>
      <c r="BC4" s="72"/>
      <c r="BD4" s="72"/>
      <c r="BE4" s="72"/>
      <c r="BF4" s="72"/>
      <c r="BG4" s="72"/>
      <c r="BH4" s="73"/>
      <c r="BI4" s="73"/>
      <c r="BJ4" s="73"/>
      <c r="BK4" s="73"/>
      <c r="BL4" s="73"/>
      <c r="BM4" s="73"/>
      <c r="BN4" s="73"/>
      <c r="BO4" s="73"/>
      <c r="BP4" s="73"/>
      <c r="BQ4" s="73"/>
      <c r="BR4" s="73"/>
      <c r="BS4" s="73"/>
      <c r="BT4" s="73"/>
      <c r="BU4" s="74">
        <f t="shared" ref="BU4:BU49" si="0">SUM(G4:BG4)</f>
        <v>0</v>
      </c>
      <c r="BV4" s="75"/>
    </row>
    <row r="5" spans="1:75" x14ac:dyDescent="0.2">
      <c r="A5" s="67">
        <v>2</v>
      </c>
      <c r="B5" s="68" t="s">
        <v>103</v>
      </c>
      <c r="C5" s="69"/>
      <c r="D5" s="70" t="s">
        <v>16</v>
      </c>
      <c r="E5" s="64"/>
      <c r="F5" s="64"/>
      <c r="G5" s="71">
        <v>0</v>
      </c>
      <c r="H5" s="71">
        <v>0</v>
      </c>
      <c r="I5" s="71">
        <v>0</v>
      </c>
      <c r="J5" s="71">
        <v>0</v>
      </c>
      <c r="K5" s="71">
        <v>0</v>
      </c>
      <c r="L5" s="71">
        <v>18.863</v>
      </c>
      <c r="M5" s="71">
        <v>0</v>
      </c>
      <c r="N5" s="71">
        <v>0</v>
      </c>
      <c r="O5" s="71">
        <v>24.898</v>
      </c>
      <c r="P5" s="71">
        <v>5.5330000000000004</v>
      </c>
      <c r="Q5" s="71">
        <v>0</v>
      </c>
      <c r="R5" s="71">
        <v>0</v>
      </c>
      <c r="S5" s="71">
        <v>22.635000000000002</v>
      </c>
      <c r="T5" s="71">
        <v>39.234000000000002</v>
      </c>
      <c r="U5" s="71">
        <v>49.796999999999997</v>
      </c>
      <c r="V5" s="71">
        <v>43.51</v>
      </c>
      <c r="W5" s="71">
        <v>42.679000000000002</v>
      </c>
      <c r="X5" s="71">
        <v>20.875</v>
      </c>
      <c r="Y5" s="71">
        <v>0</v>
      </c>
      <c r="Z5" s="71">
        <v>0</v>
      </c>
      <c r="AA5" s="71">
        <v>36.466999999999999</v>
      </c>
      <c r="AB5" s="71">
        <v>43.51</v>
      </c>
      <c r="AC5" s="71">
        <v>32.695</v>
      </c>
      <c r="AD5" s="71">
        <v>38.731000000000002</v>
      </c>
      <c r="AE5" s="71">
        <v>13.581</v>
      </c>
      <c r="AF5" s="71">
        <v>3.0179999999999998</v>
      </c>
      <c r="AG5" s="71">
        <v>20.128</v>
      </c>
      <c r="AH5" s="71">
        <v>30.18</v>
      </c>
      <c r="AI5" s="71">
        <v>31.186</v>
      </c>
      <c r="AJ5" s="71">
        <v>33.198</v>
      </c>
      <c r="AK5" s="71">
        <v>31.186</v>
      </c>
      <c r="AL5" s="71"/>
      <c r="AM5" s="71"/>
      <c r="AN5" s="72"/>
      <c r="AO5" s="72"/>
      <c r="AP5" s="72"/>
      <c r="AQ5" s="72"/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  <c r="BD5" s="72"/>
      <c r="BE5" s="72"/>
      <c r="BF5" s="72"/>
      <c r="BG5" s="72"/>
      <c r="BH5" s="73"/>
      <c r="BI5" s="73"/>
      <c r="BJ5" s="73"/>
      <c r="BK5" s="73"/>
      <c r="BL5" s="73"/>
      <c r="BM5" s="73"/>
      <c r="BN5" s="73"/>
      <c r="BO5" s="73"/>
      <c r="BP5" s="73"/>
      <c r="BQ5" s="73"/>
      <c r="BR5" s="73"/>
      <c r="BS5" s="73"/>
      <c r="BT5" s="73"/>
      <c r="BU5" s="74">
        <f t="shared" si="0"/>
        <v>581.904</v>
      </c>
      <c r="BV5" s="75"/>
      <c r="BW5" s="100"/>
    </row>
    <row r="6" spans="1:75" x14ac:dyDescent="0.2">
      <c r="A6" s="67">
        <v>3</v>
      </c>
      <c r="B6" s="68" t="s">
        <v>104</v>
      </c>
      <c r="C6" s="69"/>
      <c r="D6" s="70" t="s">
        <v>16</v>
      </c>
      <c r="E6" s="64">
        <v>0</v>
      </c>
      <c r="F6" s="64">
        <v>0</v>
      </c>
      <c r="G6" s="71">
        <v>0</v>
      </c>
      <c r="H6" s="71">
        <v>0</v>
      </c>
      <c r="I6" s="71">
        <v>0</v>
      </c>
      <c r="J6" s="71">
        <v>0</v>
      </c>
      <c r="K6" s="71">
        <v>0</v>
      </c>
      <c r="L6" s="71">
        <v>0</v>
      </c>
      <c r="M6" s="71">
        <v>0</v>
      </c>
      <c r="N6" s="71">
        <v>0</v>
      </c>
      <c r="O6" s="71">
        <v>0</v>
      </c>
      <c r="P6" s="71">
        <v>0</v>
      </c>
      <c r="Q6" s="71">
        <v>0</v>
      </c>
      <c r="R6" s="71">
        <v>0</v>
      </c>
      <c r="S6" s="71">
        <v>0</v>
      </c>
      <c r="T6" s="71">
        <v>0</v>
      </c>
      <c r="U6" s="71">
        <v>0</v>
      </c>
      <c r="V6" s="71">
        <v>0</v>
      </c>
      <c r="W6" s="71">
        <v>0</v>
      </c>
      <c r="X6" s="71">
        <v>0</v>
      </c>
      <c r="Y6" s="71">
        <v>0</v>
      </c>
      <c r="Z6" s="71">
        <v>0</v>
      </c>
      <c r="AA6" s="71">
        <v>0</v>
      </c>
      <c r="AB6" s="71">
        <v>0</v>
      </c>
      <c r="AC6" s="71">
        <v>0</v>
      </c>
      <c r="AD6" s="71">
        <v>0</v>
      </c>
      <c r="AE6" s="71">
        <v>0</v>
      </c>
      <c r="AF6" s="71">
        <v>0</v>
      </c>
      <c r="AG6" s="71">
        <v>0</v>
      </c>
      <c r="AH6" s="71">
        <v>0</v>
      </c>
      <c r="AI6" s="71">
        <v>0</v>
      </c>
      <c r="AJ6" s="71">
        <v>0</v>
      </c>
      <c r="AK6" s="71">
        <v>0</v>
      </c>
      <c r="AL6" s="71"/>
      <c r="AM6" s="71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2"/>
      <c r="BF6" s="72"/>
      <c r="BG6" s="72"/>
      <c r="BH6" s="73"/>
      <c r="BI6" s="73"/>
      <c r="BJ6" s="73"/>
      <c r="BK6" s="73"/>
      <c r="BL6" s="73"/>
      <c r="BM6" s="73"/>
      <c r="BN6" s="73"/>
      <c r="BO6" s="73"/>
      <c r="BP6" s="73"/>
      <c r="BQ6" s="73"/>
      <c r="BR6" s="73"/>
      <c r="BS6" s="73"/>
      <c r="BT6" s="73"/>
      <c r="BU6" s="74">
        <f t="shared" si="0"/>
        <v>0</v>
      </c>
      <c r="BV6" s="75"/>
      <c r="BW6" s="100"/>
    </row>
    <row r="7" spans="1:75" x14ac:dyDescent="0.2">
      <c r="A7" s="67">
        <v>4</v>
      </c>
      <c r="B7" s="68" t="s">
        <v>105</v>
      </c>
      <c r="C7" s="69"/>
      <c r="D7" s="70" t="s">
        <v>16</v>
      </c>
      <c r="E7" s="64">
        <v>0</v>
      </c>
      <c r="F7" s="64">
        <v>0</v>
      </c>
      <c r="G7" s="71">
        <v>0</v>
      </c>
      <c r="H7" s="71">
        <v>0</v>
      </c>
      <c r="I7" s="71">
        <v>0</v>
      </c>
      <c r="J7" s="71">
        <v>0</v>
      </c>
      <c r="K7" s="71">
        <v>0</v>
      </c>
      <c r="L7" s="71">
        <v>25</v>
      </c>
      <c r="M7" s="71">
        <v>0</v>
      </c>
      <c r="N7" s="71">
        <v>0</v>
      </c>
      <c r="O7" s="71">
        <v>8.5</v>
      </c>
      <c r="P7" s="71">
        <v>0</v>
      </c>
      <c r="Q7" s="71">
        <v>0</v>
      </c>
      <c r="R7" s="71">
        <v>0</v>
      </c>
      <c r="S7" s="71">
        <v>9.75</v>
      </c>
      <c r="T7" s="71">
        <v>15.5</v>
      </c>
      <c r="U7" s="71">
        <v>8.25</v>
      </c>
      <c r="V7" s="71">
        <v>7</v>
      </c>
      <c r="W7" s="71">
        <v>10.75</v>
      </c>
      <c r="X7" s="71">
        <v>3.75</v>
      </c>
      <c r="Y7" s="71">
        <v>0</v>
      </c>
      <c r="Z7" s="71">
        <v>0</v>
      </c>
      <c r="AA7" s="71">
        <v>0</v>
      </c>
      <c r="AB7" s="71">
        <v>2</v>
      </c>
      <c r="AC7" s="71">
        <v>4.75</v>
      </c>
      <c r="AD7" s="71">
        <v>0</v>
      </c>
      <c r="AE7" s="71">
        <v>0</v>
      </c>
      <c r="AF7" s="71">
        <v>13</v>
      </c>
      <c r="AG7" s="71">
        <v>2.9319999999999999</v>
      </c>
      <c r="AH7" s="71">
        <v>0</v>
      </c>
      <c r="AI7" s="71">
        <v>0</v>
      </c>
      <c r="AJ7" s="71">
        <v>0</v>
      </c>
      <c r="AK7" s="71">
        <v>0</v>
      </c>
      <c r="AL7" s="71"/>
      <c r="AM7" s="71"/>
      <c r="AN7" s="72"/>
      <c r="AO7" s="72"/>
      <c r="AP7" s="72"/>
      <c r="AQ7" s="72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2"/>
      <c r="BF7" s="72"/>
      <c r="BG7" s="72"/>
      <c r="BH7" s="73"/>
      <c r="BI7" s="73"/>
      <c r="BJ7" s="73"/>
      <c r="BK7" s="73"/>
      <c r="BL7" s="73"/>
      <c r="BM7" s="73"/>
      <c r="BN7" s="73"/>
      <c r="BO7" s="73"/>
      <c r="BP7" s="73"/>
      <c r="BQ7" s="73"/>
      <c r="BR7" s="73"/>
      <c r="BS7" s="73"/>
      <c r="BT7" s="73"/>
      <c r="BU7" s="74">
        <f t="shared" si="0"/>
        <v>111.182</v>
      </c>
      <c r="BV7" s="75"/>
    </row>
    <row r="8" spans="1:75" x14ac:dyDescent="0.2">
      <c r="A8" s="67">
        <v>5</v>
      </c>
      <c r="B8" s="68" t="s">
        <v>106</v>
      </c>
      <c r="C8" s="69"/>
      <c r="D8" s="70" t="s">
        <v>16</v>
      </c>
      <c r="E8" s="64"/>
      <c r="F8" s="64"/>
      <c r="G8" s="71">
        <v>0</v>
      </c>
      <c r="H8" s="71">
        <v>0</v>
      </c>
      <c r="I8" s="71">
        <v>0</v>
      </c>
      <c r="J8" s="71">
        <v>0</v>
      </c>
      <c r="K8" s="71">
        <v>0</v>
      </c>
      <c r="L8" s="71">
        <v>0</v>
      </c>
      <c r="M8" s="71">
        <v>0</v>
      </c>
      <c r="N8" s="71">
        <v>0</v>
      </c>
      <c r="O8" s="71">
        <v>0</v>
      </c>
      <c r="P8" s="71">
        <v>0</v>
      </c>
      <c r="Q8" s="71">
        <v>0</v>
      </c>
      <c r="R8" s="71">
        <v>0</v>
      </c>
      <c r="S8" s="71">
        <v>0</v>
      </c>
      <c r="T8" s="71">
        <v>0</v>
      </c>
      <c r="U8" s="71">
        <v>0</v>
      </c>
      <c r="V8" s="71">
        <v>0</v>
      </c>
      <c r="W8" s="71">
        <v>0</v>
      </c>
      <c r="X8" s="71">
        <v>0</v>
      </c>
      <c r="Y8" s="71">
        <v>0</v>
      </c>
      <c r="Z8" s="71">
        <v>0</v>
      </c>
      <c r="AA8" s="71">
        <v>0</v>
      </c>
      <c r="AB8" s="71">
        <v>0</v>
      </c>
      <c r="AC8" s="71">
        <v>0</v>
      </c>
      <c r="AD8" s="71">
        <v>0</v>
      </c>
      <c r="AE8" s="71">
        <v>0</v>
      </c>
      <c r="AF8" s="71">
        <v>0</v>
      </c>
      <c r="AG8" s="71">
        <v>0</v>
      </c>
      <c r="AH8" s="71">
        <v>0</v>
      </c>
      <c r="AI8" s="71">
        <v>0</v>
      </c>
      <c r="AJ8" s="71">
        <v>0</v>
      </c>
      <c r="AK8" s="71">
        <v>0</v>
      </c>
      <c r="AL8" s="71"/>
      <c r="AM8" s="71"/>
      <c r="AN8" s="72"/>
      <c r="AO8" s="72"/>
      <c r="AP8" s="72"/>
      <c r="AQ8" s="72"/>
      <c r="AR8" s="72"/>
      <c r="AS8" s="72"/>
      <c r="AT8" s="72"/>
      <c r="AU8" s="72"/>
      <c r="AV8" s="72"/>
      <c r="AW8" s="72"/>
      <c r="AX8" s="72"/>
      <c r="AY8" s="72"/>
      <c r="AZ8" s="72"/>
      <c r="BA8" s="72"/>
      <c r="BB8" s="72"/>
      <c r="BC8" s="72"/>
      <c r="BD8" s="72"/>
      <c r="BE8" s="72"/>
      <c r="BF8" s="72"/>
      <c r="BG8" s="72"/>
      <c r="BH8" s="73"/>
      <c r="BI8" s="73"/>
      <c r="BJ8" s="73"/>
      <c r="BK8" s="73"/>
      <c r="BL8" s="73"/>
      <c r="BM8" s="73"/>
      <c r="BN8" s="73"/>
      <c r="BO8" s="73"/>
      <c r="BP8" s="73"/>
      <c r="BQ8" s="73"/>
      <c r="BR8" s="73"/>
      <c r="BS8" s="73"/>
      <c r="BT8" s="73"/>
      <c r="BU8" s="74">
        <f t="shared" si="0"/>
        <v>0</v>
      </c>
      <c r="BV8" s="75"/>
    </row>
    <row r="9" spans="1:75" x14ac:dyDescent="0.2">
      <c r="A9" s="67">
        <v>6</v>
      </c>
      <c r="B9" s="68" t="s">
        <v>107</v>
      </c>
      <c r="C9" s="69"/>
      <c r="D9" s="70" t="s">
        <v>16</v>
      </c>
      <c r="E9" s="64"/>
      <c r="F9" s="64"/>
      <c r="G9" s="71">
        <v>0</v>
      </c>
      <c r="H9" s="71">
        <v>0</v>
      </c>
      <c r="I9" s="71">
        <v>0</v>
      </c>
      <c r="J9" s="71">
        <v>0</v>
      </c>
      <c r="K9" s="71">
        <v>0</v>
      </c>
      <c r="L9" s="71">
        <v>0</v>
      </c>
      <c r="M9" s="71">
        <v>0</v>
      </c>
      <c r="N9" s="71">
        <v>0</v>
      </c>
      <c r="O9" s="71">
        <v>0</v>
      </c>
      <c r="P9" s="71">
        <v>0</v>
      </c>
      <c r="Q9" s="71">
        <v>0</v>
      </c>
      <c r="R9" s="71">
        <v>0</v>
      </c>
      <c r="S9" s="71">
        <v>0</v>
      </c>
      <c r="T9" s="71">
        <v>0</v>
      </c>
      <c r="U9" s="71">
        <v>0</v>
      </c>
      <c r="V9" s="71">
        <v>0</v>
      </c>
      <c r="W9" s="71">
        <v>0</v>
      </c>
      <c r="X9" s="71">
        <v>0</v>
      </c>
      <c r="Y9" s="71">
        <v>0</v>
      </c>
      <c r="Z9" s="71">
        <v>0</v>
      </c>
      <c r="AA9" s="71">
        <v>0</v>
      </c>
      <c r="AB9" s="71">
        <v>0</v>
      </c>
      <c r="AC9" s="71">
        <v>0</v>
      </c>
      <c r="AD9" s="71">
        <v>0</v>
      </c>
      <c r="AE9" s="71">
        <v>0</v>
      </c>
      <c r="AF9" s="71">
        <v>0</v>
      </c>
      <c r="AG9" s="71">
        <v>14.797000000000001</v>
      </c>
      <c r="AH9" s="71">
        <v>17.5</v>
      </c>
      <c r="AI9" s="71">
        <v>17.57</v>
      </c>
      <c r="AJ9" s="71">
        <v>16.315000000000001</v>
      </c>
      <c r="AK9" s="71">
        <v>17.64</v>
      </c>
      <c r="AL9" s="71"/>
      <c r="AM9" s="71"/>
      <c r="AN9" s="72"/>
      <c r="AO9" s="72"/>
      <c r="AP9" s="72"/>
      <c r="AQ9" s="72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2"/>
      <c r="BF9" s="72"/>
      <c r="BG9" s="72"/>
      <c r="BH9" s="73"/>
      <c r="BI9" s="73"/>
      <c r="BJ9" s="73"/>
      <c r="BK9" s="73"/>
      <c r="BL9" s="73"/>
      <c r="BM9" s="73"/>
      <c r="BN9" s="73"/>
      <c r="BO9" s="73"/>
      <c r="BP9" s="73"/>
      <c r="BQ9" s="73"/>
      <c r="BR9" s="73"/>
      <c r="BS9" s="73"/>
      <c r="BT9" s="73"/>
      <c r="BU9" s="74">
        <f t="shared" si="0"/>
        <v>83.822000000000003</v>
      </c>
      <c r="BV9" s="75"/>
    </row>
    <row r="10" spans="1:75" x14ac:dyDescent="0.2">
      <c r="A10" s="67">
        <v>7</v>
      </c>
      <c r="B10" s="68" t="s">
        <v>108</v>
      </c>
      <c r="C10" s="69"/>
      <c r="D10" s="70" t="s">
        <v>16</v>
      </c>
      <c r="E10" s="64"/>
      <c r="F10" s="64"/>
      <c r="G10" s="71">
        <v>0</v>
      </c>
      <c r="H10" s="71">
        <v>0</v>
      </c>
      <c r="I10" s="71">
        <v>0</v>
      </c>
      <c r="J10" s="71">
        <v>0</v>
      </c>
      <c r="K10" s="71">
        <v>0</v>
      </c>
      <c r="L10" s="71">
        <v>0</v>
      </c>
      <c r="M10" s="71">
        <v>0</v>
      </c>
      <c r="N10" s="71">
        <v>0</v>
      </c>
      <c r="O10" s="71">
        <v>0</v>
      </c>
      <c r="P10" s="71">
        <v>0</v>
      </c>
      <c r="Q10" s="71">
        <v>0</v>
      </c>
      <c r="R10" s="71">
        <v>0</v>
      </c>
      <c r="S10" s="71">
        <v>0</v>
      </c>
      <c r="T10" s="71">
        <v>0</v>
      </c>
      <c r="U10" s="71">
        <v>0</v>
      </c>
      <c r="V10" s="71">
        <v>0</v>
      </c>
      <c r="W10" s="71">
        <v>0</v>
      </c>
      <c r="X10" s="71">
        <v>0</v>
      </c>
      <c r="Y10" s="71">
        <v>0</v>
      </c>
      <c r="Z10" s="71">
        <v>0</v>
      </c>
      <c r="AA10" s="71">
        <v>0</v>
      </c>
      <c r="AB10" s="71">
        <v>0</v>
      </c>
      <c r="AC10" s="71">
        <v>0</v>
      </c>
      <c r="AD10" s="71">
        <v>0</v>
      </c>
      <c r="AE10" s="71">
        <v>0</v>
      </c>
      <c r="AF10" s="71">
        <v>0</v>
      </c>
      <c r="AG10" s="71">
        <v>0</v>
      </c>
      <c r="AH10" s="71">
        <v>0</v>
      </c>
      <c r="AI10" s="71">
        <v>0</v>
      </c>
      <c r="AJ10" s="71">
        <v>0</v>
      </c>
      <c r="AK10" s="71">
        <v>0</v>
      </c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71"/>
      <c r="BH10" s="64"/>
      <c r="BI10" s="64"/>
      <c r="BJ10" s="64"/>
      <c r="BK10" s="64"/>
      <c r="BL10" s="64"/>
      <c r="BM10" s="64"/>
      <c r="BN10" s="73"/>
      <c r="BO10" s="73"/>
      <c r="BP10" s="73"/>
      <c r="BQ10" s="73"/>
      <c r="BR10" s="73"/>
      <c r="BS10" s="73"/>
      <c r="BT10" s="73"/>
      <c r="BU10" s="74">
        <f t="shared" si="0"/>
        <v>0</v>
      </c>
      <c r="BV10" s="75"/>
    </row>
    <row r="11" spans="1:75" x14ac:dyDescent="0.2">
      <c r="A11" s="67">
        <v>8</v>
      </c>
      <c r="B11" s="68" t="s">
        <v>109</v>
      </c>
      <c r="C11" s="69"/>
      <c r="D11" s="70" t="s">
        <v>16</v>
      </c>
      <c r="E11" s="64"/>
      <c r="F11" s="64"/>
      <c r="G11" s="71">
        <v>0</v>
      </c>
      <c r="H11" s="71">
        <v>0</v>
      </c>
      <c r="I11" s="71">
        <v>0</v>
      </c>
      <c r="J11" s="71">
        <v>0</v>
      </c>
      <c r="K11" s="71">
        <v>0</v>
      </c>
      <c r="L11" s="71">
        <v>0</v>
      </c>
      <c r="M11" s="71">
        <v>0</v>
      </c>
      <c r="N11" s="71">
        <v>0</v>
      </c>
      <c r="O11" s="71">
        <v>0</v>
      </c>
      <c r="P11" s="71">
        <v>0</v>
      </c>
      <c r="Q11" s="71">
        <v>0</v>
      </c>
      <c r="R11" s="71">
        <v>0</v>
      </c>
      <c r="S11" s="71">
        <v>0</v>
      </c>
      <c r="T11" s="71">
        <v>0</v>
      </c>
      <c r="U11" s="71">
        <v>0</v>
      </c>
      <c r="V11" s="71">
        <v>0</v>
      </c>
      <c r="W11" s="71">
        <v>0</v>
      </c>
      <c r="X11" s="71">
        <v>0</v>
      </c>
      <c r="Y11" s="71">
        <v>0</v>
      </c>
      <c r="Z11" s="71">
        <v>0</v>
      </c>
      <c r="AA11" s="71">
        <v>0</v>
      </c>
      <c r="AB11" s="71">
        <v>0</v>
      </c>
      <c r="AC11" s="71">
        <v>0</v>
      </c>
      <c r="AD11" s="71">
        <v>0</v>
      </c>
      <c r="AE11" s="71">
        <v>0</v>
      </c>
      <c r="AF11" s="71">
        <v>0</v>
      </c>
      <c r="AG11" s="71">
        <v>0</v>
      </c>
      <c r="AH11" s="71">
        <v>0</v>
      </c>
      <c r="AI11" s="71">
        <v>0</v>
      </c>
      <c r="AJ11" s="71">
        <v>0</v>
      </c>
      <c r="AK11" s="71">
        <v>0</v>
      </c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1"/>
      <c r="BH11" s="64"/>
      <c r="BI11" s="64"/>
      <c r="BJ11" s="64"/>
      <c r="BK11" s="64"/>
      <c r="BL11" s="64"/>
      <c r="BM11" s="64"/>
      <c r="BN11" s="73"/>
      <c r="BO11" s="73"/>
      <c r="BP11" s="73"/>
      <c r="BQ11" s="73"/>
      <c r="BR11" s="73"/>
      <c r="BS11" s="73"/>
      <c r="BT11" s="73"/>
      <c r="BU11" s="74">
        <f t="shared" si="0"/>
        <v>0</v>
      </c>
      <c r="BV11" s="75"/>
    </row>
    <row r="12" spans="1:75" x14ac:dyDescent="0.2">
      <c r="A12" s="67">
        <v>9</v>
      </c>
      <c r="B12" s="68" t="s">
        <v>110</v>
      </c>
      <c r="C12" s="69"/>
      <c r="D12" s="70" t="s">
        <v>16</v>
      </c>
      <c r="E12" s="64"/>
      <c r="F12" s="64"/>
      <c r="G12" s="71">
        <v>16.38</v>
      </c>
      <c r="H12" s="71">
        <v>15.12</v>
      </c>
      <c r="I12" s="71">
        <v>15.12</v>
      </c>
      <c r="J12" s="71">
        <v>11.34</v>
      </c>
      <c r="K12" s="71">
        <v>12.6</v>
      </c>
      <c r="L12" s="71">
        <v>13.86</v>
      </c>
      <c r="M12" s="71">
        <v>13.86</v>
      </c>
      <c r="N12" s="71">
        <v>12.6</v>
      </c>
      <c r="O12" s="71">
        <v>10.08</v>
      </c>
      <c r="P12" s="71">
        <v>15.12</v>
      </c>
      <c r="Q12" s="71">
        <v>16.38</v>
      </c>
      <c r="R12" s="71">
        <v>17.64</v>
      </c>
      <c r="S12" s="71">
        <v>17.388000000000002</v>
      </c>
      <c r="T12" s="71">
        <v>15.875999999999999</v>
      </c>
      <c r="U12" s="71">
        <v>17.64</v>
      </c>
      <c r="V12" s="71">
        <v>17.64</v>
      </c>
      <c r="W12" s="71">
        <v>19.404</v>
      </c>
      <c r="X12" s="71">
        <v>16.128</v>
      </c>
      <c r="Y12" s="71">
        <v>16.38</v>
      </c>
      <c r="Z12" s="71">
        <v>17.64</v>
      </c>
      <c r="AA12" s="71">
        <v>13.86</v>
      </c>
      <c r="AB12" s="71">
        <v>15.12</v>
      </c>
      <c r="AC12" s="71">
        <v>13.86</v>
      </c>
      <c r="AD12" s="71">
        <v>17.64</v>
      </c>
      <c r="AE12" s="71">
        <v>22.931999999999999</v>
      </c>
      <c r="AF12" s="71">
        <v>18.396000000000001</v>
      </c>
      <c r="AG12" s="71">
        <v>3.923</v>
      </c>
      <c r="AH12" s="71">
        <v>0</v>
      </c>
      <c r="AI12" s="71">
        <v>0</v>
      </c>
      <c r="AJ12" s="71">
        <v>0</v>
      </c>
      <c r="AK12" s="71">
        <v>0</v>
      </c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1"/>
      <c r="BF12" s="71"/>
      <c r="BG12" s="71"/>
      <c r="BH12" s="64"/>
      <c r="BI12" s="64"/>
      <c r="BJ12" s="64"/>
      <c r="BK12" s="64"/>
      <c r="BL12" s="64"/>
      <c r="BM12" s="64"/>
      <c r="BN12" s="73"/>
      <c r="BO12" s="73"/>
      <c r="BP12" s="73"/>
      <c r="BQ12" s="73"/>
      <c r="BR12" s="73"/>
      <c r="BS12" s="73"/>
      <c r="BT12" s="73"/>
      <c r="BU12" s="74">
        <f t="shared" si="0"/>
        <v>413.92699999999996</v>
      </c>
      <c r="BV12" s="75"/>
    </row>
    <row r="13" spans="1:75" x14ac:dyDescent="0.2">
      <c r="A13" s="67">
        <v>10</v>
      </c>
      <c r="B13" s="68" t="s">
        <v>111</v>
      </c>
      <c r="C13" s="69"/>
      <c r="D13" s="70" t="s">
        <v>16</v>
      </c>
      <c r="E13" s="64"/>
      <c r="F13" s="64"/>
      <c r="G13" s="71">
        <v>0</v>
      </c>
      <c r="H13" s="71">
        <v>0</v>
      </c>
      <c r="I13" s="71">
        <v>0</v>
      </c>
      <c r="J13" s="71">
        <v>0</v>
      </c>
      <c r="K13" s="71">
        <v>0</v>
      </c>
      <c r="L13" s="71">
        <v>0</v>
      </c>
      <c r="M13" s="71">
        <v>0</v>
      </c>
      <c r="N13" s="71">
        <v>0</v>
      </c>
      <c r="O13" s="71">
        <v>0</v>
      </c>
      <c r="P13" s="71">
        <v>0</v>
      </c>
      <c r="Q13" s="71">
        <v>0</v>
      </c>
      <c r="R13" s="71">
        <v>0</v>
      </c>
      <c r="S13" s="71">
        <v>0</v>
      </c>
      <c r="T13" s="71">
        <v>0</v>
      </c>
      <c r="U13" s="71">
        <v>0</v>
      </c>
      <c r="V13" s="71">
        <v>0</v>
      </c>
      <c r="W13" s="71">
        <v>0</v>
      </c>
      <c r="X13" s="71">
        <v>0</v>
      </c>
      <c r="Y13" s="71">
        <v>0</v>
      </c>
      <c r="Z13" s="71">
        <v>0</v>
      </c>
      <c r="AA13" s="71">
        <v>0</v>
      </c>
      <c r="AB13" s="71">
        <v>0</v>
      </c>
      <c r="AC13" s="71">
        <v>0</v>
      </c>
      <c r="AD13" s="71">
        <v>0</v>
      </c>
      <c r="AE13" s="71">
        <v>0</v>
      </c>
      <c r="AF13" s="71">
        <v>0</v>
      </c>
      <c r="AG13" s="71">
        <v>0</v>
      </c>
      <c r="AH13" s="71">
        <v>0</v>
      </c>
      <c r="AI13" s="71">
        <v>0</v>
      </c>
      <c r="AJ13" s="71">
        <v>0</v>
      </c>
      <c r="AK13" s="71">
        <v>0</v>
      </c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71"/>
      <c r="BF13" s="71"/>
      <c r="BG13" s="71"/>
      <c r="BH13" s="64"/>
      <c r="BI13" s="64"/>
      <c r="BJ13" s="64"/>
      <c r="BK13" s="64"/>
      <c r="BL13" s="64"/>
      <c r="BM13" s="64"/>
      <c r="BN13" s="73"/>
      <c r="BO13" s="73"/>
      <c r="BP13" s="73"/>
      <c r="BQ13" s="73"/>
      <c r="BR13" s="73"/>
      <c r="BS13" s="73"/>
      <c r="BT13" s="73"/>
      <c r="BU13" s="74">
        <f t="shared" si="0"/>
        <v>0</v>
      </c>
      <c r="BV13" s="183"/>
    </row>
    <row r="14" spans="1:75" x14ac:dyDescent="0.2">
      <c r="A14" s="67">
        <v>11</v>
      </c>
      <c r="B14" s="68" t="s">
        <v>112</v>
      </c>
      <c r="C14" s="69"/>
      <c r="D14" s="70" t="s">
        <v>16</v>
      </c>
      <c r="E14" s="64"/>
      <c r="F14" s="64"/>
      <c r="G14" s="71">
        <v>75.734999999999999</v>
      </c>
      <c r="H14" s="71">
        <v>77.22</v>
      </c>
      <c r="I14" s="71">
        <v>68.28</v>
      </c>
      <c r="J14" s="71">
        <v>58.914999999999999</v>
      </c>
      <c r="K14" s="71">
        <v>72.290000000000006</v>
      </c>
      <c r="L14" s="71">
        <v>9.4049999999999994</v>
      </c>
      <c r="M14" s="71">
        <v>66.825000000000003</v>
      </c>
      <c r="N14" s="71">
        <v>71.25</v>
      </c>
      <c r="O14" s="71">
        <v>16.355</v>
      </c>
      <c r="P14" s="71">
        <v>63.854999999999997</v>
      </c>
      <c r="Q14" s="71">
        <v>56.935000000000002</v>
      </c>
      <c r="R14" s="71">
        <v>76.23</v>
      </c>
      <c r="S14" s="71">
        <v>35.320999999999998</v>
      </c>
      <c r="T14" s="71">
        <v>15.345000000000001</v>
      </c>
      <c r="U14" s="71">
        <v>8.1509999999999998</v>
      </c>
      <c r="V14" s="71">
        <v>0</v>
      </c>
      <c r="W14" s="71">
        <v>0</v>
      </c>
      <c r="X14" s="71">
        <v>38.61</v>
      </c>
      <c r="Y14" s="71">
        <v>81.707999999999998</v>
      </c>
      <c r="Z14" s="71">
        <v>76.260000000000005</v>
      </c>
      <c r="AA14" s="71">
        <v>32.93</v>
      </c>
      <c r="AB14" s="71">
        <v>24.501999999999999</v>
      </c>
      <c r="AC14" s="71">
        <v>10.4</v>
      </c>
      <c r="AD14" s="71">
        <v>30.207999999999998</v>
      </c>
      <c r="AE14" s="71">
        <v>48.034999999999997</v>
      </c>
      <c r="AF14" s="71">
        <v>55.938000000000002</v>
      </c>
      <c r="AG14" s="71">
        <v>36.225000000000001</v>
      </c>
      <c r="AH14" s="71">
        <v>38.643999999999998</v>
      </c>
      <c r="AI14" s="71">
        <v>39.636000000000003</v>
      </c>
      <c r="AJ14" s="71">
        <v>34.177999999999997</v>
      </c>
      <c r="AK14" s="71">
        <v>37.67</v>
      </c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1"/>
      <c r="BF14" s="71"/>
      <c r="BG14" s="71"/>
      <c r="BH14" s="64"/>
      <c r="BI14" s="64"/>
      <c r="BJ14" s="64"/>
      <c r="BK14" s="64"/>
      <c r="BL14" s="64"/>
      <c r="BM14" s="64"/>
      <c r="BN14" s="73"/>
      <c r="BO14" s="73"/>
      <c r="BP14" s="73"/>
      <c r="BQ14" s="73"/>
      <c r="BR14" s="73"/>
      <c r="BS14" s="73"/>
      <c r="BT14" s="73"/>
      <c r="BU14" s="74">
        <f t="shared" si="0"/>
        <v>1357.0560000000005</v>
      </c>
      <c r="BV14" s="75"/>
    </row>
    <row r="15" spans="1:75" x14ac:dyDescent="0.2">
      <c r="A15" s="67">
        <v>12</v>
      </c>
      <c r="B15" s="68" t="s">
        <v>113</v>
      </c>
      <c r="C15" s="69"/>
      <c r="D15" s="70" t="s">
        <v>16</v>
      </c>
      <c r="E15" s="64"/>
      <c r="F15" s="64"/>
      <c r="G15" s="71">
        <v>0</v>
      </c>
      <c r="H15" s="71">
        <v>0</v>
      </c>
      <c r="I15" s="71">
        <v>0</v>
      </c>
      <c r="J15" s="71">
        <v>0</v>
      </c>
      <c r="K15" s="71">
        <v>0</v>
      </c>
      <c r="L15" s="71">
        <v>0</v>
      </c>
      <c r="M15" s="71">
        <v>0</v>
      </c>
      <c r="N15" s="71">
        <v>0</v>
      </c>
      <c r="O15" s="71">
        <v>0</v>
      </c>
      <c r="P15" s="71">
        <v>0</v>
      </c>
      <c r="Q15" s="71">
        <v>0</v>
      </c>
      <c r="R15" s="71">
        <v>0</v>
      </c>
      <c r="S15" s="71">
        <v>0</v>
      </c>
      <c r="T15" s="71">
        <v>0</v>
      </c>
      <c r="U15" s="71">
        <v>0</v>
      </c>
      <c r="V15" s="71">
        <v>0</v>
      </c>
      <c r="W15" s="71">
        <v>0</v>
      </c>
      <c r="X15" s="71">
        <v>0</v>
      </c>
      <c r="Y15" s="71">
        <v>0</v>
      </c>
      <c r="Z15" s="71">
        <v>0</v>
      </c>
      <c r="AA15" s="71">
        <v>0</v>
      </c>
      <c r="AB15" s="71">
        <v>0</v>
      </c>
      <c r="AC15" s="71">
        <v>0</v>
      </c>
      <c r="AD15" s="71">
        <v>0</v>
      </c>
      <c r="AE15" s="71">
        <v>0</v>
      </c>
      <c r="AF15" s="71">
        <v>0</v>
      </c>
      <c r="AG15" s="71">
        <v>0</v>
      </c>
      <c r="AH15" s="71">
        <v>0</v>
      </c>
      <c r="AI15" s="71">
        <v>0</v>
      </c>
      <c r="AJ15" s="71">
        <v>0</v>
      </c>
      <c r="AK15" s="71">
        <v>0</v>
      </c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1"/>
      <c r="BF15" s="71"/>
      <c r="BG15" s="71"/>
      <c r="BH15" s="64"/>
      <c r="BI15" s="64"/>
      <c r="BJ15" s="64"/>
      <c r="BK15" s="64"/>
      <c r="BL15" s="64"/>
      <c r="BM15" s="64"/>
      <c r="BN15" s="73"/>
      <c r="BO15" s="73"/>
      <c r="BP15" s="73"/>
      <c r="BQ15" s="73"/>
      <c r="BR15" s="73"/>
      <c r="BS15" s="73"/>
      <c r="BT15" s="73"/>
      <c r="BU15" s="74">
        <f t="shared" si="0"/>
        <v>0</v>
      </c>
      <c r="BV15" s="75"/>
    </row>
    <row r="16" spans="1:75" x14ac:dyDescent="0.2">
      <c r="A16" s="67">
        <v>13</v>
      </c>
      <c r="B16" s="68" t="s">
        <v>230</v>
      </c>
      <c r="C16" s="69"/>
      <c r="D16" s="70" t="s">
        <v>16</v>
      </c>
      <c r="E16" s="64"/>
      <c r="F16" s="64"/>
      <c r="G16" s="71">
        <v>0</v>
      </c>
      <c r="H16" s="71">
        <v>0</v>
      </c>
      <c r="I16" s="71">
        <v>0</v>
      </c>
      <c r="J16" s="71">
        <v>0</v>
      </c>
      <c r="K16" s="71">
        <v>0</v>
      </c>
      <c r="L16" s="71">
        <v>0</v>
      </c>
      <c r="M16" s="71">
        <v>0</v>
      </c>
      <c r="N16" s="71">
        <v>0</v>
      </c>
      <c r="O16" s="71">
        <v>6.8879999999999999</v>
      </c>
      <c r="P16" s="71">
        <v>0</v>
      </c>
      <c r="Q16" s="71">
        <v>0</v>
      </c>
      <c r="R16" s="71">
        <v>0</v>
      </c>
      <c r="S16" s="71">
        <v>0</v>
      </c>
      <c r="T16" s="71">
        <v>0</v>
      </c>
      <c r="U16" s="71">
        <v>0</v>
      </c>
      <c r="V16" s="71">
        <v>0</v>
      </c>
      <c r="W16" s="71">
        <v>0</v>
      </c>
      <c r="X16" s="71">
        <v>0</v>
      </c>
      <c r="Y16" s="71">
        <v>0</v>
      </c>
      <c r="Z16" s="71">
        <v>0</v>
      </c>
      <c r="AA16" s="71">
        <v>0</v>
      </c>
      <c r="AB16" s="71">
        <v>0</v>
      </c>
      <c r="AC16" s="71">
        <v>0</v>
      </c>
      <c r="AD16" s="71">
        <v>0</v>
      </c>
      <c r="AE16" s="71">
        <v>0</v>
      </c>
      <c r="AF16" s="71">
        <v>0</v>
      </c>
      <c r="AG16" s="71">
        <v>0</v>
      </c>
      <c r="AH16" s="71">
        <v>0</v>
      </c>
      <c r="AI16" s="71">
        <v>0</v>
      </c>
      <c r="AJ16" s="71">
        <v>0</v>
      </c>
      <c r="AK16" s="71">
        <v>0</v>
      </c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1"/>
      <c r="BF16" s="71"/>
      <c r="BG16" s="71"/>
      <c r="BH16" s="64"/>
      <c r="BI16" s="64"/>
      <c r="BJ16" s="64"/>
      <c r="BK16" s="64"/>
      <c r="BL16" s="64"/>
      <c r="BM16" s="64"/>
      <c r="BN16" s="73"/>
      <c r="BO16" s="73"/>
      <c r="BP16" s="73"/>
      <c r="BQ16" s="73"/>
      <c r="BR16" s="73"/>
      <c r="BS16" s="73"/>
      <c r="BT16" s="73"/>
      <c r="BU16" s="74">
        <f t="shared" si="0"/>
        <v>6.8879999999999999</v>
      </c>
      <c r="BV16" s="75"/>
    </row>
    <row r="17" spans="1:74" x14ac:dyDescent="0.2">
      <c r="A17" s="67">
        <v>14</v>
      </c>
      <c r="B17" s="68" t="s">
        <v>231</v>
      </c>
      <c r="C17" s="69"/>
      <c r="D17" s="70" t="s">
        <v>16</v>
      </c>
      <c r="E17" s="64"/>
      <c r="F17" s="64"/>
      <c r="G17" s="71">
        <v>0</v>
      </c>
      <c r="H17" s="71">
        <v>0</v>
      </c>
      <c r="I17" s="71">
        <v>0</v>
      </c>
      <c r="J17" s="71">
        <v>0</v>
      </c>
      <c r="K17" s="71">
        <v>0</v>
      </c>
      <c r="L17" s="71">
        <v>6.2750000000000004</v>
      </c>
      <c r="M17" s="71">
        <v>0</v>
      </c>
      <c r="N17" s="71">
        <v>0</v>
      </c>
      <c r="O17" s="71">
        <v>4.2670000000000003</v>
      </c>
      <c r="P17" s="71">
        <v>0</v>
      </c>
      <c r="Q17" s="71">
        <v>0</v>
      </c>
      <c r="R17" s="71">
        <v>0</v>
      </c>
      <c r="S17" s="71">
        <v>0</v>
      </c>
      <c r="T17" s="71">
        <v>0</v>
      </c>
      <c r="U17" s="71">
        <v>0</v>
      </c>
      <c r="V17" s="71">
        <v>5.7729999999999997</v>
      </c>
      <c r="W17" s="71">
        <v>2.7610000000000001</v>
      </c>
      <c r="X17" s="71">
        <v>3.2629999999999999</v>
      </c>
      <c r="Y17" s="71">
        <v>0</v>
      </c>
      <c r="Z17" s="71">
        <v>0</v>
      </c>
      <c r="AA17" s="71">
        <v>0</v>
      </c>
      <c r="AB17" s="71">
        <v>2.008</v>
      </c>
      <c r="AC17" s="71">
        <v>6.4660000000000002</v>
      </c>
      <c r="AD17" s="71">
        <v>0</v>
      </c>
      <c r="AE17" s="71">
        <v>0</v>
      </c>
      <c r="AF17" s="71">
        <v>0</v>
      </c>
      <c r="AG17" s="71">
        <v>0</v>
      </c>
      <c r="AH17" s="71">
        <v>0</v>
      </c>
      <c r="AI17" s="71">
        <v>0</v>
      </c>
      <c r="AJ17" s="71">
        <v>0</v>
      </c>
      <c r="AK17" s="71">
        <v>0</v>
      </c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1"/>
      <c r="BF17" s="71"/>
      <c r="BG17" s="71"/>
      <c r="BH17" s="64"/>
      <c r="BI17" s="64"/>
      <c r="BJ17" s="64"/>
      <c r="BK17" s="64"/>
      <c r="BL17" s="64"/>
      <c r="BM17" s="64"/>
      <c r="BN17" s="73"/>
      <c r="BO17" s="73"/>
      <c r="BP17" s="73"/>
      <c r="BQ17" s="73"/>
      <c r="BR17" s="73"/>
      <c r="BS17" s="73"/>
      <c r="BT17" s="73"/>
      <c r="BU17" s="74">
        <f t="shared" si="0"/>
        <v>30.812999999999999</v>
      </c>
      <c r="BV17" s="75"/>
    </row>
    <row r="18" spans="1:74" x14ac:dyDescent="0.2">
      <c r="A18" s="67"/>
      <c r="B18" s="76" t="s">
        <v>114</v>
      </c>
      <c r="C18" s="77"/>
      <c r="D18" s="78" t="s">
        <v>16</v>
      </c>
      <c r="E18" s="79">
        <f>SUM(E4:E7)</f>
        <v>0</v>
      </c>
      <c r="F18" s="79">
        <f>SUM(F4:F7)</f>
        <v>0</v>
      </c>
      <c r="G18" s="79">
        <f t="shared" ref="G18:L18" si="1">SUM(G4:G17)</f>
        <v>92.114999999999995</v>
      </c>
      <c r="H18" s="79">
        <f t="shared" si="1"/>
        <v>92.34</v>
      </c>
      <c r="I18" s="79">
        <f t="shared" si="1"/>
        <v>83.4</v>
      </c>
      <c r="J18" s="79">
        <f t="shared" si="1"/>
        <v>70.254999999999995</v>
      </c>
      <c r="K18" s="79">
        <f t="shared" si="1"/>
        <v>84.89</v>
      </c>
      <c r="L18" s="79">
        <f t="shared" si="1"/>
        <v>73.403000000000006</v>
      </c>
      <c r="M18" s="79">
        <f t="shared" ref="M18:R18" si="2">SUM(M4:M17)</f>
        <v>80.685000000000002</v>
      </c>
      <c r="N18" s="79">
        <f t="shared" si="2"/>
        <v>83.85</v>
      </c>
      <c r="O18" s="79">
        <f t="shared" si="2"/>
        <v>70.988</v>
      </c>
      <c r="P18" s="79">
        <f t="shared" si="2"/>
        <v>84.507999999999996</v>
      </c>
      <c r="Q18" s="79">
        <f t="shared" si="2"/>
        <v>73.314999999999998</v>
      </c>
      <c r="R18" s="79">
        <f t="shared" si="2"/>
        <v>93.87</v>
      </c>
      <c r="S18" s="79">
        <f t="shared" ref="S18:X18" si="3">SUM(S4:S17)</f>
        <v>85.094000000000008</v>
      </c>
      <c r="T18" s="79">
        <f t="shared" si="3"/>
        <v>85.954999999999998</v>
      </c>
      <c r="U18" s="79">
        <f t="shared" si="3"/>
        <v>83.837999999999994</v>
      </c>
      <c r="V18" s="79">
        <f t="shared" si="3"/>
        <v>73.923000000000002</v>
      </c>
      <c r="W18" s="79">
        <f t="shared" si="3"/>
        <v>75.593999999999994</v>
      </c>
      <c r="X18" s="79">
        <f t="shared" si="3"/>
        <v>82.626000000000005</v>
      </c>
      <c r="Y18" s="79">
        <f t="shared" ref="Y18:AD18" si="4">SUM(Y4:Y17)</f>
        <v>98.087999999999994</v>
      </c>
      <c r="Z18" s="79">
        <f t="shared" si="4"/>
        <v>93.9</v>
      </c>
      <c r="AA18" s="79">
        <f t="shared" si="4"/>
        <v>83.257000000000005</v>
      </c>
      <c r="AB18" s="79">
        <f t="shared" si="4"/>
        <v>87.139999999999986</v>
      </c>
      <c r="AC18" s="79">
        <f t="shared" si="4"/>
        <v>68.170999999999992</v>
      </c>
      <c r="AD18" s="79">
        <f t="shared" si="4"/>
        <v>86.579000000000008</v>
      </c>
      <c r="AE18" s="79">
        <f t="shared" ref="AE18:AJ18" si="5">SUM(AE4:AE17)</f>
        <v>84.548000000000002</v>
      </c>
      <c r="AF18" s="79">
        <f t="shared" si="5"/>
        <v>90.352000000000004</v>
      </c>
      <c r="AG18" s="79">
        <f t="shared" si="5"/>
        <v>78.004999999999995</v>
      </c>
      <c r="AH18" s="79">
        <f t="shared" si="5"/>
        <v>86.323999999999998</v>
      </c>
      <c r="AI18" s="79">
        <f t="shared" si="5"/>
        <v>88.391999999999996</v>
      </c>
      <c r="AJ18" s="79">
        <f t="shared" si="5"/>
        <v>83.691000000000003</v>
      </c>
      <c r="AK18" s="79">
        <f t="shared" ref="AK18" si="6">SUM(AK4:AK17)</f>
        <v>86.496000000000009</v>
      </c>
      <c r="AL18" s="79">
        <f t="shared" ref="AL18:BD18" si="7">SUM(AL4:AL15)</f>
        <v>0</v>
      </c>
      <c r="AM18" s="79">
        <f t="shared" si="7"/>
        <v>0</v>
      </c>
      <c r="AN18" s="79">
        <f t="shared" si="7"/>
        <v>0</v>
      </c>
      <c r="AO18" s="79">
        <f t="shared" si="7"/>
        <v>0</v>
      </c>
      <c r="AP18" s="79">
        <f t="shared" si="7"/>
        <v>0</v>
      </c>
      <c r="AQ18" s="79">
        <f t="shared" si="7"/>
        <v>0</v>
      </c>
      <c r="AR18" s="79">
        <f t="shared" si="7"/>
        <v>0</v>
      </c>
      <c r="AS18" s="79">
        <f t="shared" si="7"/>
        <v>0</v>
      </c>
      <c r="AT18" s="79">
        <f t="shared" si="7"/>
        <v>0</v>
      </c>
      <c r="AU18" s="79">
        <f t="shared" si="7"/>
        <v>0</v>
      </c>
      <c r="AV18" s="79">
        <f t="shared" si="7"/>
        <v>0</v>
      </c>
      <c r="AW18" s="79">
        <f t="shared" si="7"/>
        <v>0</v>
      </c>
      <c r="AX18" s="79">
        <f t="shared" si="7"/>
        <v>0</v>
      </c>
      <c r="AY18" s="79">
        <f t="shared" si="7"/>
        <v>0</v>
      </c>
      <c r="AZ18" s="79">
        <f t="shared" si="7"/>
        <v>0</v>
      </c>
      <c r="BA18" s="79">
        <f t="shared" si="7"/>
        <v>0</v>
      </c>
      <c r="BB18" s="79">
        <f t="shared" si="7"/>
        <v>0</v>
      </c>
      <c r="BC18" s="79">
        <f t="shared" si="7"/>
        <v>0</v>
      </c>
      <c r="BD18" s="79">
        <f t="shared" si="7"/>
        <v>0</v>
      </c>
      <c r="BE18" s="79">
        <f>SUM(BE4:BE15)</f>
        <v>0</v>
      </c>
      <c r="BF18" s="79">
        <f t="shared" ref="BF18:BG18" si="8">SUM(BF4:BF13)</f>
        <v>0</v>
      </c>
      <c r="BG18" s="79">
        <f t="shared" si="8"/>
        <v>0</v>
      </c>
      <c r="BH18" s="79">
        <f t="shared" ref="BH18:BM18" si="9">SUM(BH4:BH9)</f>
        <v>0</v>
      </c>
      <c r="BI18" s="79">
        <f t="shared" si="9"/>
        <v>0</v>
      </c>
      <c r="BJ18" s="79">
        <f t="shared" si="9"/>
        <v>0</v>
      </c>
      <c r="BK18" s="79">
        <f t="shared" si="9"/>
        <v>0</v>
      </c>
      <c r="BL18" s="79">
        <f t="shared" si="9"/>
        <v>0</v>
      </c>
      <c r="BM18" s="79">
        <f t="shared" si="9"/>
        <v>0</v>
      </c>
      <c r="BN18" s="79">
        <f t="shared" ref="BN18:BT18" si="10">SUM(BN4:BN10)</f>
        <v>0</v>
      </c>
      <c r="BO18" s="79">
        <f t="shared" si="10"/>
        <v>0</v>
      </c>
      <c r="BP18" s="79">
        <f t="shared" si="10"/>
        <v>0</v>
      </c>
      <c r="BQ18" s="79">
        <f t="shared" si="10"/>
        <v>0</v>
      </c>
      <c r="BR18" s="79">
        <f t="shared" si="10"/>
        <v>0</v>
      </c>
      <c r="BS18" s="79">
        <f t="shared" si="10"/>
        <v>0</v>
      </c>
      <c r="BT18" s="79">
        <f t="shared" si="10"/>
        <v>0</v>
      </c>
      <c r="BU18" s="74">
        <f t="shared" si="0"/>
        <v>2585.5920000000001</v>
      </c>
      <c r="BV18" s="75"/>
    </row>
    <row r="19" spans="1:74" ht="25" x14ac:dyDescent="0.25">
      <c r="A19" s="60" t="s">
        <v>115</v>
      </c>
      <c r="B19" s="80" t="s">
        <v>116</v>
      </c>
      <c r="C19" s="81"/>
      <c r="D19" s="81"/>
      <c r="E19" s="81"/>
      <c r="F19" s="81"/>
      <c r="G19" s="81"/>
      <c r="H19" s="245"/>
      <c r="I19" s="246"/>
      <c r="J19" s="246"/>
      <c r="K19" s="246"/>
      <c r="L19" s="246"/>
      <c r="M19" s="246"/>
      <c r="N19" s="246"/>
      <c r="O19" s="246"/>
      <c r="P19" s="246"/>
      <c r="Q19" s="246"/>
      <c r="R19" s="246"/>
      <c r="S19" s="246"/>
      <c r="T19" s="246"/>
      <c r="U19" s="246"/>
      <c r="V19" s="246"/>
      <c r="W19" s="246"/>
      <c r="X19" s="246"/>
      <c r="Y19" s="246"/>
      <c r="Z19" s="246"/>
      <c r="AA19" s="246"/>
      <c r="AB19" s="246"/>
      <c r="AC19" s="246"/>
      <c r="AD19" s="246"/>
      <c r="AE19" s="246"/>
      <c r="AF19" s="246"/>
      <c r="AG19" s="246"/>
      <c r="AH19" s="246"/>
      <c r="AI19" s="246"/>
      <c r="AJ19" s="246"/>
      <c r="AK19" s="246"/>
      <c r="AL19" s="246"/>
      <c r="AM19" s="246"/>
      <c r="AN19" s="246"/>
      <c r="AO19" s="247"/>
      <c r="AP19" s="82"/>
      <c r="AQ19" s="82"/>
      <c r="AR19" s="82"/>
      <c r="AS19" s="82"/>
      <c r="AT19" s="82"/>
      <c r="AU19" s="82"/>
      <c r="AV19" s="82"/>
      <c r="AW19" s="82"/>
      <c r="AX19" s="82"/>
      <c r="AY19" s="82"/>
      <c r="AZ19" s="82"/>
      <c r="BA19" s="82"/>
      <c r="BB19" s="82"/>
      <c r="BC19" s="82"/>
      <c r="BD19" s="82"/>
      <c r="BE19" s="82"/>
      <c r="BF19" s="82"/>
      <c r="BG19" s="82"/>
      <c r="BH19" s="82"/>
      <c r="BI19" s="82"/>
      <c r="BJ19" s="82"/>
      <c r="BK19" s="82"/>
      <c r="BL19" s="82"/>
      <c r="BM19" s="82"/>
      <c r="BN19" s="82"/>
      <c r="BO19" s="82"/>
      <c r="BP19" s="82"/>
      <c r="BQ19" s="82"/>
      <c r="BR19" s="82"/>
      <c r="BS19" s="82"/>
      <c r="BT19" s="82"/>
      <c r="BU19" s="74">
        <f t="shared" si="0"/>
        <v>0</v>
      </c>
      <c r="BV19" s="75"/>
    </row>
    <row r="20" spans="1:74" x14ac:dyDescent="0.2">
      <c r="A20" s="67">
        <v>1</v>
      </c>
      <c r="B20" s="83" t="s">
        <v>117</v>
      </c>
      <c r="C20" s="69"/>
      <c r="D20" s="70" t="s">
        <v>118</v>
      </c>
      <c r="E20" s="64"/>
      <c r="F20" s="64"/>
      <c r="G20" s="64">
        <v>180</v>
      </c>
      <c r="H20" s="64">
        <v>220</v>
      </c>
      <c r="I20" s="64">
        <v>70</v>
      </c>
      <c r="J20" s="84">
        <v>64</v>
      </c>
      <c r="K20" s="84">
        <v>40</v>
      </c>
      <c r="L20" s="64">
        <v>0</v>
      </c>
      <c r="M20" s="64">
        <v>50</v>
      </c>
      <c r="N20" s="64">
        <v>40</v>
      </c>
      <c r="O20" s="64">
        <v>0</v>
      </c>
      <c r="P20" s="64">
        <v>50</v>
      </c>
      <c r="Q20" s="64">
        <v>100</v>
      </c>
      <c r="R20" s="64">
        <v>130</v>
      </c>
      <c r="S20" s="64">
        <v>110</v>
      </c>
      <c r="T20" s="64">
        <v>150</v>
      </c>
      <c r="U20" s="64">
        <v>40</v>
      </c>
      <c r="V20" s="64">
        <v>60</v>
      </c>
      <c r="W20" s="64">
        <v>100</v>
      </c>
      <c r="X20" s="64">
        <v>70</v>
      </c>
      <c r="Y20" s="64">
        <v>100</v>
      </c>
      <c r="Z20" s="64">
        <v>200</v>
      </c>
      <c r="AA20" s="64">
        <v>100</v>
      </c>
      <c r="AB20" s="64">
        <v>130</v>
      </c>
      <c r="AC20" s="64">
        <v>50</v>
      </c>
      <c r="AD20" s="64">
        <v>200</v>
      </c>
      <c r="AE20" s="64">
        <v>200</v>
      </c>
      <c r="AF20" s="64">
        <v>190</v>
      </c>
      <c r="AG20" s="64">
        <v>180</v>
      </c>
      <c r="AH20" s="64">
        <v>180</v>
      </c>
      <c r="AI20" s="64">
        <v>140</v>
      </c>
      <c r="AJ20" s="64">
        <v>0</v>
      </c>
      <c r="AK20" s="64">
        <v>50</v>
      </c>
      <c r="AL20" s="64"/>
      <c r="AM20" s="64"/>
      <c r="AN20" s="73"/>
      <c r="AO20" s="73"/>
      <c r="AP20" s="73"/>
      <c r="AQ20" s="73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3"/>
      <c r="BD20" s="73"/>
      <c r="BE20" s="73"/>
      <c r="BF20" s="73"/>
      <c r="BG20" s="73"/>
      <c r="BH20" s="73"/>
      <c r="BI20" s="73"/>
      <c r="BJ20" s="73"/>
      <c r="BK20" s="73"/>
      <c r="BL20" s="73"/>
      <c r="BM20" s="73"/>
      <c r="BN20" s="73"/>
      <c r="BO20" s="73"/>
      <c r="BP20" s="73"/>
      <c r="BQ20" s="73"/>
      <c r="BR20" s="73"/>
      <c r="BS20" s="73"/>
      <c r="BT20" s="73"/>
      <c r="BU20" s="74">
        <f t="shared" si="0"/>
        <v>3194</v>
      </c>
      <c r="BV20" s="75"/>
    </row>
    <row r="21" spans="1:74" x14ac:dyDescent="0.2">
      <c r="A21" s="67">
        <v>2</v>
      </c>
      <c r="B21" s="83" t="s">
        <v>119</v>
      </c>
      <c r="C21" s="69"/>
      <c r="D21" s="70" t="s">
        <v>118</v>
      </c>
      <c r="E21" s="64"/>
      <c r="F21" s="64"/>
      <c r="G21" s="64">
        <v>19</v>
      </c>
      <c r="H21" s="64">
        <v>22</v>
      </c>
      <c r="I21" s="64">
        <v>17</v>
      </c>
      <c r="J21" s="64">
        <v>21</v>
      </c>
      <c r="K21" s="64">
        <v>21</v>
      </c>
      <c r="L21" s="64">
        <v>19</v>
      </c>
      <c r="M21" s="64">
        <v>18</v>
      </c>
      <c r="N21" s="64">
        <v>23</v>
      </c>
      <c r="O21" s="64">
        <v>21</v>
      </c>
      <c r="P21" s="64">
        <v>19</v>
      </c>
      <c r="Q21" s="64">
        <v>14</v>
      </c>
      <c r="R21" s="64">
        <v>19</v>
      </c>
      <c r="S21" s="64">
        <v>18</v>
      </c>
      <c r="T21" s="64">
        <v>21</v>
      </c>
      <c r="U21" s="85">
        <v>19</v>
      </c>
      <c r="V21" s="64">
        <v>29</v>
      </c>
      <c r="W21" s="64">
        <v>31</v>
      </c>
      <c r="X21" s="64">
        <v>19</v>
      </c>
      <c r="Y21" s="64">
        <v>17</v>
      </c>
      <c r="Z21" s="64">
        <v>15</v>
      </c>
      <c r="AA21" s="64">
        <v>24</v>
      </c>
      <c r="AB21" s="64">
        <v>19</v>
      </c>
      <c r="AC21" s="64">
        <v>15</v>
      </c>
      <c r="AD21" s="64">
        <v>22</v>
      </c>
      <c r="AE21" s="64">
        <v>19</v>
      </c>
      <c r="AF21" s="64">
        <v>21</v>
      </c>
      <c r="AG21" s="64">
        <v>21</v>
      </c>
      <c r="AH21" s="64">
        <v>22</v>
      </c>
      <c r="AI21" s="64">
        <v>24</v>
      </c>
      <c r="AJ21" s="64">
        <v>29</v>
      </c>
      <c r="AK21" s="64">
        <v>31</v>
      </c>
      <c r="AL21" s="85"/>
      <c r="AM21" s="64"/>
      <c r="AN21" s="73"/>
      <c r="AO21" s="86"/>
      <c r="AP21" s="73"/>
      <c r="AQ21" s="73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3"/>
      <c r="BF21" s="73"/>
      <c r="BG21" s="73"/>
      <c r="BH21" s="73"/>
      <c r="BI21" s="73"/>
      <c r="BJ21" s="73"/>
      <c r="BK21" s="73"/>
      <c r="BL21" s="73"/>
      <c r="BM21" s="73"/>
      <c r="BN21" s="73"/>
      <c r="BO21" s="73"/>
      <c r="BP21" s="73"/>
      <c r="BQ21" s="73"/>
      <c r="BR21" s="73"/>
      <c r="BS21" s="73"/>
      <c r="BT21" s="73"/>
      <c r="BU21" s="74">
        <f t="shared" si="0"/>
        <v>649</v>
      </c>
      <c r="BV21" s="75"/>
    </row>
    <row r="22" spans="1:74" x14ac:dyDescent="0.2">
      <c r="A22" s="67">
        <v>3</v>
      </c>
      <c r="B22" s="83" t="s">
        <v>120</v>
      </c>
      <c r="C22" s="69"/>
      <c r="D22" s="70" t="s">
        <v>118</v>
      </c>
      <c r="E22" s="64"/>
      <c r="F22" s="64"/>
      <c r="G22" s="64">
        <v>0</v>
      </c>
      <c r="H22" s="64">
        <v>0</v>
      </c>
      <c r="I22" s="64">
        <v>0</v>
      </c>
      <c r="J22" s="64">
        <v>0</v>
      </c>
      <c r="K22" s="64">
        <v>0</v>
      </c>
      <c r="L22" s="64">
        <v>0</v>
      </c>
      <c r="M22" s="64">
        <v>0</v>
      </c>
      <c r="N22" s="64">
        <v>0</v>
      </c>
      <c r="O22" s="64">
        <v>0</v>
      </c>
      <c r="P22" s="64">
        <v>0</v>
      </c>
      <c r="Q22" s="64">
        <v>0</v>
      </c>
      <c r="R22" s="64">
        <v>0</v>
      </c>
      <c r="S22" s="64">
        <v>0</v>
      </c>
      <c r="T22" s="64">
        <v>0</v>
      </c>
      <c r="U22" s="64">
        <v>0</v>
      </c>
      <c r="V22" s="64">
        <v>0</v>
      </c>
      <c r="W22" s="64">
        <v>0</v>
      </c>
      <c r="X22" s="64">
        <v>0</v>
      </c>
      <c r="Y22" s="64">
        <v>0</v>
      </c>
      <c r="Z22" s="64">
        <v>0</v>
      </c>
      <c r="AA22" s="64">
        <v>0</v>
      </c>
      <c r="AB22" s="64">
        <v>0</v>
      </c>
      <c r="AC22" s="64">
        <v>0</v>
      </c>
      <c r="AD22" s="64">
        <v>0</v>
      </c>
      <c r="AE22" s="64">
        <v>0</v>
      </c>
      <c r="AF22" s="64">
        <v>0</v>
      </c>
      <c r="AG22" s="64">
        <v>0</v>
      </c>
      <c r="AH22" s="64">
        <v>0</v>
      </c>
      <c r="AI22" s="64">
        <v>0</v>
      </c>
      <c r="AJ22" s="64">
        <v>0</v>
      </c>
      <c r="AK22" s="64">
        <v>0</v>
      </c>
      <c r="AL22" s="64"/>
      <c r="AM22" s="64"/>
      <c r="AN22" s="73"/>
      <c r="AO22" s="73"/>
      <c r="AP22" s="73"/>
      <c r="AQ22" s="73"/>
      <c r="AR22" s="73"/>
      <c r="AS22" s="73"/>
      <c r="AT22" s="73"/>
      <c r="AU22" s="73"/>
      <c r="AV22" s="73"/>
      <c r="AW22" s="73"/>
      <c r="AX22" s="73"/>
      <c r="AY22" s="73"/>
      <c r="AZ22" s="73"/>
      <c r="BA22" s="73"/>
      <c r="BB22" s="73"/>
      <c r="BC22" s="73"/>
      <c r="BD22" s="73"/>
      <c r="BE22" s="73"/>
      <c r="BF22" s="73"/>
      <c r="BG22" s="73"/>
      <c r="BH22" s="73"/>
      <c r="BI22" s="73"/>
      <c r="BJ22" s="73"/>
      <c r="BK22" s="73"/>
      <c r="BL22" s="73"/>
      <c r="BM22" s="73"/>
      <c r="BN22" s="73"/>
      <c r="BO22" s="73"/>
      <c r="BP22" s="73"/>
      <c r="BQ22" s="73"/>
      <c r="BR22" s="73"/>
      <c r="BS22" s="73"/>
      <c r="BT22" s="73"/>
      <c r="BU22" s="74">
        <f t="shared" si="0"/>
        <v>0</v>
      </c>
      <c r="BV22" s="75"/>
    </row>
    <row r="23" spans="1:74" x14ac:dyDescent="0.2">
      <c r="A23" s="67">
        <v>4</v>
      </c>
      <c r="B23" s="83" t="s">
        <v>223</v>
      </c>
      <c r="C23" s="69"/>
      <c r="D23" s="70" t="s">
        <v>118</v>
      </c>
      <c r="E23" s="64"/>
      <c r="F23" s="64"/>
      <c r="G23" s="64">
        <v>670</v>
      </c>
      <c r="H23" s="64">
        <v>580</v>
      </c>
      <c r="I23" s="64">
        <v>520</v>
      </c>
      <c r="J23" s="64">
        <v>430</v>
      </c>
      <c r="K23" s="64">
        <v>450</v>
      </c>
      <c r="L23" s="64">
        <v>380</v>
      </c>
      <c r="M23" s="64">
        <v>350</v>
      </c>
      <c r="N23" s="64">
        <v>450</v>
      </c>
      <c r="O23" s="64">
        <v>300</v>
      </c>
      <c r="P23" s="64">
        <v>440</v>
      </c>
      <c r="Q23" s="64">
        <v>750</v>
      </c>
      <c r="R23" s="64">
        <v>950</v>
      </c>
      <c r="S23" s="64">
        <v>700</v>
      </c>
      <c r="T23" s="64">
        <v>360</v>
      </c>
      <c r="U23" s="64">
        <v>0</v>
      </c>
      <c r="V23" s="64">
        <v>350</v>
      </c>
      <c r="W23" s="64">
        <v>410</v>
      </c>
      <c r="X23" s="64">
        <v>460</v>
      </c>
      <c r="Y23" s="64">
        <v>560</v>
      </c>
      <c r="Z23" s="64">
        <v>620</v>
      </c>
      <c r="AA23" s="64">
        <v>480</v>
      </c>
      <c r="AB23" s="64">
        <v>510</v>
      </c>
      <c r="AC23" s="64">
        <v>400</v>
      </c>
      <c r="AD23" s="64">
        <v>750</v>
      </c>
      <c r="AE23" s="64">
        <v>1020</v>
      </c>
      <c r="AF23" s="64">
        <v>540</v>
      </c>
      <c r="AG23" s="64">
        <v>580</v>
      </c>
      <c r="AH23" s="64">
        <v>550</v>
      </c>
      <c r="AI23" s="64">
        <v>470</v>
      </c>
      <c r="AJ23" s="64">
        <v>0</v>
      </c>
      <c r="AK23" s="64">
        <v>0</v>
      </c>
      <c r="AL23" s="64"/>
      <c r="AM23" s="64"/>
      <c r="AN23" s="73"/>
      <c r="AO23" s="73"/>
      <c r="AP23" s="73"/>
      <c r="AQ23" s="73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73"/>
      <c r="BF23" s="73"/>
      <c r="BG23" s="73"/>
      <c r="BH23" s="73"/>
      <c r="BI23" s="73"/>
      <c r="BJ23" s="73"/>
      <c r="BK23" s="73"/>
      <c r="BL23" s="73"/>
      <c r="BM23" s="73"/>
      <c r="BN23" s="73"/>
      <c r="BO23" s="73"/>
      <c r="BP23" s="73"/>
      <c r="BQ23" s="73"/>
      <c r="BR23" s="73"/>
      <c r="BS23" s="73"/>
      <c r="BT23" s="73"/>
      <c r="BU23" s="74">
        <f t="shared" si="0"/>
        <v>15030</v>
      </c>
      <c r="BV23" s="75"/>
    </row>
    <row r="24" spans="1:74" x14ac:dyDescent="0.2">
      <c r="A24" s="67">
        <v>5</v>
      </c>
      <c r="B24" s="83" t="s">
        <v>121</v>
      </c>
      <c r="C24" s="69"/>
      <c r="D24" s="70" t="s">
        <v>118</v>
      </c>
      <c r="E24" s="64"/>
      <c r="F24" s="64"/>
      <c r="G24" s="64">
        <v>0</v>
      </c>
      <c r="H24" s="64">
        <v>0</v>
      </c>
      <c r="I24" s="64">
        <v>0</v>
      </c>
      <c r="J24" s="64">
        <v>0</v>
      </c>
      <c r="K24" s="64">
        <v>0</v>
      </c>
      <c r="L24" s="64">
        <v>8</v>
      </c>
      <c r="M24" s="64">
        <v>0</v>
      </c>
      <c r="N24" s="64">
        <v>0</v>
      </c>
      <c r="O24" s="64">
        <v>6</v>
      </c>
      <c r="P24" s="64">
        <v>0</v>
      </c>
      <c r="Q24" s="64">
        <v>0</v>
      </c>
      <c r="R24" s="64">
        <v>0</v>
      </c>
      <c r="S24" s="64">
        <v>0</v>
      </c>
      <c r="T24" s="64">
        <v>0</v>
      </c>
      <c r="U24" s="64">
        <v>0</v>
      </c>
      <c r="V24" s="64">
        <v>6</v>
      </c>
      <c r="W24" s="64">
        <v>4</v>
      </c>
      <c r="X24" s="64">
        <v>3</v>
      </c>
      <c r="Y24" s="64">
        <v>0</v>
      </c>
      <c r="Z24" s="64">
        <v>0</v>
      </c>
      <c r="AA24" s="64">
        <v>0</v>
      </c>
      <c r="AB24" s="64">
        <v>2</v>
      </c>
      <c r="AC24" s="64">
        <v>7</v>
      </c>
      <c r="AD24" s="64">
        <v>0</v>
      </c>
      <c r="AE24" s="64">
        <v>0</v>
      </c>
      <c r="AF24" s="64">
        <v>0</v>
      </c>
      <c r="AG24" s="64">
        <v>0</v>
      </c>
      <c r="AH24" s="64">
        <v>0</v>
      </c>
      <c r="AI24" s="64">
        <v>0</v>
      </c>
      <c r="AJ24" s="64">
        <v>1</v>
      </c>
      <c r="AK24" s="64">
        <v>0</v>
      </c>
      <c r="AL24" s="64"/>
      <c r="AM24" s="64"/>
      <c r="AN24" s="73"/>
      <c r="AO24" s="73"/>
      <c r="AP24" s="73"/>
      <c r="AQ24" s="73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/>
      <c r="BD24" s="73"/>
      <c r="BE24" s="73"/>
      <c r="BF24" s="73"/>
      <c r="BG24" s="73"/>
      <c r="BH24" s="73"/>
      <c r="BI24" s="73"/>
      <c r="BJ24" s="73"/>
      <c r="BK24" s="73"/>
      <c r="BL24" s="73"/>
      <c r="BM24" s="73"/>
      <c r="BN24" s="73"/>
      <c r="BO24" s="73"/>
      <c r="BP24" s="73"/>
      <c r="BQ24" s="73"/>
      <c r="BR24" s="73"/>
      <c r="BS24" s="73"/>
      <c r="BT24" s="73"/>
      <c r="BU24" s="74">
        <f t="shared" si="0"/>
        <v>37</v>
      </c>
      <c r="BV24" s="75"/>
    </row>
    <row r="25" spans="1:74" x14ac:dyDescent="0.2">
      <c r="A25" s="67">
        <v>6</v>
      </c>
      <c r="B25" s="83" t="s">
        <v>122</v>
      </c>
      <c r="C25" s="69"/>
      <c r="D25" s="70" t="s">
        <v>118</v>
      </c>
      <c r="E25" s="64"/>
      <c r="F25" s="64"/>
      <c r="G25" s="64">
        <v>0</v>
      </c>
      <c r="H25" s="64">
        <v>0</v>
      </c>
      <c r="I25" s="64">
        <v>0</v>
      </c>
      <c r="J25" s="64">
        <v>0</v>
      </c>
      <c r="K25" s="64">
        <v>0</v>
      </c>
      <c r="L25" s="64">
        <v>0</v>
      </c>
      <c r="M25" s="64">
        <v>0</v>
      </c>
      <c r="N25" s="64">
        <v>0</v>
      </c>
      <c r="O25" s="64">
        <v>0</v>
      </c>
      <c r="P25" s="64">
        <v>0</v>
      </c>
      <c r="Q25" s="64">
        <v>0</v>
      </c>
      <c r="R25" s="64">
        <v>0</v>
      </c>
      <c r="S25" s="64">
        <v>0</v>
      </c>
      <c r="T25" s="64">
        <v>0</v>
      </c>
      <c r="U25" s="64">
        <v>0</v>
      </c>
      <c r="V25" s="64">
        <v>0</v>
      </c>
      <c r="W25" s="64">
        <v>0</v>
      </c>
      <c r="X25" s="64">
        <v>0</v>
      </c>
      <c r="Y25" s="85">
        <v>0</v>
      </c>
      <c r="Z25" s="85">
        <v>0</v>
      </c>
      <c r="AA25" s="85">
        <v>0</v>
      </c>
      <c r="AB25" s="85">
        <v>0</v>
      </c>
      <c r="AC25" s="85">
        <v>0</v>
      </c>
      <c r="AD25" s="85">
        <v>0</v>
      </c>
      <c r="AE25" s="85">
        <v>0</v>
      </c>
      <c r="AF25" s="85">
        <v>0</v>
      </c>
      <c r="AG25" s="85">
        <v>0</v>
      </c>
      <c r="AH25" s="85">
        <v>0</v>
      </c>
      <c r="AI25" s="85">
        <v>0</v>
      </c>
      <c r="AJ25" s="85">
        <v>0</v>
      </c>
      <c r="AK25" s="85">
        <v>0</v>
      </c>
      <c r="AL25" s="64"/>
      <c r="AM25" s="64"/>
      <c r="AN25" s="73"/>
      <c r="AO25" s="73"/>
      <c r="AP25" s="73"/>
      <c r="AQ25" s="73"/>
      <c r="AR25" s="73"/>
      <c r="AS25" s="73"/>
      <c r="AT25" s="73"/>
      <c r="AU25" s="73"/>
      <c r="AV25" s="73"/>
      <c r="AW25" s="73"/>
      <c r="AX25" s="64"/>
      <c r="AY25" s="64"/>
      <c r="AZ25" s="64"/>
      <c r="BA25" s="64"/>
      <c r="BB25" s="73"/>
      <c r="BC25" s="73"/>
      <c r="BD25" s="73"/>
      <c r="BE25" s="73"/>
      <c r="BF25" s="73"/>
      <c r="BG25" s="73"/>
      <c r="BH25" s="73"/>
      <c r="BI25" s="73"/>
      <c r="BJ25" s="73"/>
      <c r="BK25" s="73"/>
      <c r="BL25" s="73"/>
      <c r="BM25" s="73"/>
      <c r="BN25" s="73"/>
      <c r="BO25" s="73"/>
      <c r="BP25" s="73"/>
      <c r="BQ25" s="73"/>
      <c r="BR25" s="73"/>
      <c r="BS25" s="73"/>
      <c r="BT25" s="73"/>
      <c r="BU25" s="74">
        <f t="shared" si="0"/>
        <v>0</v>
      </c>
      <c r="BV25" s="75"/>
    </row>
    <row r="26" spans="1:74" x14ac:dyDescent="0.2">
      <c r="A26" s="67">
        <v>7</v>
      </c>
      <c r="B26" s="83" t="s">
        <v>123</v>
      </c>
      <c r="C26" s="69"/>
      <c r="D26" s="70" t="s">
        <v>118</v>
      </c>
      <c r="E26" s="64"/>
      <c r="F26" s="64"/>
      <c r="G26" s="64">
        <v>57</v>
      </c>
      <c r="H26" s="64">
        <v>0</v>
      </c>
      <c r="I26" s="64">
        <v>0</v>
      </c>
      <c r="J26" s="64">
        <v>0</v>
      </c>
      <c r="K26" s="64">
        <v>0</v>
      </c>
      <c r="L26" s="64">
        <v>0</v>
      </c>
      <c r="M26" s="64">
        <v>0</v>
      </c>
      <c r="N26" s="64">
        <v>0</v>
      </c>
      <c r="O26" s="64">
        <v>0</v>
      </c>
      <c r="P26" s="64">
        <v>0</v>
      </c>
      <c r="Q26" s="64">
        <v>0</v>
      </c>
      <c r="R26" s="64">
        <v>0</v>
      </c>
      <c r="S26" s="64">
        <v>0</v>
      </c>
      <c r="T26" s="64">
        <v>0</v>
      </c>
      <c r="U26" s="64">
        <v>0</v>
      </c>
      <c r="V26" s="64">
        <v>0</v>
      </c>
      <c r="W26" s="64">
        <v>0</v>
      </c>
      <c r="X26" s="64">
        <v>0</v>
      </c>
      <c r="Y26" s="64">
        <v>0</v>
      </c>
      <c r="Z26" s="64">
        <v>0</v>
      </c>
      <c r="AA26" s="64">
        <v>0</v>
      </c>
      <c r="AB26" s="64">
        <v>0</v>
      </c>
      <c r="AC26" s="64">
        <v>0</v>
      </c>
      <c r="AD26" s="64">
        <v>65</v>
      </c>
      <c r="AE26" s="64">
        <v>135</v>
      </c>
      <c r="AF26" s="64">
        <v>115</v>
      </c>
      <c r="AG26" s="64">
        <v>100</v>
      </c>
      <c r="AH26" s="64">
        <v>80</v>
      </c>
      <c r="AI26" s="64">
        <v>0</v>
      </c>
      <c r="AJ26" s="64">
        <v>0</v>
      </c>
      <c r="AK26" s="64">
        <v>0</v>
      </c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64"/>
      <c r="AW26" s="73"/>
      <c r="AX26" s="64"/>
      <c r="AY26" s="64"/>
      <c r="AZ26" s="64"/>
      <c r="BA26" s="64"/>
      <c r="BB26" s="73"/>
      <c r="BC26" s="73"/>
      <c r="BD26" s="73"/>
      <c r="BE26" s="73"/>
      <c r="BF26" s="73"/>
      <c r="BG26" s="73"/>
      <c r="BH26" s="73"/>
      <c r="BI26" s="73"/>
      <c r="BJ26" s="73"/>
      <c r="BK26" s="73"/>
      <c r="BL26" s="73"/>
      <c r="BM26" s="73"/>
      <c r="BN26" s="73"/>
      <c r="BO26" s="73"/>
      <c r="BP26" s="73"/>
      <c r="BQ26" s="73"/>
      <c r="BR26" s="73"/>
      <c r="BS26" s="73"/>
      <c r="BT26" s="73"/>
      <c r="BU26" s="74">
        <f t="shared" si="0"/>
        <v>552</v>
      </c>
      <c r="BV26" s="75"/>
    </row>
    <row r="27" spans="1:74" x14ac:dyDescent="0.2">
      <c r="A27" s="67">
        <v>8</v>
      </c>
      <c r="B27" s="83" t="s">
        <v>124</v>
      </c>
      <c r="C27" s="69"/>
      <c r="D27" s="70" t="s">
        <v>118</v>
      </c>
      <c r="E27" s="64"/>
      <c r="F27" s="64"/>
      <c r="G27" s="64">
        <v>0</v>
      </c>
      <c r="H27" s="64">
        <v>0</v>
      </c>
      <c r="I27" s="64">
        <v>0</v>
      </c>
      <c r="J27" s="64">
        <v>0</v>
      </c>
      <c r="K27" s="64">
        <v>0</v>
      </c>
      <c r="L27" s="64">
        <v>0</v>
      </c>
      <c r="M27" s="64">
        <v>0</v>
      </c>
      <c r="N27" s="64">
        <v>0</v>
      </c>
      <c r="O27" s="64">
        <v>0</v>
      </c>
      <c r="P27" s="64">
        <v>0</v>
      </c>
      <c r="Q27" s="64">
        <v>0</v>
      </c>
      <c r="R27" s="64">
        <v>0</v>
      </c>
      <c r="S27" s="64">
        <v>0</v>
      </c>
      <c r="T27" s="64">
        <v>0</v>
      </c>
      <c r="U27" s="64">
        <v>0</v>
      </c>
      <c r="V27" s="64">
        <v>0</v>
      </c>
      <c r="W27" s="64">
        <v>0</v>
      </c>
      <c r="X27" s="64">
        <v>0</v>
      </c>
      <c r="Y27" s="64">
        <v>0</v>
      </c>
      <c r="Z27" s="64">
        <v>0</v>
      </c>
      <c r="AA27" s="64">
        <v>0</v>
      </c>
      <c r="AB27" s="64">
        <v>0</v>
      </c>
      <c r="AC27" s="64">
        <v>0</v>
      </c>
      <c r="AD27" s="64">
        <v>0</v>
      </c>
      <c r="AE27" s="64">
        <v>0</v>
      </c>
      <c r="AF27" s="64">
        <v>0</v>
      </c>
      <c r="AG27" s="64">
        <v>0</v>
      </c>
      <c r="AH27" s="64">
        <v>0</v>
      </c>
      <c r="AI27" s="64">
        <v>0</v>
      </c>
      <c r="AJ27" s="64">
        <v>0</v>
      </c>
      <c r="AK27" s="64">
        <v>0</v>
      </c>
      <c r="AL27" s="64"/>
      <c r="AM27" s="64"/>
      <c r="AN27" s="73"/>
      <c r="AO27" s="73"/>
      <c r="AP27" s="73"/>
      <c r="AQ27" s="73"/>
      <c r="AR27" s="73"/>
      <c r="AS27" s="73"/>
      <c r="AT27" s="73"/>
      <c r="AU27" s="73"/>
      <c r="AV27" s="73"/>
      <c r="AW27" s="73"/>
      <c r="AX27" s="64"/>
      <c r="AY27" s="64"/>
      <c r="AZ27" s="64"/>
      <c r="BA27" s="64"/>
      <c r="BB27" s="73"/>
      <c r="BC27" s="73"/>
      <c r="BD27" s="73"/>
      <c r="BE27" s="73"/>
      <c r="BF27" s="73"/>
      <c r="BG27" s="73"/>
      <c r="BH27" s="73"/>
      <c r="BI27" s="73"/>
      <c r="BJ27" s="73"/>
      <c r="BK27" s="73"/>
      <c r="BL27" s="73"/>
      <c r="BM27" s="73"/>
      <c r="BN27" s="73"/>
      <c r="BO27" s="73"/>
      <c r="BP27" s="73"/>
      <c r="BQ27" s="73"/>
      <c r="BR27" s="73"/>
      <c r="BS27" s="73"/>
      <c r="BT27" s="73"/>
      <c r="BU27" s="74">
        <f t="shared" si="0"/>
        <v>0</v>
      </c>
      <c r="BV27" s="75"/>
    </row>
    <row r="28" spans="1:74" x14ac:dyDescent="0.2">
      <c r="A28" s="67">
        <v>9</v>
      </c>
      <c r="B28" s="83" t="s">
        <v>125</v>
      </c>
      <c r="C28" s="69"/>
      <c r="D28" s="70" t="s">
        <v>118</v>
      </c>
      <c r="E28" s="64"/>
      <c r="F28" s="64"/>
      <c r="G28" s="64">
        <v>60</v>
      </c>
      <c r="H28" s="64">
        <v>58</v>
      </c>
      <c r="I28" s="64">
        <v>57</v>
      </c>
      <c r="J28" s="64">
        <v>68</v>
      </c>
      <c r="K28" s="64">
        <v>67</v>
      </c>
      <c r="L28" s="64">
        <v>74</v>
      </c>
      <c r="M28" s="64">
        <v>70</v>
      </c>
      <c r="N28" s="64">
        <v>57</v>
      </c>
      <c r="O28" s="64">
        <v>81</v>
      </c>
      <c r="P28" s="64">
        <v>64</v>
      </c>
      <c r="Q28" s="64">
        <v>15</v>
      </c>
      <c r="R28" s="64">
        <v>10</v>
      </c>
      <c r="S28" s="64">
        <v>40</v>
      </c>
      <c r="T28" s="64">
        <v>72</v>
      </c>
      <c r="U28" s="64">
        <v>74</v>
      </c>
      <c r="V28" s="64">
        <v>65</v>
      </c>
      <c r="W28" s="64">
        <v>75</v>
      </c>
      <c r="X28" s="64">
        <v>66</v>
      </c>
      <c r="Y28" s="64">
        <v>48</v>
      </c>
      <c r="Z28" s="64">
        <v>50</v>
      </c>
      <c r="AA28" s="64">
        <v>60</v>
      </c>
      <c r="AB28" s="64">
        <v>58</v>
      </c>
      <c r="AC28" s="64">
        <v>55</v>
      </c>
      <c r="AD28" s="64">
        <v>57</v>
      </c>
      <c r="AE28" s="64">
        <v>20</v>
      </c>
      <c r="AF28" s="64">
        <v>40</v>
      </c>
      <c r="AG28" s="64">
        <v>50</v>
      </c>
      <c r="AH28" s="64">
        <v>40</v>
      </c>
      <c r="AI28" s="64">
        <v>39</v>
      </c>
      <c r="AJ28" s="64">
        <v>61</v>
      </c>
      <c r="AK28" s="64">
        <v>50</v>
      </c>
      <c r="AL28" s="64"/>
      <c r="AM28" s="64"/>
      <c r="AN28" s="64"/>
      <c r="AO28" s="64"/>
      <c r="AP28" s="64"/>
      <c r="AQ28" s="64"/>
      <c r="AR28" s="64"/>
      <c r="AS28" s="64"/>
      <c r="AT28" s="64"/>
      <c r="AU28" s="64"/>
      <c r="AV28" s="64"/>
      <c r="AW28" s="73"/>
      <c r="AX28" s="73"/>
      <c r="AY28" s="73"/>
      <c r="AZ28" s="73"/>
      <c r="BA28" s="73"/>
      <c r="BB28" s="73"/>
      <c r="BC28" s="73"/>
      <c r="BD28" s="73"/>
      <c r="BE28" s="73"/>
      <c r="BF28" s="73"/>
      <c r="BG28" s="73"/>
      <c r="BH28" s="73"/>
      <c r="BI28" s="73"/>
      <c r="BJ28" s="73"/>
      <c r="BK28" s="73"/>
      <c r="BL28" s="73"/>
      <c r="BM28" s="73"/>
      <c r="BN28" s="73"/>
      <c r="BO28" s="73"/>
      <c r="BP28" s="73"/>
      <c r="BQ28" s="73"/>
      <c r="BR28" s="73"/>
      <c r="BS28" s="73"/>
      <c r="BT28" s="73"/>
      <c r="BU28" s="74">
        <f t="shared" si="0"/>
        <v>1701</v>
      </c>
      <c r="BV28" s="75"/>
    </row>
    <row r="29" spans="1:74" x14ac:dyDescent="0.2">
      <c r="A29" s="67">
        <v>10</v>
      </c>
      <c r="B29" s="83" t="s">
        <v>126</v>
      </c>
      <c r="C29" s="87"/>
      <c r="D29" s="70" t="s">
        <v>118</v>
      </c>
      <c r="E29" s="64"/>
      <c r="F29" s="64"/>
      <c r="G29" s="64">
        <v>0</v>
      </c>
      <c r="H29" s="64">
        <v>0</v>
      </c>
      <c r="I29" s="64">
        <v>0</v>
      </c>
      <c r="J29" s="64">
        <v>0</v>
      </c>
      <c r="K29" s="64">
        <v>0</v>
      </c>
      <c r="L29" s="64">
        <v>0</v>
      </c>
      <c r="M29" s="64">
        <v>0</v>
      </c>
      <c r="N29" s="64">
        <v>0</v>
      </c>
      <c r="O29" s="64">
        <v>0</v>
      </c>
      <c r="P29" s="64">
        <v>0</v>
      </c>
      <c r="Q29" s="64">
        <v>0</v>
      </c>
      <c r="R29" s="64">
        <v>0</v>
      </c>
      <c r="S29" s="64">
        <v>0</v>
      </c>
      <c r="T29" s="64">
        <v>0</v>
      </c>
      <c r="U29" s="64">
        <v>0</v>
      </c>
      <c r="V29" s="64">
        <v>0</v>
      </c>
      <c r="W29" s="64">
        <v>0</v>
      </c>
      <c r="X29" s="64">
        <v>0</v>
      </c>
      <c r="Y29" s="64">
        <v>0</v>
      </c>
      <c r="Z29" s="64">
        <v>0</v>
      </c>
      <c r="AA29" s="64">
        <v>0</v>
      </c>
      <c r="AB29" s="64">
        <v>0</v>
      </c>
      <c r="AC29" s="64">
        <v>0</v>
      </c>
      <c r="AD29" s="64">
        <v>0</v>
      </c>
      <c r="AE29" s="64">
        <v>0</v>
      </c>
      <c r="AF29" s="64">
        <v>0</v>
      </c>
      <c r="AG29" s="64">
        <v>0</v>
      </c>
      <c r="AH29" s="64">
        <v>0</v>
      </c>
      <c r="AI29" s="64">
        <v>4</v>
      </c>
      <c r="AJ29" s="64">
        <v>6</v>
      </c>
      <c r="AK29" s="64">
        <v>0</v>
      </c>
      <c r="AL29" s="64"/>
      <c r="AM29" s="64"/>
      <c r="AN29" s="73"/>
      <c r="AO29" s="73"/>
      <c r="AP29" s="73"/>
      <c r="AQ29" s="73"/>
      <c r="AR29" s="73"/>
      <c r="AS29" s="73"/>
      <c r="AT29" s="73"/>
      <c r="AU29" s="73"/>
      <c r="AV29" s="73"/>
      <c r="AW29" s="73"/>
      <c r="AX29" s="73"/>
      <c r="AY29" s="73"/>
      <c r="AZ29" s="73"/>
      <c r="BA29" s="73"/>
      <c r="BB29" s="73"/>
      <c r="BC29" s="73"/>
      <c r="BD29" s="73"/>
      <c r="BE29" s="73"/>
      <c r="BF29" s="73"/>
      <c r="BG29" s="73"/>
      <c r="BH29" s="73"/>
      <c r="BI29" s="73"/>
      <c r="BJ29" s="73"/>
      <c r="BK29" s="73"/>
      <c r="BL29" s="73"/>
      <c r="BM29" s="73"/>
      <c r="BN29" s="73"/>
      <c r="BO29" s="73"/>
      <c r="BP29" s="73"/>
      <c r="BQ29" s="73"/>
      <c r="BR29" s="73"/>
      <c r="BS29" s="73"/>
      <c r="BT29" s="73"/>
      <c r="BU29" s="74">
        <f t="shared" si="0"/>
        <v>10</v>
      </c>
      <c r="BV29" s="75"/>
    </row>
    <row r="30" spans="1:74" x14ac:dyDescent="0.2">
      <c r="A30" s="67">
        <v>11</v>
      </c>
      <c r="B30" s="83" t="s">
        <v>127</v>
      </c>
      <c r="C30" s="69"/>
      <c r="D30" s="70" t="s">
        <v>118</v>
      </c>
      <c r="E30" s="64"/>
      <c r="F30" s="64"/>
      <c r="G30" s="64">
        <v>2</v>
      </c>
      <c r="H30" s="64">
        <v>2</v>
      </c>
      <c r="I30" s="64">
        <v>2</v>
      </c>
      <c r="J30" s="64">
        <v>2</v>
      </c>
      <c r="K30" s="64">
        <v>2</v>
      </c>
      <c r="L30" s="64">
        <v>2</v>
      </c>
      <c r="M30" s="64">
        <v>2</v>
      </c>
      <c r="N30" s="64">
        <v>2</v>
      </c>
      <c r="O30" s="64">
        <v>2</v>
      </c>
      <c r="P30" s="64">
        <v>2</v>
      </c>
      <c r="Q30" s="64">
        <v>2</v>
      </c>
      <c r="R30" s="64">
        <v>2</v>
      </c>
      <c r="S30" s="64">
        <v>2</v>
      </c>
      <c r="T30" s="64">
        <v>2</v>
      </c>
      <c r="U30" s="64">
        <v>2</v>
      </c>
      <c r="V30" s="64">
        <v>2</v>
      </c>
      <c r="W30" s="64">
        <v>2</v>
      </c>
      <c r="X30" s="64">
        <v>2</v>
      </c>
      <c r="Y30" s="64">
        <v>2</v>
      </c>
      <c r="Z30" s="64">
        <v>2</v>
      </c>
      <c r="AA30" s="64">
        <v>2</v>
      </c>
      <c r="AB30" s="64">
        <v>2</v>
      </c>
      <c r="AC30" s="64">
        <v>5</v>
      </c>
      <c r="AD30" s="64">
        <v>5</v>
      </c>
      <c r="AE30" s="64">
        <v>5</v>
      </c>
      <c r="AF30" s="64">
        <v>5</v>
      </c>
      <c r="AG30" s="64">
        <v>5</v>
      </c>
      <c r="AH30" s="64">
        <v>5</v>
      </c>
      <c r="AI30" s="64">
        <v>5</v>
      </c>
      <c r="AJ30" s="64">
        <v>5</v>
      </c>
      <c r="AK30" s="64">
        <v>5</v>
      </c>
      <c r="AL30" s="64"/>
      <c r="AM30" s="64"/>
      <c r="AN30" s="73"/>
      <c r="AO30" s="73"/>
      <c r="AP30" s="73"/>
      <c r="AQ30" s="73"/>
      <c r="AR30" s="73"/>
      <c r="AS30" s="73"/>
      <c r="AT30" s="73"/>
      <c r="AU30" s="73"/>
      <c r="AV30" s="73"/>
      <c r="AW30" s="73"/>
      <c r="AX30" s="73"/>
      <c r="AY30" s="73"/>
      <c r="AZ30" s="73"/>
      <c r="BA30" s="73"/>
      <c r="BB30" s="73"/>
      <c r="BC30" s="73"/>
      <c r="BD30" s="73"/>
      <c r="BE30" s="73"/>
      <c r="BF30" s="73"/>
      <c r="BG30" s="73"/>
      <c r="BH30" s="73"/>
      <c r="BI30" s="73"/>
      <c r="BJ30" s="73"/>
      <c r="BK30" s="73"/>
      <c r="BL30" s="73"/>
      <c r="BM30" s="73"/>
      <c r="BN30" s="73"/>
      <c r="BO30" s="73"/>
      <c r="BP30" s="73"/>
      <c r="BQ30" s="73"/>
      <c r="BR30" s="73"/>
      <c r="BS30" s="73"/>
      <c r="BT30" s="73"/>
      <c r="BU30" s="74">
        <f t="shared" si="0"/>
        <v>89</v>
      </c>
      <c r="BV30" s="75"/>
    </row>
    <row r="31" spans="1:74" x14ac:dyDescent="0.2">
      <c r="A31" s="67">
        <v>12</v>
      </c>
      <c r="B31" s="83" t="s">
        <v>128</v>
      </c>
      <c r="C31" s="69"/>
      <c r="D31" s="70" t="s">
        <v>118</v>
      </c>
      <c r="E31" s="64"/>
      <c r="F31" s="64"/>
      <c r="G31" s="64">
        <v>1</v>
      </c>
      <c r="H31" s="64">
        <v>1</v>
      </c>
      <c r="I31" s="64">
        <v>1</v>
      </c>
      <c r="J31" s="64">
        <v>1</v>
      </c>
      <c r="K31" s="64">
        <v>1</v>
      </c>
      <c r="L31" s="64">
        <v>1</v>
      </c>
      <c r="M31" s="64">
        <v>1</v>
      </c>
      <c r="N31" s="64">
        <v>1</v>
      </c>
      <c r="O31" s="64">
        <v>1</v>
      </c>
      <c r="P31" s="64">
        <v>1</v>
      </c>
      <c r="Q31" s="64">
        <v>1</v>
      </c>
      <c r="R31" s="64">
        <v>1</v>
      </c>
      <c r="S31" s="64">
        <v>1</v>
      </c>
      <c r="T31" s="64">
        <v>0</v>
      </c>
      <c r="U31" s="85">
        <v>0</v>
      </c>
      <c r="V31" s="64">
        <v>1</v>
      </c>
      <c r="W31" s="64">
        <v>1</v>
      </c>
      <c r="X31" s="64">
        <v>1</v>
      </c>
      <c r="Y31" s="64">
        <v>1</v>
      </c>
      <c r="Z31" s="64">
        <v>1</v>
      </c>
      <c r="AA31" s="64">
        <v>1</v>
      </c>
      <c r="AB31" s="64">
        <v>1</v>
      </c>
      <c r="AC31" s="64">
        <v>1</v>
      </c>
      <c r="AD31" s="64">
        <v>1</v>
      </c>
      <c r="AE31" s="64">
        <v>1</v>
      </c>
      <c r="AF31" s="64">
        <v>1</v>
      </c>
      <c r="AG31" s="64">
        <v>1</v>
      </c>
      <c r="AH31" s="64">
        <v>1</v>
      </c>
      <c r="AI31" s="64">
        <v>1</v>
      </c>
      <c r="AJ31" s="64">
        <v>0</v>
      </c>
      <c r="AK31" s="64">
        <v>0</v>
      </c>
      <c r="AL31" s="64"/>
      <c r="AM31" s="64"/>
      <c r="AN31" s="73"/>
      <c r="AO31" s="73"/>
      <c r="AP31" s="73"/>
      <c r="AQ31" s="73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3"/>
      <c r="BG31" s="73"/>
      <c r="BH31" s="73"/>
      <c r="BI31" s="73"/>
      <c r="BJ31" s="73"/>
      <c r="BK31" s="73"/>
      <c r="BL31" s="73"/>
      <c r="BM31" s="73"/>
      <c r="BN31" s="73"/>
      <c r="BO31" s="73"/>
      <c r="BP31" s="73"/>
      <c r="BQ31" s="73"/>
      <c r="BR31" s="73"/>
      <c r="BS31" s="73"/>
      <c r="BT31" s="73"/>
      <c r="BU31" s="74">
        <f t="shared" si="0"/>
        <v>27</v>
      </c>
      <c r="BV31" s="75"/>
    </row>
    <row r="32" spans="1:74" x14ac:dyDescent="0.2">
      <c r="A32" s="67">
        <v>13</v>
      </c>
      <c r="B32" s="83" t="s">
        <v>129</v>
      </c>
      <c r="C32" s="69"/>
      <c r="D32" s="70" t="s">
        <v>118</v>
      </c>
      <c r="E32" s="64"/>
      <c r="F32" s="64"/>
      <c r="G32" s="64">
        <v>1</v>
      </c>
      <c r="H32" s="64">
        <v>1</v>
      </c>
      <c r="I32" s="64">
        <v>1</v>
      </c>
      <c r="J32" s="64">
        <v>1</v>
      </c>
      <c r="K32" s="64">
        <v>1</v>
      </c>
      <c r="L32" s="64">
        <v>1</v>
      </c>
      <c r="M32" s="64">
        <v>1</v>
      </c>
      <c r="N32" s="64">
        <v>1</v>
      </c>
      <c r="O32" s="64">
        <v>1</v>
      </c>
      <c r="P32" s="64">
        <v>1</v>
      </c>
      <c r="Q32" s="64">
        <v>1</v>
      </c>
      <c r="R32" s="64">
        <v>1</v>
      </c>
      <c r="S32" s="64">
        <v>1</v>
      </c>
      <c r="T32" s="64">
        <v>0</v>
      </c>
      <c r="U32" s="64">
        <v>0</v>
      </c>
      <c r="V32" s="64">
        <v>1</v>
      </c>
      <c r="W32" s="64">
        <v>1</v>
      </c>
      <c r="X32" s="64">
        <v>1</v>
      </c>
      <c r="Y32" s="64">
        <v>1</v>
      </c>
      <c r="Z32" s="64">
        <v>1</v>
      </c>
      <c r="AA32" s="64">
        <v>1</v>
      </c>
      <c r="AB32" s="64">
        <v>1</v>
      </c>
      <c r="AC32" s="64">
        <v>1</v>
      </c>
      <c r="AD32" s="64">
        <v>1</v>
      </c>
      <c r="AE32" s="64">
        <v>1</v>
      </c>
      <c r="AF32" s="64">
        <v>1</v>
      </c>
      <c r="AG32" s="64">
        <v>1</v>
      </c>
      <c r="AH32" s="64">
        <v>1</v>
      </c>
      <c r="AI32" s="64">
        <v>1</v>
      </c>
      <c r="AJ32" s="64">
        <v>0</v>
      </c>
      <c r="AK32" s="64">
        <v>0</v>
      </c>
      <c r="AL32" s="64"/>
      <c r="AM32" s="64"/>
      <c r="AN32" s="73"/>
      <c r="AO32" s="73"/>
      <c r="AP32" s="73"/>
      <c r="AQ32" s="73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/>
      <c r="BD32" s="73"/>
      <c r="BE32" s="73"/>
      <c r="BF32" s="73"/>
      <c r="BG32" s="73"/>
      <c r="BH32" s="73"/>
      <c r="BI32" s="73"/>
      <c r="BJ32" s="73"/>
      <c r="BK32" s="73"/>
      <c r="BL32" s="73"/>
      <c r="BM32" s="73"/>
      <c r="BN32" s="73"/>
      <c r="BO32" s="73"/>
      <c r="BP32" s="73"/>
      <c r="BQ32" s="73"/>
      <c r="BR32" s="73"/>
      <c r="BS32" s="73"/>
      <c r="BT32" s="73"/>
      <c r="BU32" s="74">
        <f t="shared" si="0"/>
        <v>27</v>
      </c>
      <c r="BV32" s="75"/>
    </row>
    <row r="33" spans="1:76" x14ac:dyDescent="0.2">
      <c r="A33" s="67">
        <v>14</v>
      </c>
      <c r="B33" s="83" t="s">
        <v>130</v>
      </c>
      <c r="C33" s="69"/>
      <c r="D33" s="70" t="s">
        <v>118</v>
      </c>
      <c r="E33" s="64"/>
      <c r="F33" s="64"/>
      <c r="G33" s="64">
        <v>0</v>
      </c>
      <c r="H33" s="85">
        <v>0</v>
      </c>
      <c r="I33" s="64">
        <v>0</v>
      </c>
      <c r="J33" s="64">
        <v>0</v>
      </c>
      <c r="K33" s="64">
        <v>0</v>
      </c>
      <c r="L33" s="64">
        <v>0</v>
      </c>
      <c r="M33" s="64">
        <v>0</v>
      </c>
      <c r="N33" s="64">
        <v>0</v>
      </c>
      <c r="O33" s="64">
        <v>0</v>
      </c>
      <c r="P33" s="64">
        <v>0</v>
      </c>
      <c r="Q33" s="64">
        <v>0</v>
      </c>
      <c r="R33" s="64">
        <v>0</v>
      </c>
      <c r="S33" s="64">
        <v>0</v>
      </c>
      <c r="T33" s="64">
        <v>0</v>
      </c>
      <c r="U33" s="64">
        <v>0</v>
      </c>
      <c r="V33" s="64">
        <v>0</v>
      </c>
      <c r="W33" s="64">
        <v>0</v>
      </c>
      <c r="X33" s="64">
        <v>0</v>
      </c>
      <c r="Y33" s="64">
        <v>0</v>
      </c>
      <c r="Z33" s="64">
        <v>0</v>
      </c>
      <c r="AA33" s="64">
        <v>0</v>
      </c>
      <c r="AB33" s="64">
        <v>0</v>
      </c>
      <c r="AC33" s="64">
        <v>0</v>
      </c>
      <c r="AD33" s="64">
        <v>0</v>
      </c>
      <c r="AE33" s="64">
        <v>0</v>
      </c>
      <c r="AF33" s="64">
        <v>0</v>
      </c>
      <c r="AG33" s="64">
        <v>0</v>
      </c>
      <c r="AH33" s="64">
        <v>0</v>
      </c>
      <c r="AI33" s="64">
        <v>0</v>
      </c>
      <c r="AJ33" s="64">
        <v>0</v>
      </c>
      <c r="AK33" s="64">
        <v>0</v>
      </c>
      <c r="AL33" s="64"/>
      <c r="AM33" s="64"/>
      <c r="AN33" s="73"/>
      <c r="AO33" s="73"/>
      <c r="AP33" s="73"/>
      <c r="AQ33" s="73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3"/>
      <c r="BF33" s="73"/>
      <c r="BG33" s="73"/>
      <c r="BH33" s="73"/>
      <c r="BI33" s="73"/>
      <c r="BJ33" s="73"/>
      <c r="BK33" s="73"/>
      <c r="BL33" s="73"/>
      <c r="BM33" s="73"/>
      <c r="BN33" s="88"/>
      <c r="BO33" s="73"/>
      <c r="BP33" s="73"/>
      <c r="BQ33" s="73"/>
      <c r="BR33" s="73"/>
      <c r="BS33" s="73"/>
      <c r="BT33" s="73"/>
      <c r="BU33" s="74">
        <f t="shared" si="0"/>
        <v>0</v>
      </c>
      <c r="BV33" s="75"/>
    </row>
    <row r="34" spans="1:76" x14ac:dyDescent="0.2">
      <c r="A34" s="67">
        <v>15</v>
      </c>
      <c r="B34" s="83" t="s">
        <v>131</v>
      </c>
      <c r="C34" s="87"/>
      <c r="D34" s="70" t="s">
        <v>118</v>
      </c>
      <c r="E34" s="64"/>
      <c r="F34" s="64"/>
      <c r="G34" s="64">
        <v>0</v>
      </c>
      <c r="H34" s="64">
        <v>0</v>
      </c>
      <c r="I34" s="64">
        <v>0</v>
      </c>
      <c r="J34" s="64">
        <v>0</v>
      </c>
      <c r="K34" s="64">
        <v>0</v>
      </c>
      <c r="L34" s="64">
        <v>0</v>
      </c>
      <c r="M34" s="64">
        <v>0</v>
      </c>
      <c r="N34" s="64">
        <v>0</v>
      </c>
      <c r="O34" s="64">
        <v>0</v>
      </c>
      <c r="P34" s="64">
        <v>0</v>
      </c>
      <c r="Q34" s="64">
        <v>0</v>
      </c>
      <c r="R34" s="64">
        <v>0</v>
      </c>
      <c r="S34" s="64">
        <v>0</v>
      </c>
      <c r="T34" s="64">
        <v>0</v>
      </c>
      <c r="U34" s="64">
        <v>0</v>
      </c>
      <c r="V34" s="64">
        <v>0</v>
      </c>
      <c r="W34" s="64">
        <v>0</v>
      </c>
      <c r="X34" s="64">
        <v>0</v>
      </c>
      <c r="Y34" s="64">
        <v>0</v>
      </c>
      <c r="Z34" s="64">
        <v>0</v>
      </c>
      <c r="AA34" s="64">
        <v>0</v>
      </c>
      <c r="AB34" s="64">
        <v>0</v>
      </c>
      <c r="AC34" s="64">
        <v>0</v>
      </c>
      <c r="AD34" s="64">
        <v>0</v>
      </c>
      <c r="AE34" s="64">
        <v>0</v>
      </c>
      <c r="AF34" s="64">
        <v>0</v>
      </c>
      <c r="AG34" s="64">
        <v>0</v>
      </c>
      <c r="AH34" s="64">
        <v>0</v>
      </c>
      <c r="AI34" s="64">
        <v>0</v>
      </c>
      <c r="AJ34" s="64">
        <v>0</v>
      </c>
      <c r="AK34" s="64">
        <v>0</v>
      </c>
      <c r="AL34" s="64"/>
      <c r="AM34" s="64"/>
      <c r="AN34" s="73"/>
      <c r="AO34" s="73"/>
      <c r="AP34" s="73"/>
      <c r="AQ34" s="73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3"/>
      <c r="BD34" s="73"/>
      <c r="BE34" s="73"/>
      <c r="BF34" s="73"/>
      <c r="BG34" s="73"/>
      <c r="BH34" s="73"/>
      <c r="BI34" s="73"/>
      <c r="BJ34" s="73"/>
      <c r="BK34" s="73"/>
      <c r="BL34" s="73"/>
      <c r="BM34" s="73"/>
      <c r="BN34" s="73"/>
      <c r="BO34" s="73"/>
      <c r="BP34" s="73"/>
      <c r="BQ34" s="73"/>
      <c r="BR34" s="73"/>
      <c r="BS34" s="73"/>
      <c r="BT34" s="73"/>
      <c r="BU34" s="74">
        <f t="shared" si="0"/>
        <v>0</v>
      </c>
      <c r="BW34" s="66"/>
      <c r="BX34" s="75"/>
    </row>
    <row r="35" spans="1:76" x14ac:dyDescent="0.2">
      <c r="A35" s="67">
        <v>16</v>
      </c>
      <c r="B35" s="83" t="s">
        <v>132</v>
      </c>
      <c r="C35" s="69"/>
      <c r="D35" s="70" t="s">
        <v>118</v>
      </c>
      <c r="E35" s="64"/>
      <c r="F35" s="64"/>
      <c r="G35" s="64">
        <v>3</v>
      </c>
      <c r="H35" s="64">
        <v>3</v>
      </c>
      <c r="I35" s="64">
        <v>3</v>
      </c>
      <c r="J35" s="64">
        <v>3</v>
      </c>
      <c r="K35" s="64">
        <v>3</v>
      </c>
      <c r="L35" s="64">
        <v>3</v>
      </c>
      <c r="M35" s="64">
        <v>3</v>
      </c>
      <c r="N35" s="64">
        <v>3</v>
      </c>
      <c r="O35" s="64">
        <v>3</v>
      </c>
      <c r="P35" s="64">
        <v>3</v>
      </c>
      <c r="Q35" s="64">
        <v>3</v>
      </c>
      <c r="R35" s="64">
        <v>3</v>
      </c>
      <c r="S35" s="64">
        <v>3</v>
      </c>
      <c r="T35" s="64">
        <v>3</v>
      </c>
      <c r="U35" s="64">
        <v>3</v>
      </c>
      <c r="V35" s="64">
        <v>3</v>
      </c>
      <c r="W35" s="64">
        <v>3</v>
      </c>
      <c r="X35" s="64">
        <v>3</v>
      </c>
      <c r="Y35" s="64">
        <v>3</v>
      </c>
      <c r="Z35" s="64">
        <v>3</v>
      </c>
      <c r="AA35" s="64">
        <v>3</v>
      </c>
      <c r="AB35" s="64">
        <v>3</v>
      </c>
      <c r="AC35" s="64">
        <v>5</v>
      </c>
      <c r="AD35" s="64">
        <v>5</v>
      </c>
      <c r="AE35" s="64">
        <v>5</v>
      </c>
      <c r="AF35" s="64">
        <v>5</v>
      </c>
      <c r="AG35" s="64">
        <v>5</v>
      </c>
      <c r="AH35" s="64">
        <v>5</v>
      </c>
      <c r="AI35" s="64">
        <v>5</v>
      </c>
      <c r="AJ35" s="64">
        <v>5</v>
      </c>
      <c r="AK35" s="64">
        <v>5</v>
      </c>
      <c r="AL35" s="64"/>
      <c r="AM35" s="64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3"/>
      <c r="BK35" s="73"/>
      <c r="BL35" s="73"/>
      <c r="BM35" s="73"/>
      <c r="BN35" s="73"/>
      <c r="BO35" s="73"/>
      <c r="BP35" s="73"/>
      <c r="BQ35" s="73"/>
      <c r="BR35" s="73"/>
      <c r="BS35" s="73"/>
      <c r="BT35" s="73"/>
      <c r="BU35" s="74">
        <f t="shared" si="0"/>
        <v>111</v>
      </c>
      <c r="BW35" s="66"/>
      <c r="BX35" s="75"/>
    </row>
    <row r="36" spans="1:76" x14ac:dyDescent="0.2">
      <c r="A36" s="67">
        <v>17</v>
      </c>
      <c r="B36" s="83" t="s">
        <v>133</v>
      </c>
      <c r="C36" s="69"/>
      <c r="D36" s="70" t="s">
        <v>118</v>
      </c>
      <c r="E36" s="64"/>
      <c r="F36" s="64"/>
      <c r="G36" s="64">
        <v>0</v>
      </c>
      <c r="H36" s="64">
        <v>0</v>
      </c>
      <c r="I36" s="64">
        <v>0</v>
      </c>
      <c r="J36" s="64">
        <v>0</v>
      </c>
      <c r="K36" s="64">
        <v>0</v>
      </c>
      <c r="L36" s="64">
        <v>0</v>
      </c>
      <c r="M36" s="64">
        <v>0</v>
      </c>
      <c r="N36" s="64">
        <v>0</v>
      </c>
      <c r="O36" s="64">
        <v>0</v>
      </c>
      <c r="P36" s="64">
        <v>0</v>
      </c>
      <c r="Q36" s="64">
        <v>0</v>
      </c>
      <c r="R36" s="64">
        <v>0</v>
      </c>
      <c r="S36" s="64">
        <v>0</v>
      </c>
      <c r="T36" s="64">
        <v>0</v>
      </c>
      <c r="U36" s="64">
        <v>0</v>
      </c>
      <c r="V36" s="64">
        <v>0</v>
      </c>
      <c r="W36" s="64">
        <v>0</v>
      </c>
      <c r="X36" s="64">
        <v>0</v>
      </c>
      <c r="Y36" s="64">
        <v>0</v>
      </c>
      <c r="Z36" s="64">
        <v>0</v>
      </c>
      <c r="AA36" s="64">
        <v>0</v>
      </c>
      <c r="AB36" s="64">
        <v>0</v>
      </c>
      <c r="AC36" s="64">
        <v>0</v>
      </c>
      <c r="AD36" s="64">
        <v>0</v>
      </c>
      <c r="AE36" s="64">
        <v>0</v>
      </c>
      <c r="AF36" s="64">
        <v>0</v>
      </c>
      <c r="AG36" s="64">
        <v>0</v>
      </c>
      <c r="AH36" s="64">
        <v>0</v>
      </c>
      <c r="AI36" s="64">
        <v>0</v>
      </c>
      <c r="AJ36" s="64">
        <v>0</v>
      </c>
      <c r="AK36" s="64">
        <v>0</v>
      </c>
      <c r="AL36" s="64"/>
      <c r="AM36" s="64"/>
      <c r="AN36" s="73"/>
      <c r="AO36" s="73"/>
      <c r="AP36" s="73"/>
      <c r="AQ36" s="73"/>
      <c r="AR36" s="73"/>
      <c r="AS36" s="73"/>
      <c r="AT36" s="73"/>
      <c r="AU36" s="73"/>
      <c r="AV36" s="73"/>
      <c r="AW36" s="73"/>
      <c r="AX36" s="73"/>
      <c r="AY36" s="73"/>
      <c r="AZ36" s="73"/>
      <c r="BA36" s="73"/>
      <c r="BB36" s="73"/>
      <c r="BC36" s="73"/>
      <c r="BD36" s="73"/>
      <c r="BE36" s="73"/>
      <c r="BF36" s="73"/>
      <c r="BG36" s="73"/>
      <c r="BH36" s="73"/>
      <c r="BI36" s="73"/>
      <c r="BJ36" s="73"/>
      <c r="BK36" s="73"/>
      <c r="BL36" s="73"/>
      <c r="BM36" s="73"/>
      <c r="BN36" s="73"/>
      <c r="BO36" s="73"/>
      <c r="BP36" s="73"/>
      <c r="BQ36" s="73"/>
      <c r="BR36" s="73"/>
      <c r="BS36" s="73"/>
      <c r="BT36" s="73"/>
      <c r="BU36" s="74">
        <f t="shared" si="0"/>
        <v>0</v>
      </c>
      <c r="BW36" s="66"/>
      <c r="BX36" s="75"/>
    </row>
    <row r="37" spans="1:76" x14ac:dyDescent="0.2">
      <c r="A37" s="67">
        <v>18</v>
      </c>
      <c r="B37" s="83" t="s">
        <v>134</v>
      </c>
      <c r="C37" s="69"/>
      <c r="D37" s="70" t="s">
        <v>118</v>
      </c>
      <c r="E37" s="64"/>
      <c r="F37" s="64"/>
      <c r="G37" s="64">
        <v>0</v>
      </c>
      <c r="H37" s="64">
        <v>0</v>
      </c>
      <c r="I37" s="64">
        <v>0</v>
      </c>
      <c r="J37" s="64">
        <v>0</v>
      </c>
      <c r="K37" s="64">
        <v>0</v>
      </c>
      <c r="L37" s="64">
        <v>0</v>
      </c>
      <c r="M37" s="64">
        <v>0</v>
      </c>
      <c r="N37" s="64">
        <v>0</v>
      </c>
      <c r="O37" s="64">
        <v>0</v>
      </c>
      <c r="P37" s="64">
        <v>0</v>
      </c>
      <c r="Q37" s="64">
        <v>0</v>
      </c>
      <c r="R37" s="64">
        <v>0</v>
      </c>
      <c r="S37" s="64">
        <v>0</v>
      </c>
      <c r="T37" s="64">
        <v>0</v>
      </c>
      <c r="U37" s="64">
        <v>0</v>
      </c>
      <c r="V37" s="64">
        <v>0</v>
      </c>
      <c r="W37" s="64">
        <v>0</v>
      </c>
      <c r="X37" s="64">
        <v>0</v>
      </c>
      <c r="Y37" s="64">
        <v>0</v>
      </c>
      <c r="Z37" s="64">
        <v>0</v>
      </c>
      <c r="AA37" s="64">
        <v>0</v>
      </c>
      <c r="AB37" s="64">
        <v>0</v>
      </c>
      <c r="AC37" s="64">
        <v>0</v>
      </c>
      <c r="AD37" s="64">
        <v>0</v>
      </c>
      <c r="AE37" s="64">
        <v>0</v>
      </c>
      <c r="AF37" s="64">
        <v>0</v>
      </c>
      <c r="AG37" s="64">
        <v>0</v>
      </c>
      <c r="AH37" s="64">
        <v>0</v>
      </c>
      <c r="AI37" s="64">
        <v>0</v>
      </c>
      <c r="AJ37" s="64">
        <v>0</v>
      </c>
      <c r="AK37" s="64">
        <v>0</v>
      </c>
      <c r="AL37" s="64"/>
      <c r="AM37" s="64"/>
      <c r="AN37" s="73"/>
      <c r="AO37" s="73"/>
      <c r="AP37" s="73"/>
      <c r="AQ37" s="73"/>
      <c r="AR37" s="73"/>
      <c r="AS37" s="73"/>
      <c r="AT37" s="73"/>
      <c r="AU37" s="73"/>
      <c r="AV37" s="73"/>
      <c r="AW37" s="73"/>
      <c r="AX37" s="73"/>
      <c r="AY37" s="73"/>
      <c r="AZ37" s="73"/>
      <c r="BA37" s="73"/>
      <c r="BB37" s="73"/>
      <c r="BC37" s="73"/>
      <c r="BD37" s="73"/>
      <c r="BE37" s="73"/>
      <c r="BF37" s="73"/>
      <c r="BG37" s="73"/>
      <c r="BH37" s="73"/>
      <c r="BI37" s="73"/>
      <c r="BJ37" s="73"/>
      <c r="BK37" s="73"/>
      <c r="BL37" s="73"/>
      <c r="BM37" s="73"/>
      <c r="BN37" s="73"/>
      <c r="BO37" s="73"/>
      <c r="BP37" s="73"/>
      <c r="BQ37" s="73"/>
      <c r="BR37" s="73"/>
      <c r="BS37" s="73"/>
      <c r="BT37" s="73"/>
      <c r="BU37" s="74">
        <f t="shared" si="0"/>
        <v>0</v>
      </c>
      <c r="BW37" s="66"/>
      <c r="BX37" s="75"/>
    </row>
    <row r="38" spans="1:76" x14ac:dyDescent="0.2">
      <c r="A38" s="67">
        <v>19</v>
      </c>
      <c r="B38" s="83" t="s">
        <v>135</v>
      </c>
      <c r="C38" s="87"/>
      <c r="D38" s="70" t="s">
        <v>118</v>
      </c>
      <c r="E38" s="64"/>
      <c r="F38" s="64"/>
      <c r="G38" s="64">
        <v>5</v>
      </c>
      <c r="H38" s="64">
        <v>6</v>
      </c>
      <c r="I38" s="64">
        <v>5</v>
      </c>
      <c r="J38" s="64">
        <v>5</v>
      </c>
      <c r="K38" s="64">
        <v>6</v>
      </c>
      <c r="L38" s="64">
        <v>4</v>
      </c>
      <c r="M38" s="64">
        <v>4</v>
      </c>
      <c r="N38" s="64">
        <v>6</v>
      </c>
      <c r="O38" s="64">
        <v>5</v>
      </c>
      <c r="P38" s="64">
        <v>6</v>
      </c>
      <c r="Q38" s="64">
        <v>4</v>
      </c>
      <c r="R38" s="64">
        <v>5</v>
      </c>
      <c r="S38" s="64">
        <v>5</v>
      </c>
      <c r="T38" s="64">
        <v>6</v>
      </c>
      <c r="U38" s="64">
        <v>6</v>
      </c>
      <c r="V38" s="64">
        <v>5</v>
      </c>
      <c r="W38" s="64">
        <v>5</v>
      </c>
      <c r="X38" s="64">
        <v>5</v>
      </c>
      <c r="Y38" s="64">
        <v>4</v>
      </c>
      <c r="Z38" s="64">
        <v>5</v>
      </c>
      <c r="AA38" s="64">
        <v>6</v>
      </c>
      <c r="AB38" s="64">
        <v>6</v>
      </c>
      <c r="AC38" s="64">
        <v>6</v>
      </c>
      <c r="AD38" s="64">
        <v>7</v>
      </c>
      <c r="AE38" s="64">
        <v>14</v>
      </c>
      <c r="AF38" s="64">
        <v>10</v>
      </c>
      <c r="AG38" s="64">
        <v>10</v>
      </c>
      <c r="AH38" s="64">
        <v>8</v>
      </c>
      <c r="AI38" s="64">
        <v>8</v>
      </c>
      <c r="AJ38" s="64">
        <v>10</v>
      </c>
      <c r="AK38" s="64">
        <v>8</v>
      </c>
      <c r="AL38" s="64"/>
      <c r="AM38" s="64"/>
      <c r="AN38" s="73"/>
      <c r="AO38" s="73"/>
      <c r="AP38" s="73"/>
      <c r="AQ38" s="73"/>
      <c r="AR38" s="73"/>
      <c r="AS38" s="73"/>
      <c r="AT38" s="73"/>
      <c r="AU38" s="73"/>
      <c r="AV38" s="73"/>
      <c r="AW38" s="73"/>
      <c r="AX38" s="73"/>
      <c r="AY38" s="73"/>
      <c r="AZ38" s="73"/>
      <c r="BA38" s="73"/>
      <c r="BB38" s="73"/>
      <c r="BC38" s="73"/>
      <c r="BD38" s="73"/>
      <c r="BE38" s="73"/>
      <c r="BF38" s="73"/>
      <c r="BG38" s="73"/>
      <c r="BH38" s="73"/>
      <c r="BI38" s="73"/>
      <c r="BJ38" s="73"/>
      <c r="BK38" s="73"/>
      <c r="BL38" s="73"/>
      <c r="BM38" s="73"/>
      <c r="BN38" s="73"/>
      <c r="BO38" s="73"/>
      <c r="BP38" s="73"/>
      <c r="BQ38" s="73"/>
      <c r="BR38" s="73"/>
      <c r="BS38" s="73"/>
      <c r="BT38" s="73"/>
      <c r="BU38" s="74">
        <f t="shared" si="0"/>
        <v>195</v>
      </c>
      <c r="BW38" s="66"/>
      <c r="BX38" s="75"/>
    </row>
    <row r="39" spans="1:76" x14ac:dyDescent="0.2">
      <c r="A39" s="67">
        <v>20</v>
      </c>
      <c r="B39" s="83" t="s">
        <v>136</v>
      </c>
      <c r="C39" s="87"/>
      <c r="D39" s="70" t="s">
        <v>118</v>
      </c>
      <c r="E39" s="64"/>
      <c r="F39" s="64"/>
      <c r="G39" s="64">
        <v>0</v>
      </c>
      <c r="H39" s="64">
        <v>0</v>
      </c>
      <c r="I39" s="64">
        <v>0</v>
      </c>
      <c r="J39" s="64">
        <v>0</v>
      </c>
      <c r="K39" s="64">
        <v>0</v>
      </c>
      <c r="L39" s="64">
        <v>0</v>
      </c>
      <c r="M39" s="64">
        <v>0</v>
      </c>
      <c r="N39" s="64">
        <v>0</v>
      </c>
      <c r="O39" s="64">
        <v>0</v>
      </c>
      <c r="P39" s="64">
        <v>0</v>
      </c>
      <c r="Q39" s="64">
        <v>0</v>
      </c>
      <c r="R39" s="64">
        <v>0</v>
      </c>
      <c r="S39" s="64">
        <v>0</v>
      </c>
      <c r="T39" s="64">
        <v>0</v>
      </c>
      <c r="U39" s="64">
        <v>0</v>
      </c>
      <c r="V39" s="64">
        <v>0</v>
      </c>
      <c r="W39" s="64">
        <v>0</v>
      </c>
      <c r="X39" s="64">
        <v>0</v>
      </c>
      <c r="Y39" s="64">
        <v>0</v>
      </c>
      <c r="Z39" s="64">
        <v>0</v>
      </c>
      <c r="AA39" s="64">
        <v>0</v>
      </c>
      <c r="AB39" s="64">
        <v>0</v>
      </c>
      <c r="AC39" s="64">
        <v>0</v>
      </c>
      <c r="AD39" s="64">
        <v>0</v>
      </c>
      <c r="AE39" s="64">
        <v>0</v>
      </c>
      <c r="AF39" s="64">
        <v>0</v>
      </c>
      <c r="AG39" s="64">
        <v>0</v>
      </c>
      <c r="AH39" s="64">
        <v>0</v>
      </c>
      <c r="AI39" s="64">
        <v>0</v>
      </c>
      <c r="AJ39" s="64">
        <v>0</v>
      </c>
      <c r="AK39" s="64">
        <v>0</v>
      </c>
      <c r="AL39" s="64"/>
      <c r="AM39" s="64"/>
      <c r="AN39" s="73"/>
      <c r="AO39" s="73"/>
      <c r="AP39" s="73"/>
      <c r="AQ39" s="73"/>
      <c r="AR39" s="73"/>
      <c r="AS39" s="73"/>
      <c r="AT39" s="73"/>
      <c r="AU39" s="73"/>
      <c r="AV39" s="73"/>
      <c r="AW39" s="73"/>
      <c r="AX39" s="73"/>
      <c r="AY39" s="73"/>
      <c r="AZ39" s="73"/>
      <c r="BA39" s="73"/>
      <c r="BB39" s="73"/>
      <c r="BC39" s="73"/>
      <c r="BD39" s="73"/>
      <c r="BE39" s="73"/>
      <c r="BF39" s="73"/>
      <c r="BG39" s="73"/>
      <c r="BH39" s="73"/>
      <c r="BI39" s="73"/>
      <c r="BJ39" s="73"/>
      <c r="BK39" s="73"/>
      <c r="BL39" s="73"/>
      <c r="BM39" s="73"/>
      <c r="BN39" s="73"/>
      <c r="BO39" s="73"/>
      <c r="BP39" s="73"/>
      <c r="BQ39" s="73"/>
      <c r="BR39" s="73"/>
      <c r="BS39" s="73"/>
      <c r="BT39" s="73"/>
      <c r="BU39" s="74">
        <f t="shared" si="0"/>
        <v>0</v>
      </c>
      <c r="BW39" s="66"/>
      <c r="BX39" s="75"/>
    </row>
    <row r="40" spans="1:76" x14ac:dyDescent="0.2">
      <c r="A40" s="67">
        <v>21</v>
      </c>
      <c r="B40" s="83" t="s">
        <v>137</v>
      </c>
      <c r="C40" s="69"/>
      <c r="D40" s="70" t="s">
        <v>118</v>
      </c>
      <c r="E40" s="64"/>
      <c r="F40" s="64"/>
      <c r="G40" s="64">
        <v>25</v>
      </c>
      <c r="H40" s="64">
        <v>30</v>
      </c>
      <c r="I40" s="64">
        <v>30</v>
      </c>
      <c r="J40" s="64">
        <v>25</v>
      </c>
      <c r="K40" s="64">
        <v>25</v>
      </c>
      <c r="L40" s="64">
        <v>30</v>
      </c>
      <c r="M40" s="64">
        <v>25</v>
      </c>
      <c r="N40" s="64">
        <v>25</v>
      </c>
      <c r="O40" s="64">
        <v>30</v>
      </c>
      <c r="P40" s="64">
        <v>30</v>
      </c>
      <c r="Q40" s="64">
        <v>20</v>
      </c>
      <c r="R40" s="64">
        <v>20</v>
      </c>
      <c r="S40" s="64">
        <v>20</v>
      </c>
      <c r="T40" s="64">
        <v>30</v>
      </c>
      <c r="U40" s="64">
        <v>30</v>
      </c>
      <c r="V40" s="64">
        <v>30</v>
      </c>
      <c r="W40" s="64">
        <v>25</v>
      </c>
      <c r="X40" s="64">
        <v>25</v>
      </c>
      <c r="Y40" s="64">
        <v>25</v>
      </c>
      <c r="Z40" s="64">
        <v>25</v>
      </c>
      <c r="AA40" s="64">
        <v>25</v>
      </c>
      <c r="AB40" s="64">
        <v>25</v>
      </c>
      <c r="AC40" s="64">
        <v>25</v>
      </c>
      <c r="AD40" s="64">
        <v>25</v>
      </c>
      <c r="AE40" s="64">
        <v>35</v>
      </c>
      <c r="AF40" s="64">
        <v>30</v>
      </c>
      <c r="AG40" s="64">
        <v>30</v>
      </c>
      <c r="AH40" s="64">
        <v>30</v>
      </c>
      <c r="AI40" s="64">
        <v>30</v>
      </c>
      <c r="AJ40" s="64">
        <v>35</v>
      </c>
      <c r="AK40" s="64">
        <v>35</v>
      </c>
      <c r="AL40" s="64"/>
      <c r="AM40" s="64"/>
      <c r="AN40" s="73"/>
      <c r="AO40" s="73"/>
      <c r="AP40" s="73"/>
      <c r="AQ40" s="73"/>
      <c r="AR40" s="73"/>
      <c r="AS40" s="73"/>
      <c r="AT40" s="73"/>
      <c r="AU40" s="73"/>
      <c r="AV40" s="73"/>
      <c r="AW40" s="73"/>
      <c r="AX40" s="73"/>
      <c r="AY40" s="73"/>
      <c r="AZ40" s="73"/>
      <c r="BA40" s="73"/>
      <c r="BB40" s="73"/>
      <c r="BC40" s="73"/>
      <c r="BD40" s="73"/>
      <c r="BE40" s="73"/>
      <c r="BF40" s="73"/>
      <c r="BG40" s="73"/>
      <c r="BH40" s="73"/>
      <c r="BI40" s="73"/>
      <c r="BJ40" s="73"/>
      <c r="BK40" s="73"/>
      <c r="BL40" s="73"/>
      <c r="BM40" s="73"/>
      <c r="BN40" s="73"/>
      <c r="BO40" s="73"/>
      <c r="BP40" s="73"/>
      <c r="BQ40" s="73"/>
      <c r="BR40" s="73"/>
      <c r="BS40" s="73"/>
      <c r="BT40" s="73"/>
      <c r="BU40" s="74">
        <f t="shared" si="0"/>
        <v>850</v>
      </c>
      <c r="BW40" s="89"/>
      <c r="BX40" s="75"/>
    </row>
    <row r="41" spans="1:76" x14ac:dyDescent="0.2">
      <c r="A41" s="67">
        <v>22</v>
      </c>
      <c r="B41" s="83" t="s">
        <v>138</v>
      </c>
      <c r="C41" s="69"/>
      <c r="D41" s="70" t="s">
        <v>118</v>
      </c>
      <c r="E41" s="64"/>
      <c r="F41" s="64"/>
      <c r="G41" s="64">
        <v>15</v>
      </c>
      <c r="H41" s="64">
        <v>15</v>
      </c>
      <c r="I41" s="64">
        <v>15</v>
      </c>
      <c r="J41" s="64">
        <v>15</v>
      </c>
      <c r="K41" s="64">
        <v>15</v>
      </c>
      <c r="L41" s="64">
        <v>15</v>
      </c>
      <c r="M41" s="64">
        <v>15</v>
      </c>
      <c r="N41" s="64">
        <v>15</v>
      </c>
      <c r="O41" s="64">
        <v>15</v>
      </c>
      <c r="P41" s="64">
        <v>15</v>
      </c>
      <c r="Q41" s="64">
        <v>15</v>
      </c>
      <c r="R41" s="64">
        <v>15</v>
      </c>
      <c r="S41" s="64">
        <v>15</v>
      </c>
      <c r="T41" s="64">
        <v>15</v>
      </c>
      <c r="U41" s="64">
        <v>15</v>
      </c>
      <c r="V41" s="64">
        <v>15</v>
      </c>
      <c r="W41" s="64">
        <v>15</v>
      </c>
      <c r="X41" s="64">
        <v>15</v>
      </c>
      <c r="Y41" s="64">
        <v>15</v>
      </c>
      <c r="Z41" s="64">
        <v>15</v>
      </c>
      <c r="AA41" s="64">
        <v>15</v>
      </c>
      <c r="AB41" s="64">
        <v>15</v>
      </c>
      <c r="AC41" s="64">
        <v>15</v>
      </c>
      <c r="AD41" s="64">
        <v>15</v>
      </c>
      <c r="AE41" s="64">
        <v>15</v>
      </c>
      <c r="AF41" s="64">
        <v>15</v>
      </c>
      <c r="AG41" s="64">
        <v>15</v>
      </c>
      <c r="AH41" s="64">
        <v>15</v>
      </c>
      <c r="AI41" s="64">
        <v>15</v>
      </c>
      <c r="AJ41" s="64">
        <v>15</v>
      </c>
      <c r="AK41" s="64">
        <v>15</v>
      </c>
      <c r="AL41" s="64"/>
      <c r="AM41" s="64"/>
      <c r="AN41" s="73"/>
      <c r="AO41" s="73"/>
      <c r="AP41" s="73"/>
      <c r="AQ41" s="73"/>
      <c r="AR41" s="73"/>
      <c r="AS41" s="73"/>
      <c r="AT41" s="73"/>
      <c r="AU41" s="73"/>
      <c r="AV41" s="73"/>
      <c r="AW41" s="73"/>
      <c r="AX41" s="73"/>
      <c r="AY41" s="73"/>
      <c r="AZ41" s="73"/>
      <c r="BA41" s="73"/>
      <c r="BB41" s="73"/>
      <c r="BC41" s="73"/>
      <c r="BD41" s="73"/>
      <c r="BE41" s="73"/>
      <c r="BF41" s="73"/>
      <c r="BG41" s="73"/>
      <c r="BH41" s="73"/>
      <c r="BI41" s="73"/>
      <c r="BJ41" s="73"/>
      <c r="BK41" s="73"/>
      <c r="BL41" s="73"/>
      <c r="BM41" s="73"/>
      <c r="BN41" s="73"/>
      <c r="BO41" s="73"/>
      <c r="BP41" s="73"/>
      <c r="BQ41" s="73"/>
      <c r="BR41" s="73"/>
      <c r="BS41" s="73"/>
      <c r="BT41" s="73"/>
      <c r="BU41" s="74">
        <f t="shared" si="0"/>
        <v>465</v>
      </c>
      <c r="BW41" s="89"/>
      <c r="BX41" s="75"/>
    </row>
    <row r="42" spans="1:76" x14ac:dyDescent="0.2">
      <c r="A42" s="67">
        <v>23</v>
      </c>
      <c r="B42" s="83" t="s">
        <v>139</v>
      </c>
      <c r="C42" s="69"/>
      <c r="D42" s="70" t="s">
        <v>118</v>
      </c>
      <c r="E42" s="64"/>
      <c r="F42" s="64"/>
      <c r="G42" s="64">
        <v>0</v>
      </c>
      <c r="H42" s="64">
        <v>0</v>
      </c>
      <c r="I42" s="64">
        <v>0</v>
      </c>
      <c r="J42" s="64">
        <v>0</v>
      </c>
      <c r="K42" s="64">
        <v>0</v>
      </c>
      <c r="L42" s="64">
        <v>0</v>
      </c>
      <c r="M42" s="64">
        <v>0</v>
      </c>
      <c r="N42" s="64">
        <v>0</v>
      </c>
      <c r="O42" s="64">
        <v>0</v>
      </c>
      <c r="P42" s="64">
        <v>0</v>
      </c>
      <c r="Q42" s="64">
        <v>0</v>
      </c>
      <c r="R42" s="64">
        <v>0</v>
      </c>
      <c r="S42" s="64">
        <v>0</v>
      </c>
      <c r="T42" s="64">
        <v>0</v>
      </c>
      <c r="U42" s="64">
        <v>0</v>
      </c>
      <c r="V42" s="64">
        <v>0</v>
      </c>
      <c r="W42" s="64">
        <v>0</v>
      </c>
      <c r="X42" s="64">
        <v>0</v>
      </c>
      <c r="Y42" s="64">
        <v>0</v>
      </c>
      <c r="Z42" s="64">
        <v>0</v>
      </c>
      <c r="AA42" s="64">
        <v>0</v>
      </c>
      <c r="AB42" s="64">
        <v>0</v>
      </c>
      <c r="AC42" s="64">
        <v>0</v>
      </c>
      <c r="AD42" s="64">
        <v>0</v>
      </c>
      <c r="AE42" s="64">
        <v>0</v>
      </c>
      <c r="AF42" s="64">
        <v>0</v>
      </c>
      <c r="AG42" s="64">
        <v>0</v>
      </c>
      <c r="AH42" s="64">
        <v>0</v>
      </c>
      <c r="AI42" s="64">
        <v>0</v>
      </c>
      <c r="AJ42" s="64">
        <v>0</v>
      </c>
      <c r="AK42" s="64">
        <v>0</v>
      </c>
      <c r="AL42" s="64"/>
      <c r="AM42" s="64"/>
      <c r="AN42" s="73"/>
      <c r="AO42" s="73"/>
      <c r="AP42" s="73"/>
      <c r="AQ42" s="73"/>
      <c r="AR42" s="73"/>
      <c r="AS42" s="73"/>
      <c r="AT42" s="73"/>
      <c r="AU42" s="73"/>
      <c r="AV42" s="73"/>
      <c r="AW42" s="73"/>
      <c r="AX42" s="73"/>
      <c r="AY42" s="73"/>
      <c r="AZ42" s="73"/>
      <c r="BA42" s="73"/>
      <c r="BB42" s="73"/>
      <c r="BC42" s="73"/>
      <c r="BD42" s="73"/>
      <c r="BE42" s="73"/>
      <c r="BF42" s="73"/>
      <c r="BG42" s="73"/>
      <c r="BH42" s="73"/>
      <c r="BI42" s="73"/>
      <c r="BJ42" s="73"/>
      <c r="BK42" s="73"/>
      <c r="BL42" s="73"/>
      <c r="BM42" s="73"/>
      <c r="BN42" s="73"/>
      <c r="BO42" s="73"/>
      <c r="BP42" s="73"/>
      <c r="BQ42" s="73"/>
      <c r="BR42" s="73"/>
      <c r="BS42" s="73"/>
      <c r="BT42" s="73"/>
      <c r="BU42" s="74">
        <f t="shared" si="0"/>
        <v>0</v>
      </c>
      <c r="BW42" s="89"/>
      <c r="BX42" s="75"/>
    </row>
    <row r="43" spans="1:76" x14ac:dyDescent="0.2">
      <c r="A43" s="67">
        <v>24</v>
      </c>
      <c r="B43" s="83" t="s">
        <v>140</v>
      </c>
      <c r="C43" s="69"/>
      <c r="D43" s="70" t="s">
        <v>118</v>
      </c>
      <c r="E43" s="64"/>
      <c r="F43" s="64"/>
      <c r="G43" s="64">
        <v>0</v>
      </c>
      <c r="H43" s="64">
        <v>0</v>
      </c>
      <c r="I43" s="64">
        <v>0</v>
      </c>
      <c r="J43" s="64">
        <v>0</v>
      </c>
      <c r="K43" s="64">
        <v>0</v>
      </c>
      <c r="L43" s="64">
        <v>0</v>
      </c>
      <c r="M43" s="64">
        <v>0</v>
      </c>
      <c r="N43" s="64">
        <v>0</v>
      </c>
      <c r="O43" s="64">
        <v>0</v>
      </c>
      <c r="P43" s="64">
        <v>0</v>
      </c>
      <c r="Q43" s="64">
        <v>0</v>
      </c>
      <c r="R43" s="64">
        <v>0</v>
      </c>
      <c r="S43" s="64">
        <v>0</v>
      </c>
      <c r="T43" s="64">
        <v>0</v>
      </c>
      <c r="U43" s="64">
        <v>0</v>
      </c>
      <c r="V43" s="64">
        <v>0</v>
      </c>
      <c r="W43" s="64">
        <v>0</v>
      </c>
      <c r="X43" s="64">
        <v>0</v>
      </c>
      <c r="Y43" s="64">
        <v>0</v>
      </c>
      <c r="Z43" s="64">
        <v>0</v>
      </c>
      <c r="AA43" s="64">
        <v>0</v>
      </c>
      <c r="AB43" s="64">
        <v>0</v>
      </c>
      <c r="AC43" s="64">
        <v>0</v>
      </c>
      <c r="AD43" s="64">
        <v>0</v>
      </c>
      <c r="AE43" s="64">
        <v>0</v>
      </c>
      <c r="AF43" s="64">
        <v>0</v>
      </c>
      <c r="AG43" s="64">
        <v>0</v>
      </c>
      <c r="AH43" s="64">
        <v>0</v>
      </c>
      <c r="AI43" s="64">
        <v>0</v>
      </c>
      <c r="AJ43" s="64">
        <v>0</v>
      </c>
      <c r="AK43" s="64">
        <v>0</v>
      </c>
      <c r="AL43" s="64"/>
      <c r="AM43" s="64"/>
      <c r="AN43" s="73"/>
      <c r="AO43" s="73"/>
      <c r="AP43" s="73"/>
      <c r="AQ43" s="73"/>
      <c r="AR43" s="73"/>
      <c r="AS43" s="73"/>
      <c r="AT43" s="73"/>
      <c r="AU43" s="73"/>
      <c r="AV43" s="73"/>
      <c r="AW43" s="73"/>
      <c r="AX43" s="73"/>
      <c r="AY43" s="73"/>
      <c r="AZ43" s="73"/>
      <c r="BA43" s="73"/>
      <c r="BB43" s="73"/>
      <c r="BC43" s="73"/>
      <c r="BD43" s="73"/>
      <c r="BE43" s="73"/>
      <c r="BF43" s="73"/>
      <c r="BG43" s="73"/>
      <c r="BH43" s="73"/>
      <c r="BI43" s="73"/>
      <c r="BJ43" s="73"/>
      <c r="BK43" s="73"/>
      <c r="BL43" s="73"/>
      <c r="BM43" s="73"/>
      <c r="BN43" s="73"/>
      <c r="BO43" s="73"/>
      <c r="BP43" s="73"/>
      <c r="BQ43" s="73"/>
      <c r="BR43" s="73"/>
      <c r="BS43" s="73"/>
      <c r="BT43" s="73"/>
      <c r="BU43" s="74">
        <f t="shared" si="0"/>
        <v>0</v>
      </c>
      <c r="BW43" s="89"/>
      <c r="BX43" s="75"/>
    </row>
    <row r="44" spans="1:76" x14ac:dyDescent="0.2">
      <c r="A44" s="67">
        <v>25</v>
      </c>
      <c r="B44" s="83" t="s">
        <v>141</v>
      </c>
      <c r="C44" s="69"/>
      <c r="D44" s="70" t="s">
        <v>118</v>
      </c>
      <c r="E44" s="64"/>
      <c r="F44" s="64"/>
      <c r="G44" s="64">
        <v>100</v>
      </c>
      <c r="H44" s="64">
        <v>100</v>
      </c>
      <c r="I44" s="64">
        <v>100</v>
      </c>
      <c r="J44" s="64">
        <v>100</v>
      </c>
      <c r="K44" s="64">
        <v>50</v>
      </c>
      <c r="L44" s="64">
        <v>50</v>
      </c>
      <c r="M44" s="64">
        <v>50</v>
      </c>
      <c r="N44" s="64">
        <v>100</v>
      </c>
      <c r="O44" s="64">
        <v>100</v>
      </c>
      <c r="P44" s="64">
        <v>200</v>
      </c>
      <c r="Q44" s="64">
        <v>200</v>
      </c>
      <c r="R44" s="64">
        <v>200</v>
      </c>
      <c r="S44" s="64">
        <v>200</v>
      </c>
      <c r="T44" s="64">
        <v>200</v>
      </c>
      <c r="U44" s="64">
        <v>200</v>
      </c>
      <c r="V44" s="64">
        <v>200</v>
      </c>
      <c r="W44" s="64">
        <v>200</v>
      </c>
      <c r="X44" s="64">
        <v>150</v>
      </c>
      <c r="Y44" s="64">
        <v>150</v>
      </c>
      <c r="Z44" s="64">
        <v>150</v>
      </c>
      <c r="AA44" s="64">
        <v>100</v>
      </c>
      <c r="AB44" s="64">
        <v>100</v>
      </c>
      <c r="AC44" s="64">
        <v>100</v>
      </c>
      <c r="AD44" s="64">
        <v>100</v>
      </c>
      <c r="AE44" s="64">
        <v>100</v>
      </c>
      <c r="AF44" s="64">
        <v>100</v>
      </c>
      <c r="AG44" s="64">
        <v>100</v>
      </c>
      <c r="AH44" s="64">
        <v>100</v>
      </c>
      <c r="AI44" s="64">
        <v>100</v>
      </c>
      <c r="AJ44" s="64">
        <v>100</v>
      </c>
      <c r="AK44" s="64">
        <v>100</v>
      </c>
      <c r="AL44" s="64"/>
      <c r="AM44" s="64"/>
      <c r="AN44" s="73"/>
      <c r="AO44" s="73"/>
      <c r="AP44" s="73"/>
      <c r="AQ44" s="73"/>
      <c r="AR44" s="73"/>
      <c r="AS44" s="73"/>
      <c r="AT44" s="73"/>
      <c r="AU44" s="73"/>
      <c r="AV44" s="73"/>
      <c r="AW44" s="73"/>
      <c r="AX44" s="73"/>
      <c r="AY44" s="73"/>
      <c r="AZ44" s="73"/>
      <c r="BA44" s="73"/>
      <c r="BB44" s="73"/>
      <c r="BC44" s="73"/>
      <c r="BD44" s="73"/>
      <c r="BE44" s="73"/>
      <c r="BF44" s="73"/>
      <c r="BG44" s="73"/>
      <c r="BH44" s="73"/>
      <c r="BI44" s="73"/>
      <c r="BJ44" s="73"/>
      <c r="BK44" s="73"/>
      <c r="BL44" s="73"/>
      <c r="BM44" s="73"/>
      <c r="BN44" s="73"/>
      <c r="BO44" s="73"/>
      <c r="BP44" s="73"/>
      <c r="BQ44" s="73"/>
      <c r="BR44" s="73"/>
      <c r="BS44" s="73"/>
      <c r="BT44" s="73"/>
      <c r="BU44" s="74">
        <f t="shared" si="0"/>
        <v>3900</v>
      </c>
      <c r="BW44" s="89"/>
      <c r="BX44" s="75"/>
    </row>
    <row r="45" spans="1:76" x14ac:dyDescent="0.2">
      <c r="A45" s="67">
        <v>26</v>
      </c>
      <c r="B45" s="83" t="s">
        <v>142</v>
      </c>
      <c r="C45" s="69"/>
      <c r="D45" s="70" t="s">
        <v>118</v>
      </c>
      <c r="E45" s="64"/>
      <c r="F45" s="64"/>
      <c r="G45" s="64">
        <v>0</v>
      </c>
      <c r="H45" s="64">
        <v>0</v>
      </c>
      <c r="I45" s="64">
        <v>0</v>
      </c>
      <c r="J45" s="64">
        <v>0</v>
      </c>
      <c r="K45" s="64">
        <v>0</v>
      </c>
      <c r="L45" s="64">
        <v>0</v>
      </c>
      <c r="M45" s="64">
        <v>0</v>
      </c>
      <c r="N45" s="64">
        <v>0</v>
      </c>
      <c r="O45" s="64">
        <v>0</v>
      </c>
      <c r="P45" s="64">
        <v>0</v>
      </c>
      <c r="Q45" s="64">
        <v>0</v>
      </c>
      <c r="R45" s="64">
        <v>0</v>
      </c>
      <c r="S45" s="64">
        <v>0</v>
      </c>
      <c r="T45" s="64">
        <v>0</v>
      </c>
      <c r="U45" s="64">
        <v>0</v>
      </c>
      <c r="V45" s="64">
        <v>0</v>
      </c>
      <c r="W45" s="64">
        <v>0</v>
      </c>
      <c r="X45" s="64">
        <v>0</v>
      </c>
      <c r="Y45" s="64">
        <v>0</v>
      </c>
      <c r="Z45" s="64">
        <v>0</v>
      </c>
      <c r="AA45" s="64">
        <v>0</v>
      </c>
      <c r="AB45" s="64">
        <v>0</v>
      </c>
      <c r="AC45" s="64">
        <v>0</v>
      </c>
      <c r="AD45" s="64">
        <v>0</v>
      </c>
      <c r="AE45" s="64">
        <v>0</v>
      </c>
      <c r="AF45" s="64">
        <v>0</v>
      </c>
      <c r="AG45" s="64">
        <v>0</v>
      </c>
      <c r="AH45" s="64">
        <v>0</v>
      </c>
      <c r="AI45" s="64">
        <v>0</v>
      </c>
      <c r="AJ45" s="64">
        <v>0</v>
      </c>
      <c r="AK45" s="64">
        <v>0</v>
      </c>
      <c r="AL45" s="64"/>
      <c r="AM45" s="64"/>
      <c r="AN45" s="73"/>
      <c r="AO45" s="73"/>
      <c r="AP45" s="73"/>
      <c r="AQ45" s="73"/>
      <c r="AR45" s="73"/>
      <c r="AS45" s="73"/>
      <c r="AT45" s="73"/>
      <c r="AU45" s="73"/>
      <c r="AV45" s="73"/>
      <c r="AW45" s="73"/>
      <c r="AX45" s="73"/>
      <c r="AY45" s="73"/>
      <c r="AZ45" s="73"/>
      <c r="BA45" s="73"/>
      <c r="BB45" s="73"/>
      <c r="BC45" s="73"/>
      <c r="BD45" s="73"/>
      <c r="BE45" s="73"/>
      <c r="BF45" s="73"/>
      <c r="BG45" s="73"/>
      <c r="BH45" s="73"/>
      <c r="BI45" s="73"/>
      <c r="BJ45" s="73"/>
      <c r="BK45" s="73"/>
      <c r="BL45" s="73"/>
      <c r="BM45" s="73"/>
      <c r="BN45" s="73"/>
      <c r="BO45" s="73"/>
      <c r="BP45" s="73"/>
      <c r="BQ45" s="73"/>
      <c r="BR45" s="73"/>
      <c r="BS45" s="73"/>
      <c r="BT45" s="73"/>
      <c r="BU45" s="74">
        <f t="shared" si="0"/>
        <v>0</v>
      </c>
      <c r="BW45" s="89"/>
      <c r="BX45" s="75"/>
    </row>
    <row r="46" spans="1:76" x14ac:dyDescent="0.2">
      <c r="A46" s="67">
        <v>27</v>
      </c>
      <c r="B46" s="83" t="s">
        <v>143</v>
      </c>
      <c r="C46" s="69"/>
      <c r="D46" s="70" t="s">
        <v>118</v>
      </c>
      <c r="E46" s="64"/>
      <c r="F46" s="64"/>
      <c r="G46" s="64">
        <v>10</v>
      </c>
      <c r="H46" s="64">
        <v>10</v>
      </c>
      <c r="I46" s="64">
        <v>10</v>
      </c>
      <c r="J46" s="64">
        <v>10</v>
      </c>
      <c r="K46" s="64">
        <v>0</v>
      </c>
      <c r="L46" s="64">
        <v>0</v>
      </c>
      <c r="M46" s="64">
        <v>0</v>
      </c>
      <c r="N46" s="64">
        <v>20</v>
      </c>
      <c r="O46" s="64">
        <v>10</v>
      </c>
      <c r="P46" s="64">
        <v>10</v>
      </c>
      <c r="Q46" s="64">
        <v>15</v>
      </c>
      <c r="R46" s="64">
        <v>15</v>
      </c>
      <c r="S46" s="64">
        <v>15</v>
      </c>
      <c r="T46" s="64">
        <v>15</v>
      </c>
      <c r="U46" s="64">
        <v>15</v>
      </c>
      <c r="V46" s="64">
        <v>15</v>
      </c>
      <c r="W46" s="64">
        <v>15</v>
      </c>
      <c r="X46" s="64">
        <v>10</v>
      </c>
      <c r="Y46" s="64">
        <v>10</v>
      </c>
      <c r="Z46" s="64">
        <v>10</v>
      </c>
      <c r="AA46" s="64">
        <v>0</v>
      </c>
      <c r="AB46" s="64">
        <v>0</v>
      </c>
      <c r="AC46" s="64">
        <v>0</v>
      </c>
      <c r="AD46" s="64">
        <v>0</v>
      </c>
      <c r="AE46" s="64">
        <v>0</v>
      </c>
      <c r="AF46" s="64">
        <v>0</v>
      </c>
      <c r="AG46" s="64">
        <v>10</v>
      </c>
      <c r="AH46" s="64">
        <v>10</v>
      </c>
      <c r="AI46" s="64">
        <v>10</v>
      </c>
      <c r="AJ46" s="64">
        <v>10</v>
      </c>
      <c r="AK46" s="64">
        <v>10</v>
      </c>
      <c r="AL46" s="64"/>
      <c r="AM46" s="64"/>
      <c r="AN46" s="73"/>
      <c r="AO46" s="73"/>
      <c r="AP46" s="73"/>
      <c r="AQ46" s="73"/>
      <c r="AR46" s="73"/>
      <c r="AS46" s="73"/>
      <c r="AT46" s="73"/>
      <c r="AU46" s="73"/>
      <c r="AV46" s="73"/>
      <c r="AW46" s="73"/>
      <c r="AX46" s="73"/>
      <c r="AY46" s="73"/>
      <c r="AZ46" s="73"/>
      <c r="BA46" s="73"/>
      <c r="BB46" s="73"/>
      <c r="BC46" s="73"/>
      <c r="BD46" s="73"/>
      <c r="BE46" s="73"/>
      <c r="BF46" s="73"/>
      <c r="BG46" s="73"/>
      <c r="BH46" s="73"/>
      <c r="BI46" s="73"/>
      <c r="BJ46" s="73"/>
      <c r="BK46" s="73"/>
      <c r="BL46" s="73"/>
      <c r="BM46" s="73"/>
      <c r="BN46" s="73"/>
      <c r="BO46" s="73"/>
      <c r="BP46" s="73"/>
      <c r="BQ46" s="73"/>
      <c r="BR46" s="73"/>
      <c r="BS46" s="73"/>
      <c r="BT46" s="73"/>
      <c r="BU46" s="74">
        <f t="shared" si="0"/>
        <v>265</v>
      </c>
      <c r="BW46" s="89"/>
      <c r="BX46" s="75"/>
    </row>
    <row r="47" spans="1:76" x14ac:dyDescent="0.2">
      <c r="A47" s="67">
        <v>28</v>
      </c>
      <c r="B47" s="83" t="s">
        <v>232</v>
      </c>
      <c r="C47" s="69"/>
      <c r="D47" s="184" t="s">
        <v>118</v>
      </c>
      <c r="E47" s="185"/>
      <c r="F47" s="185"/>
      <c r="G47" s="64">
        <v>6.1</v>
      </c>
      <c r="H47" s="64">
        <v>6</v>
      </c>
      <c r="I47" s="64">
        <v>5.7</v>
      </c>
      <c r="J47" s="64">
        <v>4.5</v>
      </c>
      <c r="K47" s="64">
        <v>5.3</v>
      </c>
      <c r="L47" s="64">
        <v>4.9000000000000004</v>
      </c>
      <c r="M47" s="64">
        <v>5.3</v>
      </c>
      <c r="N47" s="64">
        <v>5.2</v>
      </c>
      <c r="O47" s="64">
        <v>4.8</v>
      </c>
      <c r="P47" s="64">
        <v>5.6</v>
      </c>
      <c r="Q47" s="64">
        <v>5.4</v>
      </c>
      <c r="R47" s="64">
        <v>6.4</v>
      </c>
      <c r="S47" s="64">
        <v>5.8</v>
      </c>
      <c r="T47" s="196">
        <v>4.8</v>
      </c>
      <c r="U47" s="196">
        <v>5.3</v>
      </c>
      <c r="V47" s="196">
        <v>4.8</v>
      </c>
      <c r="W47" s="64">
        <v>4.5</v>
      </c>
      <c r="X47" s="64">
        <v>5.5</v>
      </c>
      <c r="Y47" s="196">
        <v>6.4</v>
      </c>
      <c r="Z47" s="196">
        <v>6.3</v>
      </c>
      <c r="AA47" s="196">
        <v>5.4</v>
      </c>
      <c r="AB47" s="64">
        <v>5.7</v>
      </c>
      <c r="AC47" s="196">
        <v>4.5</v>
      </c>
      <c r="AD47" s="196">
        <v>5.9</v>
      </c>
      <c r="AE47" s="196">
        <v>5.7</v>
      </c>
      <c r="AF47" s="64">
        <v>6.1</v>
      </c>
      <c r="AG47" s="64">
        <v>5.6</v>
      </c>
      <c r="AH47" s="196">
        <v>5.8</v>
      </c>
      <c r="AI47" s="64">
        <v>5.9</v>
      </c>
      <c r="AJ47" s="64">
        <v>5.6</v>
      </c>
      <c r="AK47" s="64">
        <v>5.9</v>
      </c>
      <c r="AL47" s="64"/>
      <c r="AM47" s="64"/>
      <c r="AN47" s="64"/>
      <c r="AO47" s="64"/>
      <c r="AP47" s="64"/>
      <c r="AQ47" s="64"/>
      <c r="AR47" s="64"/>
      <c r="AS47" s="64"/>
      <c r="AT47" s="64"/>
      <c r="AU47" s="64"/>
      <c r="AV47" s="64"/>
      <c r="AW47" s="64"/>
      <c r="AX47" s="64"/>
      <c r="AY47" s="64"/>
      <c r="AZ47" s="64"/>
      <c r="BA47" s="64"/>
      <c r="BB47" s="64"/>
      <c r="BC47" s="64"/>
      <c r="BD47" s="64"/>
      <c r="BE47" s="64"/>
      <c r="BF47" s="64"/>
      <c r="BG47" s="64"/>
      <c r="BH47" s="64"/>
      <c r="BI47" s="64"/>
      <c r="BJ47" s="64"/>
      <c r="BK47" s="64"/>
      <c r="BL47" s="64"/>
      <c r="BM47" s="64"/>
      <c r="BN47" s="64"/>
      <c r="BO47" s="64"/>
      <c r="BP47" s="64"/>
      <c r="BQ47" s="64"/>
      <c r="BR47" s="64"/>
      <c r="BS47" s="64"/>
      <c r="BT47" s="64"/>
      <c r="BU47" s="74">
        <f t="shared" si="0"/>
        <v>170.7</v>
      </c>
      <c r="BW47" s="89"/>
      <c r="BX47" s="75"/>
    </row>
    <row r="48" spans="1:76" x14ac:dyDescent="0.2">
      <c r="A48" s="67">
        <v>29</v>
      </c>
      <c r="B48" s="83" t="s">
        <v>234</v>
      </c>
      <c r="C48" s="69"/>
      <c r="D48" s="184" t="s">
        <v>118</v>
      </c>
      <c r="E48" s="185"/>
      <c r="F48" s="185"/>
      <c r="G48" s="64">
        <v>66</v>
      </c>
      <c r="H48" s="64">
        <v>130</v>
      </c>
      <c r="I48" s="64">
        <v>124</v>
      </c>
      <c r="J48" s="64">
        <v>108</v>
      </c>
      <c r="K48" s="64">
        <v>132</v>
      </c>
      <c r="L48" s="64">
        <v>120</v>
      </c>
      <c r="M48" s="64">
        <v>120</v>
      </c>
      <c r="N48" s="64">
        <v>125</v>
      </c>
      <c r="O48" s="64">
        <v>126</v>
      </c>
      <c r="P48" s="64">
        <v>115</v>
      </c>
      <c r="Q48" s="64">
        <v>104</v>
      </c>
      <c r="R48" s="64">
        <v>132</v>
      </c>
      <c r="S48" s="64">
        <v>122</v>
      </c>
      <c r="T48" s="64">
        <v>130</v>
      </c>
      <c r="U48" s="64">
        <v>122</v>
      </c>
      <c r="V48" s="64">
        <v>126</v>
      </c>
      <c r="W48" s="64">
        <v>119</v>
      </c>
      <c r="X48" s="64">
        <v>124</v>
      </c>
      <c r="Y48" s="64">
        <v>132</v>
      </c>
      <c r="Z48" s="64">
        <v>142</v>
      </c>
      <c r="AA48" s="64">
        <v>132</v>
      </c>
      <c r="AB48" s="64">
        <v>142</v>
      </c>
      <c r="AC48" s="64">
        <v>137</v>
      </c>
      <c r="AD48" s="64">
        <v>60</v>
      </c>
      <c r="AE48" s="64">
        <v>0</v>
      </c>
      <c r="AF48" s="64">
        <v>0</v>
      </c>
      <c r="AG48" s="64">
        <v>0</v>
      </c>
      <c r="AH48" s="64">
        <v>45</v>
      </c>
      <c r="AI48" s="64">
        <v>145</v>
      </c>
      <c r="AJ48" s="64">
        <v>135</v>
      </c>
      <c r="AK48" s="64">
        <v>140</v>
      </c>
      <c r="AL48" s="64"/>
      <c r="AM48" s="64"/>
      <c r="AN48" s="64"/>
      <c r="AO48" s="64"/>
      <c r="AP48" s="64"/>
      <c r="AQ48" s="64"/>
      <c r="AR48" s="64"/>
      <c r="AS48" s="64"/>
      <c r="AT48" s="64"/>
      <c r="AU48" s="64"/>
      <c r="AV48" s="64"/>
      <c r="AW48" s="64"/>
      <c r="AX48" s="64"/>
      <c r="AY48" s="64"/>
      <c r="AZ48" s="64"/>
      <c r="BA48" s="64"/>
      <c r="BB48" s="64"/>
      <c r="BC48" s="64"/>
      <c r="BD48" s="64"/>
      <c r="BE48" s="64"/>
      <c r="BF48" s="64"/>
      <c r="BG48" s="64"/>
      <c r="BH48" s="64"/>
      <c r="BI48" s="64"/>
      <c r="BJ48" s="64"/>
      <c r="BK48" s="64"/>
      <c r="BL48" s="64"/>
      <c r="BM48" s="64"/>
      <c r="BN48" s="64"/>
      <c r="BO48" s="64"/>
      <c r="BP48" s="64"/>
      <c r="BQ48" s="64"/>
      <c r="BR48" s="64"/>
      <c r="BS48" s="64"/>
      <c r="BT48" s="64"/>
      <c r="BU48" s="74">
        <f t="shared" si="0"/>
        <v>3355</v>
      </c>
      <c r="BW48" s="89"/>
      <c r="BX48" s="75"/>
    </row>
    <row r="49" spans="1:76" x14ac:dyDescent="0.2">
      <c r="A49" s="67">
        <v>30</v>
      </c>
      <c r="B49" s="83" t="s">
        <v>235</v>
      </c>
      <c r="C49" s="69"/>
      <c r="D49" s="184" t="s">
        <v>118</v>
      </c>
      <c r="E49" s="185"/>
      <c r="F49" s="185"/>
      <c r="G49" s="64">
        <v>0</v>
      </c>
      <c r="H49" s="64">
        <v>0</v>
      </c>
      <c r="I49" s="64">
        <v>0</v>
      </c>
      <c r="J49" s="64">
        <v>0</v>
      </c>
      <c r="K49" s="64">
        <v>0</v>
      </c>
      <c r="L49" s="64">
        <v>0</v>
      </c>
      <c r="M49" s="64">
        <v>0</v>
      </c>
      <c r="N49" s="64">
        <v>0</v>
      </c>
      <c r="O49" s="64">
        <v>0</v>
      </c>
      <c r="P49" s="64">
        <v>0</v>
      </c>
      <c r="Q49" s="64">
        <v>0</v>
      </c>
      <c r="R49" s="64">
        <v>0</v>
      </c>
      <c r="S49" s="64">
        <v>0</v>
      </c>
      <c r="T49" s="64">
        <v>0</v>
      </c>
      <c r="U49" s="64">
        <v>0</v>
      </c>
      <c r="V49" s="64">
        <v>0</v>
      </c>
      <c r="W49" s="64">
        <v>0</v>
      </c>
      <c r="X49" s="64">
        <v>0</v>
      </c>
      <c r="Y49" s="64">
        <v>0</v>
      </c>
      <c r="Z49" s="64">
        <v>0</v>
      </c>
      <c r="AA49" s="64">
        <v>0</v>
      </c>
      <c r="AB49" s="64">
        <v>0</v>
      </c>
      <c r="AC49" s="64">
        <v>0</v>
      </c>
      <c r="AD49" s="64">
        <v>0</v>
      </c>
      <c r="AE49" s="64">
        <v>0</v>
      </c>
      <c r="AF49" s="64">
        <v>0</v>
      </c>
      <c r="AG49" s="64">
        <v>0</v>
      </c>
      <c r="AH49" s="64">
        <v>0</v>
      </c>
      <c r="AI49" s="64">
        <v>0</v>
      </c>
      <c r="AJ49" s="64">
        <v>0</v>
      </c>
      <c r="AK49" s="64">
        <v>0</v>
      </c>
      <c r="AL49" s="64"/>
      <c r="AM49" s="64"/>
      <c r="AN49" s="64"/>
      <c r="AO49" s="64"/>
      <c r="AP49" s="64"/>
      <c r="AQ49" s="64"/>
      <c r="AR49" s="64"/>
      <c r="AS49" s="64"/>
      <c r="AT49" s="64"/>
      <c r="AU49" s="64"/>
      <c r="AV49" s="64"/>
      <c r="AW49" s="64"/>
      <c r="AX49" s="64"/>
      <c r="AY49" s="64"/>
      <c r="AZ49" s="64"/>
      <c r="BA49" s="64"/>
      <c r="BB49" s="64"/>
      <c r="BC49" s="64"/>
      <c r="BD49" s="64"/>
      <c r="BE49" s="64"/>
      <c r="BF49" s="64"/>
      <c r="BG49" s="64"/>
      <c r="BH49" s="64"/>
      <c r="BI49" s="64"/>
      <c r="BJ49" s="64"/>
      <c r="BK49" s="64"/>
      <c r="BL49" s="64"/>
      <c r="BM49" s="64"/>
      <c r="BN49" s="64"/>
      <c r="BO49" s="64"/>
      <c r="BP49" s="64"/>
      <c r="BQ49" s="64"/>
      <c r="BR49" s="64"/>
      <c r="BS49" s="64"/>
      <c r="BT49" s="64"/>
      <c r="BU49" s="74">
        <f t="shared" si="0"/>
        <v>0</v>
      </c>
      <c r="BW49" s="89"/>
      <c r="BX49" s="75"/>
    </row>
    <row r="50" spans="1:76" x14ac:dyDescent="0.2">
      <c r="A50" s="67"/>
      <c r="B50" s="164" t="s">
        <v>224</v>
      </c>
      <c r="C50" s="69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Z50" s="257"/>
      <c r="AA50" s="257"/>
      <c r="AB50" s="257"/>
      <c r="AC50" s="257"/>
      <c r="AD50" s="257"/>
      <c r="AE50" s="257"/>
      <c r="AF50" s="257"/>
      <c r="AG50" s="257"/>
      <c r="AH50" s="257"/>
      <c r="AI50" s="257"/>
      <c r="AJ50" s="257"/>
      <c r="AK50" s="257"/>
      <c r="AL50" s="257"/>
      <c r="AM50" s="257"/>
      <c r="AN50" s="257"/>
      <c r="AO50" s="257"/>
      <c r="AP50" s="257"/>
      <c r="AQ50" s="257"/>
      <c r="AR50" s="257"/>
      <c r="AS50" s="257"/>
      <c r="AT50" s="257"/>
      <c r="AU50" s="257"/>
      <c r="AV50" s="257"/>
      <c r="AW50" s="257"/>
      <c r="AX50" s="257"/>
      <c r="AY50" s="257"/>
      <c r="AZ50" s="257"/>
      <c r="BA50" s="257"/>
      <c r="BB50" s="257"/>
      <c r="BC50" s="257"/>
      <c r="BD50" s="257"/>
      <c r="BE50" s="257"/>
      <c r="BF50" s="257"/>
      <c r="BG50" s="257"/>
      <c r="BH50" s="257"/>
      <c r="BI50" s="257"/>
      <c r="BJ50" s="257"/>
      <c r="BK50" s="257"/>
      <c r="BL50" s="257"/>
      <c r="BM50" s="257"/>
      <c r="BN50" s="257"/>
      <c r="BO50" s="257"/>
      <c r="BP50" s="257"/>
      <c r="BQ50" s="257"/>
      <c r="BR50" s="257"/>
      <c r="BS50" s="257"/>
      <c r="BT50" s="257"/>
      <c r="BU50" s="257"/>
      <c r="BW50" s="89"/>
      <c r="BX50" s="75"/>
    </row>
    <row r="51" spans="1:76" x14ac:dyDescent="0.2">
      <c r="A51" s="67">
        <v>28</v>
      </c>
      <c r="B51" s="83" t="s">
        <v>225</v>
      </c>
      <c r="C51" s="69"/>
      <c r="D51" s="70" t="s">
        <v>228</v>
      </c>
      <c r="E51" s="64"/>
      <c r="F51" s="64"/>
      <c r="G51" s="64">
        <v>1057.8</v>
      </c>
      <c r="H51" s="64">
        <v>959.4</v>
      </c>
      <c r="I51" s="64">
        <v>1008.6</v>
      </c>
      <c r="J51" s="64">
        <v>1049.5999999999999</v>
      </c>
      <c r="K51" s="64">
        <v>1074.2</v>
      </c>
      <c r="L51" s="64">
        <v>1139.8</v>
      </c>
      <c r="M51" s="64">
        <v>1221.8</v>
      </c>
      <c r="N51" s="64">
        <v>1033.2</v>
      </c>
      <c r="O51" s="64">
        <v>893.8</v>
      </c>
      <c r="P51" s="64">
        <v>1180.8</v>
      </c>
      <c r="Q51" s="64">
        <v>1213.5999999999999</v>
      </c>
      <c r="R51" s="64">
        <v>943</v>
      </c>
      <c r="S51" s="64">
        <v>918.4</v>
      </c>
      <c r="T51" s="64">
        <v>959.4</v>
      </c>
      <c r="U51" s="64">
        <v>1336.6</v>
      </c>
      <c r="V51" s="64">
        <v>1025</v>
      </c>
      <c r="W51" s="64">
        <v>975.8</v>
      </c>
      <c r="X51" s="64">
        <v>1205.4000000000001</v>
      </c>
      <c r="Y51" s="64">
        <v>1049.5999999999999</v>
      </c>
      <c r="Z51" s="64">
        <v>918.4</v>
      </c>
      <c r="AA51" s="64">
        <v>1057.8</v>
      </c>
      <c r="AB51" s="64">
        <v>1062.5</v>
      </c>
      <c r="AC51" s="64">
        <v>1292</v>
      </c>
      <c r="AD51" s="64">
        <v>1028.5</v>
      </c>
      <c r="AE51" s="64">
        <v>952</v>
      </c>
      <c r="AF51" s="64">
        <v>1037</v>
      </c>
      <c r="AG51" s="64">
        <v>1096.5</v>
      </c>
      <c r="AH51" s="64">
        <v>1292</v>
      </c>
      <c r="AI51" s="64">
        <v>1139</v>
      </c>
      <c r="AJ51" s="64">
        <v>1606.5</v>
      </c>
      <c r="AK51" s="64">
        <v>1419.5</v>
      </c>
      <c r="AL51" s="64"/>
      <c r="AM51" s="64"/>
      <c r="AN51" s="73"/>
      <c r="AO51" s="73"/>
      <c r="AP51" s="73"/>
      <c r="AQ51" s="73"/>
      <c r="AR51" s="73"/>
      <c r="AS51" s="73"/>
      <c r="AT51" s="73"/>
      <c r="AU51" s="73"/>
      <c r="AV51" s="73"/>
      <c r="AW51" s="73"/>
      <c r="AX51" s="73"/>
      <c r="AY51" s="73"/>
      <c r="AZ51" s="73"/>
      <c r="BA51" s="73"/>
      <c r="BB51" s="73"/>
      <c r="BC51" s="73"/>
      <c r="BD51" s="73"/>
      <c r="BE51" s="73"/>
      <c r="BF51" s="73"/>
      <c r="BG51" s="73"/>
      <c r="BH51" s="73"/>
      <c r="BI51" s="73"/>
      <c r="BJ51" s="73"/>
      <c r="BK51" s="73"/>
      <c r="BL51" s="73"/>
      <c r="BM51" s="73"/>
      <c r="BN51" s="73"/>
      <c r="BO51" s="73"/>
      <c r="BP51" s="73"/>
      <c r="BQ51" s="73"/>
      <c r="BR51" s="73"/>
      <c r="BS51" s="73"/>
      <c r="BT51" s="73"/>
      <c r="BU51" s="74">
        <f>SUM(G51:BG51)</f>
        <v>34147.5</v>
      </c>
      <c r="BW51" s="89"/>
      <c r="BX51" s="75"/>
    </row>
    <row r="52" spans="1:76" x14ac:dyDescent="0.2">
      <c r="A52" s="67">
        <v>29</v>
      </c>
      <c r="B52" s="83" t="s">
        <v>226</v>
      </c>
      <c r="C52" s="69"/>
      <c r="D52" s="70" t="s">
        <v>229</v>
      </c>
      <c r="E52" s="64"/>
      <c r="F52" s="64"/>
      <c r="G52" s="64">
        <v>256</v>
      </c>
      <c r="H52" s="64">
        <v>152</v>
      </c>
      <c r="I52" s="64">
        <v>262</v>
      </c>
      <c r="J52" s="64">
        <v>228</v>
      </c>
      <c r="K52" s="64">
        <v>0</v>
      </c>
      <c r="L52" s="64">
        <v>0</v>
      </c>
      <c r="M52" s="64">
        <v>40</v>
      </c>
      <c r="N52" s="64">
        <v>0</v>
      </c>
      <c r="O52" s="64">
        <v>130</v>
      </c>
      <c r="P52" s="64">
        <v>4</v>
      </c>
      <c r="Q52" s="64">
        <v>64</v>
      </c>
      <c r="R52" s="64">
        <v>212</v>
      </c>
      <c r="S52" s="64">
        <v>50</v>
      </c>
      <c r="T52" s="64">
        <v>8</v>
      </c>
      <c r="U52" s="64">
        <v>80</v>
      </c>
      <c r="V52" s="64">
        <v>100</v>
      </c>
      <c r="W52" s="64">
        <v>122</v>
      </c>
      <c r="X52" s="64">
        <v>56</v>
      </c>
      <c r="Y52" s="64">
        <v>572</v>
      </c>
      <c r="Z52" s="64">
        <v>208</v>
      </c>
      <c r="AA52" s="64">
        <v>72</v>
      </c>
      <c r="AB52" s="64">
        <v>16</v>
      </c>
      <c r="AC52" s="64">
        <v>16</v>
      </c>
      <c r="AD52" s="64">
        <v>212</v>
      </c>
      <c r="AE52" s="64">
        <v>54</v>
      </c>
      <c r="AF52" s="64">
        <v>142</v>
      </c>
      <c r="AG52" s="64">
        <v>0</v>
      </c>
      <c r="AH52" s="64">
        <v>314</v>
      </c>
      <c r="AI52" s="64">
        <v>146</v>
      </c>
      <c r="AJ52" s="64">
        <v>236</v>
      </c>
      <c r="AK52" s="64">
        <v>232</v>
      </c>
      <c r="AL52" s="64"/>
      <c r="AM52" s="64"/>
      <c r="AN52" s="73"/>
      <c r="AO52" s="73"/>
      <c r="AP52" s="73"/>
      <c r="AQ52" s="73"/>
      <c r="AR52" s="73"/>
      <c r="AS52" s="73"/>
      <c r="AT52" s="73"/>
      <c r="AU52" s="73"/>
      <c r="AV52" s="73"/>
      <c r="AW52" s="73"/>
      <c r="AX52" s="73"/>
      <c r="AY52" s="73"/>
      <c r="AZ52" s="73"/>
      <c r="BA52" s="73"/>
      <c r="BB52" s="73"/>
      <c r="BC52" s="73"/>
      <c r="BD52" s="73"/>
      <c r="BE52" s="73"/>
      <c r="BF52" s="73"/>
      <c r="BG52" s="73"/>
      <c r="BH52" s="73"/>
      <c r="BI52" s="73"/>
      <c r="BJ52" s="73"/>
      <c r="BK52" s="73"/>
      <c r="BL52" s="73"/>
      <c r="BM52" s="73"/>
      <c r="BN52" s="73"/>
      <c r="BO52" s="73"/>
      <c r="BP52" s="73"/>
      <c r="BQ52" s="73"/>
      <c r="BR52" s="73"/>
      <c r="BS52" s="73"/>
      <c r="BT52" s="73"/>
      <c r="BU52" s="74">
        <f>SUM(G52:BG52)</f>
        <v>3984</v>
      </c>
      <c r="BW52" s="89"/>
      <c r="BX52" s="75"/>
    </row>
    <row r="53" spans="1:76" x14ac:dyDescent="0.2">
      <c r="A53" s="67">
        <v>30</v>
      </c>
      <c r="B53" s="83" t="s">
        <v>227</v>
      </c>
      <c r="C53" s="69"/>
      <c r="D53" s="70" t="s">
        <v>228</v>
      </c>
      <c r="E53" s="64"/>
      <c r="F53" s="64"/>
      <c r="G53" s="64">
        <v>270</v>
      </c>
      <c r="H53" s="64">
        <v>255</v>
      </c>
      <c r="I53" s="64">
        <v>270</v>
      </c>
      <c r="J53" s="64">
        <v>255</v>
      </c>
      <c r="K53" s="64">
        <v>300</v>
      </c>
      <c r="L53" s="64">
        <v>300</v>
      </c>
      <c r="M53" s="64">
        <v>270</v>
      </c>
      <c r="N53" s="64">
        <v>300</v>
      </c>
      <c r="O53" s="64">
        <v>210</v>
      </c>
      <c r="P53" s="64">
        <v>210</v>
      </c>
      <c r="Q53" s="64">
        <v>345</v>
      </c>
      <c r="R53" s="64">
        <v>255</v>
      </c>
      <c r="S53" s="64">
        <v>285</v>
      </c>
      <c r="T53" s="64">
        <v>285</v>
      </c>
      <c r="U53" s="64">
        <v>270</v>
      </c>
      <c r="V53" s="64">
        <v>225</v>
      </c>
      <c r="W53" s="64">
        <v>225</v>
      </c>
      <c r="X53" s="64">
        <v>300</v>
      </c>
      <c r="Y53" s="64">
        <v>285</v>
      </c>
      <c r="Z53" s="64">
        <v>270</v>
      </c>
      <c r="AA53" s="64">
        <v>285</v>
      </c>
      <c r="AB53" s="64">
        <v>294.5</v>
      </c>
      <c r="AC53" s="64">
        <v>279</v>
      </c>
      <c r="AD53" s="64">
        <v>232.5</v>
      </c>
      <c r="AE53" s="64">
        <v>310</v>
      </c>
      <c r="AF53" s="64">
        <v>248</v>
      </c>
      <c r="AG53" s="64">
        <v>248</v>
      </c>
      <c r="AH53" s="64">
        <v>263.5</v>
      </c>
      <c r="AI53" s="64">
        <v>232.5</v>
      </c>
      <c r="AJ53" s="64">
        <v>341</v>
      </c>
      <c r="AK53" s="64">
        <v>372</v>
      </c>
      <c r="AL53" s="64"/>
      <c r="AM53" s="64"/>
      <c r="AN53" s="73"/>
      <c r="AO53" s="73"/>
      <c r="AP53" s="73"/>
      <c r="AQ53" s="73"/>
      <c r="AR53" s="73"/>
      <c r="AS53" s="73"/>
      <c r="AT53" s="73"/>
      <c r="AU53" s="73"/>
      <c r="AV53" s="73"/>
      <c r="AW53" s="73"/>
      <c r="AX53" s="73"/>
      <c r="AY53" s="73"/>
      <c r="AZ53" s="73"/>
      <c r="BA53" s="73"/>
      <c r="BB53" s="73"/>
      <c r="BC53" s="73"/>
      <c r="BD53" s="73"/>
      <c r="BE53" s="73"/>
      <c r="BF53" s="73"/>
      <c r="BG53" s="73"/>
      <c r="BH53" s="73"/>
      <c r="BI53" s="73"/>
      <c r="BJ53" s="73"/>
      <c r="BK53" s="73"/>
      <c r="BL53" s="73"/>
      <c r="BM53" s="73"/>
      <c r="BN53" s="73"/>
      <c r="BO53" s="73"/>
      <c r="BP53" s="73"/>
      <c r="BQ53" s="73"/>
      <c r="BR53" s="73"/>
      <c r="BS53" s="73"/>
      <c r="BT53" s="73"/>
      <c r="BU53" s="74">
        <f>SUM(G53:BG53)</f>
        <v>8491</v>
      </c>
      <c r="BW53" s="89"/>
      <c r="BX53" s="75"/>
    </row>
    <row r="54" spans="1:76" x14ac:dyDescent="0.2">
      <c r="A54" s="199">
        <v>31</v>
      </c>
      <c r="B54" s="83" t="s">
        <v>237</v>
      </c>
      <c r="C54" s="69"/>
      <c r="D54" s="70" t="s">
        <v>229</v>
      </c>
      <c r="E54" s="64"/>
      <c r="F54" s="64"/>
      <c r="G54" s="64">
        <v>116</v>
      </c>
      <c r="H54" s="64">
        <v>410</v>
      </c>
      <c r="I54" s="64">
        <v>559</v>
      </c>
      <c r="J54" s="64">
        <v>613</v>
      </c>
      <c r="K54" s="64">
        <v>634</v>
      </c>
      <c r="L54" s="64">
        <v>518</v>
      </c>
      <c r="M54" s="64">
        <v>610</v>
      </c>
      <c r="N54" s="64">
        <v>634</v>
      </c>
      <c r="O54" s="64">
        <v>492</v>
      </c>
      <c r="P54" s="64">
        <v>631</v>
      </c>
      <c r="Q54" s="64">
        <v>770</v>
      </c>
      <c r="R54" s="64">
        <v>226</v>
      </c>
      <c r="S54" s="64">
        <v>408</v>
      </c>
      <c r="T54" s="64">
        <v>662</v>
      </c>
      <c r="U54" s="64">
        <v>471</v>
      </c>
      <c r="V54" s="64">
        <v>347</v>
      </c>
      <c r="W54" s="64">
        <v>319</v>
      </c>
      <c r="X54" s="64">
        <v>640</v>
      </c>
      <c r="Y54" s="64">
        <v>459</v>
      </c>
      <c r="Z54" s="64">
        <v>108</v>
      </c>
      <c r="AA54" s="64">
        <v>486</v>
      </c>
      <c r="AB54" s="64">
        <v>454</v>
      </c>
      <c r="AC54" s="64">
        <v>404</v>
      </c>
      <c r="AD54" s="64">
        <v>216</v>
      </c>
      <c r="AE54" s="64">
        <v>475</v>
      </c>
      <c r="AF54" s="64">
        <v>414</v>
      </c>
      <c r="AG54" s="64">
        <v>677</v>
      </c>
      <c r="AH54" s="64">
        <v>793</v>
      </c>
      <c r="AI54" s="64">
        <v>463</v>
      </c>
      <c r="AJ54" s="64">
        <v>459</v>
      </c>
      <c r="AK54" s="64">
        <v>399</v>
      </c>
      <c r="AL54" s="64"/>
      <c r="AM54" s="64"/>
      <c r="AN54" s="64"/>
      <c r="AO54" s="64"/>
      <c r="AP54" s="64"/>
      <c r="AQ54" s="64"/>
      <c r="AR54" s="64"/>
      <c r="AS54" s="64"/>
      <c r="AT54" s="64"/>
      <c r="AU54" s="64"/>
      <c r="AV54" s="64"/>
      <c r="AW54" s="64"/>
      <c r="AX54" s="64"/>
      <c r="AY54" s="64"/>
      <c r="AZ54" s="64"/>
      <c r="BA54" s="64"/>
      <c r="BB54" s="64"/>
      <c r="BC54" s="64"/>
      <c r="BD54" s="64"/>
      <c r="BE54" s="64"/>
      <c r="BF54" s="64"/>
      <c r="BG54" s="64"/>
      <c r="BH54" s="64"/>
      <c r="BI54" s="64"/>
      <c r="BJ54" s="64"/>
      <c r="BK54" s="64"/>
      <c r="BL54" s="64"/>
      <c r="BM54" s="64"/>
      <c r="BN54" s="64"/>
      <c r="BO54" s="64"/>
      <c r="BP54" s="64"/>
      <c r="BQ54" s="64"/>
      <c r="BR54" s="64"/>
      <c r="BS54" s="64"/>
      <c r="BT54" s="64"/>
      <c r="BU54" s="74">
        <f>SUM(G54:BG54)</f>
        <v>14867</v>
      </c>
      <c r="BW54" s="89"/>
      <c r="BX54" s="75"/>
    </row>
    <row r="55" spans="1:76" x14ac:dyDescent="0.2">
      <c r="A55" s="258"/>
      <c r="B55" s="240"/>
      <c r="C55" s="240"/>
      <c r="D55" s="240"/>
      <c r="E55" s="240"/>
      <c r="F55" s="240"/>
      <c r="G55" s="240"/>
      <c r="H55" s="240"/>
      <c r="I55" s="240"/>
      <c r="J55" s="240"/>
      <c r="K55" s="240"/>
      <c r="L55" s="240"/>
      <c r="M55" s="240"/>
      <c r="N55" s="240"/>
      <c r="O55" s="240"/>
      <c r="P55" s="240"/>
      <c r="Q55" s="240"/>
      <c r="R55" s="240"/>
      <c r="S55" s="240"/>
      <c r="T55" s="240"/>
      <c r="U55" s="240"/>
      <c r="V55" s="240"/>
      <c r="W55" s="240"/>
      <c r="X55" s="240"/>
      <c r="Y55" s="240"/>
      <c r="Z55" s="240"/>
      <c r="AA55" s="240"/>
      <c r="AB55" s="240"/>
      <c r="AC55" s="240"/>
      <c r="AD55" s="240"/>
      <c r="AE55" s="240"/>
      <c r="AF55" s="240"/>
      <c r="AG55" s="240"/>
      <c r="AH55" s="240"/>
      <c r="AI55" s="240"/>
      <c r="AJ55" s="240"/>
      <c r="AK55" s="240"/>
      <c r="AL55" s="240"/>
      <c r="AM55" s="240"/>
      <c r="AN55" s="240"/>
      <c r="AO55" s="240"/>
      <c r="AP55" s="240"/>
      <c r="AQ55" s="240"/>
      <c r="AR55" s="240"/>
      <c r="AS55" s="240"/>
      <c r="AT55" s="240"/>
      <c r="AU55" s="240"/>
      <c r="AV55" s="240"/>
      <c r="AW55" s="240"/>
      <c r="AX55" s="240"/>
      <c r="AY55" s="240"/>
      <c r="AZ55" s="240"/>
      <c r="BA55" s="240"/>
      <c r="BB55" s="240"/>
      <c r="BC55" s="240"/>
      <c r="BD55" s="240"/>
      <c r="BE55" s="240"/>
      <c r="BF55" s="240"/>
      <c r="BG55" s="240"/>
      <c r="BH55" s="240"/>
      <c r="BI55" s="240"/>
      <c r="BJ55" s="240"/>
      <c r="BK55" s="240"/>
      <c r="BL55" s="240"/>
      <c r="BM55" s="240"/>
      <c r="BN55" s="240"/>
      <c r="BO55" s="240"/>
      <c r="BP55" s="240"/>
      <c r="BQ55" s="240"/>
      <c r="BR55" s="240"/>
      <c r="BS55" s="240"/>
      <c r="BT55" s="240"/>
      <c r="BU55" s="259"/>
      <c r="BW55" s="89"/>
      <c r="BX55" s="75"/>
    </row>
    <row r="56" spans="1:76" x14ac:dyDescent="0.2">
      <c r="A56" s="67" t="s">
        <v>144</v>
      </c>
      <c r="B56" s="76" t="s">
        <v>145</v>
      </c>
      <c r="C56" s="77"/>
      <c r="D56" s="78" t="s">
        <v>16</v>
      </c>
      <c r="E56" s="90">
        <v>0</v>
      </c>
      <c r="F56" s="90">
        <v>0</v>
      </c>
      <c r="G56" s="90">
        <v>100</v>
      </c>
      <c r="H56" s="90">
        <v>96</v>
      </c>
      <c r="I56" s="90">
        <v>78</v>
      </c>
      <c r="J56" s="90">
        <v>70</v>
      </c>
      <c r="K56" s="90">
        <v>83</v>
      </c>
      <c r="L56" s="90">
        <v>72</v>
      </c>
      <c r="M56" s="90">
        <v>85</v>
      </c>
      <c r="N56" s="90">
        <v>80</v>
      </c>
      <c r="O56" s="90">
        <v>69</v>
      </c>
      <c r="P56" s="90">
        <v>83</v>
      </c>
      <c r="Q56" s="90">
        <v>83</v>
      </c>
      <c r="R56" s="90">
        <v>96</v>
      </c>
      <c r="S56" s="90">
        <v>82</v>
      </c>
      <c r="T56" s="90">
        <v>82</v>
      </c>
      <c r="U56" s="90">
        <v>80</v>
      </c>
      <c r="V56" s="90">
        <v>75</v>
      </c>
      <c r="W56" s="90">
        <v>80</v>
      </c>
      <c r="X56" s="90">
        <v>82</v>
      </c>
      <c r="Y56" s="90">
        <v>95</v>
      </c>
      <c r="Z56" s="90">
        <v>94</v>
      </c>
      <c r="AA56" s="90">
        <v>83</v>
      </c>
      <c r="AB56" s="90">
        <v>84</v>
      </c>
      <c r="AC56" s="90">
        <v>70</v>
      </c>
      <c r="AD56" s="90">
        <v>90</v>
      </c>
      <c r="AE56" s="90">
        <v>90</v>
      </c>
      <c r="AF56" s="90">
        <v>85</v>
      </c>
      <c r="AG56" s="90">
        <v>82</v>
      </c>
      <c r="AH56" s="90">
        <v>89</v>
      </c>
      <c r="AI56" s="90">
        <v>91</v>
      </c>
      <c r="AJ56" s="90">
        <v>85</v>
      </c>
      <c r="AK56" s="90">
        <v>88</v>
      </c>
      <c r="AL56" s="90"/>
      <c r="AM56" s="90"/>
      <c r="AN56" s="91"/>
      <c r="AO56" s="91"/>
      <c r="AP56" s="91"/>
      <c r="AQ56" s="91"/>
      <c r="AR56" s="91"/>
      <c r="AS56" s="91"/>
      <c r="AT56" s="91"/>
      <c r="AU56" s="91"/>
      <c r="AV56" s="91"/>
      <c r="AW56" s="91"/>
      <c r="AX56" s="91"/>
      <c r="AY56" s="91"/>
      <c r="AZ56" s="91"/>
      <c r="BA56" s="91"/>
      <c r="BB56" s="91"/>
      <c r="BC56" s="91"/>
      <c r="BD56" s="91"/>
      <c r="BE56" s="91"/>
      <c r="BF56" s="91"/>
      <c r="BG56" s="91"/>
      <c r="BH56" s="91"/>
      <c r="BI56" s="91"/>
      <c r="BJ56" s="91"/>
      <c r="BK56" s="91"/>
      <c r="BL56" s="91"/>
      <c r="BM56" s="91"/>
      <c r="BN56" s="91"/>
      <c r="BO56" s="91"/>
      <c r="BP56" s="91"/>
      <c r="BQ56" s="91"/>
      <c r="BR56" s="91"/>
      <c r="BS56" s="91"/>
      <c r="BT56" s="91"/>
      <c r="BU56" s="74">
        <f>SUM(G56:BG56)</f>
        <v>2602</v>
      </c>
      <c r="BW56" s="66"/>
      <c r="BX56" s="75"/>
    </row>
    <row r="57" spans="1:76" ht="21" thickBot="1" x14ac:dyDescent="0.25">
      <c r="A57" s="167" t="s">
        <v>146</v>
      </c>
      <c r="B57" s="168" t="s">
        <v>147</v>
      </c>
      <c r="C57" s="169"/>
      <c r="D57" s="170" t="s">
        <v>16</v>
      </c>
      <c r="E57" s="171">
        <f>E56*0.935</f>
        <v>0</v>
      </c>
      <c r="F57" s="171">
        <f t="shared" ref="F57" si="11">F56*0.935</f>
        <v>0</v>
      </c>
      <c r="G57" s="172">
        <v>73.403000000000006</v>
      </c>
      <c r="H57" s="172">
        <v>84.516000000000005</v>
      </c>
      <c r="I57" s="172">
        <v>67.700999999999993</v>
      </c>
      <c r="J57" s="172">
        <v>75.733000000000004</v>
      </c>
      <c r="K57" s="172">
        <v>77.251999999999995</v>
      </c>
      <c r="L57" s="172">
        <v>72.861000000000004</v>
      </c>
      <c r="M57" s="172">
        <v>80.995000000000005</v>
      </c>
      <c r="N57" s="172">
        <v>72.093999999999994</v>
      </c>
      <c r="O57" s="172">
        <v>55.527000000000001</v>
      </c>
      <c r="P57" s="172">
        <v>68.626999999999995</v>
      </c>
      <c r="Q57" s="172">
        <v>91.79</v>
      </c>
      <c r="R57" s="172">
        <v>86.869</v>
      </c>
      <c r="S57" s="172">
        <v>78.447999999999993</v>
      </c>
      <c r="T57" s="172">
        <v>76.951999999999998</v>
      </c>
      <c r="U57" s="172">
        <v>84.835999999999999</v>
      </c>
      <c r="V57" s="172">
        <v>69.372</v>
      </c>
      <c r="W57" s="172">
        <v>61.265000000000001</v>
      </c>
      <c r="X57" s="172">
        <v>78.028000000000006</v>
      </c>
      <c r="Y57" s="172">
        <v>99.396000000000001</v>
      </c>
      <c r="Z57" s="172">
        <v>87.296999999999997</v>
      </c>
      <c r="AA57" s="172">
        <v>71.409000000000006</v>
      </c>
      <c r="AB57" s="172">
        <v>73.656000000000006</v>
      </c>
      <c r="AC57" s="172">
        <v>72.385000000000005</v>
      </c>
      <c r="AD57" s="172">
        <v>86.194999999999993</v>
      </c>
      <c r="AE57" s="172">
        <v>98.034999999999997</v>
      </c>
      <c r="AF57" s="172">
        <v>77.789000000000001</v>
      </c>
      <c r="AG57" s="172">
        <v>58.298999999999999</v>
      </c>
      <c r="AH57" s="172">
        <v>79.072000000000003</v>
      </c>
      <c r="AI57" s="172">
        <v>84.748999999999995</v>
      </c>
      <c r="AJ57" s="172">
        <v>88.844999999999999</v>
      </c>
      <c r="AK57" s="172">
        <v>98.69</v>
      </c>
      <c r="AL57" s="172"/>
      <c r="AM57" s="172"/>
      <c r="AN57" s="172"/>
      <c r="AO57" s="172"/>
      <c r="AP57" s="172"/>
      <c r="AQ57" s="172"/>
      <c r="AR57" s="172"/>
      <c r="AS57" s="172"/>
      <c r="AT57" s="172"/>
      <c r="AU57" s="172"/>
      <c r="AV57" s="172"/>
      <c r="AW57" s="172"/>
      <c r="AX57" s="172"/>
      <c r="AY57" s="172"/>
      <c r="AZ57" s="172"/>
      <c r="BA57" s="172"/>
      <c r="BB57" s="172"/>
      <c r="BC57" s="172"/>
      <c r="BD57" s="172"/>
      <c r="BE57" s="172"/>
      <c r="BF57" s="172"/>
      <c r="BG57" s="172"/>
      <c r="BH57" s="171">
        <f t="shared" ref="BH57:BR57" si="12">BH56*0.94</f>
        <v>0</v>
      </c>
      <c r="BI57" s="171">
        <f t="shared" si="12"/>
        <v>0</v>
      </c>
      <c r="BJ57" s="171">
        <f t="shared" si="12"/>
        <v>0</v>
      </c>
      <c r="BK57" s="171">
        <f t="shared" si="12"/>
        <v>0</v>
      </c>
      <c r="BL57" s="171">
        <f t="shared" si="12"/>
        <v>0</v>
      </c>
      <c r="BM57" s="171">
        <f t="shared" si="12"/>
        <v>0</v>
      </c>
      <c r="BN57" s="171">
        <f t="shared" si="12"/>
        <v>0</v>
      </c>
      <c r="BO57" s="171">
        <f t="shared" si="12"/>
        <v>0</v>
      </c>
      <c r="BP57" s="171">
        <f t="shared" si="12"/>
        <v>0</v>
      </c>
      <c r="BQ57" s="171">
        <f t="shared" si="12"/>
        <v>0</v>
      </c>
      <c r="BR57" s="171">
        <f t="shared" si="12"/>
        <v>0</v>
      </c>
      <c r="BS57" s="173">
        <v>0</v>
      </c>
      <c r="BT57" s="173">
        <v>0</v>
      </c>
      <c r="BU57" s="174">
        <f>SUM(G57:BG57)</f>
        <v>2432.0860000000002</v>
      </c>
      <c r="BW57" s="66"/>
      <c r="BX57" s="75"/>
    </row>
    <row r="58" spans="1:76" hidden="1" x14ac:dyDescent="0.2">
      <c r="A58" s="165"/>
      <c r="B58" s="166"/>
      <c r="C58" s="248"/>
      <c r="D58" s="249"/>
      <c r="E58" s="249"/>
      <c r="F58" s="249"/>
      <c r="G58" s="249"/>
      <c r="H58" s="249"/>
      <c r="I58" s="249"/>
      <c r="J58" s="249"/>
      <c r="K58" s="249"/>
      <c r="L58" s="249"/>
      <c r="M58" s="249"/>
      <c r="N58" s="249"/>
      <c r="O58" s="249"/>
      <c r="P58" s="249"/>
      <c r="Q58" s="249"/>
      <c r="R58" s="249"/>
      <c r="S58" s="249"/>
      <c r="T58" s="249"/>
      <c r="U58" s="249"/>
      <c r="V58" s="249"/>
      <c r="W58" s="249"/>
      <c r="X58" s="249"/>
      <c r="Y58" s="249"/>
      <c r="Z58" s="249"/>
      <c r="AA58" s="249"/>
      <c r="AB58" s="249"/>
      <c r="AC58" s="249"/>
      <c r="AD58" s="249"/>
      <c r="AE58" s="249"/>
      <c r="AF58" s="249"/>
      <c r="AG58" s="249"/>
      <c r="AH58" s="249"/>
      <c r="AI58" s="249"/>
      <c r="AJ58" s="249"/>
      <c r="AK58" s="249"/>
      <c r="AL58" s="249"/>
      <c r="AM58" s="249"/>
      <c r="AN58" s="249"/>
      <c r="AO58" s="249"/>
      <c r="AP58" s="249"/>
      <c r="AQ58" s="249"/>
      <c r="AR58" s="249"/>
      <c r="AS58" s="249"/>
      <c r="AT58" s="249"/>
      <c r="AU58" s="249"/>
      <c r="AV58" s="249"/>
      <c r="AW58" s="249"/>
      <c r="AX58" s="249"/>
      <c r="AY58" s="249"/>
      <c r="AZ58" s="249"/>
      <c r="BA58" s="249"/>
      <c r="BB58" s="249"/>
      <c r="BC58" s="249"/>
      <c r="BD58" s="249"/>
      <c r="BE58" s="249"/>
      <c r="BF58" s="249"/>
      <c r="BG58" s="249"/>
      <c r="BH58" s="249"/>
      <c r="BI58" s="249"/>
      <c r="BJ58" s="249"/>
      <c r="BK58" s="249"/>
      <c r="BL58" s="249"/>
      <c r="BM58" s="249"/>
      <c r="BN58" s="249"/>
      <c r="BO58" s="249"/>
      <c r="BP58" s="249"/>
      <c r="BQ58" s="249"/>
      <c r="BR58" s="249"/>
      <c r="BS58" s="249"/>
      <c r="BT58" s="249"/>
      <c r="BU58" s="250"/>
      <c r="BW58" s="66"/>
      <c r="BX58" s="75"/>
    </row>
    <row r="59" spans="1:76" ht="23.25" hidden="1" customHeight="1" x14ac:dyDescent="0.25">
      <c r="A59" s="94" t="s">
        <v>148</v>
      </c>
      <c r="B59" s="95" t="s">
        <v>149</v>
      </c>
      <c r="C59" s="251"/>
      <c r="D59" s="252"/>
      <c r="E59" s="252"/>
      <c r="F59" s="252"/>
      <c r="G59" s="252"/>
      <c r="H59" s="252"/>
      <c r="I59" s="252"/>
      <c r="J59" s="252"/>
      <c r="K59" s="252"/>
      <c r="L59" s="252"/>
      <c r="M59" s="252"/>
      <c r="N59" s="252"/>
      <c r="O59" s="252"/>
      <c r="P59" s="252"/>
      <c r="Q59" s="252"/>
      <c r="R59" s="252"/>
      <c r="S59" s="252"/>
      <c r="T59" s="252"/>
      <c r="U59" s="252"/>
      <c r="V59" s="252"/>
      <c r="W59" s="252"/>
      <c r="X59" s="252"/>
      <c r="Y59" s="252"/>
      <c r="Z59" s="252"/>
      <c r="AA59" s="252"/>
      <c r="AB59" s="252"/>
      <c r="AC59" s="252"/>
      <c r="AD59" s="252"/>
      <c r="AE59" s="252"/>
      <c r="AF59" s="252"/>
      <c r="AG59" s="252"/>
      <c r="AH59" s="252"/>
      <c r="AI59" s="252"/>
      <c r="AJ59" s="252"/>
      <c r="AK59" s="252"/>
      <c r="AL59" s="252"/>
      <c r="AM59" s="252"/>
      <c r="AN59" s="252"/>
      <c r="AO59" s="252"/>
      <c r="AP59" s="252"/>
      <c r="AQ59" s="252"/>
      <c r="AR59" s="252"/>
      <c r="AS59" s="252"/>
      <c r="AT59" s="252"/>
      <c r="AU59" s="252"/>
      <c r="AV59" s="252"/>
      <c r="AW59" s="252"/>
      <c r="AX59" s="252"/>
      <c r="AY59" s="252"/>
      <c r="AZ59" s="252"/>
      <c r="BA59" s="252"/>
      <c r="BB59" s="252"/>
      <c r="BC59" s="252"/>
      <c r="BD59" s="252"/>
      <c r="BE59" s="252"/>
      <c r="BF59" s="252"/>
      <c r="BG59" s="252"/>
      <c r="BH59" s="252"/>
      <c r="BI59" s="252"/>
      <c r="BJ59" s="252"/>
      <c r="BK59" s="252"/>
      <c r="BL59" s="252"/>
      <c r="BM59" s="252"/>
      <c r="BN59" s="252"/>
      <c r="BO59" s="252"/>
      <c r="BP59" s="252"/>
      <c r="BQ59" s="252"/>
      <c r="BR59" s="252"/>
      <c r="BS59" s="252"/>
      <c r="BT59" s="252"/>
      <c r="BU59" s="253"/>
    </row>
    <row r="60" spans="1:76" hidden="1" x14ac:dyDescent="0.2">
      <c r="A60" s="94">
        <v>1</v>
      </c>
      <c r="B60" s="93" t="s">
        <v>150</v>
      </c>
      <c r="C60" s="96"/>
      <c r="D60" s="97" t="s">
        <v>16</v>
      </c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  <c r="AD60" s="85"/>
      <c r="AE60" s="85"/>
      <c r="AF60" s="85"/>
      <c r="AG60" s="85"/>
      <c r="AH60" s="85"/>
      <c r="AI60" s="85"/>
      <c r="AJ60" s="85"/>
      <c r="AK60" s="85"/>
      <c r="AL60" s="85"/>
      <c r="AM60" s="85"/>
      <c r="AN60" s="86"/>
      <c r="AO60" s="86"/>
      <c r="AP60" s="86"/>
      <c r="AQ60" s="86"/>
      <c r="AR60" s="86"/>
      <c r="AS60" s="86"/>
      <c r="AT60" s="86"/>
      <c r="AU60" s="86"/>
      <c r="AV60" s="86"/>
      <c r="AW60" s="86"/>
      <c r="AX60" s="86"/>
      <c r="AY60" s="86"/>
      <c r="AZ60" s="86"/>
      <c r="BA60" s="86"/>
      <c r="BB60" s="86"/>
      <c r="BC60" s="86"/>
      <c r="BD60" s="86"/>
      <c r="BE60" s="86"/>
      <c r="BF60" s="86"/>
      <c r="BG60" s="86"/>
      <c r="BH60" s="86"/>
      <c r="BI60" s="86"/>
      <c r="BJ60" s="86"/>
      <c r="BK60" s="86"/>
      <c r="BL60" s="86"/>
      <c r="BM60" s="86"/>
      <c r="BN60" s="86"/>
      <c r="BO60" s="86"/>
      <c r="BP60" s="86"/>
      <c r="BQ60" s="86"/>
      <c r="BR60" s="86"/>
      <c r="BS60" s="86"/>
      <c r="BT60" s="86"/>
      <c r="BU60" s="98">
        <f>SUM(E60:AL60)</f>
        <v>0</v>
      </c>
      <c r="BW60" s="66"/>
      <c r="BX60" s="75"/>
    </row>
    <row r="61" spans="1:76" ht="15.75" hidden="1" customHeight="1" x14ac:dyDescent="0.2">
      <c r="A61" s="94">
        <v>2</v>
      </c>
      <c r="B61" s="93" t="s">
        <v>151</v>
      </c>
      <c r="C61" s="96"/>
      <c r="D61" s="97" t="s">
        <v>16</v>
      </c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5"/>
      <c r="AG61" s="85"/>
      <c r="AH61" s="85"/>
      <c r="AI61" s="85"/>
      <c r="AJ61" s="85"/>
      <c r="AK61" s="85"/>
      <c r="AL61" s="85"/>
      <c r="AM61" s="85"/>
      <c r="AN61" s="86"/>
      <c r="AO61" s="86"/>
      <c r="AP61" s="86"/>
      <c r="AQ61" s="86"/>
      <c r="AR61" s="86"/>
      <c r="AS61" s="86"/>
      <c r="AT61" s="86"/>
      <c r="AU61" s="86"/>
      <c r="AV61" s="86"/>
      <c r="AW61" s="86"/>
      <c r="AX61" s="86"/>
      <c r="AY61" s="86"/>
      <c r="AZ61" s="86"/>
      <c r="BA61" s="86"/>
      <c r="BB61" s="86"/>
      <c r="BC61" s="86"/>
      <c r="BD61" s="86"/>
      <c r="BE61" s="86"/>
      <c r="BF61" s="86"/>
      <c r="BG61" s="86"/>
      <c r="BH61" s="86"/>
      <c r="BI61" s="86"/>
      <c r="BJ61" s="86"/>
      <c r="BK61" s="86"/>
      <c r="BL61" s="86"/>
      <c r="BM61" s="86"/>
      <c r="BN61" s="86"/>
      <c r="BO61" s="86"/>
      <c r="BP61" s="86"/>
      <c r="BQ61" s="86"/>
      <c r="BR61" s="86"/>
      <c r="BS61" s="86"/>
      <c r="BT61" s="86"/>
      <c r="BU61" s="98">
        <f>SUM(E61:AL61)</f>
        <v>0</v>
      </c>
      <c r="BW61" s="99"/>
      <c r="BX61" s="75"/>
    </row>
    <row r="62" spans="1:76" ht="17.25" hidden="1" customHeight="1" x14ac:dyDescent="0.2">
      <c r="A62" s="94">
        <v>3</v>
      </c>
      <c r="B62" s="93" t="s">
        <v>152</v>
      </c>
      <c r="C62" s="96"/>
      <c r="D62" s="97" t="s">
        <v>153</v>
      </c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85"/>
      <c r="AE62" s="85"/>
      <c r="AF62" s="85"/>
      <c r="AG62" s="85"/>
      <c r="AH62" s="85"/>
      <c r="AI62" s="85"/>
      <c r="AJ62" s="85"/>
      <c r="AK62" s="85"/>
      <c r="AL62" s="85"/>
      <c r="AM62" s="85"/>
      <c r="AN62" s="86"/>
      <c r="AO62" s="86"/>
      <c r="AP62" s="86"/>
      <c r="AQ62" s="86"/>
      <c r="AR62" s="86"/>
      <c r="AS62" s="86"/>
      <c r="AT62" s="86"/>
      <c r="AU62" s="86"/>
      <c r="AV62" s="86"/>
      <c r="AW62" s="86"/>
      <c r="AX62" s="86"/>
      <c r="AY62" s="86"/>
      <c r="AZ62" s="86"/>
      <c r="BA62" s="86"/>
      <c r="BB62" s="86"/>
      <c r="BC62" s="86"/>
      <c r="BD62" s="86"/>
      <c r="BE62" s="86"/>
      <c r="BF62" s="86"/>
      <c r="BG62" s="86"/>
      <c r="BH62" s="86"/>
      <c r="BI62" s="86"/>
      <c r="BJ62" s="86"/>
      <c r="BK62" s="86"/>
      <c r="BL62" s="86"/>
      <c r="BM62" s="86"/>
      <c r="BN62" s="86"/>
      <c r="BO62" s="86"/>
      <c r="BP62" s="86"/>
      <c r="BQ62" s="86"/>
      <c r="BR62" s="86"/>
      <c r="BS62" s="86"/>
      <c r="BT62" s="86"/>
      <c r="BU62" s="98">
        <f>SUM(E62:AL62)</f>
        <v>0</v>
      </c>
      <c r="BX62" s="100"/>
    </row>
    <row r="63" spans="1:76" ht="19.5" hidden="1" customHeight="1" x14ac:dyDescent="0.2">
      <c r="A63" s="92">
        <v>4</v>
      </c>
      <c r="B63" s="101" t="s">
        <v>154</v>
      </c>
      <c r="C63" s="102"/>
      <c r="D63" s="103" t="s">
        <v>29</v>
      </c>
      <c r="E63" s="104"/>
      <c r="F63" s="104"/>
      <c r="G63" s="104"/>
      <c r="H63" s="104"/>
      <c r="I63" s="104" t="e">
        <f>#REF!</f>
        <v>#REF!</v>
      </c>
      <c r="J63" s="104" t="e">
        <f>#REF!</f>
        <v>#REF!</v>
      </c>
      <c r="K63" s="104" t="e">
        <f>#REF!</f>
        <v>#REF!</v>
      </c>
      <c r="L63" s="104" t="e">
        <f>#REF!</f>
        <v>#REF!</v>
      </c>
      <c r="M63" s="104" t="e">
        <f>#REF!</f>
        <v>#REF!</v>
      </c>
      <c r="N63" s="104" t="e">
        <f>#REF!</f>
        <v>#REF!</v>
      </c>
      <c r="O63" s="104" t="e">
        <f>#REF!</f>
        <v>#REF!</v>
      </c>
      <c r="P63" s="104" t="e">
        <f>#REF!</f>
        <v>#REF!</v>
      </c>
      <c r="Q63" s="104" t="e">
        <f>#REF!</f>
        <v>#REF!</v>
      </c>
      <c r="R63" s="104" t="e">
        <f>#REF!</f>
        <v>#REF!</v>
      </c>
      <c r="S63" s="104" t="e">
        <f>#REF!</f>
        <v>#REF!</v>
      </c>
      <c r="T63" s="104" t="e">
        <f>#REF!</f>
        <v>#REF!</v>
      </c>
      <c r="U63" s="104" t="e">
        <f>#REF!</f>
        <v>#REF!</v>
      </c>
      <c r="V63" s="104" t="e">
        <f>#REF!</f>
        <v>#REF!</v>
      </c>
      <c r="W63" s="104" t="e">
        <f>#REF!</f>
        <v>#REF!</v>
      </c>
      <c r="X63" s="104" t="e">
        <f>#REF!</f>
        <v>#REF!</v>
      </c>
      <c r="Y63" s="104" t="e">
        <f>#REF!</f>
        <v>#REF!</v>
      </c>
      <c r="Z63" s="104" t="e">
        <f>#REF!</f>
        <v>#REF!</v>
      </c>
      <c r="AA63" s="104" t="e">
        <f>#REF!</f>
        <v>#REF!</v>
      </c>
      <c r="AB63" s="104" t="e">
        <f>#REF!</f>
        <v>#REF!</v>
      </c>
      <c r="AC63" s="104" t="e">
        <f>#REF!</f>
        <v>#REF!</v>
      </c>
      <c r="AD63" s="104" t="e">
        <f>#REF!</f>
        <v>#REF!</v>
      </c>
      <c r="AE63" s="104" t="e">
        <f>#REF!</f>
        <v>#REF!</v>
      </c>
      <c r="AF63" s="104" t="e">
        <f>#REF!</f>
        <v>#REF!</v>
      </c>
      <c r="AG63" s="104" t="e">
        <f>#REF!</f>
        <v>#REF!</v>
      </c>
      <c r="AH63" s="104" t="e">
        <f>#REF!</f>
        <v>#REF!</v>
      </c>
      <c r="AI63" s="104" t="e">
        <f>#REF!</f>
        <v>#REF!</v>
      </c>
      <c r="AJ63" s="104" t="e">
        <f>#REF!</f>
        <v>#REF!</v>
      </c>
      <c r="AK63" s="104" t="e">
        <f>#REF!</f>
        <v>#REF!</v>
      </c>
      <c r="AL63" s="104" t="e">
        <f>#REF!</f>
        <v>#REF!</v>
      </c>
      <c r="AM63" s="104" t="e">
        <f>#REF!</f>
        <v>#REF!</v>
      </c>
      <c r="AN63" s="105" t="e">
        <f>#REF!</f>
        <v>#REF!</v>
      </c>
      <c r="AO63" s="105" t="e">
        <f>#REF!</f>
        <v>#REF!</v>
      </c>
      <c r="AP63" s="105" t="e">
        <f>#REF!</f>
        <v>#REF!</v>
      </c>
      <c r="AQ63" s="105" t="e">
        <f>#REF!</f>
        <v>#REF!</v>
      </c>
      <c r="AR63" s="105" t="e">
        <f>#REF!</f>
        <v>#REF!</v>
      </c>
      <c r="AS63" s="105" t="e">
        <f>#REF!</f>
        <v>#REF!</v>
      </c>
      <c r="AT63" s="105" t="e">
        <f>#REF!</f>
        <v>#REF!</v>
      </c>
      <c r="AU63" s="105" t="e">
        <f>#REF!</f>
        <v>#REF!</v>
      </c>
      <c r="AV63" s="105" t="e">
        <f>#REF!</f>
        <v>#REF!</v>
      </c>
      <c r="AW63" s="105" t="e">
        <f>#REF!</f>
        <v>#REF!</v>
      </c>
      <c r="AX63" s="105" t="e">
        <f>#REF!</f>
        <v>#REF!</v>
      </c>
      <c r="AY63" s="105" t="e">
        <f>#REF!</f>
        <v>#REF!</v>
      </c>
      <c r="AZ63" s="105" t="e">
        <f>#REF!</f>
        <v>#REF!</v>
      </c>
      <c r="BA63" s="105" t="e">
        <f>#REF!</f>
        <v>#REF!</v>
      </c>
      <c r="BB63" s="105" t="e">
        <f>#REF!</f>
        <v>#REF!</v>
      </c>
      <c r="BC63" s="105" t="e">
        <f>#REF!</f>
        <v>#REF!</v>
      </c>
      <c r="BD63" s="105" t="e">
        <f>#REF!</f>
        <v>#REF!</v>
      </c>
      <c r="BE63" s="105" t="e">
        <f>#REF!</f>
        <v>#REF!</v>
      </c>
      <c r="BF63" s="105" t="e">
        <f>#REF!</f>
        <v>#REF!</v>
      </c>
      <c r="BG63" s="105" t="e">
        <f>#REF!</f>
        <v>#REF!</v>
      </c>
      <c r="BH63" s="105" t="e">
        <f>#REF!</f>
        <v>#REF!</v>
      </c>
      <c r="BI63" s="105" t="e">
        <f>#REF!</f>
        <v>#REF!</v>
      </c>
      <c r="BJ63" s="105">
        <v>2</v>
      </c>
      <c r="BK63" s="105">
        <v>2</v>
      </c>
      <c r="BL63" s="105">
        <v>2</v>
      </c>
      <c r="BM63" s="105">
        <v>2</v>
      </c>
      <c r="BN63" s="105">
        <v>2</v>
      </c>
      <c r="BO63" s="105">
        <v>2</v>
      </c>
      <c r="BP63" s="105">
        <v>2</v>
      </c>
      <c r="BQ63" s="105">
        <v>2</v>
      </c>
      <c r="BR63" s="105">
        <v>2</v>
      </c>
      <c r="BS63" s="105"/>
      <c r="BT63" s="105"/>
      <c r="BU63" s="98" t="e">
        <f>SUM(I63:BS63)</f>
        <v>#REF!</v>
      </c>
      <c r="BX63" s="100"/>
    </row>
    <row r="64" spans="1:76" ht="23.25" hidden="1" customHeight="1" x14ac:dyDescent="0.2">
      <c r="A64" s="94">
        <v>5</v>
      </c>
      <c r="B64" s="93" t="s">
        <v>155</v>
      </c>
      <c r="C64" s="96"/>
      <c r="D64" s="93" t="s">
        <v>156</v>
      </c>
      <c r="E64" s="106"/>
      <c r="F64" s="106"/>
      <c r="G64" s="106"/>
      <c r="H64" s="106"/>
      <c r="I64" s="106">
        <f t="shared" ref="I64:BR64" si="13">I18/I57</f>
        <v>1.2318872690211373</v>
      </c>
      <c r="J64" s="106">
        <f t="shared" si="13"/>
        <v>0.92766693515376375</v>
      </c>
      <c r="K64" s="106">
        <f t="shared" si="13"/>
        <v>1.0988712266349092</v>
      </c>
      <c r="L64" s="106">
        <f t="shared" ref="L64:AJ64" si="14">L18/L57</f>
        <v>1.0074388218662933</v>
      </c>
      <c r="M64" s="106">
        <f t="shared" si="14"/>
        <v>0.99617260324711399</v>
      </c>
      <c r="N64" s="106">
        <f t="shared" si="14"/>
        <v>1.1630648875079757</v>
      </c>
      <c r="O64" s="106">
        <f t="shared" si="14"/>
        <v>1.2784411187350297</v>
      </c>
      <c r="P64" s="106">
        <f t="shared" si="14"/>
        <v>1.2314103778396259</v>
      </c>
      <c r="Q64" s="106">
        <f t="shared" si="14"/>
        <v>0.79872535134546241</v>
      </c>
      <c r="R64" s="106">
        <f t="shared" si="14"/>
        <v>1.0805926164684756</v>
      </c>
      <c r="S64" s="106">
        <f t="shared" si="14"/>
        <v>1.0847185396695902</v>
      </c>
      <c r="T64" s="106">
        <f t="shared" si="14"/>
        <v>1.1169950098762864</v>
      </c>
      <c r="U64" s="106">
        <f t="shared" si="14"/>
        <v>0.98823612617285106</v>
      </c>
      <c r="V64" s="106">
        <f t="shared" si="14"/>
        <v>1.0656028368794326</v>
      </c>
      <c r="W64" s="106">
        <f t="shared" si="14"/>
        <v>1.2338855790418672</v>
      </c>
      <c r="X64" s="106">
        <f t="shared" si="14"/>
        <v>1.0589275644640386</v>
      </c>
      <c r="Y64" s="106">
        <f t="shared" si="14"/>
        <v>0.98684051672099471</v>
      </c>
      <c r="Z64" s="106">
        <f t="shared" si="14"/>
        <v>1.0756383380872196</v>
      </c>
      <c r="AA64" s="106">
        <f t="shared" si="14"/>
        <v>1.1659174613844192</v>
      </c>
      <c r="AB64" s="106">
        <f t="shared" si="14"/>
        <v>1.183067231454328</v>
      </c>
      <c r="AC64" s="106">
        <f t="shared" si="14"/>
        <v>0.94178351868481025</v>
      </c>
      <c r="AD64" s="106">
        <f t="shared" si="14"/>
        <v>1.0044550147920415</v>
      </c>
      <c r="AE64" s="106">
        <f t="shared" si="14"/>
        <v>0.86242668434742698</v>
      </c>
      <c r="AF64" s="106">
        <f t="shared" si="14"/>
        <v>1.1615009834295338</v>
      </c>
      <c r="AG64" s="106">
        <f t="shared" si="14"/>
        <v>1.3380160894698021</v>
      </c>
      <c r="AH64" s="106">
        <f t="shared" si="14"/>
        <v>1.0917138810198299</v>
      </c>
      <c r="AI64" s="106">
        <f t="shared" si="14"/>
        <v>1.0429857579440465</v>
      </c>
      <c r="AJ64" s="106">
        <f t="shared" si="14"/>
        <v>0.94198885699814283</v>
      </c>
      <c r="AK64" s="106">
        <f t="shared" ref="AK64" si="15">AK18/AK57</f>
        <v>0.8764413821055832</v>
      </c>
      <c r="AL64" s="106" t="e">
        <f t="shared" si="13"/>
        <v>#DIV/0!</v>
      </c>
      <c r="AM64" s="106" t="e">
        <f t="shared" si="13"/>
        <v>#DIV/0!</v>
      </c>
      <c r="AN64" s="106" t="e">
        <f t="shared" si="13"/>
        <v>#DIV/0!</v>
      </c>
      <c r="AO64" s="106" t="e">
        <f t="shared" si="13"/>
        <v>#DIV/0!</v>
      </c>
      <c r="AP64" s="106" t="e">
        <f t="shared" si="13"/>
        <v>#DIV/0!</v>
      </c>
      <c r="AQ64" s="106" t="e">
        <f t="shared" si="13"/>
        <v>#DIV/0!</v>
      </c>
      <c r="AR64" s="106" t="e">
        <f t="shared" si="13"/>
        <v>#DIV/0!</v>
      </c>
      <c r="AS64" s="106" t="e">
        <f t="shared" si="13"/>
        <v>#DIV/0!</v>
      </c>
      <c r="AT64" s="106" t="e">
        <f t="shared" si="13"/>
        <v>#DIV/0!</v>
      </c>
      <c r="AU64" s="106" t="e">
        <f t="shared" si="13"/>
        <v>#DIV/0!</v>
      </c>
      <c r="AV64" s="106" t="e">
        <f t="shared" si="13"/>
        <v>#DIV/0!</v>
      </c>
      <c r="AW64" s="106" t="e">
        <f t="shared" si="13"/>
        <v>#DIV/0!</v>
      </c>
      <c r="AX64" s="106" t="e">
        <f t="shared" si="13"/>
        <v>#DIV/0!</v>
      </c>
      <c r="AY64" s="106" t="e">
        <f t="shared" si="13"/>
        <v>#DIV/0!</v>
      </c>
      <c r="AZ64" s="106" t="e">
        <f t="shared" si="13"/>
        <v>#DIV/0!</v>
      </c>
      <c r="BA64" s="106" t="e">
        <f t="shared" si="13"/>
        <v>#DIV/0!</v>
      </c>
      <c r="BB64" s="106" t="e">
        <f t="shared" si="13"/>
        <v>#DIV/0!</v>
      </c>
      <c r="BC64" s="106" t="e">
        <f t="shared" si="13"/>
        <v>#DIV/0!</v>
      </c>
      <c r="BD64" s="106" t="e">
        <f t="shared" si="13"/>
        <v>#DIV/0!</v>
      </c>
      <c r="BE64" s="106" t="e">
        <f t="shared" si="13"/>
        <v>#DIV/0!</v>
      </c>
      <c r="BF64" s="106" t="e">
        <f t="shared" si="13"/>
        <v>#DIV/0!</v>
      </c>
      <c r="BG64" s="106" t="e">
        <f t="shared" si="13"/>
        <v>#DIV/0!</v>
      </c>
      <c r="BH64" s="106" t="e">
        <f t="shared" si="13"/>
        <v>#DIV/0!</v>
      </c>
      <c r="BI64" s="106" t="e">
        <f t="shared" si="13"/>
        <v>#DIV/0!</v>
      </c>
      <c r="BJ64" s="106" t="e">
        <f t="shared" si="13"/>
        <v>#DIV/0!</v>
      </c>
      <c r="BK64" s="106" t="e">
        <f t="shared" si="13"/>
        <v>#DIV/0!</v>
      </c>
      <c r="BL64" s="106" t="e">
        <f t="shared" si="13"/>
        <v>#DIV/0!</v>
      </c>
      <c r="BM64" s="106" t="e">
        <f t="shared" si="13"/>
        <v>#DIV/0!</v>
      </c>
      <c r="BN64" s="106" t="e">
        <f t="shared" si="13"/>
        <v>#DIV/0!</v>
      </c>
      <c r="BO64" s="106" t="e">
        <f t="shared" si="13"/>
        <v>#DIV/0!</v>
      </c>
      <c r="BP64" s="106" t="e">
        <f t="shared" si="13"/>
        <v>#DIV/0!</v>
      </c>
      <c r="BQ64" s="106" t="e">
        <f t="shared" si="13"/>
        <v>#DIV/0!</v>
      </c>
      <c r="BR64" s="106" t="e">
        <f t="shared" si="13"/>
        <v>#DIV/0!</v>
      </c>
      <c r="BS64" s="107"/>
      <c r="BT64" s="107"/>
      <c r="BU64" s="108" t="e">
        <f xml:space="preserve"> AVERAGE(E64:BS64)</f>
        <v>#DIV/0!</v>
      </c>
    </row>
    <row r="65" spans="1:76" ht="23.25" hidden="1" customHeight="1" x14ac:dyDescent="0.2">
      <c r="A65" s="94"/>
      <c r="B65" s="93"/>
      <c r="C65" s="254"/>
      <c r="D65" s="255"/>
      <c r="E65" s="255"/>
      <c r="F65" s="255"/>
      <c r="G65" s="255"/>
      <c r="H65" s="255"/>
      <c r="I65" s="255"/>
      <c r="J65" s="255"/>
      <c r="K65" s="255"/>
      <c r="L65" s="255"/>
      <c r="M65" s="255"/>
      <c r="N65" s="255"/>
      <c r="O65" s="255"/>
      <c r="P65" s="255"/>
      <c r="Q65" s="255"/>
      <c r="R65" s="255"/>
      <c r="S65" s="255"/>
      <c r="T65" s="255"/>
      <c r="U65" s="255"/>
      <c r="V65" s="255"/>
      <c r="W65" s="255"/>
      <c r="X65" s="255"/>
      <c r="Y65" s="255"/>
      <c r="Z65" s="255"/>
      <c r="AA65" s="255"/>
      <c r="AB65" s="255"/>
      <c r="AC65" s="255"/>
      <c r="AD65" s="255"/>
      <c r="AE65" s="255"/>
      <c r="AF65" s="255"/>
      <c r="AG65" s="255"/>
      <c r="AH65" s="255"/>
      <c r="AI65" s="255"/>
      <c r="AJ65" s="255"/>
      <c r="AK65" s="255"/>
      <c r="AL65" s="255"/>
      <c r="AM65" s="255"/>
      <c r="AN65" s="255"/>
      <c r="AO65" s="255"/>
      <c r="AP65" s="255"/>
      <c r="AQ65" s="255"/>
      <c r="AR65" s="255"/>
      <c r="AS65" s="255"/>
      <c r="AT65" s="255"/>
      <c r="AU65" s="255"/>
      <c r="AV65" s="255"/>
      <c r="AW65" s="255"/>
      <c r="AX65" s="255"/>
      <c r="AY65" s="255"/>
      <c r="AZ65" s="255"/>
      <c r="BA65" s="255"/>
      <c r="BB65" s="255"/>
      <c r="BC65" s="255"/>
      <c r="BD65" s="255"/>
      <c r="BE65" s="255"/>
      <c r="BF65" s="255"/>
      <c r="BG65" s="255"/>
      <c r="BH65" s="255"/>
      <c r="BI65" s="255"/>
      <c r="BJ65" s="255"/>
      <c r="BK65" s="255"/>
      <c r="BL65" s="255"/>
      <c r="BM65" s="255"/>
      <c r="BN65" s="255"/>
      <c r="BO65" s="255"/>
      <c r="BP65" s="255"/>
      <c r="BQ65" s="255"/>
      <c r="BR65" s="255"/>
      <c r="BS65" s="255"/>
      <c r="BT65" s="255"/>
      <c r="BU65" s="256"/>
    </row>
    <row r="66" spans="1:76" hidden="1" x14ac:dyDescent="0.2">
      <c r="A66" s="94" t="s">
        <v>157</v>
      </c>
      <c r="B66" s="93" t="s">
        <v>158</v>
      </c>
      <c r="C66" s="96"/>
      <c r="D66" s="97" t="s">
        <v>159</v>
      </c>
      <c r="E66" s="104" t="e">
        <f>E60/E57</f>
        <v>#DIV/0!</v>
      </c>
      <c r="F66" s="104" t="e">
        <f>F60/F57</f>
        <v>#DIV/0!</v>
      </c>
      <c r="G66" s="104">
        <f>G60/G57</f>
        <v>0</v>
      </c>
      <c r="H66" s="104"/>
      <c r="I66" s="104">
        <f t="shared" ref="I66:AQ66" si="16">I60/I57</f>
        <v>0</v>
      </c>
      <c r="J66" s="104">
        <f t="shared" si="16"/>
        <v>0</v>
      </c>
      <c r="K66" s="104">
        <f t="shared" si="16"/>
        <v>0</v>
      </c>
      <c r="L66" s="104">
        <f t="shared" ref="L66:AJ66" si="17">L60/L57</f>
        <v>0</v>
      </c>
      <c r="M66" s="104">
        <f t="shared" si="17"/>
        <v>0</v>
      </c>
      <c r="N66" s="104">
        <f t="shared" si="17"/>
        <v>0</v>
      </c>
      <c r="O66" s="104">
        <f t="shared" si="17"/>
        <v>0</v>
      </c>
      <c r="P66" s="104">
        <f t="shared" si="17"/>
        <v>0</v>
      </c>
      <c r="Q66" s="104">
        <f t="shared" si="17"/>
        <v>0</v>
      </c>
      <c r="R66" s="104">
        <f t="shared" si="17"/>
        <v>0</v>
      </c>
      <c r="S66" s="104">
        <f t="shared" si="17"/>
        <v>0</v>
      </c>
      <c r="T66" s="104">
        <f t="shared" si="17"/>
        <v>0</v>
      </c>
      <c r="U66" s="104">
        <f t="shared" si="17"/>
        <v>0</v>
      </c>
      <c r="V66" s="104">
        <f t="shared" si="17"/>
        <v>0</v>
      </c>
      <c r="W66" s="104">
        <f t="shared" si="17"/>
        <v>0</v>
      </c>
      <c r="X66" s="104">
        <f t="shared" si="17"/>
        <v>0</v>
      </c>
      <c r="Y66" s="104">
        <f t="shared" si="17"/>
        <v>0</v>
      </c>
      <c r="Z66" s="104">
        <f t="shared" si="17"/>
        <v>0</v>
      </c>
      <c r="AA66" s="104">
        <f t="shared" si="17"/>
        <v>0</v>
      </c>
      <c r="AB66" s="104">
        <f t="shared" si="17"/>
        <v>0</v>
      </c>
      <c r="AC66" s="104">
        <f t="shared" si="17"/>
        <v>0</v>
      </c>
      <c r="AD66" s="104">
        <f t="shared" si="17"/>
        <v>0</v>
      </c>
      <c r="AE66" s="104">
        <f t="shared" si="17"/>
        <v>0</v>
      </c>
      <c r="AF66" s="104">
        <f t="shared" si="17"/>
        <v>0</v>
      </c>
      <c r="AG66" s="104">
        <f t="shared" si="17"/>
        <v>0</v>
      </c>
      <c r="AH66" s="104">
        <f t="shared" si="17"/>
        <v>0</v>
      </c>
      <c r="AI66" s="104">
        <f t="shared" si="17"/>
        <v>0</v>
      </c>
      <c r="AJ66" s="104">
        <f t="shared" si="17"/>
        <v>0</v>
      </c>
      <c r="AK66" s="104">
        <f t="shared" ref="AK66" si="18">AK60/AK57</f>
        <v>0</v>
      </c>
      <c r="AL66" s="104" t="e">
        <f t="shared" si="16"/>
        <v>#DIV/0!</v>
      </c>
      <c r="AM66" s="104" t="e">
        <f t="shared" si="16"/>
        <v>#DIV/0!</v>
      </c>
      <c r="AN66" s="104" t="e">
        <f t="shared" si="16"/>
        <v>#DIV/0!</v>
      </c>
      <c r="AO66" s="104" t="e">
        <f t="shared" si="16"/>
        <v>#DIV/0!</v>
      </c>
      <c r="AP66" s="104" t="e">
        <f t="shared" si="16"/>
        <v>#DIV/0!</v>
      </c>
      <c r="AQ66" s="104" t="e">
        <f t="shared" si="16"/>
        <v>#DIV/0!</v>
      </c>
      <c r="AR66" s="105">
        <v>0</v>
      </c>
      <c r="AS66" s="105">
        <v>0</v>
      </c>
      <c r="AT66" s="105">
        <v>0</v>
      </c>
      <c r="AU66" s="105">
        <v>0</v>
      </c>
      <c r="AV66" s="105">
        <v>0</v>
      </c>
      <c r="AW66" s="105">
        <v>0</v>
      </c>
      <c r="AX66" s="105">
        <v>0</v>
      </c>
      <c r="AY66" s="105">
        <v>0</v>
      </c>
      <c r="AZ66" s="105">
        <v>0</v>
      </c>
      <c r="BA66" s="105">
        <v>0</v>
      </c>
      <c r="BB66" s="105">
        <v>0</v>
      </c>
      <c r="BC66" s="105">
        <v>0</v>
      </c>
      <c r="BD66" s="105">
        <v>0</v>
      </c>
      <c r="BE66" s="105">
        <v>0</v>
      </c>
      <c r="BF66" s="105">
        <v>0</v>
      </c>
      <c r="BG66" s="105">
        <v>0</v>
      </c>
      <c r="BH66" s="105">
        <v>0</v>
      </c>
      <c r="BI66" s="105">
        <v>0</v>
      </c>
      <c r="BJ66" s="105">
        <v>0</v>
      </c>
      <c r="BK66" s="105">
        <v>0</v>
      </c>
      <c r="BL66" s="105">
        <v>0</v>
      </c>
      <c r="BM66" s="105">
        <v>0</v>
      </c>
      <c r="BN66" s="105">
        <v>0</v>
      </c>
      <c r="BO66" s="105">
        <v>0</v>
      </c>
      <c r="BP66" s="105">
        <v>0</v>
      </c>
      <c r="BQ66" s="105">
        <v>0</v>
      </c>
      <c r="BR66" s="105">
        <v>0</v>
      </c>
      <c r="BS66" s="105"/>
      <c r="BT66" s="105"/>
      <c r="BU66" s="98">
        <f>BU60/BU57</f>
        <v>0</v>
      </c>
      <c r="BX66" s="100"/>
    </row>
    <row r="67" spans="1:76" hidden="1" x14ac:dyDescent="0.2">
      <c r="A67" s="94" t="s">
        <v>160</v>
      </c>
      <c r="B67" s="93" t="s">
        <v>161</v>
      </c>
      <c r="C67" s="96"/>
      <c r="D67" s="97" t="s">
        <v>162</v>
      </c>
      <c r="E67" s="85" t="e">
        <f>E61*1000/E57</f>
        <v>#DIV/0!</v>
      </c>
      <c r="F67" s="85" t="e">
        <f>F61*1000/F57</f>
        <v>#DIV/0!</v>
      </c>
      <c r="G67" s="85">
        <f>G61*1000/G57</f>
        <v>0</v>
      </c>
      <c r="H67" s="85"/>
      <c r="I67" s="85">
        <f t="shared" ref="I67:AQ67" si="19">I61*1000/I57</f>
        <v>0</v>
      </c>
      <c r="J67" s="85">
        <f t="shared" si="19"/>
        <v>0</v>
      </c>
      <c r="K67" s="85">
        <f t="shared" si="19"/>
        <v>0</v>
      </c>
      <c r="L67" s="85">
        <f t="shared" ref="L67:AJ67" si="20">L61*1000/L57</f>
        <v>0</v>
      </c>
      <c r="M67" s="85">
        <f t="shared" si="20"/>
        <v>0</v>
      </c>
      <c r="N67" s="85">
        <f t="shared" si="20"/>
        <v>0</v>
      </c>
      <c r="O67" s="85">
        <f t="shared" si="20"/>
        <v>0</v>
      </c>
      <c r="P67" s="85">
        <f t="shared" si="20"/>
        <v>0</v>
      </c>
      <c r="Q67" s="85">
        <f t="shared" si="20"/>
        <v>0</v>
      </c>
      <c r="R67" s="85">
        <f t="shared" si="20"/>
        <v>0</v>
      </c>
      <c r="S67" s="85">
        <f t="shared" si="20"/>
        <v>0</v>
      </c>
      <c r="T67" s="85">
        <f t="shared" si="20"/>
        <v>0</v>
      </c>
      <c r="U67" s="85">
        <f t="shared" si="20"/>
        <v>0</v>
      </c>
      <c r="V67" s="85">
        <f t="shared" si="20"/>
        <v>0</v>
      </c>
      <c r="W67" s="85">
        <f t="shared" si="20"/>
        <v>0</v>
      </c>
      <c r="X67" s="85">
        <f t="shared" si="20"/>
        <v>0</v>
      </c>
      <c r="Y67" s="85">
        <f t="shared" si="20"/>
        <v>0</v>
      </c>
      <c r="Z67" s="85">
        <f t="shared" si="20"/>
        <v>0</v>
      </c>
      <c r="AA67" s="85">
        <f t="shared" si="20"/>
        <v>0</v>
      </c>
      <c r="AB67" s="85">
        <f t="shared" si="20"/>
        <v>0</v>
      </c>
      <c r="AC67" s="85">
        <f t="shared" si="20"/>
        <v>0</v>
      </c>
      <c r="AD67" s="85">
        <f t="shared" si="20"/>
        <v>0</v>
      </c>
      <c r="AE67" s="85">
        <f t="shared" si="20"/>
        <v>0</v>
      </c>
      <c r="AF67" s="85">
        <f t="shared" si="20"/>
        <v>0</v>
      </c>
      <c r="AG67" s="85">
        <f t="shared" si="20"/>
        <v>0</v>
      </c>
      <c r="AH67" s="85">
        <f t="shared" si="20"/>
        <v>0</v>
      </c>
      <c r="AI67" s="85">
        <f t="shared" si="20"/>
        <v>0</v>
      </c>
      <c r="AJ67" s="85">
        <f t="shared" si="20"/>
        <v>0</v>
      </c>
      <c r="AK67" s="85">
        <f t="shared" ref="AK67" si="21">AK61*1000/AK57</f>
        <v>0</v>
      </c>
      <c r="AL67" s="85" t="e">
        <f t="shared" si="19"/>
        <v>#DIV/0!</v>
      </c>
      <c r="AM67" s="85" t="e">
        <f t="shared" si="19"/>
        <v>#DIV/0!</v>
      </c>
      <c r="AN67" s="85" t="e">
        <f t="shared" si="19"/>
        <v>#DIV/0!</v>
      </c>
      <c r="AO67" s="85" t="e">
        <f t="shared" si="19"/>
        <v>#DIV/0!</v>
      </c>
      <c r="AP67" s="85" t="e">
        <f t="shared" si="19"/>
        <v>#DIV/0!</v>
      </c>
      <c r="AQ67" s="85" t="e">
        <f t="shared" si="19"/>
        <v>#DIV/0!</v>
      </c>
      <c r="AR67" s="86">
        <v>0</v>
      </c>
      <c r="AS67" s="86">
        <v>0</v>
      </c>
      <c r="AT67" s="86">
        <v>0</v>
      </c>
      <c r="AU67" s="86">
        <v>0</v>
      </c>
      <c r="AV67" s="86">
        <v>0</v>
      </c>
      <c r="AW67" s="86">
        <v>0</v>
      </c>
      <c r="AX67" s="86">
        <v>0</v>
      </c>
      <c r="AY67" s="86">
        <v>0</v>
      </c>
      <c r="AZ67" s="86">
        <v>0</v>
      </c>
      <c r="BA67" s="86">
        <v>0</v>
      </c>
      <c r="BB67" s="86">
        <v>0</v>
      </c>
      <c r="BC67" s="86">
        <v>0</v>
      </c>
      <c r="BD67" s="86">
        <v>0</v>
      </c>
      <c r="BE67" s="86">
        <v>0</v>
      </c>
      <c r="BF67" s="86">
        <v>0</v>
      </c>
      <c r="BG67" s="86">
        <v>0</v>
      </c>
      <c r="BH67" s="86">
        <v>0</v>
      </c>
      <c r="BI67" s="86">
        <v>0</v>
      </c>
      <c r="BJ67" s="86">
        <v>0</v>
      </c>
      <c r="BK67" s="86">
        <v>0</v>
      </c>
      <c r="BL67" s="86">
        <v>0</v>
      </c>
      <c r="BM67" s="86">
        <v>0</v>
      </c>
      <c r="BN67" s="86">
        <v>0</v>
      </c>
      <c r="BO67" s="86">
        <v>0</v>
      </c>
      <c r="BP67" s="86">
        <v>0</v>
      </c>
      <c r="BQ67" s="86">
        <v>0</v>
      </c>
      <c r="BR67" s="86">
        <v>0</v>
      </c>
      <c r="BS67" s="86"/>
      <c r="BT67" s="86"/>
      <c r="BU67" s="98">
        <f>BU61*1000/BU57</f>
        <v>0</v>
      </c>
      <c r="BX67" s="100"/>
    </row>
    <row r="68" spans="1:76" hidden="1" x14ac:dyDescent="0.2">
      <c r="A68" s="94" t="s">
        <v>163</v>
      </c>
      <c r="B68" s="93" t="s">
        <v>164</v>
      </c>
      <c r="C68" s="96"/>
      <c r="D68" s="97" t="s">
        <v>165</v>
      </c>
      <c r="E68" s="104" t="e">
        <f>E62/E57</f>
        <v>#DIV/0!</v>
      </c>
      <c r="F68" s="104" t="e">
        <f>F62/F57</f>
        <v>#DIV/0!</v>
      </c>
      <c r="G68" s="104">
        <f>G62/G57</f>
        <v>0</v>
      </c>
      <c r="H68" s="104"/>
      <c r="I68" s="104">
        <f t="shared" ref="I68:AQ68" si="22">I62/I57</f>
        <v>0</v>
      </c>
      <c r="J68" s="104">
        <f t="shared" si="22"/>
        <v>0</v>
      </c>
      <c r="K68" s="104">
        <f t="shared" si="22"/>
        <v>0</v>
      </c>
      <c r="L68" s="104">
        <f t="shared" ref="L68:AJ68" si="23">L62/L57</f>
        <v>0</v>
      </c>
      <c r="M68" s="104">
        <f t="shared" si="23"/>
        <v>0</v>
      </c>
      <c r="N68" s="104">
        <f t="shared" si="23"/>
        <v>0</v>
      </c>
      <c r="O68" s="104">
        <f t="shared" si="23"/>
        <v>0</v>
      </c>
      <c r="P68" s="104">
        <f t="shared" si="23"/>
        <v>0</v>
      </c>
      <c r="Q68" s="104">
        <f t="shared" si="23"/>
        <v>0</v>
      </c>
      <c r="R68" s="104">
        <f t="shared" si="23"/>
        <v>0</v>
      </c>
      <c r="S68" s="104">
        <f t="shared" si="23"/>
        <v>0</v>
      </c>
      <c r="T68" s="104">
        <f t="shared" si="23"/>
        <v>0</v>
      </c>
      <c r="U68" s="104">
        <f t="shared" si="23"/>
        <v>0</v>
      </c>
      <c r="V68" s="104">
        <f t="shared" si="23"/>
        <v>0</v>
      </c>
      <c r="W68" s="104">
        <f t="shared" si="23"/>
        <v>0</v>
      </c>
      <c r="X68" s="104">
        <f t="shared" si="23"/>
        <v>0</v>
      </c>
      <c r="Y68" s="104">
        <f t="shared" si="23"/>
        <v>0</v>
      </c>
      <c r="Z68" s="104">
        <f t="shared" si="23"/>
        <v>0</v>
      </c>
      <c r="AA68" s="104">
        <f t="shared" si="23"/>
        <v>0</v>
      </c>
      <c r="AB68" s="104">
        <f t="shared" si="23"/>
        <v>0</v>
      </c>
      <c r="AC68" s="104">
        <f t="shared" si="23"/>
        <v>0</v>
      </c>
      <c r="AD68" s="104">
        <f t="shared" si="23"/>
        <v>0</v>
      </c>
      <c r="AE68" s="104">
        <f t="shared" si="23"/>
        <v>0</v>
      </c>
      <c r="AF68" s="104">
        <f t="shared" si="23"/>
        <v>0</v>
      </c>
      <c r="AG68" s="104">
        <f t="shared" si="23"/>
        <v>0</v>
      </c>
      <c r="AH68" s="104">
        <f t="shared" si="23"/>
        <v>0</v>
      </c>
      <c r="AI68" s="104">
        <f t="shared" si="23"/>
        <v>0</v>
      </c>
      <c r="AJ68" s="104">
        <f t="shared" si="23"/>
        <v>0</v>
      </c>
      <c r="AK68" s="104">
        <f t="shared" ref="AK68" si="24">AK62/AK57</f>
        <v>0</v>
      </c>
      <c r="AL68" s="104" t="e">
        <f t="shared" si="22"/>
        <v>#DIV/0!</v>
      </c>
      <c r="AM68" s="104" t="e">
        <f t="shared" si="22"/>
        <v>#DIV/0!</v>
      </c>
      <c r="AN68" s="104" t="e">
        <f t="shared" si="22"/>
        <v>#DIV/0!</v>
      </c>
      <c r="AO68" s="104" t="e">
        <f t="shared" si="22"/>
        <v>#DIV/0!</v>
      </c>
      <c r="AP68" s="104" t="e">
        <f t="shared" si="22"/>
        <v>#DIV/0!</v>
      </c>
      <c r="AQ68" s="104" t="e">
        <f t="shared" si="22"/>
        <v>#DIV/0!</v>
      </c>
      <c r="AR68" s="105">
        <v>0</v>
      </c>
      <c r="AS68" s="105">
        <v>0</v>
      </c>
      <c r="AT68" s="105">
        <v>0</v>
      </c>
      <c r="AU68" s="105">
        <v>0</v>
      </c>
      <c r="AV68" s="105">
        <v>0</v>
      </c>
      <c r="AW68" s="105">
        <v>0</v>
      </c>
      <c r="AX68" s="105">
        <v>0</v>
      </c>
      <c r="AY68" s="105">
        <v>0</v>
      </c>
      <c r="AZ68" s="105">
        <v>0</v>
      </c>
      <c r="BA68" s="105">
        <v>0</v>
      </c>
      <c r="BB68" s="105">
        <v>0</v>
      </c>
      <c r="BC68" s="105">
        <v>0</v>
      </c>
      <c r="BD68" s="105">
        <v>0</v>
      </c>
      <c r="BE68" s="105">
        <v>0</v>
      </c>
      <c r="BF68" s="105">
        <v>0</v>
      </c>
      <c r="BG68" s="105">
        <v>0</v>
      </c>
      <c r="BH68" s="105">
        <v>0</v>
      </c>
      <c r="BI68" s="105">
        <v>0</v>
      </c>
      <c r="BJ68" s="105">
        <v>0</v>
      </c>
      <c r="BK68" s="105">
        <v>0</v>
      </c>
      <c r="BL68" s="105">
        <v>0</v>
      </c>
      <c r="BM68" s="105">
        <v>0</v>
      </c>
      <c r="BN68" s="105">
        <v>0</v>
      </c>
      <c r="BO68" s="105">
        <v>0</v>
      </c>
      <c r="BP68" s="105">
        <v>0</v>
      </c>
      <c r="BQ68" s="105">
        <v>0</v>
      </c>
      <c r="BR68" s="105">
        <v>0</v>
      </c>
      <c r="BS68" s="105"/>
      <c r="BT68" s="105"/>
      <c r="BU68" s="98">
        <f>BU62/BU57</f>
        <v>0</v>
      </c>
      <c r="BX68" s="100"/>
    </row>
    <row r="69" spans="1:76" hidden="1" x14ac:dyDescent="0.2">
      <c r="A69" s="94" t="s">
        <v>166</v>
      </c>
      <c r="B69" s="93" t="s">
        <v>167</v>
      </c>
      <c r="C69" s="96"/>
      <c r="D69" s="97" t="s">
        <v>168</v>
      </c>
      <c r="E69" s="109"/>
      <c r="F69" s="109"/>
      <c r="G69" s="109"/>
      <c r="H69" s="109"/>
      <c r="I69" s="109">
        <v>0</v>
      </c>
      <c r="J69" s="109">
        <v>0</v>
      </c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  <c r="AC69" s="109"/>
      <c r="AD69" s="109"/>
      <c r="AE69" s="109"/>
      <c r="AF69" s="109"/>
      <c r="AG69" s="109"/>
      <c r="AH69" s="109"/>
      <c r="AI69" s="109"/>
      <c r="AJ69" s="109"/>
      <c r="AK69" s="109"/>
      <c r="AL69" s="109"/>
      <c r="AM69" s="109"/>
      <c r="AN69" s="110"/>
      <c r="AO69" s="110"/>
      <c r="AP69" s="110"/>
      <c r="AQ69" s="110"/>
      <c r="AR69" s="110"/>
      <c r="AS69" s="110"/>
      <c r="AT69" s="110"/>
      <c r="AU69" s="110"/>
      <c r="AV69" s="110"/>
      <c r="AW69" s="110"/>
      <c r="AX69" s="110"/>
      <c r="AY69" s="110"/>
      <c r="AZ69" s="110"/>
      <c r="BA69" s="110"/>
      <c r="BB69" s="110"/>
      <c r="BC69" s="110"/>
      <c r="BD69" s="110"/>
      <c r="BE69" s="110"/>
      <c r="BF69" s="110"/>
      <c r="BG69" s="110"/>
      <c r="BH69" s="110"/>
      <c r="BI69" s="110"/>
      <c r="BJ69" s="110"/>
      <c r="BK69" s="110"/>
      <c r="BL69" s="110"/>
      <c r="BM69" s="110"/>
      <c r="BN69" s="110"/>
      <c r="BO69" s="110"/>
      <c r="BP69" s="110"/>
      <c r="BQ69" s="110"/>
      <c r="BR69" s="110"/>
      <c r="BS69" s="110"/>
      <c r="BT69" s="110"/>
      <c r="BU69" s="111" t="e">
        <f>+#REF!</f>
        <v>#REF!</v>
      </c>
      <c r="BV69" s="100"/>
    </row>
    <row r="70" spans="1:76" hidden="1" x14ac:dyDescent="0.2">
      <c r="A70" s="94" t="s">
        <v>169</v>
      </c>
      <c r="B70" s="93" t="s">
        <v>170</v>
      </c>
      <c r="C70" s="96"/>
      <c r="D70" s="97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  <c r="AE70" s="85"/>
      <c r="AF70" s="85"/>
      <c r="AG70" s="85"/>
      <c r="AH70" s="85"/>
      <c r="AI70" s="85"/>
      <c r="AJ70" s="85"/>
      <c r="AK70" s="85"/>
      <c r="AL70" s="85"/>
      <c r="AM70" s="85"/>
      <c r="AN70" s="86"/>
      <c r="AO70" s="86"/>
      <c r="AP70" s="86"/>
      <c r="AQ70" s="86"/>
      <c r="AR70" s="86"/>
      <c r="AS70" s="86"/>
      <c r="AT70" s="86"/>
      <c r="AU70" s="86"/>
      <c r="AV70" s="86"/>
      <c r="AW70" s="86"/>
      <c r="AX70" s="86"/>
      <c r="AY70" s="86"/>
      <c r="AZ70" s="86"/>
      <c r="BA70" s="86"/>
      <c r="BB70" s="86"/>
      <c r="BC70" s="86"/>
      <c r="BD70" s="86"/>
      <c r="BE70" s="86"/>
      <c r="BF70" s="86"/>
      <c r="BG70" s="86"/>
      <c r="BH70" s="86"/>
      <c r="BI70" s="86"/>
      <c r="BJ70" s="86"/>
      <c r="BK70" s="86"/>
      <c r="BL70" s="86"/>
      <c r="BM70" s="86"/>
      <c r="BN70" s="86"/>
      <c r="BO70" s="86"/>
      <c r="BP70" s="86"/>
      <c r="BQ70" s="86"/>
      <c r="BR70" s="86"/>
      <c r="BS70" s="86"/>
      <c r="BT70" s="86"/>
      <c r="BU70" s="112" t="s">
        <v>171</v>
      </c>
      <c r="BV70" s="100"/>
    </row>
    <row r="71" spans="1:76" hidden="1" x14ac:dyDescent="0.2">
      <c r="A71" s="94" t="s">
        <v>157</v>
      </c>
      <c r="B71" s="93" t="s">
        <v>172</v>
      </c>
      <c r="C71" s="96"/>
      <c r="D71" s="97" t="s">
        <v>173</v>
      </c>
      <c r="E71" s="85" t="e">
        <f>E57*100/#REF!</f>
        <v>#REF!</v>
      </c>
      <c r="F71" s="85" t="e">
        <f>F57*100/#REF!</f>
        <v>#REF!</v>
      </c>
      <c r="G71" s="85" t="e">
        <f>G57*100/#REF!</f>
        <v>#REF!</v>
      </c>
      <c r="H71" s="85" t="e">
        <f>H57*100/#REF!</f>
        <v>#REF!</v>
      </c>
      <c r="I71" s="85" t="e">
        <f>I57*100/#REF!</f>
        <v>#REF!</v>
      </c>
      <c r="J71" s="85" t="e">
        <f>J57*100/#REF!</f>
        <v>#REF!</v>
      </c>
      <c r="K71" s="85" t="e">
        <f>K57*100/#REF!</f>
        <v>#REF!</v>
      </c>
      <c r="L71" s="85" t="e">
        <f>L57*100/#REF!</f>
        <v>#REF!</v>
      </c>
      <c r="M71" s="85" t="e">
        <f>M57*100/#REF!</f>
        <v>#REF!</v>
      </c>
      <c r="N71" s="85" t="e">
        <f>N57*100/#REF!</f>
        <v>#REF!</v>
      </c>
      <c r="O71" s="85" t="e">
        <f>O57*100/#REF!</f>
        <v>#REF!</v>
      </c>
      <c r="P71" s="85" t="e">
        <f>P57*100/#REF!</f>
        <v>#REF!</v>
      </c>
      <c r="Q71" s="85" t="e">
        <f>Q57*100/#REF!</f>
        <v>#REF!</v>
      </c>
      <c r="R71" s="85" t="e">
        <f>R57*100/#REF!</f>
        <v>#REF!</v>
      </c>
      <c r="S71" s="85" t="e">
        <f>S57*100/#REF!</f>
        <v>#REF!</v>
      </c>
      <c r="T71" s="85" t="e">
        <f>T57*100/#REF!</f>
        <v>#REF!</v>
      </c>
      <c r="U71" s="85" t="e">
        <f>U57*100/#REF!</f>
        <v>#REF!</v>
      </c>
      <c r="V71" s="85" t="e">
        <f>V57*100/#REF!</f>
        <v>#REF!</v>
      </c>
      <c r="W71" s="85" t="e">
        <f>W57*100/#REF!</f>
        <v>#REF!</v>
      </c>
      <c r="X71" s="85" t="e">
        <f>X57*100/#REF!</f>
        <v>#REF!</v>
      </c>
      <c r="Y71" s="85" t="e">
        <f>Y57*100/#REF!</f>
        <v>#REF!</v>
      </c>
      <c r="Z71" s="85" t="e">
        <f>Z57*100/#REF!</f>
        <v>#REF!</v>
      </c>
      <c r="AA71" s="85" t="e">
        <f>AA57*100/#REF!</f>
        <v>#REF!</v>
      </c>
      <c r="AB71" s="85" t="e">
        <f>AB57*100/#REF!</f>
        <v>#REF!</v>
      </c>
      <c r="AC71" s="85" t="e">
        <f>AC57*100/#REF!</f>
        <v>#REF!</v>
      </c>
      <c r="AD71" s="85" t="e">
        <f>AD57*100/#REF!</f>
        <v>#REF!</v>
      </c>
      <c r="AE71" s="85" t="e">
        <f>AE57*100/#REF!</f>
        <v>#REF!</v>
      </c>
      <c r="AF71" s="85" t="e">
        <f>AF57*100/#REF!</f>
        <v>#REF!</v>
      </c>
      <c r="AG71" s="85" t="e">
        <f>AG57*100/#REF!</f>
        <v>#REF!</v>
      </c>
      <c r="AH71" s="85" t="e">
        <f>AH57*100/#REF!</f>
        <v>#REF!</v>
      </c>
      <c r="AI71" s="85" t="e">
        <f>AI57*100/#REF!</f>
        <v>#REF!</v>
      </c>
      <c r="AJ71" s="85" t="e">
        <f>AJ57*100/#REF!</f>
        <v>#REF!</v>
      </c>
      <c r="AK71" s="85" t="e">
        <f>AK57*100/#REF!</f>
        <v>#REF!</v>
      </c>
      <c r="AL71" s="85" t="e">
        <f>AL57*100/#REF!</f>
        <v>#REF!</v>
      </c>
      <c r="AM71" s="85" t="e">
        <f>AM57*100/#REF!</f>
        <v>#REF!</v>
      </c>
      <c r="AN71" s="86"/>
      <c r="AO71" s="86"/>
      <c r="AP71" s="86"/>
      <c r="AQ71" s="86"/>
      <c r="AR71" s="86"/>
      <c r="AS71" s="86"/>
      <c r="AT71" s="86"/>
      <c r="AU71" s="86"/>
      <c r="AV71" s="86"/>
      <c r="AW71" s="86"/>
      <c r="AX71" s="86"/>
      <c r="AY71" s="86"/>
      <c r="AZ71" s="86"/>
      <c r="BA71" s="86"/>
      <c r="BB71" s="86"/>
      <c r="BC71" s="86"/>
      <c r="BD71" s="86"/>
      <c r="BE71" s="86"/>
      <c r="BF71" s="86"/>
      <c r="BG71" s="86"/>
      <c r="BH71" s="86"/>
      <c r="BI71" s="86"/>
      <c r="BJ71" s="86"/>
      <c r="BK71" s="86"/>
      <c r="BL71" s="86"/>
      <c r="BM71" s="86"/>
      <c r="BN71" s="86"/>
      <c r="BO71" s="86"/>
      <c r="BP71" s="86"/>
      <c r="BQ71" s="86"/>
      <c r="BR71" s="86"/>
      <c r="BS71" s="86"/>
      <c r="BT71" s="86"/>
      <c r="BU71" s="112" t="s">
        <v>174</v>
      </c>
      <c r="BV71" s="100"/>
    </row>
    <row r="72" spans="1:76" hidden="1" x14ac:dyDescent="0.2">
      <c r="A72" s="94" t="s">
        <v>160</v>
      </c>
      <c r="B72" s="93" t="s">
        <v>175</v>
      </c>
      <c r="C72" s="96"/>
      <c r="D72" s="97" t="s">
        <v>176</v>
      </c>
      <c r="E72" s="85" t="e">
        <f>#REF!*E66</f>
        <v>#REF!</v>
      </c>
      <c r="F72" s="109" t="e">
        <f>#REF!*F66</f>
        <v>#REF!</v>
      </c>
      <c r="G72" s="109" t="e">
        <f>#REF!*G66</f>
        <v>#REF!</v>
      </c>
      <c r="H72" s="109" t="e">
        <f>#REF!*H66</f>
        <v>#REF!</v>
      </c>
      <c r="I72" s="109" t="e">
        <f>#REF!*I66</f>
        <v>#REF!</v>
      </c>
      <c r="J72" s="109" t="e">
        <f>#REF!*J66</f>
        <v>#REF!</v>
      </c>
      <c r="K72" s="109" t="e">
        <f>#REF!*K66</f>
        <v>#REF!</v>
      </c>
      <c r="L72" s="109" t="e">
        <f>#REF!*L66</f>
        <v>#REF!</v>
      </c>
      <c r="M72" s="109" t="e">
        <f>#REF!*M66</f>
        <v>#REF!</v>
      </c>
      <c r="N72" s="109" t="e">
        <f>#REF!*N66</f>
        <v>#REF!</v>
      </c>
      <c r="O72" s="109" t="e">
        <f>#REF!*O66</f>
        <v>#REF!</v>
      </c>
      <c r="P72" s="109" t="e">
        <f>#REF!*P66</f>
        <v>#REF!</v>
      </c>
      <c r="Q72" s="109" t="e">
        <f>#REF!*Q66</f>
        <v>#REF!</v>
      </c>
      <c r="R72" s="109" t="e">
        <f>#REF!*R66</f>
        <v>#REF!</v>
      </c>
      <c r="S72" s="109" t="e">
        <f>#REF!*S66</f>
        <v>#REF!</v>
      </c>
      <c r="T72" s="109" t="e">
        <f>#REF!*T66</f>
        <v>#REF!</v>
      </c>
      <c r="U72" s="109" t="e">
        <f>#REF!*U66</f>
        <v>#REF!</v>
      </c>
      <c r="V72" s="109" t="e">
        <f>#REF!*V66</f>
        <v>#REF!</v>
      </c>
      <c r="W72" s="109" t="e">
        <f>#REF!*W66</f>
        <v>#REF!</v>
      </c>
      <c r="X72" s="109" t="e">
        <f>#REF!*X66</f>
        <v>#REF!</v>
      </c>
      <c r="Y72" s="109" t="e">
        <f>#REF!*Y66</f>
        <v>#REF!</v>
      </c>
      <c r="Z72" s="109" t="e">
        <f>#REF!*Z66</f>
        <v>#REF!</v>
      </c>
      <c r="AA72" s="109" t="e">
        <f>#REF!*AA66</f>
        <v>#REF!</v>
      </c>
      <c r="AB72" s="109" t="e">
        <f>#REF!*AB66</f>
        <v>#REF!</v>
      </c>
      <c r="AC72" s="109" t="e">
        <f>#REF!*AC66</f>
        <v>#REF!</v>
      </c>
      <c r="AD72" s="109" t="e">
        <f>#REF!*AD66</f>
        <v>#REF!</v>
      </c>
      <c r="AE72" s="109" t="e">
        <f>#REF!*AE66</f>
        <v>#REF!</v>
      </c>
      <c r="AF72" s="109" t="e">
        <f>#REF!*AF66</f>
        <v>#REF!</v>
      </c>
      <c r="AG72" s="109" t="e">
        <f>#REF!*AG66</f>
        <v>#REF!</v>
      </c>
      <c r="AH72" s="109" t="e">
        <f>#REF!*AH66</f>
        <v>#REF!</v>
      </c>
      <c r="AI72" s="109" t="e">
        <f>#REF!*AI66</f>
        <v>#REF!</v>
      </c>
      <c r="AJ72" s="109" t="e">
        <f>#REF!*AJ66</f>
        <v>#REF!</v>
      </c>
      <c r="AK72" s="109" t="e">
        <f>#REF!*AK66</f>
        <v>#REF!</v>
      </c>
      <c r="AL72" s="109" t="e">
        <f>#REF!*AL66</f>
        <v>#REF!</v>
      </c>
      <c r="AM72" s="109" t="e">
        <f>#REF!*AM66</f>
        <v>#REF!</v>
      </c>
      <c r="AN72" s="110"/>
      <c r="AO72" s="110"/>
      <c r="AP72" s="110"/>
      <c r="AQ72" s="110"/>
      <c r="AR72" s="110"/>
      <c r="AS72" s="110"/>
      <c r="AT72" s="110"/>
      <c r="AU72" s="110"/>
      <c r="AV72" s="110"/>
      <c r="AW72" s="110"/>
      <c r="AX72" s="110"/>
      <c r="AY72" s="110"/>
      <c r="AZ72" s="110"/>
      <c r="BA72" s="110"/>
      <c r="BB72" s="110"/>
      <c r="BC72" s="110"/>
      <c r="BD72" s="110"/>
      <c r="BE72" s="110"/>
      <c r="BF72" s="110"/>
      <c r="BG72" s="110"/>
      <c r="BH72" s="110"/>
      <c r="BI72" s="110"/>
      <c r="BJ72" s="110"/>
      <c r="BK72" s="110"/>
      <c r="BL72" s="110"/>
      <c r="BM72" s="110"/>
      <c r="BN72" s="110"/>
      <c r="BO72" s="110"/>
      <c r="BP72" s="110"/>
      <c r="BQ72" s="110"/>
      <c r="BR72" s="110"/>
      <c r="BS72" s="110"/>
      <c r="BT72" s="110"/>
      <c r="BU72" s="113" t="e">
        <f>BU66*#REF!</f>
        <v>#REF!</v>
      </c>
      <c r="BV72" s="100"/>
    </row>
    <row r="73" spans="1:76" hidden="1" x14ac:dyDescent="0.2">
      <c r="A73" s="94" t="s">
        <v>163</v>
      </c>
      <c r="B73" s="93" t="s">
        <v>177</v>
      </c>
      <c r="C73" s="96"/>
      <c r="D73" s="97" t="s">
        <v>176</v>
      </c>
      <c r="E73" s="85" t="e">
        <f>#REF!*E67</f>
        <v>#REF!</v>
      </c>
      <c r="F73" s="109" t="e">
        <f>#REF!*F67</f>
        <v>#REF!</v>
      </c>
      <c r="G73" s="109" t="e">
        <f>#REF!*G67</f>
        <v>#REF!</v>
      </c>
      <c r="H73" s="109" t="e">
        <f>#REF!*H67</f>
        <v>#REF!</v>
      </c>
      <c r="I73" s="109" t="e">
        <f>#REF!*I67</f>
        <v>#REF!</v>
      </c>
      <c r="J73" s="109" t="e">
        <f>#REF!*J67</f>
        <v>#REF!</v>
      </c>
      <c r="K73" s="109" t="e">
        <f>#REF!*K67</f>
        <v>#REF!</v>
      </c>
      <c r="L73" s="109" t="e">
        <f>#REF!*L67</f>
        <v>#REF!</v>
      </c>
      <c r="M73" s="109" t="e">
        <f>#REF!*M67</f>
        <v>#REF!</v>
      </c>
      <c r="N73" s="109" t="e">
        <f>#REF!*N67</f>
        <v>#REF!</v>
      </c>
      <c r="O73" s="109" t="e">
        <f>#REF!*O67</f>
        <v>#REF!</v>
      </c>
      <c r="P73" s="109" t="e">
        <f>#REF!*P67</f>
        <v>#REF!</v>
      </c>
      <c r="Q73" s="109" t="e">
        <f>#REF!*Q67</f>
        <v>#REF!</v>
      </c>
      <c r="R73" s="109" t="e">
        <f>#REF!*R67</f>
        <v>#REF!</v>
      </c>
      <c r="S73" s="109" t="e">
        <f>#REF!*S67</f>
        <v>#REF!</v>
      </c>
      <c r="T73" s="109" t="e">
        <f>#REF!*T67</f>
        <v>#REF!</v>
      </c>
      <c r="U73" s="109" t="e">
        <f>#REF!*U67</f>
        <v>#REF!</v>
      </c>
      <c r="V73" s="109" t="e">
        <f>#REF!*V67</f>
        <v>#REF!</v>
      </c>
      <c r="W73" s="109" t="e">
        <f>#REF!*W67</f>
        <v>#REF!</v>
      </c>
      <c r="X73" s="109" t="e">
        <f>#REF!*X67</f>
        <v>#REF!</v>
      </c>
      <c r="Y73" s="109" t="e">
        <f>#REF!*Y67</f>
        <v>#REF!</v>
      </c>
      <c r="Z73" s="109" t="e">
        <f>#REF!*Z67</f>
        <v>#REF!</v>
      </c>
      <c r="AA73" s="109" t="e">
        <f>#REF!*AA67</f>
        <v>#REF!</v>
      </c>
      <c r="AB73" s="109" t="e">
        <f>#REF!*AB67</f>
        <v>#REF!</v>
      </c>
      <c r="AC73" s="109" t="e">
        <f>#REF!*AC67</f>
        <v>#REF!</v>
      </c>
      <c r="AD73" s="109" t="e">
        <f>#REF!*AD67</f>
        <v>#REF!</v>
      </c>
      <c r="AE73" s="109" t="e">
        <f>#REF!*AE67</f>
        <v>#REF!</v>
      </c>
      <c r="AF73" s="109" t="e">
        <f>#REF!*AF67</f>
        <v>#REF!</v>
      </c>
      <c r="AG73" s="109" t="e">
        <f>#REF!*AG67</f>
        <v>#REF!</v>
      </c>
      <c r="AH73" s="109" t="e">
        <f>#REF!*AH67</f>
        <v>#REF!</v>
      </c>
      <c r="AI73" s="109" t="e">
        <f>#REF!*AI67</f>
        <v>#REF!</v>
      </c>
      <c r="AJ73" s="109" t="e">
        <f>#REF!*AJ67</f>
        <v>#REF!</v>
      </c>
      <c r="AK73" s="109" t="e">
        <f>#REF!*AK67</f>
        <v>#REF!</v>
      </c>
      <c r="AL73" s="109" t="e">
        <f>#REF!*AL67</f>
        <v>#REF!</v>
      </c>
      <c r="AM73" s="109" t="e">
        <f>#REF!*AM67</f>
        <v>#REF!</v>
      </c>
      <c r="AN73" s="110"/>
      <c r="AO73" s="110"/>
      <c r="AP73" s="110"/>
      <c r="AQ73" s="110"/>
      <c r="AR73" s="110"/>
      <c r="AS73" s="110"/>
      <c r="AT73" s="110"/>
      <c r="AU73" s="110"/>
      <c r="AV73" s="110"/>
      <c r="AW73" s="110"/>
      <c r="AX73" s="110"/>
      <c r="AY73" s="110"/>
      <c r="AZ73" s="110"/>
      <c r="BA73" s="110"/>
      <c r="BB73" s="110"/>
      <c r="BC73" s="110"/>
      <c r="BD73" s="110"/>
      <c r="BE73" s="110"/>
      <c r="BF73" s="110"/>
      <c r="BG73" s="110"/>
      <c r="BH73" s="110"/>
      <c r="BI73" s="110"/>
      <c r="BJ73" s="110"/>
      <c r="BK73" s="110"/>
      <c r="BL73" s="110"/>
      <c r="BM73" s="110"/>
      <c r="BN73" s="110"/>
      <c r="BO73" s="110"/>
      <c r="BP73" s="110"/>
      <c r="BQ73" s="110"/>
      <c r="BR73" s="110"/>
      <c r="BS73" s="110"/>
      <c r="BT73" s="110"/>
      <c r="BU73" s="113" t="e">
        <f>BU67*#REF!</f>
        <v>#REF!</v>
      </c>
      <c r="BV73" s="100"/>
    </row>
    <row r="74" spans="1:76" hidden="1" x14ac:dyDescent="0.2">
      <c r="A74" s="94" t="s">
        <v>166</v>
      </c>
      <c r="B74" s="93" t="s">
        <v>178</v>
      </c>
      <c r="C74" s="96"/>
      <c r="D74" s="97" t="s">
        <v>176</v>
      </c>
      <c r="E74" s="85" t="e">
        <f>#REF!*E68</f>
        <v>#REF!</v>
      </c>
      <c r="F74" s="109" t="e">
        <f>#REF!*F68</f>
        <v>#REF!</v>
      </c>
      <c r="G74" s="109" t="e">
        <f>#REF!*G68</f>
        <v>#REF!</v>
      </c>
      <c r="H74" s="109" t="e">
        <f>#REF!*H68</f>
        <v>#REF!</v>
      </c>
      <c r="I74" s="109" t="e">
        <f>#REF!*I68</f>
        <v>#REF!</v>
      </c>
      <c r="J74" s="109" t="e">
        <f>#REF!*J68</f>
        <v>#REF!</v>
      </c>
      <c r="K74" s="109" t="e">
        <f>#REF!*K68</f>
        <v>#REF!</v>
      </c>
      <c r="L74" s="109" t="e">
        <f>#REF!*L68</f>
        <v>#REF!</v>
      </c>
      <c r="M74" s="109" t="e">
        <f>#REF!*M68</f>
        <v>#REF!</v>
      </c>
      <c r="N74" s="109" t="e">
        <f>#REF!*N68</f>
        <v>#REF!</v>
      </c>
      <c r="O74" s="109" t="e">
        <f>#REF!*O68</f>
        <v>#REF!</v>
      </c>
      <c r="P74" s="109" t="e">
        <f>#REF!*P68</f>
        <v>#REF!</v>
      </c>
      <c r="Q74" s="109" t="e">
        <f>#REF!*Q68</f>
        <v>#REF!</v>
      </c>
      <c r="R74" s="109" t="e">
        <f>#REF!*R68</f>
        <v>#REF!</v>
      </c>
      <c r="S74" s="109" t="e">
        <f>#REF!*S68</f>
        <v>#REF!</v>
      </c>
      <c r="T74" s="109" t="e">
        <f>#REF!*T68</f>
        <v>#REF!</v>
      </c>
      <c r="U74" s="109" t="e">
        <f>#REF!*U68</f>
        <v>#REF!</v>
      </c>
      <c r="V74" s="109" t="e">
        <f>#REF!*V68</f>
        <v>#REF!</v>
      </c>
      <c r="W74" s="109" t="e">
        <f>#REF!*W68</f>
        <v>#REF!</v>
      </c>
      <c r="X74" s="109" t="e">
        <f>#REF!*X68</f>
        <v>#REF!</v>
      </c>
      <c r="Y74" s="109" t="e">
        <f>#REF!*Y68</f>
        <v>#REF!</v>
      </c>
      <c r="Z74" s="109" t="e">
        <f>#REF!*Z68</f>
        <v>#REF!</v>
      </c>
      <c r="AA74" s="109" t="e">
        <f>#REF!*AA68</f>
        <v>#REF!</v>
      </c>
      <c r="AB74" s="109" t="e">
        <f>#REF!*AB68</f>
        <v>#REF!</v>
      </c>
      <c r="AC74" s="109" t="e">
        <f>#REF!*AC68</f>
        <v>#REF!</v>
      </c>
      <c r="AD74" s="109" t="e">
        <f>#REF!*AD68</f>
        <v>#REF!</v>
      </c>
      <c r="AE74" s="109" t="e">
        <f>#REF!*AE68</f>
        <v>#REF!</v>
      </c>
      <c r="AF74" s="109" t="e">
        <f>#REF!*AF68</f>
        <v>#REF!</v>
      </c>
      <c r="AG74" s="109" t="e">
        <f>#REF!*AG68</f>
        <v>#REF!</v>
      </c>
      <c r="AH74" s="109" t="e">
        <f>#REF!*AH68</f>
        <v>#REF!</v>
      </c>
      <c r="AI74" s="109" t="e">
        <f>#REF!*AI68</f>
        <v>#REF!</v>
      </c>
      <c r="AJ74" s="109" t="e">
        <f>#REF!*AJ68</f>
        <v>#REF!</v>
      </c>
      <c r="AK74" s="109" t="e">
        <f>#REF!*AK68</f>
        <v>#REF!</v>
      </c>
      <c r="AL74" s="109" t="e">
        <f>#REF!*AL68</f>
        <v>#REF!</v>
      </c>
      <c r="AM74" s="109" t="e">
        <f>#REF!*AM68</f>
        <v>#REF!</v>
      </c>
      <c r="AN74" s="110"/>
      <c r="AO74" s="110"/>
      <c r="AP74" s="110"/>
      <c r="AQ74" s="110"/>
      <c r="AR74" s="110"/>
      <c r="AS74" s="110"/>
      <c r="AT74" s="110"/>
      <c r="AU74" s="110"/>
      <c r="AV74" s="110"/>
      <c r="AW74" s="110"/>
      <c r="AX74" s="110"/>
      <c r="AY74" s="110"/>
      <c r="AZ74" s="110"/>
      <c r="BA74" s="110"/>
      <c r="BB74" s="110"/>
      <c r="BC74" s="110"/>
      <c r="BD74" s="110"/>
      <c r="BE74" s="110"/>
      <c r="BF74" s="110"/>
      <c r="BG74" s="110"/>
      <c r="BH74" s="110"/>
      <c r="BI74" s="110"/>
      <c r="BJ74" s="110"/>
      <c r="BK74" s="110"/>
      <c r="BL74" s="110"/>
      <c r="BM74" s="110"/>
      <c r="BN74" s="110"/>
      <c r="BO74" s="110"/>
      <c r="BP74" s="110"/>
      <c r="BQ74" s="110"/>
      <c r="BR74" s="110"/>
      <c r="BS74" s="110"/>
      <c r="BT74" s="110"/>
      <c r="BU74" s="113" t="e">
        <f>BU68*#REF!</f>
        <v>#REF!</v>
      </c>
      <c r="BV74" s="100"/>
    </row>
    <row r="75" spans="1:76" hidden="1" x14ac:dyDescent="0.2">
      <c r="A75" s="94" t="s">
        <v>179</v>
      </c>
      <c r="B75" s="93" t="s">
        <v>180</v>
      </c>
      <c r="C75" s="96"/>
      <c r="D75" s="97" t="s">
        <v>176</v>
      </c>
      <c r="E75" s="85" t="e">
        <f>#REF!*E69</f>
        <v>#REF!</v>
      </c>
      <c r="F75" s="109" t="e">
        <f>#REF!*F69</f>
        <v>#REF!</v>
      </c>
      <c r="G75" s="109" t="e">
        <f>#REF!*G69</f>
        <v>#REF!</v>
      </c>
      <c r="H75" s="109" t="e">
        <f>#REF!*H69</f>
        <v>#REF!</v>
      </c>
      <c r="I75" s="109" t="e">
        <f>#REF!*I69</f>
        <v>#REF!</v>
      </c>
      <c r="J75" s="109" t="e">
        <f>#REF!*J69</f>
        <v>#REF!</v>
      </c>
      <c r="K75" s="109" t="e">
        <f>#REF!*K69</f>
        <v>#REF!</v>
      </c>
      <c r="L75" s="109" t="e">
        <f>#REF!*L69</f>
        <v>#REF!</v>
      </c>
      <c r="M75" s="109" t="e">
        <f>#REF!*M69</f>
        <v>#REF!</v>
      </c>
      <c r="N75" s="109" t="e">
        <f>#REF!*N69</f>
        <v>#REF!</v>
      </c>
      <c r="O75" s="109" t="e">
        <f>#REF!*O69</f>
        <v>#REF!</v>
      </c>
      <c r="P75" s="109" t="e">
        <f>#REF!*P69</f>
        <v>#REF!</v>
      </c>
      <c r="Q75" s="109" t="e">
        <f>#REF!*Q69</f>
        <v>#REF!</v>
      </c>
      <c r="R75" s="109" t="e">
        <f>#REF!*R69</f>
        <v>#REF!</v>
      </c>
      <c r="S75" s="109" t="e">
        <f>#REF!*S69</f>
        <v>#REF!</v>
      </c>
      <c r="T75" s="109" t="e">
        <f>#REF!*T69</f>
        <v>#REF!</v>
      </c>
      <c r="U75" s="109" t="e">
        <f>#REF!*U69</f>
        <v>#REF!</v>
      </c>
      <c r="V75" s="109" t="e">
        <f>#REF!*V69</f>
        <v>#REF!</v>
      </c>
      <c r="W75" s="109" t="e">
        <f>#REF!*W69</f>
        <v>#REF!</v>
      </c>
      <c r="X75" s="109" t="e">
        <f>#REF!*X69</f>
        <v>#REF!</v>
      </c>
      <c r="Y75" s="109" t="e">
        <f>#REF!*Y69</f>
        <v>#REF!</v>
      </c>
      <c r="Z75" s="109" t="e">
        <f>#REF!*Z69</f>
        <v>#REF!</v>
      </c>
      <c r="AA75" s="109" t="e">
        <f>#REF!*AA69</f>
        <v>#REF!</v>
      </c>
      <c r="AB75" s="109" t="e">
        <f>#REF!*AB69</f>
        <v>#REF!</v>
      </c>
      <c r="AC75" s="109" t="e">
        <f>#REF!*AC69</f>
        <v>#REF!</v>
      </c>
      <c r="AD75" s="109" t="e">
        <f>#REF!*AD69</f>
        <v>#REF!</v>
      </c>
      <c r="AE75" s="109" t="e">
        <f>#REF!*AE69</f>
        <v>#REF!</v>
      </c>
      <c r="AF75" s="109" t="e">
        <f>#REF!*AF69</f>
        <v>#REF!</v>
      </c>
      <c r="AG75" s="109" t="e">
        <f>#REF!*AG69</f>
        <v>#REF!</v>
      </c>
      <c r="AH75" s="109" t="e">
        <f>#REF!*AH69</f>
        <v>#REF!</v>
      </c>
      <c r="AI75" s="109" t="e">
        <f>#REF!*AI69</f>
        <v>#REF!</v>
      </c>
      <c r="AJ75" s="109" t="e">
        <f>#REF!*AJ69</f>
        <v>#REF!</v>
      </c>
      <c r="AK75" s="109" t="e">
        <f>#REF!*AK69</f>
        <v>#REF!</v>
      </c>
      <c r="AL75" s="109" t="e">
        <f>#REF!*AL69</f>
        <v>#REF!</v>
      </c>
      <c r="AM75" s="109" t="e">
        <f>#REF!*AM69</f>
        <v>#REF!</v>
      </c>
      <c r="AN75" s="110"/>
      <c r="AO75" s="110"/>
      <c r="AP75" s="110"/>
      <c r="AQ75" s="110"/>
      <c r="AR75" s="110"/>
      <c r="AS75" s="110"/>
      <c r="AT75" s="110"/>
      <c r="AU75" s="110"/>
      <c r="AV75" s="110"/>
      <c r="AW75" s="110"/>
      <c r="AX75" s="110"/>
      <c r="AY75" s="110"/>
      <c r="AZ75" s="110"/>
      <c r="BA75" s="110"/>
      <c r="BB75" s="110"/>
      <c r="BC75" s="110"/>
      <c r="BD75" s="110"/>
      <c r="BE75" s="110"/>
      <c r="BF75" s="110"/>
      <c r="BG75" s="110"/>
      <c r="BH75" s="110"/>
      <c r="BI75" s="110"/>
      <c r="BJ75" s="110"/>
      <c r="BK75" s="110"/>
      <c r="BL75" s="110"/>
      <c r="BM75" s="110"/>
      <c r="BN75" s="110"/>
      <c r="BO75" s="110"/>
      <c r="BP75" s="110"/>
      <c r="BQ75" s="110"/>
      <c r="BR75" s="110"/>
      <c r="BS75" s="110"/>
      <c r="BT75" s="110"/>
      <c r="BU75" s="113" t="e">
        <f>BU69*#REF!</f>
        <v>#REF!</v>
      </c>
      <c r="BV75" s="100"/>
    </row>
    <row r="76" spans="1:76" hidden="1" x14ac:dyDescent="0.2">
      <c r="A76" s="94" t="s">
        <v>181</v>
      </c>
      <c r="B76" s="93" t="s">
        <v>182</v>
      </c>
      <c r="C76" s="96"/>
      <c r="D76" s="97" t="s">
        <v>176</v>
      </c>
      <c r="E76" s="85" t="e">
        <f>#REF!/E57</f>
        <v>#REF!</v>
      </c>
      <c r="F76" s="109" t="e">
        <f>#REF!/F57</f>
        <v>#REF!</v>
      </c>
      <c r="G76" s="109" t="e">
        <f>#REF!/G57</f>
        <v>#REF!</v>
      </c>
      <c r="H76" s="109" t="e">
        <f>#REF!/H57</f>
        <v>#REF!</v>
      </c>
      <c r="I76" s="109" t="e">
        <f>#REF!/I57</f>
        <v>#REF!</v>
      </c>
      <c r="J76" s="109" t="e">
        <f>#REF!/J57</f>
        <v>#REF!</v>
      </c>
      <c r="K76" s="109" t="e">
        <f>#REF!/K57</f>
        <v>#REF!</v>
      </c>
      <c r="L76" s="109" t="e">
        <f>#REF!/L57</f>
        <v>#REF!</v>
      </c>
      <c r="M76" s="109" t="e">
        <f>#REF!/M57</f>
        <v>#REF!</v>
      </c>
      <c r="N76" s="109" t="e">
        <f>#REF!/N57</f>
        <v>#REF!</v>
      </c>
      <c r="O76" s="109" t="e">
        <f>#REF!/O57</f>
        <v>#REF!</v>
      </c>
      <c r="P76" s="109" t="e">
        <f>#REF!/P57</f>
        <v>#REF!</v>
      </c>
      <c r="Q76" s="109" t="e">
        <f>#REF!/Q57</f>
        <v>#REF!</v>
      </c>
      <c r="R76" s="109" t="e">
        <f>#REF!/R57</f>
        <v>#REF!</v>
      </c>
      <c r="S76" s="109" t="e">
        <f>#REF!/S57</f>
        <v>#REF!</v>
      </c>
      <c r="T76" s="109" t="e">
        <f>#REF!/T57</f>
        <v>#REF!</v>
      </c>
      <c r="U76" s="109" t="e">
        <f>#REF!/U57</f>
        <v>#REF!</v>
      </c>
      <c r="V76" s="109" t="e">
        <f>#REF!/V57</f>
        <v>#REF!</v>
      </c>
      <c r="W76" s="109" t="e">
        <f>#REF!/W57</f>
        <v>#REF!</v>
      </c>
      <c r="X76" s="109" t="e">
        <f>#REF!/X57</f>
        <v>#REF!</v>
      </c>
      <c r="Y76" s="109" t="e">
        <f>#REF!/Y57</f>
        <v>#REF!</v>
      </c>
      <c r="Z76" s="109" t="e">
        <f>#REF!/Z57</f>
        <v>#REF!</v>
      </c>
      <c r="AA76" s="109" t="e">
        <f>#REF!/AA57</f>
        <v>#REF!</v>
      </c>
      <c r="AB76" s="109" t="e">
        <f>#REF!/AB57</f>
        <v>#REF!</v>
      </c>
      <c r="AC76" s="109" t="e">
        <f>#REF!/AC57</f>
        <v>#REF!</v>
      </c>
      <c r="AD76" s="109" t="e">
        <f>#REF!/AD57</f>
        <v>#REF!</v>
      </c>
      <c r="AE76" s="109" t="e">
        <f>#REF!/AE57</f>
        <v>#REF!</v>
      </c>
      <c r="AF76" s="109" t="e">
        <f>#REF!/AF57</f>
        <v>#REF!</v>
      </c>
      <c r="AG76" s="109" t="e">
        <f>#REF!/AG57</f>
        <v>#REF!</v>
      </c>
      <c r="AH76" s="109" t="e">
        <f>#REF!/AH57</f>
        <v>#REF!</v>
      </c>
      <c r="AI76" s="109" t="e">
        <f>#REF!/AI57</f>
        <v>#REF!</v>
      </c>
      <c r="AJ76" s="109" t="e">
        <f>#REF!/AJ57</f>
        <v>#REF!</v>
      </c>
      <c r="AK76" s="109" t="e">
        <f>#REF!/AK57</f>
        <v>#REF!</v>
      </c>
      <c r="AL76" s="109" t="e">
        <f>#REF!/AL57</f>
        <v>#REF!</v>
      </c>
      <c r="AM76" s="109" t="e">
        <f>#REF!/AM57</f>
        <v>#REF!</v>
      </c>
      <c r="AN76" s="110"/>
      <c r="AO76" s="110"/>
      <c r="AP76" s="110"/>
      <c r="AQ76" s="110"/>
      <c r="AR76" s="110"/>
      <c r="AS76" s="110"/>
      <c r="AT76" s="110"/>
      <c r="AU76" s="110"/>
      <c r="AV76" s="110"/>
      <c r="AW76" s="110"/>
      <c r="AX76" s="110"/>
      <c r="AY76" s="110"/>
      <c r="AZ76" s="110"/>
      <c r="BA76" s="110"/>
      <c r="BB76" s="110"/>
      <c r="BC76" s="110"/>
      <c r="BD76" s="110"/>
      <c r="BE76" s="110"/>
      <c r="BF76" s="110"/>
      <c r="BG76" s="110"/>
      <c r="BH76" s="110"/>
      <c r="BI76" s="110"/>
      <c r="BJ76" s="110"/>
      <c r="BK76" s="110"/>
      <c r="BL76" s="110"/>
      <c r="BM76" s="110"/>
      <c r="BN76" s="110"/>
      <c r="BO76" s="110"/>
      <c r="BP76" s="110"/>
      <c r="BQ76" s="110"/>
      <c r="BR76" s="110"/>
      <c r="BS76" s="110"/>
      <c r="BT76" s="110"/>
      <c r="BU76" s="113" t="e">
        <f>#REF!/BU57</f>
        <v>#REF!</v>
      </c>
      <c r="BV76" s="100"/>
    </row>
    <row r="77" spans="1:76" hidden="1" x14ac:dyDescent="0.2">
      <c r="A77" s="94" t="s">
        <v>183</v>
      </c>
      <c r="B77" s="93" t="s">
        <v>184</v>
      </c>
      <c r="C77" s="96"/>
      <c r="D77" s="97" t="s">
        <v>176</v>
      </c>
      <c r="E77" s="109">
        <v>291</v>
      </c>
      <c r="F77" s="109">
        <v>291</v>
      </c>
      <c r="G77" s="109">
        <v>291</v>
      </c>
      <c r="H77" s="109">
        <v>291</v>
      </c>
      <c r="I77" s="109">
        <v>291</v>
      </c>
      <c r="J77" s="109">
        <v>291</v>
      </c>
      <c r="K77" s="109">
        <v>291</v>
      </c>
      <c r="L77" s="109">
        <v>291</v>
      </c>
      <c r="M77" s="109">
        <v>291</v>
      </c>
      <c r="N77" s="109">
        <v>291</v>
      </c>
      <c r="O77" s="109">
        <v>291</v>
      </c>
      <c r="P77" s="109">
        <v>291</v>
      </c>
      <c r="Q77" s="109">
        <v>291</v>
      </c>
      <c r="R77" s="109">
        <v>291</v>
      </c>
      <c r="S77" s="109">
        <v>291</v>
      </c>
      <c r="T77" s="109">
        <v>291</v>
      </c>
      <c r="U77" s="109">
        <v>291</v>
      </c>
      <c r="V77" s="109">
        <v>291</v>
      </c>
      <c r="W77" s="109">
        <v>291</v>
      </c>
      <c r="X77" s="109">
        <v>291</v>
      </c>
      <c r="Y77" s="109">
        <v>291</v>
      </c>
      <c r="Z77" s="109">
        <v>291</v>
      </c>
      <c r="AA77" s="109">
        <v>291</v>
      </c>
      <c r="AB77" s="109">
        <v>291</v>
      </c>
      <c r="AC77" s="109">
        <v>291</v>
      </c>
      <c r="AD77" s="109">
        <v>291</v>
      </c>
      <c r="AE77" s="109">
        <v>291</v>
      </c>
      <c r="AF77" s="109">
        <v>291</v>
      </c>
      <c r="AG77" s="109">
        <v>291</v>
      </c>
      <c r="AH77" s="109">
        <v>291</v>
      </c>
      <c r="AI77" s="109">
        <v>291</v>
      </c>
      <c r="AJ77" s="109">
        <v>291</v>
      </c>
      <c r="AK77" s="109">
        <v>291</v>
      </c>
      <c r="AL77" s="109">
        <v>291</v>
      </c>
      <c r="AM77" s="109">
        <v>291</v>
      </c>
      <c r="AN77" s="110"/>
      <c r="AO77" s="110"/>
      <c r="AP77" s="110"/>
      <c r="AQ77" s="110"/>
      <c r="AR77" s="110"/>
      <c r="AS77" s="110"/>
      <c r="AT77" s="110"/>
      <c r="AU77" s="110"/>
      <c r="AV77" s="110"/>
      <c r="AW77" s="110"/>
      <c r="AX77" s="110"/>
      <c r="AY77" s="110"/>
      <c r="AZ77" s="110"/>
      <c r="BA77" s="110"/>
      <c r="BB77" s="110"/>
      <c r="BC77" s="110"/>
      <c r="BD77" s="110"/>
      <c r="BE77" s="110"/>
      <c r="BF77" s="110"/>
      <c r="BG77" s="110"/>
      <c r="BH77" s="110"/>
      <c r="BI77" s="110"/>
      <c r="BJ77" s="110"/>
      <c r="BK77" s="110"/>
      <c r="BL77" s="110"/>
      <c r="BM77" s="110"/>
      <c r="BN77" s="110"/>
      <c r="BO77" s="110"/>
      <c r="BP77" s="110"/>
      <c r="BQ77" s="110"/>
      <c r="BR77" s="110"/>
      <c r="BS77" s="110"/>
      <c r="BT77" s="110"/>
      <c r="BU77" s="113">
        <f>AVERAGE(E77:AL77)</f>
        <v>291</v>
      </c>
      <c r="BV77" s="100"/>
    </row>
    <row r="78" spans="1:76" ht="20.25" hidden="1" customHeight="1" x14ac:dyDescent="0.2">
      <c r="A78" s="94"/>
      <c r="B78" s="93"/>
      <c r="C78" s="96"/>
      <c r="D78" s="254"/>
      <c r="E78" s="255"/>
      <c r="F78" s="255"/>
      <c r="G78" s="255"/>
      <c r="H78" s="255"/>
      <c r="I78" s="255"/>
      <c r="J78" s="255"/>
      <c r="K78" s="255"/>
      <c r="L78" s="255"/>
      <c r="M78" s="255"/>
      <c r="N78" s="255"/>
      <c r="O78" s="255"/>
      <c r="P78" s="255"/>
      <c r="Q78" s="255"/>
      <c r="R78" s="255"/>
      <c r="S78" s="255"/>
      <c r="T78" s="255"/>
      <c r="U78" s="255"/>
      <c r="V78" s="255"/>
      <c r="W78" s="255"/>
      <c r="X78" s="255"/>
      <c r="Y78" s="255"/>
      <c r="Z78" s="255"/>
      <c r="AA78" s="255"/>
      <c r="AB78" s="255"/>
      <c r="AC78" s="255"/>
      <c r="AD78" s="255"/>
      <c r="AE78" s="255"/>
      <c r="AF78" s="255"/>
      <c r="AG78" s="255"/>
      <c r="AH78" s="255"/>
      <c r="AI78" s="255"/>
      <c r="AJ78" s="255"/>
      <c r="AK78" s="255"/>
      <c r="AL78" s="255"/>
      <c r="AM78" s="255"/>
      <c r="AN78" s="255"/>
      <c r="AO78" s="255"/>
      <c r="AP78" s="255"/>
      <c r="AQ78" s="255"/>
      <c r="AR78" s="255"/>
      <c r="AS78" s="255"/>
      <c r="AT78" s="255"/>
      <c r="AU78" s="255"/>
      <c r="AV78" s="255"/>
      <c r="AW78" s="255"/>
      <c r="AX78" s="255"/>
      <c r="AY78" s="255"/>
      <c r="AZ78" s="255"/>
      <c r="BA78" s="255"/>
      <c r="BB78" s="255"/>
      <c r="BC78" s="255"/>
      <c r="BD78" s="255"/>
      <c r="BE78" s="255"/>
      <c r="BF78" s="255"/>
      <c r="BG78" s="255"/>
      <c r="BH78" s="255"/>
      <c r="BI78" s="255"/>
      <c r="BJ78" s="255"/>
      <c r="BK78" s="255"/>
      <c r="BL78" s="255"/>
      <c r="BM78" s="255"/>
      <c r="BN78" s="255"/>
      <c r="BO78" s="255"/>
      <c r="BP78" s="255"/>
      <c r="BQ78" s="255"/>
      <c r="BR78" s="255"/>
      <c r="BS78" s="255"/>
      <c r="BT78" s="255"/>
      <c r="BU78" s="256"/>
      <c r="BV78" s="100"/>
    </row>
    <row r="79" spans="1:76" hidden="1" x14ac:dyDescent="0.2">
      <c r="A79" s="94" t="s">
        <v>179</v>
      </c>
      <c r="B79" s="93" t="s">
        <v>185</v>
      </c>
      <c r="C79" s="96"/>
      <c r="D79" s="97"/>
      <c r="E79" s="114"/>
      <c r="F79" s="115"/>
      <c r="G79" s="115"/>
      <c r="H79" s="115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6"/>
      <c r="V79" s="116"/>
      <c r="W79" s="116"/>
      <c r="X79" s="116"/>
      <c r="Y79" s="116"/>
      <c r="Z79" s="116"/>
      <c r="AA79" s="116"/>
      <c r="AB79" s="116"/>
      <c r="AC79" s="116"/>
      <c r="AD79" s="116"/>
      <c r="AE79" s="116"/>
      <c r="AF79" s="116"/>
      <c r="AG79" s="116"/>
      <c r="AH79" s="116"/>
      <c r="AI79" s="116"/>
      <c r="AJ79" s="116"/>
      <c r="AK79" s="116"/>
      <c r="AL79" s="116"/>
      <c r="AM79" s="116"/>
      <c r="AN79" s="117"/>
      <c r="AO79" s="117"/>
      <c r="AP79" s="117"/>
      <c r="AQ79" s="117"/>
      <c r="AR79" s="117"/>
      <c r="AS79" s="117"/>
      <c r="AT79" s="117"/>
      <c r="AU79" s="117"/>
      <c r="AV79" s="117"/>
      <c r="AW79" s="117"/>
      <c r="AX79" s="117"/>
      <c r="AY79" s="117"/>
      <c r="AZ79" s="117"/>
      <c r="BA79" s="117"/>
      <c r="BB79" s="117"/>
      <c r="BC79" s="117"/>
      <c r="BD79" s="117"/>
      <c r="BE79" s="117"/>
      <c r="BF79" s="117"/>
      <c r="BG79" s="117"/>
      <c r="BH79" s="117"/>
      <c r="BI79" s="117"/>
      <c r="BJ79" s="117"/>
      <c r="BK79" s="117"/>
      <c r="BL79" s="117"/>
      <c r="BM79" s="117"/>
      <c r="BN79" s="117"/>
      <c r="BO79" s="117"/>
      <c r="BP79" s="117"/>
      <c r="BQ79" s="117"/>
      <c r="BR79" s="117"/>
      <c r="BS79" s="117"/>
      <c r="BT79" s="117"/>
      <c r="BU79" s="98" t="s">
        <v>186</v>
      </c>
      <c r="BV79" s="100"/>
    </row>
    <row r="80" spans="1:76" hidden="1" x14ac:dyDescent="0.2">
      <c r="A80" s="94"/>
      <c r="B80" s="118" t="s">
        <v>187</v>
      </c>
      <c r="C80" s="119"/>
      <c r="D80" s="97"/>
      <c r="E80" s="114"/>
      <c r="F80" s="115"/>
      <c r="G80" s="115"/>
      <c r="H80" s="120"/>
      <c r="I80" s="239"/>
      <c r="J80" s="240"/>
      <c r="K80" s="240"/>
      <c r="L80" s="240"/>
      <c r="M80" s="240"/>
      <c r="N80" s="240"/>
      <c r="O80" s="240"/>
      <c r="P80" s="240"/>
      <c r="Q80" s="240"/>
      <c r="R80" s="240"/>
      <c r="S80" s="240"/>
      <c r="T80" s="240"/>
      <c r="U80" s="240"/>
      <c r="V80" s="240"/>
      <c r="W80" s="240"/>
      <c r="X80" s="240"/>
      <c r="Y80" s="240"/>
      <c r="Z80" s="240"/>
      <c r="AA80" s="240"/>
      <c r="AB80" s="240"/>
      <c r="AC80" s="240"/>
      <c r="AD80" s="240"/>
      <c r="AE80" s="240"/>
      <c r="AF80" s="240"/>
      <c r="AG80" s="240"/>
      <c r="AH80" s="240"/>
      <c r="AI80" s="240"/>
      <c r="AJ80" s="240"/>
      <c r="AK80" s="240"/>
      <c r="AL80" s="241"/>
      <c r="AM80" s="121"/>
      <c r="AN80" s="121"/>
      <c r="AO80" s="121"/>
      <c r="AP80" s="121"/>
      <c r="AQ80" s="121"/>
      <c r="AR80" s="121"/>
      <c r="AS80" s="121"/>
      <c r="AT80" s="121"/>
      <c r="AU80" s="121"/>
      <c r="AV80" s="121"/>
      <c r="AW80" s="121"/>
      <c r="AX80" s="121"/>
      <c r="AY80" s="121"/>
      <c r="AZ80" s="121"/>
      <c r="BA80" s="121"/>
      <c r="BB80" s="121"/>
      <c r="BC80" s="121"/>
      <c r="BD80" s="121"/>
      <c r="BE80" s="121"/>
      <c r="BF80" s="121"/>
      <c r="BG80" s="121"/>
      <c r="BH80" s="121"/>
      <c r="BI80" s="121"/>
      <c r="BJ80" s="121"/>
      <c r="BK80" s="121"/>
      <c r="BL80" s="121"/>
      <c r="BM80" s="121"/>
      <c r="BN80" s="121"/>
      <c r="BO80" s="121"/>
      <c r="BP80" s="121"/>
      <c r="BQ80" s="121"/>
      <c r="BR80" s="121"/>
      <c r="BS80" s="121"/>
      <c r="BT80" s="121"/>
      <c r="BU80" s="122" t="s">
        <v>187</v>
      </c>
      <c r="BV80" s="100"/>
    </row>
    <row r="81" spans="1:74" hidden="1" x14ac:dyDescent="0.2">
      <c r="A81" s="123" t="s">
        <v>157</v>
      </c>
      <c r="B81" s="93" t="s">
        <v>188</v>
      </c>
      <c r="C81" s="96"/>
      <c r="D81" s="97" t="s">
        <v>16</v>
      </c>
      <c r="E81" s="85"/>
      <c r="F81" s="85"/>
      <c r="G81" s="85"/>
      <c r="H81" s="85"/>
      <c r="I81" s="124">
        <v>1.6</v>
      </c>
      <c r="J81" s="124">
        <v>3.5</v>
      </c>
      <c r="K81" s="124">
        <v>12</v>
      </c>
      <c r="L81" s="124">
        <v>26.5</v>
      </c>
      <c r="M81" s="124">
        <v>26.5</v>
      </c>
      <c r="N81" s="124">
        <v>26.5</v>
      </c>
      <c r="O81" s="124">
        <v>26.5</v>
      </c>
      <c r="P81" s="124">
        <v>26.5</v>
      </c>
      <c r="Q81" s="124">
        <v>26.5</v>
      </c>
      <c r="R81" s="124">
        <v>26.5</v>
      </c>
      <c r="S81" s="124">
        <v>26.5</v>
      </c>
      <c r="T81" s="124">
        <v>26.5</v>
      </c>
      <c r="U81" s="124">
        <v>26.5</v>
      </c>
      <c r="V81" s="124">
        <v>26.5</v>
      </c>
      <c r="W81" s="124">
        <v>26.5</v>
      </c>
      <c r="X81" s="124">
        <v>26.5</v>
      </c>
      <c r="Y81" s="124">
        <v>26.5</v>
      </c>
      <c r="Z81" s="124">
        <v>26.5</v>
      </c>
      <c r="AA81" s="124">
        <v>26.5</v>
      </c>
      <c r="AB81" s="124">
        <v>26.5</v>
      </c>
      <c r="AC81" s="124">
        <v>26.5</v>
      </c>
      <c r="AD81" s="124">
        <v>26.5</v>
      </c>
      <c r="AE81" s="124">
        <v>26.5</v>
      </c>
      <c r="AF81" s="124">
        <v>26.5</v>
      </c>
      <c r="AG81" s="124">
        <v>26.5</v>
      </c>
      <c r="AH81" s="124">
        <v>26.5</v>
      </c>
      <c r="AI81" s="124">
        <v>26.5</v>
      </c>
      <c r="AJ81" s="124">
        <v>26.5</v>
      </c>
      <c r="AK81" s="124">
        <v>26.5</v>
      </c>
      <c r="AL81" s="124">
        <v>12</v>
      </c>
      <c r="AM81" s="124">
        <v>17.5</v>
      </c>
      <c r="AN81" s="125">
        <v>26</v>
      </c>
      <c r="AO81" s="125">
        <v>2.5</v>
      </c>
      <c r="AP81" s="125">
        <v>0</v>
      </c>
      <c r="AQ81" s="125">
        <v>0</v>
      </c>
      <c r="AR81" s="125">
        <v>23.5</v>
      </c>
      <c r="AS81" s="125">
        <v>2.5</v>
      </c>
      <c r="AT81" s="125">
        <v>2.5</v>
      </c>
      <c r="AU81" s="125">
        <v>2.5</v>
      </c>
      <c r="AV81" s="125">
        <v>2.5</v>
      </c>
      <c r="AW81" s="125">
        <v>2.5</v>
      </c>
      <c r="AX81" s="125">
        <v>2.5</v>
      </c>
      <c r="AY81" s="125">
        <v>2.5</v>
      </c>
      <c r="AZ81" s="125">
        <v>2.5</v>
      </c>
      <c r="BA81" s="125">
        <v>2.5</v>
      </c>
      <c r="BB81" s="125">
        <v>2.5</v>
      </c>
      <c r="BC81" s="125">
        <v>2.5</v>
      </c>
      <c r="BD81" s="125">
        <v>2.5</v>
      </c>
      <c r="BE81" s="125">
        <v>2.5</v>
      </c>
      <c r="BF81" s="125">
        <v>2.5</v>
      </c>
      <c r="BG81" s="125">
        <v>2.5</v>
      </c>
      <c r="BH81" s="125">
        <v>2.5</v>
      </c>
      <c r="BI81" s="125">
        <v>2.5</v>
      </c>
      <c r="BJ81" s="125">
        <v>2.5</v>
      </c>
      <c r="BK81" s="125">
        <v>2.5</v>
      </c>
      <c r="BL81" s="125">
        <v>2.5</v>
      </c>
      <c r="BM81" s="125">
        <v>2.5</v>
      </c>
      <c r="BN81" s="125">
        <v>2.5</v>
      </c>
      <c r="BO81" s="125">
        <v>2.5</v>
      </c>
      <c r="BP81" s="125">
        <v>2.5</v>
      </c>
      <c r="BQ81" s="125">
        <v>2.5</v>
      </c>
      <c r="BR81" s="125">
        <v>2.5</v>
      </c>
      <c r="BS81" s="125"/>
      <c r="BT81" s="125"/>
      <c r="BU81" s="98">
        <f>SUM(I81:BS81)</f>
        <v>852.6</v>
      </c>
      <c r="BV81" s="100"/>
    </row>
    <row r="82" spans="1:74" hidden="1" x14ac:dyDescent="0.2">
      <c r="A82" s="123" t="s">
        <v>160</v>
      </c>
      <c r="B82" s="93" t="s">
        <v>189</v>
      </c>
      <c r="C82" s="96"/>
      <c r="D82" s="97" t="s">
        <v>16</v>
      </c>
      <c r="E82" s="85"/>
      <c r="F82" s="85"/>
      <c r="G82" s="85"/>
      <c r="H82" s="85"/>
      <c r="I82" s="85">
        <v>0</v>
      </c>
      <c r="J82" s="85">
        <v>0</v>
      </c>
      <c r="K82" s="85">
        <v>0</v>
      </c>
      <c r="L82" s="85">
        <v>0</v>
      </c>
      <c r="M82" s="85">
        <v>0</v>
      </c>
      <c r="N82" s="85">
        <v>0</v>
      </c>
      <c r="O82" s="85">
        <v>0</v>
      </c>
      <c r="P82" s="85">
        <v>0</v>
      </c>
      <c r="Q82" s="85">
        <v>0</v>
      </c>
      <c r="R82" s="85">
        <v>0</v>
      </c>
      <c r="S82" s="85">
        <v>0</v>
      </c>
      <c r="T82" s="85">
        <v>0</v>
      </c>
      <c r="U82" s="85">
        <v>0</v>
      </c>
      <c r="V82" s="85">
        <v>0</v>
      </c>
      <c r="W82" s="85">
        <v>0</v>
      </c>
      <c r="X82" s="85">
        <v>0</v>
      </c>
      <c r="Y82" s="85">
        <v>0</v>
      </c>
      <c r="Z82" s="85">
        <v>0</v>
      </c>
      <c r="AA82" s="85">
        <v>0</v>
      </c>
      <c r="AB82" s="85">
        <v>0</v>
      </c>
      <c r="AC82" s="85">
        <v>0</v>
      </c>
      <c r="AD82" s="85">
        <v>0</v>
      </c>
      <c r="AE82" s="85">
        <v>0</v>
      </c>
      <c r="AF82" s="85">
        <v>0</v>
      </c>
      <c r="AG82" s="85">
        <v>0</v>
      </c>
      <c r="AH82" s="85">
        <v>0</v>
      </c>
      <c r="AI82" s="85">
        <v>0</v>
      </c>
      <c r="AJ82" s="85">
        <v>0</v>
      </c>
      <c r="AK82" s="85">
        <v>0</v>
      </c>
      <c r="AL82" s="85">
        <v>0</v>
      </c>
      <c r="AM82" s="85">
        <v>0</v>
      </c>
      <c r="AN82" s="86">
        <v>0</v>
      </c>
      <c r="AO82" s="86">
        <v>0</v>
      </c>
      <c r="AP82" s="86">
        <v>15</v>
      </c>
      <c r="AQ82" s="86">
        <v>0</v>
      </c>
      <c r="AR82" s="86">
        <v>0</v>
      </c>
      <c r="AS82" s="86">
        <v>12.5</v>
      </c>
      <c r="AT82" s="86">
        <v>12.5</v>
      </c>
      <c r="AU82" s="86">
        <v>12.5</v>
      </c>
      <c r="AV82" s="86">
        <v>12.5</v>
      </c>
      <c r="AW82" s="86">
        <v>12.5</v>
      </c>
      <c r="AX82" s="86">
        <v>12.5</v>
      </c>
      <c r="AY82" s="86">
        <v>12.5</v>
      </c>
      <c r="AZ82" s="86">
        <v>12.5</v>
      </c>
      <c r="BA82" s="86">
        <v>12.5</v>
      </c>
      <c r="BB82" s="86">
        <v>12.5</v>
      </c>
      <c r="BC82" s="86">
        <v>12.5</v>
      </c>
      <c r="BD82" s="86">
        <v>12.5</v>
      </c>
      <c r="BE82" s="86">
        <v>12.5</v>
      </c>
      <c r="BF82" s="86">
        <v>12.5</v>
      </c>
      <c r="BG82" s="86">
        <v>12.5</v>
      </c>
      <c r="BH82" s="86">
        <v>12.5</v>
      </c>
      <c r="BI82" s="86">
        <v>12.5</v>
      </c>
      <c r="BJ82" s="86">
        <v>12.5</v>
      </c>
      <c r="BK82" s="86">
        <v>12.5</v>
      </c>
      <c r="BL82" s="86">
        <v>12.5</v>
      </c>
      <c r="BM82" s="86">
        <v>12.5</v>
      </c>
      <c r="BN82" s="86">
        <v>12.5</v>
      </c>
      <c r="BO82" s="86">
        <v>12.5</v>
      </c>
      <c r="BP82" s="86">
        <v>12.5</v>
      </c>
      <c r="BQ82" s="86">
        <v>12.5</v>
      </c>
      <c r="BR82" s="86">
        <v>12.5</v>
      </c>
      <c r="BS82" s="86"/>
      <c r="BT82" s="86"/>
      <c r="BU82" s="98">
        <f>SUM(I82:BS82)</f>
        <v>340</v>
      </c>
      <c r="BV82" s="100"/>
    </row>
    <row r="83" spans="1:74" hidden="1" x14ac:dyDescent="0.2">
      <c r="A83" s="123" t="s">
        <v>163</v>
      </c>
      <c r="B83" s="93" t="s">
        <v>190</v>
      </c>
      <c r="C83" s="96"/>
      <c r="D83" s="97" t="s">
        <v>16</v>
      </c>
      <c r="E83" s="85"/>
      <c r="F83" s="85"/>
      <c r="G83" s="85"/>
      <c r="H83" s="85"/>
      <c r="I83" s="85">
        <v>0</v>
      </c>
      <c r="J83" s="85">
        <v>0</v>
      </c>
      <c r="K83" s="85">
        <v>0</v>
      </c>
      <c r="L83" s="85">
        <v>0</v>
      </c>
      <c r="M83" s="85">
        <v>0</v>
      </c>
      <c r="N83" s="85">
        <v>0</v>
      </c>
      <c r="O83" s="85">
        <v>0</v>
      </c>
      <c r="P83" s="85">
        <v>0</v>
      </c>
      <c r="Q83" s="85">
        <v>0</v>
      </c>
      <c r="R83" s="85">
        <v>0</v>
      </c>
      <c r="S83" s="85">
        <v>0</v>
      </c>
      <c r="T83" s="85">
        <v>0</v>
      </c>
      <c r="U83" s="85">
        <v>0</v>
      </c>
      <c r="V83" s="85">
        <v>0</v>
      </c>
      <c r="W83" s="85">
        <v>0</v>
      </c>
      <c r="X83" s="85">
        <v>0</v>
      </c>
      <c r="Y83" s="85">
        <v>0</v>
      </c>
      <c r="Z83" s="85">
        <v>0</v>
      </c>
      <c r="AA83" s="85">
        <v>0</v>
      </c>
      <c r="AB83" s="85">
        <v>0</v>
      </c>
      <c r="AC83" s="85">
        <v>0</v>
      </c>
      <c r="AD83" s="85">
        <v>0</v>
      </c>
      <c r="AE83" s="85">
        <v>0</v>
      </c>
      <c r="AF83" s="85">
        <v>0</v>
      </c>
      <c r="AG83" s="85">
        <v>0</v>
      </c>
      <c r="AH83" s="85">
        <v>0</v>
      </c>
      <c r="AI83" s="85">
        <v>0</v>
      </c>
      <c r="AJ83" s="85">
        <v>0</v>
      </c>
      <c r="AK83" s="85">
        <v>0</v>
      </c>
      <c r="AL83" s="85">
        <v>0</v>
      </c>
      <c r="AM83" s="85">
        <v>0</v>
      </c>
      <c r="AN83" s="86">
        <v>0</v>
      </c>
      <c r="AO83" s="86">
        <v>32.5</v>
      </c>
      <c r="AP83" s="86">
        <v>5.5</v>
      </c>
      <c r="AQ83" s="86">
        <v>32.5</v>
      </c>
      <c r="AR83" s="86">
        <v>23.5</v>
      </c>
      <c r="AS83" s="86">
        <v>38</v>
      </c>
      <c r="AT83" s="86">
        <v>38</v>
      </c>
      <c r="AU83" s="86">
        <v>38</v>
      </c>
      <c r="AV83" s="86">
        <v>38</v>
      </c>
      <c r="AW83" s="86">
        <v>38</v>
      </c>
      <c r="AX83" s="86">
        <v>38</v>
      </c>
      <c r="AY83" s="86">
        <v>38</v>
      </c>
      <c r="AZ83" s="86">
        <v>38</v>
      </c>
      <c r="BA83" s="86">
        <v>38</v>
      </c>
      <c r="BB83" s="86">
        <v>38</v>
      </c>
      <c r="BC83" s="86">
        <v>38</v>
      </c>
      <c r="BD83" s="86">
        <v>38</v>
      </c>
      <c r="BE83" s="86">
        <v>38</v>
      </c>
      <c r="BF83" s="86">
        <v>38</v>
      </c>
      <c r="BG83" s="86">
        <v>38</v>
      </c>
      <c r="BH83" s="86">
        <v>38</v>
      </c>
      <c r="BI83" s="86">
        <v>38</v>
      </c>
      <c r="BJ83" s="86">
        <v>38</v>
      </c>
      <c r="BK83" s="86">
        <v>38</v>
      </c>
      <c r="BL83" s="86">
        <v>38</v>
      </c>
      <c r="BM83" s="86">
        <v>38</v>
      </c>
      <c r="BN83" s="86">
        <v>38</v>
      </c>
      <c r="BO83" s="86">
        <v>38</v>
      </c>
      <c r="BP83" s="86">
        <v>38</v>
      </c>
      <c r="BQ83" s="86">
        <v>38</v>
      </c>
      <c r="BR83" s="86">
        <v>38</v>
      </c>
      <c r="BS83" s="86"/>
      <c r="BT83" s="86"/>
      <c r="BU83" s="98">
        <f>SUM(I83:BS83)</f>
        <v>1082</v>
      </c>
      <c r="BV83" s="100"/>
    </row>
    <row r="84" spans="1:74" hidden="1" x14ac:dyDescent="0.2">
      <c r="A84" s="123" t="s">
        <v>166</v>
      </c>
      <c r="B84" s="93" t="s">
        <v>191</v>
      </c>
      <c r="C84" s="96"/>
      <c r="D84" s="97" t="s">
        <v>16</v>
      </c>
      <c r="E84" s="85"/>
      <c r="F84" s="85"/>
      <c r="G84" s="85"/>
      <c r="H84" s="85"/>
      <c r="I84" s="85">
        <v>0</v>
      </c>
      <c r="J84" s="85">
        <v>0</v>
      </c>
      <c r="K84" s="85">
        <v>0</v>
      </c>
      <c r="L84" s="85">
        <v>0</v>
      </c>
      <c r="M84" s="85">
        <v>0</v>
      </c>
      <c r="N84" s="85">
        <v>0</v>
      </c>
      <c r="O84" s="85">
        <v>0</v>
      </c>
      <c r="P84" s="85">
        <v>0</v>
      </c>
      <c r="Q84" s="85">
        <v>0</v>
      </c>
      <c r="R84" s="85">
        <v>0</v>
      </c>
      <c r="S84" s="85">
        <v>0</v>
      </c>
      <c r="T84" s="85">
        <v>0</v>
      </c>
      <c r="U84" s="85">
        <v>0</v>
      </c>
      <c r="V84" s="85">
        <v>0</v>
      </c>
      <c r="W84" s="85">
        <v>0</v>
      </c>
      <c r="X84" s="85">
        <v>0</v>
      </c>
      <c r="Y84" s="85">
        <v>0</v>
      </c>
      <c r="Z84" s="85">
        <v>0</v>
      </c>
      <c r="AA84" s="85">
        <v>0</v>
      </c>
      <c r="AB84" s="85">
        <v>0</v>
      </c>
      <c r="AC84" s="85">
        <v>0</v>
      </c>
      <c r="AD84" s="85">
        <v>0</v>
      </c>
      <c r="AE84" s="85">
        <v>0</v>
      </c>
      <c r="AF84" s="85">
        <v>0</v>
      </c>
      <c r="AG84" s="85">
        <v>0</v>
      </c>
      <c r="AH84" s="85">
        <v>0</v>
      </c>
      <c r="AI84" s="85">
        <v>0</v>
      </c>
      <c r="AJ84" s="85">
        <v>0</v>
      </c>
      <c r="AK84" s="85">
        <v>0</v>
      </c>
      <c r="AL84" s="85">
        <v>0</v>
      </c>
      <c r="AM84" s="85">
        <v>0</v>
      </c>
      <c r="AN84" s="86">
        <v>0</v>
      </c>
      <c r="AO84" s="86">
        <v>0</v>
      </c>
      <c r="AP84" s="86">
        <v>0</v>
      </c>
      <c r="AQ84" s="86">
        <v>0</v>
      </c>
      <c r="AR84" s="86">
        <v>0</v>
      </c>
      <c r="AS84" s="86">
        <v>0</v>
      </c>
      <c r="AT84" s="86">
        <v>0</v>
      </c>
      <c r="AU84" s="86">
        <v>0</v>
      </c>
      <c r="AV84" s="86">
        <v>0</v>
      </c>
      <c r="AW84" s="86">
        <v>0</v>
      </c>
      <c r="AX84" s="86">
        <v>0</v>
      </c>
      <c r="AY84" s="86">
        <v>0</v>
      </c>
      <c r="AZ84" s="86">
        <v>0</v>
      </c>
      <c r="BA84" s="86">
        <v>0</v>
      </c>
      <c r="BB84" s="86">
        <v>0</v>
      </c>
      <c r="BC84" s="86">
        <v>0</v>
      </c>
      <c r="BD84" s="86">
        <v>0</v>
      </c>
      <c r="BE84" s="86">
        <v>0</v>
      </c>
      <c r="BF84" s="86">
        <v>0</v>
      </c>
      <c r="BG84" s="86">
        <v>0</v>
      </c>
      <c r="BH84" s="86">
        <v>0</v>
      </c>
      <c r="BI84" s="86">
        <v>0</v>
      </c>
      <c r="BJ84" s="86">
        <v>0</v>
      </c>
      <c r="BK84" s="86">
        <v>0</v>
      </c>
      <c r="BL84" s="86">
        <v>0</v>
      </c>
      <c r="BM84" s="86">
        <v>0</v>
      </c>
      <c r="BN84" s="86">
        <v>0</v>
      </c>
      <c r="BO84" s="86">
        <v>0</v>
      </c>
      <c r="BP84" s="86">
        <v>0</v>
      </c>
      <c r="BQ84" s="86">
        <v>0</v>
      </c>
      <c r="BR84" s="86">
        <v>0</v>
      </c>
      <c r="BS84" s="86"/>
      <c r="BT84" s="86"/>
      <c r="BU84" s="98">
        <f>SUM(I84:BS84)</f>
        <v>0</v>
      </c>
      <c r="BV84" s="100"/>
    </row>
    <row r="85" spans="1:74" hidden="1" x14ac:dyDescent="0.2">
      <c r="A85" s="126"/>
      <c r="B85" s="93" t="s">
        <v>192</v>
      </c>
      <c r="C85" s="96"/>
      <c r="D85" s="97" t="s">
        <v>16</v>
      </c>
      <c r="E85" s="127">
        <f t="shared" ref="E85:BU85" si="25">SUM(E81:E84)</f>
        <v>0</v>
      </c>
      <c r="F85" s="127">
        <f t="shared" si="25"/>
        <v>0</v>
      </c>
      <c r="G85" s="127">
        <f t="shared" si="25"/>
        <v>0</v>
      </c>
      <c r="H85" s="127">
        <f t="shared" si="25"/>
        <v>0</v>
      </c>
      <c r="I85" s="127">
        <f t="shared" si="25"/>
        <v>1.6</v>
      </c>
      <c r="J85" s="127">
        <f t="shared" si="25"/>
        <v>3.5</v>
      </c>
      <c r="K85" s="127">
        <f t="shared" si="25"/>
        <v>12</v>
      </c>
      <c r="L85" s="127">
        <f t="shared" ref="L85:AJ85" si="26">SUM(L81:L84)</f>
        <v>26.5</v>
      </c>
      <c r="M85" s="127">
        <f t="shared" si="26"/>
        <v>26.5</v>
      </c>
      <c r="N85" s="127">
        <f t="shared" si="26"/>
        <v>26.5</v>
      </c>
      <c r="O85" s="127">
        <f t="shared" si="26"/>
        <v>26.5</v>
      </c>
      <c r="P85" s="127">
        <f t="shared" si="26"/>
        <v>26.5</v>
      </c>
      <c r="Q85" s="127">
        <f t="shared" si="26"/>
        <v>26.5</v>
      </c>
      <c r="R85" s="127">
        <f t="shared" si="26"/>
        <v>26.5</v>
      </c>
      <c r="S85" s="127">
        <f t="shared" si="26"/>
        <v>26.5</v>
      </c>
      <c r="T85" s="127">
        <f t="shared" si="26"/>
        <v>26.5</v>
      </c>
      <c r="U85" s="127">
        <f t="shared" si="26"/>
        <v>26.5</v>
      </c>
      <c r="V85" s="127">
        <f t="shared" si="26"/>
        <v>26.5</v>
      </c>
      <c r="W85" s="127">
        <f t="shared" si="26"/>
        <v>26.5</v>
      </c>
      <c r="X85" s="127">
        <f t="shared" si="26"/>
        <v>26.5</v>
      </c>
      <c r="Y85" s="127">
        <f t="shared" si="26"/>
        <v>26.5</v>
      </c>
      <c r="Z85" s="127">
        <f t="shared" si="26"/>
        <v>26.5</v>
      </c>
      <c r="AA85" s="127">
        <f t="shared" si="26"/>
        <v>26.5</v>
      </c>
      <c r="AB85" s="127">
        <f t="shared" si="26"/>
        <v>26.5</v>
      </c>
      <c r="AC85" s="127">
        <f t="shared" si="26"/>
        <v>26.5</v>
      </c>
      <c r="AD85" s="127">
        <f t="shared" si="26"/>
        <v>26.5</v>
      </c>
      <c r="AE85" s="127">
        <f t="shared" si="26"/>
        <v>26.5</v>
      </c>
      <c r="AF85" s="127">
        <f t="shared" si="26"/>
        <v>26.5</v>
      </c>
      <c r="AG85" s="127">
        <f t="shared" si="26"/>
        <v>26.5</v>
      </c>
      <c r="AH85" s="127">
        <f t="shared" si="26"/>
        <v>26.5</v>
      </c>
      <c r="AI85" s="127">
        <f t="shared" si="26"/>
        <v>26.5</v>
      </c>
      <c r="AJ85" s="127">
        <f t="shared" si="26"/>
        <v>26.5</v>
      </c>
      <c r="AK85" s="127">
        <f t="shared" ref="AK85" si="27">SUM(AK81:AK84)</f>
        <v>26.5</v>
      </c>
      <c r="AL85" s="127">
        <f t="shared" si="25"/>
        <v>12</v>
      </c>
      <c r="AM85" s="127">
        <f t="shared" si="25"/>
        <v>17.5</v>
      </c>
      <c r="AN85" s="127">
        <f t="shared" si="25"/>
        <v>26</v>
      </c>
      <c r="AO85" s="127">
        <f t="shared" si="25"/>
        <v>35</v>
      </c>
      <c r="AP85" s="127">
        <f t="shared" si="25"/>
        <v>20.5</v>
      </c>
      <c r="AQ85" s="127">
        <f t="shared" si="25"/>
        <v>32.5</v>
      </c>
      <c r="AR85" s="127">
        <f t="shared" si="25"/>
        <v>47</v>
      </c>
      <c r="AS85" s="127">
        <f t="shared" si="25"/>
        <v>53</v>
      </c>
      <c r="AT85" s="127">
        <f t="shared" si="25"/>
        <v>53</v>
      </c>
      <c r="AU85" s="127">
        <f t="shared" si="25"/>
        <v>53</v>
      </c>
      <c r="AV85" s="127">
        <f t="shared" si="25"/>
        <v>53</v>
      </c>
      <c r="AW85" s="127">
        <f t="shared" si="25"/>
        <v>53</v>
      </c>
      <c r="AX85" s="127">
        <f t="shared" si="25"/>
        <v>53</v>
      </c>
      <c r="AY85" s="127">
        <f t="shared" si="25"/>
        <v>53</v>
      </c>
      <c r="AZ85" s="127">
        <f t="shared" si="25"/>
        <v>53</v>
      </c>
      <c r="BA85" s="127">
        <f t="shared" si="25"/>
        <v>53</v>
      </c>
      <c r="BB85" s="127">
        <f t="shared" si="25"/>
        <v>53</v>
      </c>
      <c r="BC85" s="127">
        <f t="shared" si="25"/>
        <v>53</v>
      </c>
      <c r="BD85" s="127">
        <f t="shared" si="25"/>
        <v>53</v>
      </c>
      <c r="BE85" s="127">
        <f t="shared" si="25"/>
        <v>53</v>
      </c>
      <c r="BF85" s="127">
        <f t="shared" si="25"/>
        <v>53</v>
      </c>
      <c r="BG85" s="127">
        <f t="shared" si="25"/>
        <v>53</v>
      </c>
      <c r="BH85" s="127">
        <f t="shared" si="25"/>
        <v>53</v>
      </c>
      <c r="BI85" s="127">
        <f t="shared" si="25"/>
        <v>53</v>
      </c>
      <c r="BJ85" s="127">
        <f t="shared" si="25"/>
        <v>53</v>
      </c>
      <c r="BK85" s="127">
        <f t="shared" si="25"/>
        <v>53</v>
      </c>
      <c r="BL85" s="127">
        <f t="shared" si="25"/>
        <v>53</v>
      </c>
      <c r="BM85" s="127">
        <f t="shared" si="25"/>
        <v>53</v>
      </c>
      <c r="BN85" s="127">
        <f t="shared" si="25"/>
        <v>53</v>
      </c>
      <c r="BO85" s="127">
        <f t="shared" si="25"/>
        <v>53</v>
      </c>
      <c r="BP85" s="127">
        <f t="shared" si="25"/>
        <v>53</v>
      </c>
      <c r="BQ85" s="127">
        <f t="shared" si="25"/>
        <v>53</v>
      </c>
      <c r="BR85" s="127">
        <f t="shared" si="25"/>
        <v>53</v>
      </c>
      <c r="BS85" s="128"/>
      <c r="BT85" s="128"/>
      <c r="BU85" s="112">
        <f t="shared" si="25"/>
        <v>2274.6</v>
      </c>
      <c r="BV85" s="100"/>
    </row>
    <row r="86" spans="1:74" hidden="1" x14ac:dyDescent="0.2">
      <c r="A86" s="126"/>
      <c r="B86" s="118" t="s">
        <v>193</v>
      </c>
      <c r="C86" s="119"/>
      <c r="D86" s="115"/>
      <c r="E86" s="115"/>
      <c r="F86" s="115"/>
      <c r="G86" s="115"/>
      <c r="H86" s="115"/>
      <c r="I86" s="239"/>
      <c r="J86" s="240"/>
      <c r="K86" s="240"/>
      <c r="L86" s="240"/>
      <c r="M86" s="240"/>
      <c r="N86" s="240"/>
      <c r="O86" s="240"/>
      <c r="P86" s="240"/>
      <c r="Q86" s="240"/>
      <c r="R86" s="240"/>
      <c r="S86" s="240"/>
      <c r="T86" s="240"/>
      <c r="U86" s="240"/>
      <c r="V86" s="240"/>
      <c r="W86" s="240"/>
      <c r="X86" s="240"/>
      <c r="Y86" s="240"/>
      <c r="Z86" s="240"/>
      <c r="AA86" s="240"/>
      <c r="AB86" s="240"/>
      <c r="AC86" s="240"/>
      <c r="AD86" s="240"/>
      <c r="AE86" s="240"/>
      <c r="AF86" s="240"/>
      <c r="AG86" s="240"/>
      <c r="AH86" s="240"/>
      <c r="AI86" s="240"/>
      <c r="AJ86" s="240"/>
      <c r="AK86" s="240"/>
      <c r="AL86" s="24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9" t="s">
        <v>193</v>
      </c>
      <c r="BV86" s="100"/>
    </row>
    <row r="87" spans="1:74" hidden="1" x14ac:dyDescent="0.2">
      <c r="A87" s="123" t="s">
        <v>157</v>
      </c>
      <c r="B87" s="93" t="s">
        <v>188</v>
      </c>
      <c r="C87" s="96"/>
      <c r="D87" s="97" t="s">
        <v>16</v>
      </c>
      <c r="E87" s="85"/>
      <c r="F87" s="85"/>
      <c r="G87" s="85"/>
      <c r="H87" s="85"/>
      <c r="I87" s="85">
        <v>0</v>
      </c>
      <c r="J87" s="85">
        <v>0</v>
      </c>
      <c r="K87" s="85">
        <v>0</v>
      </c>
      <c r="L87" s="85">
        <v>0</v>
      </c>
      <c r="M87" s="85">
        <v>0</v>
      </c>
      <c r="N87" s="85">
        <v>0</v>
      </c>
      <c r="O87" s="85">
        <v>0</v>
      </c>
      <c r="P87" s="85">
        <v>0</v>
      </c>
      <c r="Q87" s="85">
        <v>0</v>
      </c>
      <c r="R87" s="85">
        <v>0</v>
      </c>
      <c r="S87" s="85">
        <v>0</v>
      </c>
      <c r="T87" s="85">
        <v>0</v>
      </c>
      <c r="U87" s="85">
        <v>0</v>
      </c>
      <c r="V87" s="85">
        <v>0</v>
      </c>
      <c r="W87" s="85">
        <v>0</v>
      </c>
      <c r="X87" s="85">
        <v>0</v>
      </c>
      <c r="Y87" s="85">
        <v>0</v>
      </c>
      <c r="Z87" s="85">
        <v>0</v>
      </c>
      <c r="AA87" s="85">
        <v>0</v>
      </c>
      <c r="AB87" s="85">
        <v>0</v>
      </c>
      <c r="AC87" s="85">
        <v>0</v>
      </c>
      <c r="AD87" s="85">
        <v>0</v>
      </c>
      <c r="AE87" s="85">
        <v>0</v>
      </c>
      <c r="AF87" s="85">
        <v>0</v>
      </c>
      <c r="AG87" s="85">
        <v>0</v>
      </c>
      <c r="AH87" s="85">
        <v>0</v>
      </c>
      <c r="AI87" s="85">
        <v>0</v>
      </c>
      <c r="AJ87" s="85">
        <v>0</v>
      </c>
      <c r="AK87" s="85">
        <v>0</v>
      </c>
      <c r="AL87" s="85">
        <v>0</v>
      </c>
      <c r="AM87" s="85">
        <v>0</v>
      </c>
      <c r="AN87" s="86">
        <v>0</v>
      </c>
      <c r="AO87" s="86">
        <v>0</v>
      </c>
      <c r="AP87" s="86">
        <v>0</v>
      </c>
      <c r="AQ87" s="86">
        <v>0</v>
      </c>
      <c r="AR87" s="86">
        <v>0</v>
      </c>
      <c r="AS87" s="86">
        <v>0</v>
      </c>
      <c r="AT87" s="86">
        <v>0</v>
      </c>
      <c r="AU87" s="86">
        <v>0</v>
      </c>
      <c r="AV87" s="86">
        <v>0</v>
      </c>
      <c r="AW87" s="86">
        <v>0</v>
      </c>
      <c r="AX87" s="86">
        <v>0</v>
      </c>
      <c r="AY87" s="86">
        <v>0</v>
      </c>
      <c r="AZ87" s="86">
        <v>0</v>
      </c>
      <c r="BA87" s="86">
        <v>0</v>
      </c>
      <c r="BB87" s="86">
        <v>0</v>
      </c>
      <c r="BC87" s="86">
        <v>0</v>
      </c>
      <c r="BD87" s="86">
        <v>0</v>
      </c>
      <c r="BE87" s="86">
        <v>0</v>
      </c>
      <c r="BF87" s="86">
        <v>0</v>
      </c>
      <c r="BG87" s="86">
        <v>0</v>
      </c>
      <c r="BH87" s="86">
        <v>0</v>
      </c>
      <c r="BI87" s="86">
        <v>0</v>
      </c>
      <c r="BJ87" s="86">
        <v>0</v>
      </c>
      <c r="BK87" s="86">
        <v>0</v>
      </c>
      <c r="BL87" s="86">
        <v>0</v>
      </c>
      <c r="BM87" s="86">
        <v>0</v>
      </c>
      <c r="BN87" s="86">
        <v>0</v>
      </c>
      <c r="BO87" s="86">
        <v>0</v>
      </c>
      <c r="BP87" s="86">
        <v>0</v>
      </c>
      <c r="BQ87" s="86">
        <v>0</v>
      </c>
      <c r="BR87" s="86">
        <v>0</v>
      </c>
      <c r="BS87" s="86"/>
      <c r="BT87" s="86"/>
      <c r="BU87" s="98">
        <f>SUM(E87:AL87)</f>
        <v>0</v>
      </c>
      <c r="BV87" s="100"/>
    </row>
    <row r="88" spans="1:74" hidden="1" x14ac:dyDescent="0.2">
      <c r="A88" s="123" t="s">
        <v>160</v>
      </c>
      <c r="B88" s="93" t="s">
        <v>189</v>
      </c>
      <c r="C88" s="96"/>
      <c r="D88" s="97" t="s">
        <v>16</v>
      </c>
      <c r="E88" s="85"/>
      <c r="F88" s="85"/>
      <c r="G88" s="85"/>
      <c r="H88" s="85"/>
      <c r="I88" s="85">
        <v>0</v>
      </c>
      <c r="J88" s="85">
        <v>0</v>
      </c>
      <c r="K88" s="85">
        <v>0</v>
      </c>
      <c r="L88" s="85">
        <v>0</v>
      </c>
      <c r="M88" s="85">
        <v>0</v>
      </c>
      <c r="N88" s="85">
        <v>0</v>
      </c>
      <c r="O88" s="85">
        <v>0</v>
      </c>
      <c r="P88" s="85">
        <v>0</v>
      </c>
      <c r="Q88" s="85">
        <v>0</v>
      </c>
      <c r="R88" s="85">
        <v>0</v>
      </c>
      <c r="S88" s="85">
        <v>0</v>
      </c>
      <c r="T88" s="85">
        <v>0</v>
      </c>
      <c r="U88" s="85">
        <v>0</v>
      </c>
      <c r="V88" s="85">
        <v>0</v>
      </c>
      <c r="W88" s="85">
        <v>0</v>
      </c>
      <c r="X88" s="85">
        <v>0</v>
      </c>
      <c r="Y88" s="85">
        <v>0</v>
      </c>
      <c r="Z88" s="85">
        <v>0</v>
      </c>
      <c r="AA88" s="85">
        <v>0</v>
      </c>
      <c r="AB88" s="85">
        <v>0</v>
      </c>
      <c r="AC88" s="85">
        <v>0</v>
      </c>
      <c r="AD88" s="85">
        <v>0</v>
      </c>
      <c r="AE88" s="85">
        <v>0</v>
      </c>
      <c r="AF88" s="85">
        <v>0</v>
      </c>
      <c r="AG88" s="85">
        <v>0</v>
      </c>
      <c r="AH88" s="85">
        <v>0</v>
      </c>
      <c r="AI88" s="85">
        <v>0</v>
      </c>
      <c r="AJ88" s="85">
        <v>0</v>
      </c>
      <c r="AK88" s="85">
        <v>0</v>
      </c>
      <c r="AL88" s="85">
        <v>0</v>
      </c>
      <c r="AM88" s="85">
        <v>0</v>
      </c>
      <c r="AN88" s="86">
        <v>0</v>
      </c>
      <c r="AO88" s="86">
        <v>0</v>
      </c>
      <c r="AP88" s="86">
        <v>0</v>
      </c>
      <c r="AQ88" s="86">
        <v>0</v>
      </c>
      <c r="AR88" s="86">
        <v>0</v>
      </c>
      <c r="AS88" s="86">
        <v>0</v>
      </c>
      <c r="AT88" s="86">
        <v>0</v>
      </c>
      <c r="AU88" s="86">
        <v>0</v>
      </c>
      <c r="AV88" s="86">
        <v>0</v>
      </c>
      <c r="AW88" s="86">
        <v>0</v>
      </c>
      <c r="AX88" s="86">
        <v>0</v>
      </c>
      <c r="AY88" s="86">
        <v>0</v>
      </c>
      <c r="AZ88" s="86">
        <v>0</v>
      </c>
      <c r="BA88" s="86">
        <v>0</v>
      </c>
      <c r="BB88" s="86">
        <v>0</v>
      </c>
      <c r="BC88" s="86">
        <v>0</v>
      </c>
      <c r="BD88" s="86">
        <v>0</v>
      </c>
      <c r="BE88" s="86">
        <v>0</v>
      </c>
      <c r="BF88" s="86">
        <v>0</v>
      </c>
      <c r="BG88" s="86">
        <v>0</v>
      </c>
      <c r="BH88" s="86">
        <v>0</v>
      </c>
      <c r="BI88" s="86">
        <v>0</v>
      </c>
      <c r="BJ88" s="86">
        <v>0</v>
      </c>
      <c r="BK88" s="86">
        <v>0</v>
      </c>
      <c r="BL88" s="86">
        <v>0</v>
      </c>
      <c r="BM88" s="86">
        <v>0</v>
      </c>
      <c r="BN88" s="86">
        <v>0</v>
      </c>
      <c r="BO88" s="86">
        <v>0</v>
      </c>
      <c r="BP88" s="86">
        <v>0</v>
      </c>
      <c r="BQ88" s="86">
        <v>0</v>
      </c>
      <c r="BR88" s="86">
        <v>0</v>
      </c>
      <c r="BS88" s="86"/>
      <c r="BT88" s="86"/>
      <c r="BU88" s="98">
        <f>SUM(E88:AL88)</f>
        <v>0</v>
      </c>
      <c r="BV88" s="100"/>
    </row>
    <row r="89" spans="1:74" hidden="1" x14ac:dyDescent="0.2">
      <c r="A89" s="123" t="s">
        <v>163</v>
      </c>
      <c r="B89" s="93" t="s">
        <v>190</v>
      </c>
      <c r="C89" s="96"/>
      <c r="D89" s="97" t="s">
        <v>16</v>
      </c>
      <c r="E89" s="85"/>
      <c r="F89" s="85"/>
      <c r="G89" s="85"/>
      <c r="H89" s="85"/>
      <c r="I89" s="85">
        <v>0</v>
      </c>
      <c r="J89" s="85">
        <v>0</v>
      </c>
      <c r="K89" s="85">
        <v>0</v>
      </c>
      <c r="L89" s="85">
        <v>0</v>
      </c>
      <c r="M89" s="85">
        <v>0</v>
      </c>
      <c r="N89" s="85">
        <v>0</v>
      </c>
      <c r="O89" s="85">
        <v>0</v>
      </c>
      <c r="P89" s="85">
        <v>0</v>
      </c>
      <c r="Q89" s="85">
        <v>0</v>
      </c>
      <c r="R89" s="85">
        <v>0</v>
      </c>
      <c r="S89" s="85">
        <v>0</v>
      </c>
      <c r="T89" s="85">
        <v>0</v>
      </c>
      <c r="U89" s="85">
        <v>0</v>
      </c>
      <c r="V89" s="85">
        <v>0</v>
      </c>
      <c r="W89" s="85">
        <v>0</v>
      </c>
      <c r="X89" s="85">
        <v>0</v>
      </c>
      <c r="Y89" s="85">
        <v>0</v>
      </c>
      <c r="Z89" s="85">
        <v>0</v>
      </c>
      <c r="AA89" s="85">
        <v>0</v>
      </c>
      <c r="AB89" s="85">
        <v>0</v>
      </c>
      <c r="AC89" s="85">
        <v>0</v>
      </c>
      <c r="AD89" s="85">
        <v>0</v>
      </c>
      <c r="AE89" s="85">
        <v>0</v>
      </c>
      <c r="AF89" s="85">
        <v>0</v>
      </c>
      <c r="AG89" s="85">
        <v>0</v>
      </c>
      <c r="AH89" s="85">
        <v>0</v>
      </c>
      <c r="AI89" s="85">
        <v>0</v>
      </c>
      <c r="AJ89" s="85">
        <v>0</v>
      </c>
      <c r="AK89" s="85">
        <v>0</v>
      </c>
      <c r="AL89" s="85">
        <v>0</v>
      </c>
      <c r="AM89" s="85">
        <v>0</v>
      </c>
      <c r="AN89" s="86">
        <v>0</v>
      </c>
      <c r="AO89" s="86">
        <v>0</v>
      </c>
      <c r="AP89" s="86">
        <v>0</v>
      </c>
      <c r="AQ89" s="86">
        <v>0</v>
      </c>
      <c r="AR89" s="86">
        <v>0</v>
      </c>
      <c r="AS89" s="86">
        <v>0</v>
      </c>
      <c r="AT89" s="86">
        <v>0</v>
      </c>
      <c r="AU89" s="86">
        <v>0</v>
      </c>
      <c r="AV89" s="86">
        <v>0</v>
      </c>
      <c r="AW89" s="86">
        <v>0</v>
      </c>
      <c r="AX89" s="86">
        <v>0</v>
      </c>
      <c r="AY89" s="86">
        <v>0</v>
      </c>
      <c r="AZ89" s="86">
        <v>0</v>
      </c>
      <c r="BA89" s="86">
        <v>0</v>
      </c>
      <c r="BB89" s="86">
        <v>0</v>
      </c>
      <c r="BC89" s="86">
        <v>0</v>
      </c>
      <c r="BD89" s="86">
        <v>0</v>
      </c>
      <c r="BE89" s="86">
        <v>0</v>
      </c>
      <c r="BF89" s="86">
        <v>0</v>
      </c>
      <c r="BG89" s="86">
        <v>0</v>
      </c>
      <c r="BH89" s="86">
        <v>0</v>
      </c>
      <c r="BI89" s="86">
        <v>0</v>
      </c>
      <c r="BJ89" s="86">
        <v>0</v>
      </c>
      <c r="BK89" s="86">
        <v>0</v>
      </c>
      <c r="BL89" s="86">
        <v>0</v>
      </c>
      <c r="BM89" s="86">
        <v>0</v>
      </c>
      <c r="BN89" s="86">
        <v>0</v>
      </c>
      <c r="BO89" s="86">
        <v>0</v>
      </c>
      <c r="BP89" s="86">
        <v>0</v>
      </c>
      <c r="BQ89" s="86">
        <v>0</v>
      </c>
      <c r="BR89" s="86">
        <v>0</v>
      </c>
      <c r="BS89" s="86"/>
      <c r="BT89" s="86"/>
      <c r="BU89" s="98">
        <f>SUM(E89:AL89)</f>
        <v>0</v>
      </c>
      <c r="BV89" s="100"/>
    </row>
    <row r="90" spans="1:74" hidden="1" x14ac:dyDescent="0.2">
      <c r="A90" s="123" t="s">
        <v>166</v>
      </c>
      <c r="B90" s="93" t="s">
        <v>191</v>
      </c>
      <c r="C90" s="96"/>
      <c r="D90" s="97" t="s">
        <v>16</v>
      </c>
      <c r="E90" s="85"/>
      <c r="F90" s="85"/>
      <c r="G90" s="85"/>
      <c r="H90" s="85"/>
      <c r="I90" s="85">
        <v>0</v>
      </c>
      <c r="J90" s="85">
        <v>0</v>
      </c>
      <c r="K90" s="85">
        <v>0</v>
      </c>
      <c r="L90" s="85">
        <v>0</v>
      </c>
      <c r="M90" s="85">
        <v>0</v>
      </c>
      <c r="N90" s="85">
        <v>0</v>
      </c>
      <c r="O90" s="85">
        <v>0</v>
      </c>
      <c r="P90" s="85">
        <v>0</v>
      </c>
      <c r="Q90" s="85">
        <v>0</v>
      </c>
      <c r="R90" s="85">
        <v>0</v>
      </c>
      <c r="S90" s="85">
        <v>0</v>
      </c>
      <c r="T90" s="85">
        <v>0</v>
      </c>
      <c r="U90" s="85">
        <v>0</v>
      </c>
      <c r="V90" s="85">
        <v>0</v>
      </c>
      <c r="W90" s="85">
        <v>0</v>
      </c>
      <c r="X90" s="85">
        <v>0</v>
      </c>
      <c r="Y90" s="85">
        <v>0</v>
      </c>
      <c r="Z90" s="85">
        <v>0</v>
      </c>
      <c r="AA90" s="85">
        <v>0</v>
      </c>
      <c r="AB90" s="85">
        <v>0</v>
      </c>
      <c r="AC90" s="85">
        <v>0</v>
      </c>
      <c r="AD90" s="85">
        <v>0</v>
      </c>
      <c r="AE90" s="85">
        <v>0</v>
      </c>
      <c r="AF90" s="85">
        <v>0</v>
      </c>
      <c r="AG90" s="85">
        <v>0</v>
      </c>
      <c r="AH90" s="85">
        <v>0</v>
      </c>
      <c r="AI90" s="85">
        <v>0</v>
      </c>
      <c r="AJ90" s="85">
        <v>0</v>
      </c>
      <c r="AK90" s="85">
        <v>0</v>
      </c>
      <c r="AL90" s="85">
        <v>0</v>
      </c>
      <c r="AM90" s="85">
        <v>0</v>
      </c>
      <c r="AN90" s="86">
        <v>0</v>
      </c>
      <c r="AO90" s="86">
        <v>0</v>
      </c>
      <c r="AP90" s="86">
        <v>0</v>
      </c>
      <c r="AQ90" s="86">
        <v>0</v>
      </c>
      <c r="AR90" s="86">
        <v>0</v>
      </c>
      <c r="AS90" s="86">
        <v>0</v>
      </c>
      <c r="AT90" s="86">
        <v>0</v>
      </c>
      <c r="AU90" s="86">
        <v>0</v>
      </c>
      <c r="AV90" s="86">
        <v>0</v>
      </c>
      <c r="AW90" s="86">
        <v>0</v>
      </c>
      <c r="AX90" s="86">
        <v>0</v>
      </c>
      <c r="AY90" s="86">
        <v>0</v>
      </c>
      <c r="AZ90" s="86">
        <v>0</v>
      </c>
      <c r="BA90" s="86">
        <v>0</v>
      </c>
      <c r="BB90" s="86">
        <v>0</v>
      </c>
      <c r="BC90" s="86">
        <v>0</v>
      </c>
      <c r="BD90" s="86">
        <v>0</v>
      </c>
      <c r="BE90" s="86">
        <v>0</v>
      </c>
      <c r="BF90" s="86">
        <v>0</v>
      </c>
      <c r="BG90" s="86">
        <v>0</v>
      </c>
      <c r="BH90" s="86">
        <v>0</v>
      </c>
      <c r="BI90" s="86">
        <v>0</v>
      </c>
      <c r="BJ90" s="86">
        <v>0</v>
      </c>
      <c r="BK90" s="86">
        <v>0</v>
      </c>
      <c r="BL90" s="86">
        <v>0</v>
      </c>
      <c r="BM90" s="86">
        <v>0</v>
      </c>
      <c r="BN90" s="86">
        <v>0</v>
      </c>
      <c r="BO90" s="86">
        <v>0</v>
      </c>
      <c r="BP90" s="86">
        <v>0</v>
      </c>
      <c r="BQ90" s="86">
        <v>0</v>
      </c>
      <c r="BR90" s="86">
        <v>0</v>
      </c>
      <c r="BS90" s="86"/>
      <c r="BT90" s="86"/>
      <c r="BU90" s="98">
        <f>SUM(E90:AL90)</f>
        <v>0</v>
      </c>
      <c r="BV90" s="100"/>
    </row>
    <row r="91" spans="1:74" hidden="1" x14ac:dyDescent="0.2">
      <c r="A91" s="123" t="s">
        <v>179</v>
      </c>
      <c r="B91" s="93" t="s">
        <v>194</v>
      </c>
      <c r="C91" s="96"/>
      <c r="D91" s="97" t="s">
        <v>16</v>
      </c>
      <c r="E91" s="85"/>
      <c r="F91" s="85"/>
      <c r="G91" s="85"/>
      <c r="H91" s="85"/>
      <c r="I91" s="85">
        <v>0</v>
      </c>
      <c r="J91" s="85">
        <v>0</v>
      </c>
      <c r="K91" s="85">
        <v>0</v>
      </c>
      <c r="L91" s="85">
        <v>0</v>
      </c>
      <c r="M91" s="85">
        <v>0</v>
      </c>
      <c r="N91" s="85">
        <v>0</v>
      </c>
      <c r="O91" s="85">
        <v>0</v>
      </c>
      <c r="P91" s="85">
        <v>0</v>
      </c>
      <c r="Q91" s="85">
        <v>0</v>
      </c>
      <c r="R91" s="85">
        <v>0</v>
      </c>
      <c r="S91" s="85">
        <v>0</v>
      </c>
      <c r="T91" s="85">
        <v>0</v>
      </c>
      <c r="U91" s="85">
        <v>0</v>
      </c>
      <c r="V91" s="85">
        <v>0</v>
      </c>
      <c r="W91" s="85">
        <v>0</v>
      </c>
      <c r="X91" s="85">
        <v>0</v>
      </c>
      <c r="Y91" s="85">
        <v>0</v>
      </c>
      <c r="Z91" s="85">
        <v>0</v>
      </c>
      <c r="AA91" s="85">
        <v>0</v>
      </c>
      <c r="AB91" s="85">
        <v>0</v>
      </c>
      <c r="AC91" s="85">
        <v>0</v>
      </c>
      <c r="AD91" s="85">
        <v>0</v>
      </c>
      <c r="AE91" s="85">
        <v>0</v>
      </c>
      <c r="AF91" s="85">
        <v>0</v>
      </c>
      <c r="AG91" s="85">
        <v>0</v>
      </c>
      <c r="AH91" s="85">
        <v>0</v>
      </c>
      <c r="AI91" s="85">
        <v>0</v>
      </c>
      <c r="AJ91" s="85">
        <v>0</v>
      </c>
      <c r="AK91" s="85">
        <v>0</v>
      </c>
      <c r="AL91" s="85">
        <v>0</v>
      </c>
      <c r="AM91" s="85">
        <v>0</v>
      </c>
      <c r="AN91" s="86">
        <v>0</v>
      </c>
      <c r="AO91" s="86">
        <v>0</v>
      </c>
      <c r="AP91" s="86">
        <v>0</v>
      </c>
      <c r="AQ91" s="86">
        <v>0</v>
      </c>
      <c r="AR91" s="86">
        <v>0</v>
      </c>
      <c r="AS91" s="86">
        <v>0</v>
      </c>
      <c r="AT91" s="86">
        <v>0</v>
      </c>
      <c r="AU91" s="86">
        <v>0</v>
      </c>
      <c r="AV91" s="86">
        <v>0</v>
      </c>
      <c r="AW91" s="86">
        <v>0</v>
      </c>
      <c r="AX91" s="86">
        <v>0</v>
      </c>
      <c r="AY91" s="86">
        <v>0</v>
      </c>
      <c r="AZ91" s="86">
        <v>0</v>
      </c>
      <c r="BA91" s="86">
        <v>0</v>
      </c>
      <c r="BB91" s="86">
        <v>0</v>
      </c>
      <c r="BC91" s="86">
        <v>0</v>
      </c>
      <c r="BD91" s="86">
        <v>0</v>
      </c>
      <c r="BE91" s="86">
        <v>0</v>
      </c>
      <c r="BF91" s="86">
        <v>0</v>
      </c>
      <c r="BG91" s="86">
        <v>0</v>
      </c>
      <c r="BH91" s="86">
        <v>0</v>
      </c>
      <c r="BI91" s="86">
        <v>0</v>
      </c>
      <c r="BJ91" s="86">
        <v>0</v>
      </c>
      <c r="BK91" s="86">
        <v>0</v>
      </c>
      <c r="BL91" s="86">
        <v>0</v>
      </c>
      <c r="BM91" s="86">
        <v>0</v>
      </c>
      <c r="BN91" s="86">
        <v>0</v>
      </c>
      <c r="BO91" s="86">
        <v>0</v>
      </c>
      <c r="BP91" s="86">
        <v>0</v>
      </c>
      <c r="BQ91" s="86">
        <v>0</v>
      </c>
      <c r="BR91" s="86">
        <v>0</v>
      </c>
      <c r="BS91" s="86"/>
      <c r="BT91" s="86"/>
      <c r="BU91" s="98">
        <f>SUM(E91:AL91)</f>
        <v>0</v>
      </c>
      <c r="BV91" s="100"/>
    </row>
    <row r="92" spans="1:74" hidden="1" x14ac:dyDescent="0.2">
      <c r="A92" s="126"/>
      <c r="B92" s="93" t="s">
        <v>192</v>
      </c>
      <c r="C92" s="96"/>
      <c r="D92" s="97" t="s">
        <v>16</v>
      </c>
      <c r="E92" s="127">
        <f t="shared" ref="E92:BU92" si="28">SUM(E87:E91)</f>
        <v>0</v>
      </c>
      <c r="F92" s="127">
        <f t="shared" si="28"/>
        <v>0</v>
      </c>
      <c r="G92" s="127">
        <f t="shared" si="28"/>
        <v>0</v>
      </c>
      <c r="H92" s="127">
        <f t="shared" si="28"/>
        <v>0</v>
      </c>
      <c r="I92" s="127">
        <f t="shared" si="28"/>
        <v>0</v>
      </c>
      <c r="J92" s="127">
        <f t="shared" si="28"/>
        <v>0</v>
      </c>
      <c r="K92" s="127">
        <f t="shared" si="28"/>
        <v>0</v>
      </c>
      <c r="L92" s="127">
        <f t="shared" ref="L92:AJ92" si="29">SUM(L87:L91)</f>
        <v>0</v>
      </c>
      <c r="M92" s="127">
        <f t="shared" si="29"/>
        <v>0</v>
      </c>
      <c r="N92" s="127">
        <f t="shared" si="29"/>
        <v>0</v>
      </c>
      <c r="O92" s="127">
        <f t="shared" si="29"/>
        <v>0</v>
      </c>
      <c r="P92" s="127">
        <f t="shared" si="29"/>
        <v>0</v>
      </c>
      <c r="Q92" s="127">
        <f t="shared" si="29"/>
        <v>0</v>
      </c>
      <c r="R92" s="127">
        <f t="shared" si="29"/>
        <v>0</v>
      </c>
      <c r="S92" s="127">
        <f t="shared" si="29"/>
        <v>0</v>
      </c>
      <c r="T92" s="127">
        <f t="shared" si="29"/>
        <v>0</v>
      </c>
      <c r="U92" s="127">
        <f t="shared" si="29"/>
        <v>0</v>
      </c>
      <c r="V92" s="127">
        <f t="shared" si="29"/>
        <v>0</v>
      </c>
      <c r="W92" s="127">
        <f t="shared" si="29"/>
        <v>0</v>
      </c>
      <c r="X92" s="127">
        <f t="shared" si="29"/>
        <v>0</v>
      </c>
      <c r="Y92" s="127">
        <f t="shared" si="29"/>
        <v>0</v>
      </c>
      <c r="Z92" s="127">
        <f t="shared" si="29"/>
        <v>0</v>
      </c>
      <c r="AA92" s="127">
        <f t="shared" si="29"/>
        <v>0</v>
      </c>
      <c r="AB92" s="127">
        <f t="shared" si="29"/>
        <v>0</v>
      </c>
      <c r="AC92" s="127">
        <f t="shared" si="29"/>
        <v>0</v>
      </c>
      <c r="AD92" s="127">
        <f t="shared" si="29"/>
        <v>0</v>
      </c>
      <c r="AE92" s="127">
        <f t="shared" si="29"/>
        <v>0</v>
      </c>
      <c r="AF92" s="127">
        <f t="shared" si="29"/>
        <v>0</v>
      </c>
      <c r="AG92" s="127">
        <f t="shared" si="29"/>
        <v>0</v>
      </c>
      <c r="AH92" s="127">
        <f t="shared" si="29"/>
        <v>0</v>
      </c>
      <c r="AI92" s="127">
        <f t="shared" si="29"/>
        <v>0</v>
      </c>
      <c r="AJ92" s="127">
        <f t="shared" si="29"/>
        <v>0</v>
      </c>
      <c r="AK92" s="127">
        <f t="shared" ref="AK92" si="30">SUM(AK87:AK91)</f>
        <v>0</v>
      </c>
      <c r="AL92" s="127">
        <f t="shared" si="28"/>
        <v>0</v>
      </c>
      <c r="AM92" s="127">
        <f t="shared" si="28"/>
        <v>0</v>
      </c>
      <c r="AN92" s="127">
        <f t="shared" si="28"/>
        <v>0</v>
      </c>
      <c r="AO92" s="128">
        <v>0</v>
      </c>
      <c r="AP92" s="128">
        <v>0</v>
      </c>
      <c r="AQ92" s="128">
        <v>0</v>
      </c>
      <c r="AR92" s="128">
        <v>0</v>
      </c>
      <c r="AS92" s="128">
        <v>0</v>
      </c>
      <c r="AT92" s="128">
        <v>0</v>
      </c>
      <c r="AU92" s="128">
        <v>0</v>
      </c>
      <c r="AV92" s="128">
        <v>0</v>
      </c>
      <c r="AW92" s="128">
        <v>0</v>
      </c>
      <c r="AX92" s="128">
        <v>0</v>
      </c>
      <c r="AY92" s="128">
        <v>0</v>
      </c>
      <c r="AZ92" s="128">
        <v>0</v>
      </c>
      <c r="BA92" s="128">
        <v>0</v>
      </c>
      <c r="BB92" s="128">
        <v>0</v>
      </c>
      <c r="BC92" s="128">
        <v>0</v>
      </c>
      <c r="BD92" s="128">
        <v>0</v>
      </c>
      <c r="BE92" s="128">
        <v>0</v>
      </c>
      <c r="BF92" s="128">
        <v>0</v>
      </c>
      <c r="BG92" s="128">
        <v>0</v>
      </c>
      <c r="BH92" s="128">
        <v>0</v>
      </c>
      <c r="BI92" s="128">
        <v>0</v>
      </c>
      <c r="BJ92" s="128">
        <v>0</v>
      </c>
      <c r="BK92" s="128">
        <v>0</v>
      </c>
      <c r="BL92" s="128">
        <v>0</v>
      </c>
      <c r="BM92" s="128">
        <v>0</v>
      </c>
      <c r="BN92" s="128">
        <v>0</v>
      </c>
      <c r="BO92" s="128">
        <v>0</v>
      </c>
      <c r="BP92" s="128">
        <v>0</v>
      </c>
      <c r="BQ92" s="128">
        <v>0</v>
      </c>
      <c r="BR92" s="128">
        <v>0</v>
      </c>
      <c r="BS92" s="128"/>
      <c r="BT92" s="128"/>
      <c r="BU92" s="98">
        <f t="shared" si="28"/>
        <v>0</v>
      </c>
    </row>
    <row r="93" spans="1:74" hidden="1" x14ac:dyDescent="0.2">
      <c r="A93" s="126"/>
      <c r="B93" s="93" t="s">
        <v>195</v>
      </c>
      <c r="C93" s="96"/>
      <c r="D93" s="97" t="s">
        <v>16</v>
      </c>
      <c r="E93" s="127">
        <f t="shared" ref="E93:BU93" si="31">E85+E92</f>
        <v>0</v>
      </c>
      <c r="F93" s="127">
        <f t="shared" si="31"/>
        <v>0</v>
      </c>
      <c r="G93" s="127">
        <f t="shared" si="31"/>
        <v>0</v>
      </c>
      <c r="H93" s="127">
        <f t="shared" si="31"/>
        <v>0</v>
      </c>
      <c r="I93" s="127">
        <f t="shared" si="31"/>
        <v>1.6</v>
      </c>
      <c r="J93" s="127">
        <f t="shared" si="31"/>
        <v>3.5</v>
      </c>
      <c r="K93" s="127">
        <f t="shared" si="31"/>
        <v>12</v>
      </c>
      <c r="L93" s="127">
        <f t="shared" ref="L93:AJ93" si="32">L85+L92</f>
        <v>26.5</v>
      </c>
      <c r="M93" s="127">
        <f t="shared" si="32"/>
        <v>26.5</v>
      </c>
      <c r="N93" s="127">
        <f t="shared" si="32"/>
        <v>26.5</v>
      </c>
      <c r="O93" s="127">
        <f t="shared" si="32"/>
        <v>26.5</v>
      </c>
      <c r="P93" s="127">
        <f t="shared" si="32"/>
        <v>26.5</v>
      </c>
      <c r="Q93" s="127">
        <f t="shared" si="32"/>
        <v>26.5</v>
      </c>
      <c r="R93" s="127">
        <f t="shared" si="32"/>
        <v>26.5</v>
      </c>
      <c r="S93" s="127">
        <f t="shared" si="32"/>
        <v>26.5</v>
      </c>
      <c r="T93" s="127">
        <f t="shared" si="32"/>
        <v>26.5</v>
      </c>
      <c r="U93" s="127">
        <f t="shared" si="32"/>
        <v>26.5</v>
      </c>
      <c r="V93" s="127">
        <f t="shared" si="32"/>
        <v>26.5</v>
      </c>
      <c r="W93" s="127">
        <f t="shared" si="32"/>
        <v>26.5</v>
      </c>
      <c r="X93" s="127">
        <f t="shared" si="32"/>
        <v>26.5</v>
      </c>
      <c r="Y93" s="127">
        <f t="shared" si="32"/>
        <v>26.5</v>
      </c>
      <c r="Z93" s="127">
        <f t="shared" si="32"/>
        <v>26.5</v>
      </c>
      <c r="AA93" s="127">
        <f t="shared" si="32"/>
        <v>26.5</v>
      </c>
      <c r="AB93" s="127">
        <f t="shared" si="32"/>
        <v>26.5</v>
      </c>
      <c r="AC93" s="127">
        <f t="shared" si="32"/>
        <v>26.5</v>
      </c>
      <c r="AD93" s="127">
        <f t="shared" si="32"/>
        <v>26.5</v>
      </c>
      <c r="AE93" s="127">
        <f t="shared" si="32"/>
        <v>26.5</v>
      </c>
      <c r="AF93" s="127">
        <f t="shared" si="32"/>
        <v>26.5</v>
      </c>
      <c r="AG93" s="127">
        <f t="shared" si="32"/>
        <v>26.5</v>
      </c>
      <c r="AH93" s="127">
        <f t="shared" si="32"/>
        <v>26.5</v>
      </c>
      <c r="AI93" s="127">
        <f t="shared" si="32"/>
        <v>26.5</v>
      </c>
      <c r="AJ93" s="127">
        <f t="shared" si="32"/>
        <v>26.5</v>
      </c>
      <c r="AK93" s="127">
        <f t="shared" ref="AK93" si="33">AK85+AK92</f>
        <v>26.5</v>
      </c>
      <c r="AL93" s="127">
        <f t="shared" si="31"/>
        <v>12</v>
      </c>
      <c r="AM93" s="127">
        <f t="shared" si="31"/>
        <v>17.5</v>
      </c>
      <c r="AN93" s="127">
        <f t="shared" si="31"/>
        <v>26</v>
      </c>
      <c r="AO93" s="127">
        <f t="shared" si="31"/>
        <v>35</v>
      </c>
      <c r="AP93" s="127">
        <f t="shared" si="31"/>
        <v>20.5</v>
      </c>
      <c r="AQ93" s="127">
        <f t="shared" si="31"/>
        <v>32.5</v>
      </c>
      <c r="AR93" s="127">
        <f t="shared" si="31"/>
        <v>47</v>
      </c>
      <c r="AS93" s="127">
        <f t="shared" si="31"/>
        <v>53</v>
      </c>
      <c r="AT93" s="127">
        <f t="shared" si="31"/>
        <v>53</v>
      </c>
      <c r="AU93" s="127">
        <f t="shared" si="31"/>
        <v>53</v>
      </c>
      <c r="AV93" s="127">
        <f t="shared" si="31"/>
        <v>53</v>
      </c>
      <c r="AW93" s="127">
        <f t="shared" si="31"/>
        <v>53</v>
      </c>
      <c r="AX93" s="127">
        <f t="shared" si="31"/>
        <v>53</v>
      </c>
      <c r="AY93" s="127">
        <f t="shared" si="31"/>
        <v>53</v>
      </c>
      <c r="AZ93" s="127">
        <f t="shared" si="31"/>
        <v>53</v>
      </c>
      <c r="BA93" s="127">
        <f t="shared" si="31"/>
        <v>53</v>
      </c>
      <c r="BB93" s="127">
        <f t="shared" si="31"/>
        <v>53</v>
      </c>
      <c r="BC93" s="127">
        <f t="shared" si="31"/>
        <v>53</v>
      </c>
      <c r="BD93" s="127">
        <f t="shared" si="31"/>
        <v>53</v>
      </c>
      <c r="BE93" s="127">
        <f t="shared" si="31"/>
        <v>53</v>
      </c>
      <c r="BF93" s="127">
        <f t="shared" si="31"/>
        <v>53</v>
      </c>
      <c r="BG93" s="127">
        <f t="shared" si="31"/>
        <v>53</v>
      </c>
      <c r="BH93" s="127">
        <f t="shared" si="31"/>
        <v>53</v>
      </c>
      <c r="BI93" s="127">
        <f t="shared" si="31"/>
        <v>53</v>
      </c>
      <c r="BJ93" s="127">
        <f t="shared" si="31"/>
        <v>53</v>
      </c>
      <c r="BK93" s="127">
        <f t="shared" si="31"/>
        <v>53</v>
      </c>
      <c r="BL93" s="127">
        <f t="shared" si="31"/>
        <v>53</v>
      </c>
      <c r="BM93" s="127">
        <f t="shared" si="31"/>
        <v>53</v>
      </c>
      <c r="BN93" s="127">
        <f t="shared" si="31"/>
        <v>53</v>
      </c>
      <c r="BO93" s="127">
        <f t="shared" si="31"/>
        <v>53</v>
      </c>
      <c r="BP93" s="127">
        <f t="shared" si="31"/>
        <v>53</v>
      </c>
      <c r="BQ93" s="127">
        <f t="shared" si="31"/>
        <v>53</v>
      </c>
      <c r="BR93" s="127">
        <f t="shared" si="31"/>
        <v>53</v>
      </c>
      <c r="BS93" s="128"/>
      <c r="BT93" s="128"/>
      <c r="BU93" s="98">
        <f t="shared" si="31"/>
        <v>2274.6</v>
      </c>
    </row>
    <row r="94" spans="1:74" ht="21" hidden="1" thickBot="1" x14ac:dyDescent="0.25">
      <c r="A94" s="130"/>
      <c r="B94" s="131" t="s">
        <v>11</v>
      </c>
      <c r="C94" s="132"/>
      <c r="D94" s="133" t="s">
        <v>196</v>
      </c>
      <c r="E94" s="134">
        <f>E98</f>
        <v>0</v>
      </c>
      <c r="F94" s="134">
        <f t="shared" ref="F94:BR94" si="34">F98</f>
        <v>0</v>
      </c>
      <c r="G94" s="134">
        <v>12.5</v>
      </c>
      <c r="H94" s="134">
        <f t="shared" si="34"/>
        <v>0</v>
      </c>
      <c r="I94" s="134">
        <f t="shared" si="34"/>
        <v>26</v>
      </c>
      <c r="J94" s="134">
        <f t="shared" si="34"/>
        <v>17</v>
      </c>
      <c r="K94" s="134">
        <f t="shared" si="34"/>
        <v>17</v>
      </c>
      <c r="L94" s="134">
        <f t="shared" ref="L94:AJ94" si="35">L98</f>
        <v>17</v>
      </c>
      <c r="M94" s="134">
        <f t="shared" si="35"/>
        <v>17</v>
      </c>
      <c r="N94" s="134">
        <f t="shared" si="35"/>
        <v>17</v>
      </c>
      <c r="O94" s="134">
        <f t="shared" si="35"/>
        <v>17</v>
      </c>
      <c r="P94" s="134">
        <f t="shared" si="35"/>
        <v>17</v>
      </c>
      <c r="Q94" s="134">
        <f t="shared" si="35"/>
        <v>17</v>
      </c>
      <c r="R94" s="134">
        <f t="shared" si="35"/>
        <v>17</v>
      </c>
      <c r="S94" s="134">
        <f t="shared" si="35"/>
        <v>17</v>
      </c>
      <c r="T94" s="134">
        <f t="shared" si="35"/>
        <v>17</v>
      </c>
      <c r="U94" s="134">
        <f t="shared" si="35"/>
        <v>17</v>
      </c>
      <c r="V94" s="134">
        <f t="shared" si="35"/>
        <v>17</v>
      </c>
      <c r="W94" s="134">
        <f t="shared" si="35"/>
        <v>17</v>
      </c>
      <c r="X94" s="134">
        <f t="shared" si="35"/>
        <v>17</v>
      </c>
      <c r="Y94" s="134">
        <f t="shared" si="35"/>
        <v>17</v>
      </c>
      <c r="Z94" s="134">
        <f t="shared" si="35"/>
        <v>17</v>
      </c>
      <c r="AA94" s="134">
        <f t="shared" si="35"/>
        <v>17</v>
      </c>
      <c r="AB94" s="134">
        <f t="shared" si="35"/>
        <v>17</v>
      </c>
      <c r="AC94" s="134">
        <f t="shared" si="35"/>
        <v>17</v>
      </c>
      <c r="AD94" s="134">
        <f t="shared" si="35"/>
        <v>17</v>
      </c>
      <c r="AE94" s="134">
        <f t="shared" si="35"/>
        <v>17</v>
      </c>
      <c r="AF94" s="134">
        <f t="shared" si="35"/>
        <v>17</v>
      </c>
      <c r="AG94" s="134">
        <f t="shared" si="35"/>
        <v>17</v>
      </c>
      <c r="AH94" s="134">
        <f t="shared" si="35"/>
        <v>17</v>
      </c>
      <c r="AI94" s="134">
        <f t="shared" si="35"/>
        <v>17</v>
      </c>
      <c r="AJ94" s="134">
        <f t="shared" si="35"/>
        <v>17</v>
      </c>
      <c r="AK94" s="134">
        <f t="shared" ref="AK94" si="36">AK98</f>
        <v>17</v>
      </c>
      <c r="AL94" s="134">
        <f t="shared" si="34"/>
        <v>17</v>
      </c>
      <c r="AM94" s="134">
        <f t="shared" si="34"/>
        <v>15</v>
      </c>
      <c r="AN94" s="134">
        <f t="shared" si="34"/>
        <v>15</v>
      </c>
      <c r="AO94" s="134">
        <f t="shared" si="34"/>
        <v>15</v>
      </c>
      <c r="AP94" s="134">
        <f t="shared" si="34"/>
        <v>13.2</v>
      </c>
      <c r="AQ94" s="134" t="e">
        <f t="shared" si="34"/>
        <v>#REF!</v>
      </c>
      <c r="AR94" s="134" t="e">
        <f t="shared" si="34"/>
        <v>#REF!</v>
      </c>
      <c r="AS94" s="134" t="e">
        <f t="shared" si="34"/>
        <v>#REF!</v>
      </c>
      <c r="AT94" s="134" t="e">
        <f t="shared" si="34"/>
        <v>#REF!</v>
      </c>
      <c r="AU94" s="134" t="e">
        <f t="shared" si="34"/>
        <v>#REF!</v>
      </c>
      <c r="AV94" s="134" t="e">
        <f t="shared" si="34"/>
        <v>#REF!</v>
      </c>
      <c r="AW94" s="134" t="e">
        <f t="shared" si="34"/>
        <v>#REF!</v>
      </c>
      <c r="AX94" s="134" t="e">
        <f t="shared" si="34"/>
        <v>#REF!</v>
      </c>
      <c r="AY94" s="134" t="e">
        <f t="shared" si="34"/>
        <v>#REF!</v>
      </c>
      <c r="AZ94" s="134" t="e">
        <f t="shared" si="34"/>
        <v>#REF!</v>
      </c>
      <c r="BA94" s="134" t="e">
        <f t="shared" si="34"/>
        <v>#REF!</v>
      </c>
      <c r="BB94" s="134" t="e">
        <f t="shared" si="34"/>
        <v>#REF!</v>
      </c>
      <c r="BC94" s="134" t="e">
        <f t="shared" si="34"/>
        <v>#REF!</v>
      </c>
      <c r="BD94" s="134" t="e">
        <f t="shared" si="34"/>
        <v>#REF!</v>
      </c>
      <c r="BE94" s="134" t="e">
        <f t="shared" si="34"/>
        <v>#REF!</v>
      </c>
      <c r="BF94" s="134" t="e">
        <f t="shared" si="34"/>
        <v>#REF!</v>
      </c>
      <c r="BG94" s="134" t="e">
        <f t="shared" si="34"/>
        <v>#REF!</v>
      </c>
      <c r="BH94" s="134" t="e">
        <f t="shared" si="34"/>
        <v>#REF!</v>
      </c>
      <c r="BI94" s="134" t="e">
        <f t="shared" si="34"/>
        <v>#REF!</v>
      </c>
      <c r="BJ94" s="134" t="e">
        <f t="shared" si="34"/>
        <v>#REF!</v>
      </c>
      <c r="BK94" s="134" t="e">
        <f t="shared" si="34"/>
        <v>#REF!</v>
      </c>
      <c r="BL94" s="134" t="e">
        <f t="shared" si="34"/>
        <v>#REF!</v>
      </c>
      <c r="BM94" s="134" t="e">
        <f t="shared" si="34"/>
        <v>#REF!</v>
      </c>
      <c r="BN94" s="134" t="e">
        <f t="shared" si="34"/>
        <v>#REF!</v>
      </c>
      <c r="BO94" s="134" t="e">
        <f t="shared" si="34"/>
        <v>#REF!</v>
      </c>
      <c r="BP94" s="134" t="e">
        <f t="shared" si="34"/>
        <v>#REF!</v>
      </c>
      <c r="BQ94" s="134" t="e">
        <f t="shared" si="34"/>
        <v>#REF!</v>
      </c>
      <c r="BR94" s="134" t="e">
        <f t="shared" si="34"/>
        <v>#REF!</v>
      </c>
      <c r="BS94" s="135"/>
      <c r="BT94" s="135"/>
      <c r="BU94" s="136">
        <f>+BU98</f>
        <v>16.976470588235294</v>
      </c>
    </row>
    <row r="95" spans="1:74" ht="21" hidden="1" thickBot="1" x14ac:dyDescent="0.25">
      <c r="A95" s="137"/>
      <c r="B95" s="138"/>
      <c r="C95" s="139"/>
      <c r="D95" s="138"/>
      <c r="E95" s="138"/>
      <c r="F95" s="138"/>
      <c r="G95" s="138"/>
      <c r="H95" s="138"/>
      <c r="I95" s="138"/>
      <c r="J95" s="138"/>
      <c r="K95" s="138"/>
      <c r="L95" s="138"/>
      <c r="M95" s="138"/>
      <c r="N95" s="138"/>
      <c r="O95" s="138"/>
      <c r="P95" s="138"/>
      <c r="Q95" s="138"/>
      <c r="R95" s="138"/>
      <c r="S95" s="138"/>
      <c r="T95" s="138"/>
      <c r="U95" s="138"/>
      <c r="V95" s="138"/>
      <c r="W95" s="138"/>
      <c r="X95" s="138"/>
      <c r="Y95" s="138"/>
      <c r="Z95" s="138"/>
      <c r="AA95" s="138"/>
      <c r="AB95" s="138"/>
      <c r="AC95" s="138"/>
      <c r="AD95" s="138"/>
      <c r="AE95" s="138"/>
      <c r="AF95" s="138"/>
      <c r="AG95" s="138"/>
      <c r="AH95" s="138"/>
      <c r="AI95" s="138"/>
      <c r="AJ95" s="138"/>
      <c r="AK95" s="138"/>
      <c r="AL95" s="138"/>
      <c r="AM95" s="138"/>
      <c r="AN95" s="138"/>
      <c r="AO95" s="138"/>
      <c r="AP95" s="138"/>
      <c r="AQ95" s="135"/>
      <c r="AR95" s="138"/>
      <c r="AS95" s="138"/>
      <c r="AT95" s="138"/>
      <c r="AU95" s="138"/>
      <c r="AV95" s="138"/>
      <c r="AW95" s="138"/>
      <c r="AX95" s="138"/>
      <c r="AY95" s="138"/>
      <c r="AZ95" s="138"/>
      <c r="BA95" s="138"/>
      <c r="BB95" s="138"/>
      <c r="BC95" s="138"/>
      <c r="BD95" s="138"/>
      <c r="BE95" s="138"/>
      <c r="BF95" s="138"/>
      <c r="BG95" s="138"/>
      <c r="BH95" s="138"/>
      <c r="BI95" s="138"/>
      <c r="BJ95" s="138"/>
      <c r="BK95" s="138"/>
      <c r="BL95" s="138"/>
      <c r="BM95" s="138"/>
      <c r="BN95" s="138"/>
      <c r="BO95" s="138"/>
      <c r="BP95" s="138"/>
      <c r="BQ95" s="138"/>
      <c r="BR95" s="138"/>
      <c r="BS95" s="138"/>
      <c r="BT95" s="138"/>
      <c r="BU95" s="140"/>
    </row>
    <row r="96" spans="1:74" hidden="1" x14ac:dyDescent="0.2">
      <c r="A96" s="141" t="s">
        <v>197</v>
      </c>
      <c r="B96" s="142" t="s">
        <v>198</v>
      </c>
      <c r="C96" s="142"/>
      <c r="D96" s="143"/>
      <c r="E96" s="143"/>
      <c r="F96" s="144" t="s">
        <v>199</v>
      </c>
      <c r="G96" s="143"/>
      <c r="H96" s="143"/>
      <c r="I96" s="143"/>
      <c r="J96" s="143"/>
      <c r="K96" s="143"/>
      <c r="L96" s="143"/>
      <c r="M96" s="143"/>
      <c r="N96" s="143"/>
      <c r="O96" s="143"/>
      <c r="P96" s="143"/>
      <c r="Q96" s="143"/>
      <c r="R96" s="143"/>
      <c r="S96" s="143"/>
      <c r="T96" s="143"/>
      <c r="U96" s="143"/>
      <c r="V96" s="143"/>
      <c r="W96" s="143"/>
      <c r="X96" s="143"/>
      <c r="Y96" s="143"/>
      <c r="Z96" s="143"/>
      <c r="AA96" s="143"/>
      <c r="AB96" s="143"/>
      <c r="AC96" s="143"/>
      <c r="AD96" s="143"/>
      <c r="AE96" s="143"/>
      <c r="AF96" s="143"/>
      <c r="AG96" s="143"/>
      <c r="AH96" s="143"/>
      <c r="AI96" s="143"/>
      <c r="AJ96" s="143"/>
      <c r="AK96" s="143"/>
      <c r="AL96" s="143"/>
      <c r="AM96" s="143"/>
      <c r="AN96" s="145"/>
      <c r="AO96" s="145"/>
      <c r="AP96" s="145"/>
      <c r="AQ96" s="145"/>
      <c r="AR96" s="145"/>
      <c r="AS96" s="146"/>
      <c r="AT96" s="146"/>
      <c r="AU96" s="146"/>
      <c r="AV96" s="146"/>
      <c r="AW96" s="146"/>
      <c r="AX96" s="146"/>
      <c r="AY96" s="146"/>
      <c r="AZ96" s="146"/>
      <c r="BA96" s="146"/>
      <c r="BB96" s="146"/>
      <c r="BC96" s="146"/>
      <c r="BD96" s="146"/>
      <c r="BE96" s="146"/>
      <c r="BF96" s="146"/>
      <c r="BG96" s="146"/>
      <c r="BH96" s="146"/>
      <c r="BI96" s="146"/>
      <c r="BJ96" s="146"/>
      <c r="BK96" s="146"/>
      <c r="BL96" s="146"/>
      <c r="BM96" s="146"/>
      <c r="BN96" s="146"/>
      <c r="BO96" s="146"/>
      <c r="BP96" s="146"/>
      <c r="BQ96" s="146"/>
      <c r="BR96" s="146"/>
      <c r="BS96" s="147"/>
      <c r="BT96" s="147"/>
      <c r="BU96" s="138"/>
    </row>
    <row r="97" spans="1:73" hidden="1" x14ac:dyDescent="0.2">
      <c r="A97" s="94"/>
      <c r="B97" s="115"/>
      <c r="C97" s="148"/>
      <c r="D97" s="97" t="s">
        <v>101</v>
      </c>
      <c r="E97" s="97">
        <v>1</v>
      </c>
      <c r="F97" s="97">
        <v>2</v>
      </c>
      <c r="G97" s="97">
        <v>3</v>
      </c>
      <c r="H97" s="97">
        <v>4</v>
      </c>
      <c r="I97" s="97">
        <v>5</v>
      </c>
      <c r="J97" s="97">
        <v>6</v>
      </c>
      <c r="K97" s="97">
        <v>7</v>
      </c>
      <c r="L97" s="97">
        <v>8</v>
      </c>
      <c r="M97" s="97">
        <v>8</v>
      </c>
      <c r="N97" s="97">
        <v>8</v>
      </c>
      <c r="O97" s="97">
        <v>8</v>
      </c>
      <c r="P97" s="97">
        <v>8</v>
      </c>
      <c r="Q97" s="97">
        <v>8</v>
      </c>
      <c r="R97" s="97">
        <v>8</v>
      </c>
      <c r="S97" s="97">
        <v>8</v>
      </c>
      <c r="T97" s="97">
        <v>8</v>
      </c>
      <c r="U97" s="97">
        <v>8</v>
      </c>
      <c r="V97" s="97">
        <v>8</v>
      </c>
      <c r="W97" s="97">
        <v>8</v>
      </c>
      <c r="X97" s="97">
        <v>8</v>
      </c>
      <c r="Y97" s="97">
        <v>8</v>
      </c>
      <c r="Z97" s="97">
        <v>8</v>
      </c>
      <c r="AA97" s="97">
        <v>8</v>
      </c>
      <c r="AB97" s="97">
        <v>8</v>
      </c>
      <c r="AC97" s="97">
        <v>8</v>
      </c>
      <c r="AD97" s="97">
        <v>8</v>
      </c>
      <c r="AE97" s="97">
        <v>8</v>
      </c>
      <c r="AF97" s="97">
        <v>8</v>
      </c>
      <c r="AG97" s="97">
        <v>8</v>
      </c>
      <c r="AH97" s="97">
        <v>8</v>
      </c>
      <c r="AI97" s="97">
        <v>8</v>
      </c>
      <c r="AJ97" s="97">
        <v>8</v>
      </c>
      <c r="AK97" s="97">
        <v>8</v>
      </c>
      <c r="AL97" s="97">
        <v>9</v>
      </c>
      <c r="AM97" s="97">
        <v>10</v>
      </c>
      <c r="AN97" s="149">
        <v>11</v>
      </c>
      <c r="AO97" s="149">
        <v>12</v>
      </c>
      <c r="AP97" s="149">
        <v>13</v>
      </c>
      <c r="AQ97" s="149">
        <v>14</v>
      </c>
      <c r="AR97" s="149">
        <v>15</v>
      </c>
      <c r="AS97" s="149">
        <v>16</v>
      </c>
      <c r="AT97" s="149">
        <v>16</v>
      </c>
      <c r="AU97" s="149">
        <v>16</v>
      </c>
      <c r="AV97" s="149">
        <v>16</v>
      </c>
      <c r="AW97" s="149">
        <v>16</v>
      </c>
      <c r="AX97" s="149">
        <v>16</v>
      </c>
      <c r="AY97" s="149">
        <v>16</v>
      </c>
      <c r="AZ97" s="149">
        <v>16</v>
      </c>
      <c r="BA97" s="149">
        <v>16</v>
      </c>
      <c r="BB97" s="149">
        <v>16</v>
      </c>
      <c r="BC97" s="149">
        <v>16</v>
      </c>
      <c r="BD97" s="149">
        <v>16</v>
      </c>
      <c r="BE97" s="149">
        <v>16</v>
      </c>
      <c r="BF97" s="149">
        <v>16</v>
      </c>
      <c r="BG97" s="149">
        <v>16</v>
      </c>
      <c r="BH97" s="149">
        <v>16</v>
      </c>
      <c r="BI97" s="149">
        <v>16</v>
      </c>
      <c r="BJ97" s="149">
        <v>16</v>
      </c>
      <c r="BK97" s="149">
        <v>16</v>
      </c>
      <c r="BL97" s="149">
        <v>16</v>
      </c>
      <c r="BM97" s="149">
        <v>16</v>
      </c>
      <c r="BN97" s="149">
        <v>16</v>
      </c>
      <c r="BO97" s="149">
        <v>16</v>
      </c>
      <c r="BP97" s="149">
        <v>16</v>
      </c>
      <c r="BQ97" s="149">
        <v>16</v>
      </c>
      <c r="BR97" s="149">
        <v>16</v>
      </c>
      <c r="BS97" s="149"/>
      <c r="BT97" s="149"/>
      <c r="BU97" s="150" t="s">
        <v>192</v>
      </c>
    </row>
    <row r="98" spans="1:73" hidden="1" x14ac:dyDescent="0.2">
      <c r="A98" s="123" t="s">
        <v>157</v>
      </c>
      <c r="B98" s="115" t="s">
        <v>200</v>
      </c>
      <c r="C98" s="148"/>
      <c r="D98" s="151" t="s">
        <v>196</v>
      </c>
      <c r="E98" s="104"/>
      <c r="F98" s="104"/>
      <c r="G98" s="104"/>
      <c r="H98" s="104"/>
      <c r="I98" s="104">
        <v>26</v>
      </c>
      <c r="J98" s="104">
        <v>17</v>
      </c>
      <c r="K98" s="104">
        <v>17</v>
      </c>
      <c r="L98" s="104">
        <v>17</v>
      </c>
      <c r="M98" s="104">
        <v>17</v>
      </c>
      <c r="N98" s="104">
        <v>17</v>
      </c>
      <c r="O98" s="104">
        <v>17</v>
      </c>
      <c r="P98" s="104">
        <v>17</v>
      </c>
      <c r="Q98" s="104">
        <v>17</v>
      </c>
      <c r="R98" s="104">
        <v>17</v>
      </c>
      <c r="S98" s="104">
        <v>17</v>
      </c>
      <c r="T98" s="104">
        <v>17</v>
      </c>
      <c r="U98" s="104">
        <v>17</v>
      </c>
      <c r="V98" s="104">
        <v>17</v>
      </c>
      <c r="W98" s="104">
        <v>17</v>
      </c>
      <c r="X98" s="104">
        <v>17</v>
      </c>
      <c r="Y98" s="104">
        <v>17</v>
      </c>
      <c r="Z98" s="104">
        <v>17</v>
      </c>
      <c r="AA98" s="104">
        <v>17</v>
      </c>
      <c r="AB98" s="104">
        <v>17</v>
      </c>
      <c r="AC98" s="104">
        <v>17</v>
      </c>
      <c r="AD98" s="104">
        <v>17</v>
      </c>
      <c r="AE98" s="104">
        <v>17</v>
      </c>
      <c r="AF98" s="104">
        <v>17</v>
      </c>
      <c r="AG98" s="104">
        <v>17</v>
      </c>
      <c r="AH98" s="104">
        <v>17</v>
      </c>
      <c r="AI98" s="104">
        <v>17</v>
      </c>
      <c r="AJ98" s="104">
        <v>17</v>
      </c>
      <c r="AK98" s="104">
        <v>17</v>
      </c>
      <c r="AL98" s="104">
        <v>17</v>
      </c>
      <c r="AM98" s="104">
        <v>15</v>
      </c>
      <c r="AN98" s="105">
        <v>15</v>
      </c>
      <c r="AO98" s="105">
        <v>15</v>
      </c>
      <c r="AP98" s="105">
        <v>13.2</v>
      </c>
      <c r="AQ98" s="105" t="e">
        <f>#REF!</f>
        <v>#REF!</v>
      </c>
      <c r="AR98" s="105" t="e">
        <f>#REF!</f>
        <v>#REF!</v>
      </c>
      <c r="AS98" s="105" t="e">
        <f>#REF!</f>
        <v>#REF!</v>
      </c>
      <c r="AT98" s="105" t="e">
        <f>#REF!</f>
        <v>#REF!</v>
      </c>
      <c r="AU98" s="105" t="e">
        <f>#REF!</f>
        <v>#REF!</v>
      </c>
      <c r="AV98" s="105" t="e">
        <f>#REF!</f>
        <v>#REF!</v>
      </c>
      <c r="AW98" s="105" t="e">
        <f>#REF!</f>
        <v>#REF!</v>
      </c>
      <c r="AX98" s="105" t="e">
        <f>#REF!</f>
        <v>#REF!</v>
      </c>
      <c r="AY98" s="105" t="e">
        <f>#REF!</f>
        <v>#REF!</v>
      </c>
      <c r="AZ98" s="105" t="e">
        <f>#REF!</f>
        <v>#REF!</v>
      </c>
      <c r="BA98" s="105" t="e">
        <f>#REF!</f>
        <v>#REF!</v>
      </c>
      <c r="BB98" s="105" t="e">
        <f>#REF!</f>
        <v>#REF!</v>
      </c>
      <c r="BC98" s="105" t="e">
        <f>#REF!</f>
        <v>#REF!</v>
      </c>
      <c r="BD98" s="105" t="e">
        <f>#REF!</f>
        <v>#REF!</v>
      </c>
      <c r="BE98" s="105" t="e">
        <f>#REF!</f>
        <v>#REF!</v>
      </c>
      <c r="BF98" s="105" t="e">
        <f>#REF!</f>
        <v>#REF!</v>
      </c>
      <c r="BG98" s="105" t="e">
        <f>#REF!</f>
        <v>#REF!</v>
      </c>
      <c r="BH98" s="105" t="e">
        <f>#REF!</f>
        <v>#REF!</v>
      </c>
      <c r="BI98" s="105" t="e">
        <f>#REF!</f>
        <v>#REF!</v>
      </c>
      <c r="BJ98" s="105" t="e">
        <f>#REF!</f>
        <v>#REF!</v>
      </c>
      <c r="BK98" s="105" t="e">
        <f>#REF!</f>
        <v>#REF!</v>
      </c>
      <c r="BL98" s="105" t="e">
        <f>#REF!</f>
        <v>#REF!</v>
      </c>
      <c r="BM98" s="105" t="e">
        <f>#REF!</f>
        <v>#REF!</v>
      </c>
      <c r="BN98" s="105" t="e">
        <f>#REF!</f>
        <v>#REF!</v>
      </c>
      <c r="BO98" s="105" t="e">
        <f>#REF!</f>
        <v>#REF!</v>
      </c>
      <c r="BP98" s="105" t="e">
        <f>#REF!</f>
        <v>#REF!</v>
      </c>
      <c r="BQ98" s="105" t="e">
        <f>#REF!</f>
        <v>#REF!</v>
      </c>
      <c r="BR98" s="105" t="e">
        <f>#REF!</f>
        <v>#REF!</v>
      </c>
      <c r="BS98" s="105"/>
      <c r="BT98" s="105"/>
      <c r="BU98" s="152">
        <f>AVERAGE(E98:AP98)</f>
        <v>16.976470588235294</v>
      </c>
    </row>
    <row r="99" spans="1:73" hidden="1" x14ac:dyDescent="0.2">
      <c r="A99" s="123" t="s">
        <v>160</v>
      </c>
      <c r="B99" s="115" t="s">
        <v>201</v>
      </c>
      <c r="C99" s="148"/>
      <c r="D99" s="151" t="s">
        <v>14</v>
      </c>
      <c r="E99" s="104"/>
      <c r="F99" s="104"/>
      <c r="G99" s="104"/>
      <c r="H99" s="104"/>
      <c r="I99" s="104">
        <v>2.85</v>
      </c>
      <c r="J99" s="104">
        <v>2.85</v>
      </c>
      <c r="K99" s="104">
        <v>2.85</v>
      </c>
      <c r="L99" s="104">
        <v>2.85</v>
      </c>
      <c r="M99" s="104">
        <v>2.85</v>
      </c>
      <c r="N99" s="104">
        <v>2.85</v>
      </c>
      <c r="O99" s="104">
        <v>2.85</v>
      </c>
      <c r="P99" s="104">
        <v>2.85</v>
      </c>
      <c r="Q99" s="104">
        <v>2.85</v>
      </c>
      <c r="R99" s="104">
        <v>2.85</v>
      </c>
      <c r="S99" s="104">
        <v>2.85</v>
      </c>
      <c r="T99" s="104">
        <v>2.85</v>
      </c>
      <c r="U99" s="104">
        <v>2.85</v>
      </c>
      <c r="V99" s="104">
        <v>2.85</v>
      </c>
      <c r="W99" s="104">
        <v>2.85</v>
      </c>
      <c r="X99" s="104">
        <v>2.85</v>
      </c>
      <c r="Y99" s="104">
        <v>2.85</v>
      </c>
      <c r="Z99" s="104">
        <v>2.85</v>
      </c>
      <c r="AA99" s="104">
        <v>2.85</v>
      </c>
      <c r="AB99" s="104">
        <v>2.85</v>
      </c>
      <c r="AC99" s="104">
        <v>2.85</v>
      </c>
      <c r="AD99" s="104">
        <v>2.85</v>
      </c>
      <c r="AE99" s="104">
        <v>2.85</v>
      </c>
      <c r="AF99" s="104">
        <v>2.85</v>
      </c>
      <c r="AG99" s="104">
        <v>2.85</v>
      </c>
      <c r="AH99" s="104">
        <v>2.85</v>
      </c>
      <c r="AI99" s="104">
        <v>2.85</v>
      </c>
      <c r="AJ99" s="104">
        <v>2.85</v>
      </c>
      <c r="AK99" s="104">
        <v>2.85</v>
      </c>
      <c r="AL99" s="104">
        <v>2.85</v>
      </c>
      <c r="AM99" s="104">
        <v>2.85</v>
      </c>
      <c r="AN99" s="105">
        <v>2.85</v>
      </c>
      <c r="AO99" s="105">
        <v>2.85</v>
      </c>
      <c r="AP99" s="105">
        <v>2.85</v>
      </c>
      <c r="AQ99" s="105">
        <v>2.85</v>
      </c>
      <c r="AR99" s="105">
        <v>2.85</v>
      </c>
      <c r="AS99" s="105">
        <v>2.85</v>
      </c>
      <c r="AT99" s="105">
        <v>2.85</v>
      </c>
      <c r="AU99" s="105">
        <v>2.85</v>
      </c>
      <c r="AV99" s="105">
        <v>2.85</v>
      </c>
      <c r="AW99" s="105">
        <v>2.85</v>
      </c>
      <c r="AX99" s="105">
        <v>2.85</v>
      </c>
      <c r="AY99" s="105">
        <v>2.85</v>
      </c>
      <c r="AZ99" s="105">
        <v>2.85</v>
      </c>
      <c r="BA99" s="105">
        <v>2.85</v>
      </c>
      <c r="BB99" s="105">
        <v>2.85</v>
      </c>
      <c r="BC99" s="105">
        <v>2.85</v>
      </c>
      <c r="BD99" s="105">
        <v>2.85</v>
      </c>
      <c r="BE99" s="105">
        <v>2.85</v>
      </c>
      <c r="BF99" s="105">
        <v>2.85</v>
      </c>
      <c r="BG99" s="105">
        <v>2.85</v>
      </c>
      <c r="BH99" s="105">
        <v>2.85</v>
      </c>
      <c r="BI99" s="105">
        <v>2.85</v>
      </c>
      <c r="BJ99" s="105">
        <v>2.85</v>
      </c>
      <c r="BK99" s="105">
        <v>2.85</v>
      </c>
      <c r="BL99" s="105">
        <v>2.85</v>
      </c>
      <c r="BM99" s="105">
        <v>2.85</v>
      </c>
      <c r="BN99" s="105">
        <v>2.85</v>
      </c>
      <c r="BO99" s="105">
        <v>2.85</v>
      </c>
      <c r="BP99" s="105">
        <v>2.85</v>
      </c>
      <c r="BQ99" s="105">
        <v>2.85</v>
      </c>
      <c r="BR99" s="105">
        <v>2.85</v>
      </c>
      <c r="BS99" s="105"/>
      <c r="BT99" s="105"/>
      <c r="BU99" s="152">
        <f>AVERAGE(E99:AL99)</f>
        <v>2.8499999999999996</v>
      </c>
    </row>
    <row r="100" spans="1:73" hidden="1" x14ac:dyDescent="0.2">
      <c r="A100" s="123" t="s">
        <v>163</v>
      </c>
      <c r="B100" s="115" t="s">
        <v>202</v>
      </c>
      <c r="C100" s="148"/>
      <c r="D100" s="151" t="s">
        <v>203</v>
      </c>
      <c r="E100" s="85"/>
      <c r="F100" s="85"/>
      <c r="G100" s="85"/>
      <c r="H100" s="85"/>
      <c r="I100" s="85" t="e">
        <f>#REF!</f>
        <v>#REF!</v>
      </c>
      <c r="J100" s="85" t="e">
        <f>#REF!</f>
        <v>#REF!</v>
      </c>
      <c r="K100" s="85" t="e">
        <f>#REF!</f>
        <v>#REF!</v>
      </c>
      <c r="L100" s="85" t="e">
        <f>#REF!</f>
        <v>#REF!</v>
      </c>
      <c r="M100" s="85" t="e">
        <f>#REF!</f>
        <v>#REF!</v>
      </c>
      <c r="N100" s="85" t="e">
        <f>#REF!</f>
        <v>#REF!</v>
      </c>
      <c r="O100" s="85" t="e">
        <f>#REF!</f>
        <v>#REF!</v>
      </c>
      <c r="P100" s="85" t="e">
        <f>#REF!</f>
        <v>#REF!</v>
      </c>
      <c r="Q100" s="85" t="e">
        <f>#REF!</f>
        <v>#REF!</v>
      </c>
      <c r="R100" s="85" t="e">
        <f>#REF!</f>
        <v>#REF!</v>
      </c>
      <c r="S100" s="85" t="e">
        <f>#REF!</f>
        <v>#REF!</v>
      </c>
      <c r="T100" s="85" t="e">
        <f>#REF!</f>
        <v>#REF!</v>
      </c>
      <c r="U100" s="85" t="e">
        <f>#REF!</f>
        <v>#REF!</v>
      </c>
      <c r="V100" s="85" t="e">
        <f>#REF!</f>
        <v>#REF!</v>
      </c>
      <c r="W100" s="85" t="e">
        <f>#REF!</f>
        <v>#REF!</v>
      </c>
      <c r="X100" s="85" t="e">
        <f>#REF!</f>
        <v>#REF!</v>
      </c>
      <c r="Y100" s="85" t="e">
        <f>#REF!</f>
        <v>#REF!</v>
      </c>
      <c r="Z100" s="85" t="e">
        <f>#REF!</f>
        <v>#REF!</v>
      </c>
      <c r="AA100" s="85" t="e">
        <f>#REF!</f>
        <v>#REF!</v>
      </c>
      <c r="AB100" s="85" t="e">
        <f>#REF!</f>
        <v>#REF!</v>
      </c>
      <c r="AC100" s="85" t="e">
        <f>#REF!</f>
        <v>#REF!</v>
      </c>
      <c r="AD100" s="85" t="e">
        <f>#REF!</f>
        <v>#REF!</v>
      </c>
      <c r="AE100" s="85" t="e">
        <f>#REF!</f>
        <v>#REF!</v>
      </c>
      <c r="AF100" s="85" t="e">
        <f>#REF!</f>
        <v>#REF!</v>
      </c>
      <c r="AG100" s="85" t="e">
        <f>#REF!</f>
        <v>#REF!</v>
      </c>
      <c r="AH100" s="85" t="e">
        <f>#REF!</f>
        <v>#REF!</v>
      </c>
      <c r="AI100" s="85" t="e">
        <f>#REF!</f>
        <v>#REF!</v>
      </c>
      <c r="AJ100" s="85" t="e">
        <f>#REF!</f>
        <v>#REF!</v>
      </c>
      <c r="AK100" s="85" t="e">
        <f>#REF!</f>
        <v>#REF!</v>
      </c>
      <c r="AL100" s="85" t="e">
        <f>#REF!</f>
        <v>#REF!</v>
      </c>
      <c r="AM100" s="85" t="e">
        <f>#REF!</f>
        <v>#REF!</v>
      </c>
      <c r="AN100" s="85" t="e">
        <f>#REF!</f>
        <v>#REF!</v>
      </c>
      <c r="AO100" s="86" t="e">
        <f>#REF!</f>
        <v>#REF!</v>
      </c>
      <c r="AP100" s="86" t="e">
        <f>#REF!</f>
        <v>#REF!</v>
      </c>
      <c r="AQ100" s="86" t="e">
        <f>#REF!</f>
        <v>#REF!</v>
      </c>
      <c r="AR100" s="86" t="e">
        <f>#REF!</f>
        <v>#REF!</v>
      </c>
      <c r="AS100" s="86" t="e">
        <f>#REF!</f>
        <v>#REF!</v>
      </c>
      <c r="AT100" s="86" t="e">
        <f>#REF!</f>
        <v>#REF!</v>
      </c>
      <c r="AU100" s="86" t="e">
        <f>#REF!</f>
        <v>#REF!</v>
      </c>
      <c r="AV100" s="86" t="e">
        <f>#REF!</f>
        <v>#REF!</v>
      </c>
      <c r="AW100" s="86" t="e">
        <f>#REF!</f>
        <v>#REF!</v>
      </c>
      <c r="AX100" s="86" t="e">
        <f>#REF!</f>
        <v>#REF!</v>
      </c>
      <c r="AY100" s="86" t="e">
        <f>#REF!</f>
        <v>#REF!</v>
      </c>
      <c r="AZ100" s="86" t="e">
        <f>#REF!</f>
        <v>#REF!</v>
      </c>
      <c r="BA100" s="86" t="e">
        <f>#REF!</f>
        <v>#REF!</v>
      </c>
      <c r="BB100" s="86" t="e">
        <f>#REF!</f>
        <v>#REF!</v>
      </c>
      <c r="BC100" s="86" t="e">
        <f>#REF!</f>
        <v>#REF!</v>
      </c>
      <c r="BD100" s="86" t="e">
        <f>#REF!</f>
        <v>#REF!</v>
      </c>
      <c r="BE100" s="86" t="e">
        <f>#REF!</f>
        <v>#REF!</v>
      </c>
      <c r="BF100" s="86" t="e">
        <f>#REF!</f>
        <v>#REF!</v>
      </c>
      <c r="BG100" s="86" t="e">
        <f>#REF!</f>
        <v>#REF!</v>
      </c>
      <c r="BH100" s="86" t="e">
        <f>#REF!</f>
        <v>#REF!</v>
      </c>
      <c r="BI100" s="86" t="e">
        <f>#REF!</f>
        <v>#REF!</v>
      </c>
      <c r="BJ100" s="86" t="e">
        <f>#REF!</f>
        <v>#REF!</v>
      </c>
      <c r="BK100" s="86" t="e">
        <f>#REF!</f>
        <v>#REF!</v>
      </c>
      <c r="BL100" s="86" t="e">
        <f>#REF!</f>
        <v>#REF!</v>
      </c>
      <c r="BM100" s="86" t="e">
        <f>#REF!</f>
        <v>#REF!</v>
      </c>
      <c r="BN100" s="86" t="e">
        <f>#REF!</f>
        <v>#REF!</v>
      </c>
      <c r="BO100" s="86" t="e">
        <f>#REF!</f>
        <v>#REF!</v>
      </c>
      <c r="BP100" s="86" t="e">
        <f>#REF!</f>
        <v>#REF!</v>
      </c>
      <c r="BQ100" s="86" t="e">
        <f>#REF!</f>
        <v>#REF!</v>
      </c>
      <c r="BR100" s="86" t="e">
        <f>#REF!</f>
        <v>#REF!</v>
      </c>
      <c r="BS100" s="86"/>
      <c r="BT100" s="86"/>
      <c r="BU100" s="152" t="e">
        <f>AVERAGE(E100:AP100)</f>
        <v>#REF!</v>
      </c>
    </row>
    <row r="101" spans="1:73" hidden="1" x14ac:dyDescent="0.2">
      <c r="A101" s="123" t="s">
        <v>166</v>
      </c>
      <c r="B101" s="115" t="s">
        <v>204</v>
      </c>
      <c r="C101" s="148"/>
      <c r="D101" s="151" t="s">
        <v>16</v>
      </c>
      <c r="E101" s="104"/>
      <c r="F101" s="104"/>
      <c r="G101" s="104"/>
      <c r="H101" s="104"/>
      <c r="I101" s="104">
        <f t="shared" ref="I101:BR101" si="37">+I93</f>
        <v>1.6</v>
      </c>
      <c r="J101" s="104">
        <f t="shared" si="37"/>
        <v>3.5</v>
      </c>
      <c r="K101" s="104">
        <f t="shared" si="37"/>
        <v>12</v>
      </c>
      <c r="L101" s="104">
        <f t="shared" ref="L101:AJ101" si="38">+L93</f>
        <v>26.5</v>
      </c>
      <c r="M101" s="104">
        <f t="shared" si="38"/>
        <v>26.5</v>
      </c>
      <c r="N101" s="104">
        <f t="shared" si="38"/>
        <v>26.5</v>
      </c>
      <c r="O101" s="104">
        <f t="shared" si="38"/>
        <v>26.5</v>
      </c>
      <c r="P101" s="104">
        <f t="shared" si="38"/>
        <v>26.5</v>
      </c>
      <c r="Q101" s="104">
        <f t="shared" si="38"/>
        <v>26.5</v>
      </c>
      <c r="R101" s="104">
        <f t="shared" si="38"/>
        <v>26.5</v>
      </c>
      <c r="S101" s="104">
        <f t="shared" si="38"/>
        <v>26.5</v>
      </c>
      <c r="T101" s="104">
        <f t="shared" si="38"/>
        <v>26.5</v>
      </c>
      <c r="U101" s="104">
        <f t="shared" si="38"/>
        <v>26.5</v>
      </c>
      <c r="V101" s="104">
        <f t="shared" si="38"/>
        <v>26.5</v>
      </c>
      <c r="W101" s="104">
        <f t="shared" si="38"/>
        <v>26.5</v>
      </c>
      <c r="X101" s="104">
        <f t="shared" si="38"/>
        <v>26.5</v>
      </c>
      <c r="Y101" s="104">
        <f t="shared" si="38"/>
        <v>26.5</v>
      </c>
      <c r="Z101" s="104">
        <f t="shared" si="38"/>
        <v>26.5</v>
      </c>
      <c r="AA101" s="104">
        <f t="shared" si="38"/>
        <v>26.5</v>
      </c>
      <c r="AB101" s="104">
        <f t="shared" si="38"/>
        <v>26.5</v>
      </c>
      <c r="AC101" s="104">
        <f t="shared" si="38"/>
        <v>26.5</v>
      </c>
      <c r="AD101" s="104">
        <f t="shared" si="38"/>
        <v>26.5</v>
      </c>
      <c r="AE101" s="104">
        <f t="shared" si="38"/>
        <v>26.5</v>
      </c>
      <c r="AF101" s="104">
        <f t="shared" si="38"/>
        <v>26.5</v>
      </c>
      <c r="AG101" s="104">
        <f t="shared" si="38"/>
        <v>26.5</v>
      </c>
      <c r="AH101" s="104">
        <f t="shared" si="38"/>
        <v>26.5</v>
      </c>
      <c r="AI101" s="104">
        <f t="shared" si="38"/>
        <v>26.5</v>
      </c>
      <c r="AJ101" s="104">
        <f t="shared" si="38"/>
        <v>26.5</v>
      </c>
      <c r="AK101" s="104">
        <f t="shared" ref="AK101" si="39">+AK93</f>
        <v>26.5</v>
      </c>
      <c r="AL101" s="104">
        <f t="shared" si="37"/>
        <v>12</v>
      </c>
      <c r="AM101" s="104">
        <f t="shared" si="37"/>
        <v>17.5</v>
      </c>
      <c r="AN101" s="104">
        <f t="shared" si="37"/>
        <v>26</v>
      </c>
      <c r="AO101" s="104">
        <f t="shared" si="37"/>
        <v>35</v>
      </c>
      <c r="AP101" s="104">
        <f t="shared" si="37"/>
        <v>20.5</v>
      </c>
      <c r="AQ101" s="104">
        <f t="shared" si="37"/>
        <v>32.5</v>
      </c>
      <c r="AR101" s="104">
        <f t="shared" si="37"/>
        <v>47</v>
      </c>
      <c r="AS101" s="104">
        <f t="shared" si="37"/>
        <v>53</v>
      </c>
      <c r="AT101" s="104">
        <f t="shared" si="37"/>
        <v>53</v>
      </c>
      <c r="AU101" s="104">
        <f t="shared" si="37"/>
        <v>53</v>
      </c>
      <c r="AV101" s="104">
        <f t="shared" si="37"/>
        <v>53</v>
      </c>
      <c r="AW101" s="104">
        <f t="shared" si="37"/>
        <v>53</v>
      </c>
      <c r="AX101" s="104">
        <f t="shared" si="37"/>
        <v>53</v>
      </c>
      <c r="AY101" s="104">
        <f t="shared" si="37"/>
        <v>53</v>
      </c>
      <c r="AZ101" s="104">
        <f t="shared" si="37"/>
        <v>53</v>
      </c>
      <c r="BA101" s="104">
        <f t="shared" si="37"/>
        <v>53</v>
      </c>
      <c r="BB101" s="104">
        <f t="shared" si="37"/>
        <v>53</v>
      </c>
      <c r="BC101" s="104">
        <f t="shared" si="37"/>
        <v>53</v>
      </c>
      <c r="BD101" s="104">
        <f t="shared" si="37"/>
        <v>53</v>
      </c>
      <c r="BE101" s="104">
        <f t="shared" si="37"/>
        <v>53</v>
      </c>
      <c r="BF101" s="104">
        <f t="shared" si="37"/>
        <v>53</v>
      </c>
      <c r="BG101" s="104">
        <f t="shared" si="37"/>
        <v>53</v>
      </c>
      <c r="BH101" s="104">
        <f t="shared" si="37"/>
        <v>53</v>
      </c>
      <c r="BI101" s="104">
        <f t="shared" si="37"/>
        <v>53</v>
      </c>
      <c r="BJ101" s="104">
        <f t="shared" si="37"/>
        <v>53</v>
      </c>
      <c r="BK101" s="104">
        <f t="shared" si="37"/>
        <v>53</v>
      </c>
      <c r="BL101" s="104">
        <f t="shared" si="37"/>
        <v>53</v>
      </c>
      <c r="BM101" s="104">
        <f t="shared" si="37"/>
        <v>53</v>
      </c>
      <c r="BN101" s="104">
        <f t="shared" si="37"/>
        <v>53</v>
      </c>
      <c r="BO101" s="104">
        <f t="shared" si="37"/>
        <v>53</v>
      </c>
      <c r="BP101" s="104">
        <f t="shared" si="37"/>
        <v>53</v>
      </c>
      <c r="BQ101" s="104">
        <f t="shared" si="37"/>
        <v>53</v>
      </c>
      <c r="BR101" s="104">
        <f t="shared" si="37"/>
        <v>53</v>
      </c>
      <c r="BS101" s="105"/>
      <c r="BT101" s="105"/>
      <c r="BU101" s="152">
        <f>SUM(E101:AP101)</f>
        <v>817.1</v>
      </c>
    </row>
    <row r="102" spans="1:73" hidden="1" x14ac:dyDescent="0.2">
      <c r="A102" s="123" t="s">
        <v>179</v>
      </c>
      <c r="B102" s="115" t="s">
        <v>205</v>
      </c>
      <c r="C102" s="148"/>
      <c r="D102" s="151" t="s">
        <v>206</v>
      </c>
      <c r="E102" s="85">
        <v>24</v>
      </c>
      <c r="F102" s="85">
        <v>24</v>
      </c>
      <c r="G102" s="85">
        <v>24</v>
      </c>
      <c r="H102" s="85"/>
      <c r="I102" s="85">
        <v>24</v>
      </c>
      <c r="J102" s="85">
        <v>24</v>
      </c>
      <c r="K102" s="85">
        <v>24</v>
      </c>
      <c r="L102" s="85">
        <v>24</v>
      </c>
      <c r="M102" s="85">
        <v>24</v>
      </c>
      <c r="N102" s="85">
        <v>24</v>
      </c>
      <c r="O102" s="85">
        <v>24</v>
      </c>
      <c r="P102" s="85">
        <v>24</v>
      </c>
      <c r="Q102" s="85">
        <v>24</v>
      </c>
      <c r="R102" s="85">
        <v>24</v>
      </c>
      <c r="S102" s="85">
        <v>24</v>
      </c>
      <c r="T102" s="85">
        <v>24</v>
      </c>
      <c r="U102" s="85">
        <v>24</v>
      </c>
      <c r="V102" s="85">
        <v>24</v>
      </c>
      <c r="W102" s="85">
        <v>24</v>
      </c>
      <c r="X102" s="85">
        <v>24</v>
      </c>
      <c r="Y102" s="85">
        <v>24</v>
      </c>
      <c r="Z102" s="85">
        <v>24</v>
      </c>
      <c r="AA102" s="85">
        <v>24</v>
      </c>
      <c r="AB102" s="85">
        <v>24</v>
      </c>
      <c r="AC102" s="85">
        <v>24</v>
      </c>
      <c r="AD102" s="85">
        <v>24</v>
      </c>
      <c r="AE102" s="85">
        <v>24</v>
      </c>
      <c r="AF102" s="85">
        <v>24</v>
      </c>
      <c r="AG102" s="85">
        <v>24</v>
      </c>
      <c r="AH102" s="85">
        <v>24</v>
      </c>
      <c r="AI102" s="85">
        <v>24</v>
      </c>
      <c r="AJ102" s="85">
        <v>24</v>
      </c>
      <c r="AK102" s="85">
        <v>24</v>
      </c>
      <c r="AL102" s="85">
        <v>24</v>
      </c>
      <c r="AM102" s="85">
        <v>24</v>
      </c>
      <c r="AN102" s="85">
        <v>24</v>
      </c>
      <c r="AO102" s="85">
        <v>24</v>
      </c>
      <c r="AP102" s="85">
        <v>24</v>
      </c>
      <c r="AQ102" s="85">
        <v>24</v>
      </c>
      <c r="AR102" s="85">
        <v>24</v>
      </c>
      <c r="AS102" s="85">
        <v>24</v>
      </c>
      <c r="AT102" s="85">
        <v>24</v>
      </c>
      <c r="AU102" s="85">
        <v>24</v>
      </c>
      <c r="AV102" s="85">
        <v>24</v>
      </c>
      <c r="AW102" s="85">
        <v>24</v>
      </c>
      <c r="AX102" s="85">
        <v>24</v>
      </c>
      <c r="AY102" s="85">
        <v>24</v>
      </c>
      <c r="AZ102" s="85">
        <v>24</v>
      </c>
      <c r="BA102" s="85">
        <v>24</v>
      </c>
      <c r="BB102" s="85">
        <v>24</v>
      </c>
      <c r="BC102" s="85">
        <v>24</v>
      </c>
      <c r="BD102" s="85">
        <v>24</v>
      </c>
      <c r="BE102" s="85">
        <v>24</v>
      </c>
      <c r="BF102" s="85">
        <v>24</v>
      </c>
      <c r="BG102" s="85">
        <v>24</v>
      </c>
      <c r="BH102" s="85">
        <v>24</v>
      </c>
      <c r="BI102" s="85">
        <v>24</v>
      </c>
      <c r="BJ102" s="85">
        <v>24</v>
      </c>
      <c r="BK102" s="85">
        <v>24</v>
      </c>
      <c r="BL102" s="85">
        <v>24</v>
      </c>
      <c r="BM102" s="85">
        <v>24</v>
      </c>
      <c r="BN102" s="85">
        <v>24</v>
      </c>
      <c r="BO102" s="85">
        <v>24</v>
      </c>
      <c r="BP102" s="85">
        <v>24</v>
      </c>
      <c r="BQ102" s="85">
        <v>24</v>
      </c>
      <c r="BR102" s="85">
        <v>24</v>
      </c>
      <c r="BS102" s="86"/>
      <c r="BT102" s="86"/>
      <c r="BU102" s="152">
        <f>SUM(E102:AP102)</f>
        <v>888</v>
      </c>
    </row>
    <row r="103" spans="1:73" hidden="1" x14ac:dyDescent="0.2">
      <c r="A103" s="123" t="s">
        <v>181</v>
      </c>
      <c r="B103" s="115" t="s">
        <v>207</v>
      </c>
      <c r="C103" s="148"/>
      <c r="D103" s="151" t="s">
        <v>206</v>
      </c>
      <c r="E103" s="104">
        <f t="shared" ref="E103:BR103" si="40">E63</f>
        <v>0</v>
      </c>
      <c r="F103" s="85">
        <f t="shared" si="40"/>
        <v>0</v>
      </c>
      <c r="G103" s="85">
        <f t="shared" si="40"/>
        <v>0</v>
      </c>
      <c r="H103" s="85"/>
      <c r="I103" s="104" t="e">
        <f t="shared" si="40"/>
        <v>#REF!</v>
      </c>
      <c r="J103" s="104" t="e">
        <f t="shared" si="40"/>
        <v>#REF!</v>
      </c>
      <c r="K103" s="104" t="e">
        <f t="shared" si="40"/>
        <v>#REF!</v>
      </c>
      <c r="L103" s="104" t="e">
        <f t="shared" ref="L103:AJ103" si="41">L63</f>
        <v>#REF!</v>
      </c>
      <c r="M103" s="104" t="e">
        <f t="shared" si="41"/>
        <v>#REF!</v>
      </c>
      <c r="N103" s="104" t="e">
        <f t="shared" si="41"/>
        <v>#REF!</v>
      </c>
      <c r="O103" s="104" t="e">
        <f t="shared" si="41"/>
        <v>#REF!</v>
      </c>
      <c r="P103" s="104" t="e">
        <f t="shared" si="41"/>
        <v>#REF!</v>
      </c>
      <c r="Q103" s="104" t="e">
        <f t="shared" si="41"/>
        <v>#REF!</v>
      </c>
      <c r="R103" s="104" t="e">
        <f t="shared" si="41"/>
        <v>#REF!</v>
      </c>
      <c r="S103" s="104" t="e">
        <f t="shared" si="41"/>
        <v>#REF!</v>
      </c>
      <c r="T103" s="104" t="e">
        <f t="shared" si="41"/>
        <v>#REF!</v>
      </c>
      <c r="U103" s="104" t="e">
        <f t="shared" si="41"/>
        <v>#REF!</v>
      </c>
      <c r="V103" s="104" t="e">
        <f t="shared" si="41"/>
        <v>#REF!</v>
      </c>
      <c r="W103" s="104" t="e">
        <f t="shared" si="41"/>
        <v>#REF!</v>
      </c>
      <c r="X103" s="104" t="e">
        <f t="shared" si="41"/>
        <v>#REF!</v>
      </c>
      <c r="Y103" s="104" t="e">
        <f t="shared" si="41"/>
        <v>#REF!</v>
      </c>
      <c r="Z103" s="104" t="e">
        <f t="shared" si="41"/>
        <v>#REF!</v>
      </c>
      <c r="AA103" s="104" t="e">
        <f t="shared" si="41"/>
        <v>#REF!</v>
      </c>
      <c r="AB103" s="104" t="e">
        <f t="shared" si="41"/>
        <v>#REF!</v>
      </c>
      <c r="AC103" s="104" t="e">
        <f t="shared" si="41"/>
        <v>#REF!</v>
      </c>
      <c r="AD103" s="104" t="e">
        <f t="shared" si="41"/>
        <v>#REF!</v>
      </c>
      <c r="AE103" s="104" t="e">
        <f t="shared" si="41"/>
        <v>#REF!</v>
      </c>
      <c r="AF103" s="104" t="e">
        <f t="shared" si="41"/>
        <v>#REF!</v>
      </c>
      <c r="AG103" s="104" t="e">
        <f t="shared" si="41"/>
        <v>#REF!</v>
      </c>
      <c r="AH103" s="104" t="e">
        <f t="shared" si="41"/>
        <v>#REF!</v>
      </c>
      <c r="AI103" s="104" t="e">
        <f t="shared" si="41"/>
        <v>#REF!</v>
      </c>
      <c r="AJ103" s="104" t="e">
        <f t="shared" si="41"/>
        <v>#REF!</v>
      </c>
      <c r="AK103" s="104" t="e">
        <f t="shared" ref="AK103" si="42">AK63</f>
        <v>#REF!</v>
      </c>
      <c r="AL103" s="104" t="e">
        <f t="shared" si="40"/>
        <v>#REF!</v>
      </c>
      <c r="AM103" s="104" t="e">
        <f t="shared" si="40"/>
        <v>#REF!</v>
      </c>
      <c r="AN103" s="104" t="e">
        <f t="shared" si="40"/>
        <v>#REF!</v>
      </c>
      <c r="AO103" s="104" t="e">
        <f t="shared" si="40"/>
        <v>#REF!</v>
      </c>
      <c r="AP103" s="104" t="e">
        <f t="shared" si="40"/>
        <v>#REF!</v>
      </c>
      <c r="AQ103" s="104" t="e">
        <f t="shared" si="40"/>
        <v>#REF!</v>
      </c>
      <c r="AR103" s="104" t="e">
        <f t="shared" si="40"/>
        <v>#REF!</v>
      </c>
      <c r="AS103" s="104" t="e">
        <f t="shared" si="40"/>
        <v>#REF!</v>
      </c>
      <c r="AT103" s="104" t="e">
        <f t="shared" si="40"/>
        <v>#REF!</v>
      </c>
      <c r="AU103" s="104" t="e">
        <f t="shared" si="40"/>
        <v>#REF!</v>
      </c>
      <c r="AV103" s="104" t="e">
        <f t="shared" si="40"/>
        <v>#REF!</v>
      </c>
      <c r="AW103" s="104" t="e">
        <f t="shared" si="40"/>
        <v>#REF!</v>
      </c>
      <c r="AX103" s="104" t="e">
        <f t="shared" si="40"/>
        <v>#REF!</v>
      </c>
      <c r="AY103" s="104" t="e">
        <f t="shared" si="40"/>
        <v>#REF!</v>
      </c>
      <c r="AZ103" s="104" t="e">
        <f t="shared" si="40"/>
        <v>#REF!</v>
      </c>
      <c r="BA103" s="104" t="e">
        <f t="shared" si="40"/>
        <v>#REF!</v>
      </c>
      <c r="BB103" s="104" t="e">
        <f t="shared" si="40"/>
        <v>#REF!</v>
      </c>
      <c r="BC103" s="104" t="e">
        <f t="shared" si="40"/>
        <v>#REF!</v>
      </c>
      <c r="BD103" s="104" t="e">
        <f t="shared" si="40"/>
        <v>#REF!</v>
      </c>
      <c r="BE103" s="104" t="e">
        <f t="shared" si="40"/>
        <v>#REF!</v>
      </c>
      <c r="BF103" s="104" t="e">
        <f t="shared" si="40"/>
        <v>#REF!</v>
      </c>
      <c r="BG103" s="104" t="e">
        <f t="shared" si="40"/>
        <v>#REF!</v>
      </c>
      <c r="BH103" s="104" t="e">
        <f t="shared" si="40"/>
        <v>#REF!</v>
      </c>
      <c r="BI103" s="104" t="e">
        <f t="shared" si="40"/>
        <v>#REF!</v>
      </c>
      <c r="BJ103" s="104">
        <f t="shared" si="40"/>
        <v>2</v>
      </c>
      <c r="BK103" s="104">
        <f t="shared" si="40"/>
        <v>2</v>
      </c>
      <c r="BL103" s="104">
        <f t="shared" si="40"/>
        <v>2</v>
      </c>
      <c r="BM103" s="104">
        <f t="shared" si="40"/>
        <v>2</v>
      </c>
      <c r="BN103" s="104">
        <f t="shared" si="40"/>
        <v>2</v>
      </c>
      <c r="BO103" s="104">
        <f t="shared" si="40"/>
        <v>2</v>
      </c>
      <c r="BP103" s="104">
        <f t="shared" si="40"/>
        <v>2</v>
      </c>
      <c r="BQ103" s="104">
        <f t="shared" si="40"/>
        <v>2</v>
      </c>
      <c r="BR103" s="104">
        <f t="shared" si="40"/>
        <v>2</v>
      </c>
      <c r="BS103" s="105"/>
      <c r="BT103" s="105"/>
      <c r="BU103" s="152" t="e">
        <f>SUM(E103:AP103)</f>
        <v>#REF!</v>
      </c>
    </row>
    <row r="104" spans="1:73" hidden="1" x14ac:dyDescent="0.2">
      <c r="A104" s="123" t="s">
        <v>183</v>
      </c>
      <c r="B104" s="115" t="s">
        <v>208</v>
      </c>
      <c r="C104" s="148"/>
      <c r="D104" s="151" t="s">
        <v>206</v>
      </c>
      <c r="E104" s="85">
        <v>0</v>
      </c>
      <c r="F104" s="85">
        <v>0</v>
      </c>
      <c r="G104" s="85">
        <v>0</v>
      </c>
      <c r="H104" s="85"/>
      <c r="I104" s="85">
        <v>0</v>
      </c>
      <c r="J104" s="85">
        <v>0</v>
      </c>
      <c r="K104" s="85">
        <v>0</v>
      </c>
      <c r="L104" s="85">
        <v>0</v>
      </c>
      <c r="M104" s="85">
        <v>0</v>
      </c>
      <c r="N104" s="85">
        <v>0</v>
      </c>
      <c r="O104" s="85">
        <v>0</v>
      </c>
      <c r="P104" s="85">
        <v>0</v>
      </c>
      <c r="Q104" s="85">
        <v>0</v>
      </c>
      <c r="R104" s="85">
        <v>0</v>
      </c>
      <c r="S104" s="85">
        <v>0</v>
      </c>
      <c r="T104" s="85">
        <v>0</v>
      </c>
      <c r="U104" s="85">
        <v>0</v>
      </c>
      <c r="V104" s="85">
        <v>0</v>
      </c>
      <c r="W104" s="85">
        <v>0</v>
      </c>
      <c r="X104" s="85">
        <v>0</v>
      </c>
      <c r="Y104" s="85">
        <v>0</v>
      </c>
      <c r="Z104" s="85">
        <v>0</v>
      </c>
      <c r="AA104" s="85">
        <v>0</v>
      </c>
      <c r="AB104" s="85">
        <v>0</v>
      </c>
      <c r="AC104" s="85">
        <v>0</v>
      </c>
      <c r="AD104" s="85">
        <v>0</v>
      </c>
      <c r="AE104" s="85">
        <v>0</v>
      </c>
      <c r="AF104" s="85">
        <v>0</v>
      </c>
      <c r="AG104" s="85">
        <v>0</v>
      </c>
      <c r="AH104" s="85">
        <v>0</v>
      </c>
      <c r="AI104" s="85">
        <v>0</v>
      </c>
      <c r="AJ104" s="85">
        <v>0</v>
      </c>
      <c r="AK104" s="85">
        <v>0</v>
      </c>
      <c r="AL104" s="85">
        <v>0</v>
      </c>
      <c r="AM104" s="85">
        <v>0</v>
      </c>
      <c r="AN104" s="85">
        <v>0</v>
      </c>
      <c r="AO104" s="86">
        <v>0</v>
      </c>
      <c r="AP104" s="86">
        <v>0</v>
      </c>
      <c r="AQ104" s="86">
        <v>0</v>
      </c>
      <c r="AR104" s="86">
        <v>0</v>
      </c>
      <c r="AS104" s="86">
        <v>0</v>
      </c>
      <c r="AT104" s="86">
        <v>0</v>
      </c>
      <c r="AU104" s="86">
        <v>0</v>
      </c>
      <c r="AV104" s="86">
        <v>0</v>
      </c>
      <c r="AW104" s="86">
        <v>0</v>
      </c>
      <c r="AX104" s="86">
        <v>0</v>
      </c>
      <c r="AY104" s="86">
        <v>0</v>
      </c>
      <c r="AZ104" s="86">
        <v>0</v>
      </c>
      <c r="BA104" s="86">
        <v>0</v>
      </c>
      <c r="BB104" s="86">
        <v>0</v>
      </c>
      <c r="BC104" s="86">
        <v>0</v>
      </c>
      <c r="BD104" s="86">
        <v>0</v>
      </c>
      <c r="BE104" s="86">
        <v>0</v>
      </c>
      <c r="BF104" s="86">
        <v>0</v>
      </c>
      <c r="BG104" s="86">
        <v>0</v>
      </c>
      <c r="BH104" s="86">
        <v>0</v>
      </c>
      <c r="BI104" s="86">
        <v>0</v>
      </c>
      <c r="BJ104" s="86">
        <v>0</v>
      </c>
      <c r="BK104" s="86">
        <v>0</v>
      </c>
      <c r="BL104" s="86">
        <v>0</v>
      </c>
      <c r="BM104" s="86">
        <v>0</v>
      </c>
      <c r="BN104" s="86">
        <v>0</v>
      </c>
      <c r="BO104" s="86">
        <v>0</v>
      </c>
      <c r="BP104" s="86">
        <v>0</v>
      </c>
      <c r="BQ104" s="86">
        <v>0</v>
      </c>
      <c r="BR104" s="86">
        <v>0</v>
      </c>
      <c r="BS104" s="86"/>
      <c r="BT104" s="86"/>
      <c r="BU104" s="152">
        <f>SUM(E104:AP104)</f>
        <v>0</v>
      </c>
    </row>
    <row r="105" spans="1:73" hidden="1" x14ac:dyDescent="0.2">
      <c r="A105" s="123"/>
      <c r="B105" s="115"/>
      <c r="C105" s="148"/>
      <c r="D105" s="151"/>
      <c r="E105" s="104"/>
      <c r="F105" s="151"/>
      <c r="G105" s="104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  <c r="AA105" s="115"/>
      <c r="AB105" s="115"/>
      <c r="AC105" s="115"/>
      <c r="AD105" s="115"/>
      <c r="AE105" s="115"/>
      <c r="AF105" s="115"/>
      <c r="AG105" s="115"/>
      <c r="AH105" s="115"/>
      <c r="AI105" s="115"/>
      <c r="AJ105" s="115"/>
      <c r="AK105" s="115"/>
      <c r="AL105" s="115"/>
      <c r="AM105" s="115"/>
      <c r="AN105" s="120"/>
      <c r="AO105" s="120"/>
      <c r="AP105" s="120"/>
      <c r="AQ105" s="120"/>
      <c r="AR105" s="120"/>
      <c r="AS105" s="120"/>
      <c r="AT105" s="120"/>
      <c r="AU105" s="120"/>
      <c r="AV105" s="120"/>
      <c r="AW105" s="120"/>
      <c r="AX105" s="120"/>
      <c r="AY105" s="120"/>
      <c r="AZ105" s="120"/>
      <c r="BA105" s="120"/>
      <c r="BB105" s="120"/>
      <c r="BC105" s="120"/>
      <c r="BD105" s="120"/>
      <c r="BE105" s="120"/>
      <c r="BF105" s="120"/>
      <c r="BG105" s="120"/>
      <c r="BH105" s="120"/>
      <c r="BI105" s="120"/>
      <c r="BJ105" s="120"/>
      <c r="BK105" s="120"/>
      <c r="BL105" s="120"/>
      <c r="BM105" s="120"/>
      <c r="BN105" s="120"/>
      <c r="BO105" s="120"/>
      <c r="BP105" s="120"/>
      <c r="BQ105" s="120"/>
      <c r="BR105" s="120"/>
      <c r="BS105" s="120"/>
      <c r="BT105" s="120"/>
      <c r="BU105" s="152"/>
    </row>
    <row r="106" spans="1:73" hidden="1" x14ac:dyDescent="0.2">
      <c r="A106" s="123" t="s">
        <v>209</v>
      </c>
      <c r="B106" s="115" t="s">
        <v>210</v>
      </c>
      <c r="C106" s="148"/>
      <c r="D106" s="151" t="s">
        <v>211</v>
      </c>
      <c r="E106" s="85">
        <f>E98*E99*E100*60/1000000</f>
        <v>0</v>
      </c>
      <c r="F106" s="85">
        <f>F98*F99*F100*60/1000000</f>
        <v>0</v>
      </c>
      <c r="G106" s="85">
        <f>G98*G99*G100*60/1000000</f>
        <v>0</v>
      </c>
      <c r="H106" s="85"/>
      <c r="I106" s="85" t="e">
        <f>I98*I99*I100*60/1000000</f>
        <v>#REF!</v>
      </c>
      <c r="J106" s="85" t="e">
        <f t="shared" ref="J106:BR106" si="43">J98*J99*J100*60/1000000</f>
        <v>#REF!</v>
      </c>
      <c r="K106" s="85" t="e">
        <f t="shared" si="43"/>
        <v>#REF!</v>
      </c>
      <c r="L106" s="85" t="e">
        <f t="shared" ref="L106:AJ106" si="44">L98*L99*L100*60/1000000</f>
        <v>#REF!</v>
      </c>
      <c r="M106" s="85" t="e">
        <f t="shared" si="44"/>
        <v>#REF!</v>
      </c>
      <c r="N106" s="85" t="e">
        <f t="shared" si="44"/>
        <v>#REF!</v>
      </c>
      <c r="O106" s="85" t="e">
        <f t="shared" si="44"/>
        <v>#REF!</v>
      </c>
      <c r="P106" s="85" t="e">
        <f t="shared" si="44"/>
        <v>#REF!</v>
      </c>
      <c r="Q106" s="85" t="e">
        <f t="shared" si="44"/>
        <v>#REF!</v>
      </c>
      <c r="R106" s="85" t="e">
        <f t="shared" si="44"/>
        <v>#REF!</v>
      </c>
      <c r="S106" s="85" t="e">
        <f t="shared" si="44"/>
        <v>#REF!</v>
      </c>
      <c r="T106" s="85" t="e">
        <f t="shared" si="44"/>
        <v>#REF!</v>
      </c>
      <c r="U106" s="85" t="e">
        <f t="shared" si="44"/>
        <v>#REF!</v>
      </c>
      <c r="V106" s="85" t="e">
        <f t="shared" si="44"/>
        <v>#REF!</v>
      </c>
      <c r="W106" s="85" t="e">
        <f t="shared" si="44"/>
        <v>#REF!</v>
      </c>
      <c r="X106" s="85" t="e">
        <f t="shared" si="44"/>
        <v>#REF!</v>
      </c>
      <c r="Y106" s="85" t="e">
        <f t="shared" si="44"/>
        <v>#REF!</v>
      </c>
      <c r="Z106" s="85" t="e">
        <f t="shared" si="44"/>
        <v>#REF!</v>
      </c>
      <c r="AA106" s="85" t="e">
        <f t="shared" si="44"/>
        <v>#REF!</v>
      </c>
      <c r="AB106" s="85" t="e">
        <f t="shared" si="44"/>
        <v>#REF!</v>
      </c>
      <c r="AC106" s="85" t="e">
        <f t="shared" si="44"/>
        <v>#REF!</v>
      </c>
      <c r="AD106" s="85" t="e">
        <f t="shared" si="44"/>
        <v>#REF!</v>
      </c>
      <c r="AE106" s="85" t="e">
        <f t="shared" si="44"/>
        <v>#REF!</v>
      </c>
      <c r="AF106" s="85" t="e">
        <f t="shared" si="44"/>
        <v>#REF!</v>
      </c>
      <c r="AG106" s="85" t="e">
        <f t="shared" si="44"/>
        <v>#REF!</v>
      </c>
      <c r="AH106" s="85" t="e">
        <f t="shared" si="44"/>
        <v>#REF!</v>
      </c>
      <c r="AI106" s="85" t="e">
        <f t="shared" si="44"/>
        <v>#REF!</v>
      </c>
      <c r="AJ106" s="85" t="e">
        <f t="shared" si="44"/>
        <v>#REF!</v>
      </c>
      <c r="AK106" s="85" t="e">
        <f t="shared" ref="AK106" si="45">AK98*AK99*AK100*60/1000000</f>
        <v>#REF!</v>
      </c>
      <c r="AL106" s="85" t="e">
        <f t="shared" si="43"/>
        <v>#REF!</v>
      </c>
      <c r="AM106" s="85" t="e">
        <f t="shared" si="43"/>
        <v>#REF!</v>
      </c>
      <c r="AN106" s="85" t="e">
        <f t="shared" si="43"/>
        <v>#REF!</v>
      </c>
      <c r="AO106" s="85" t="e">
        <f t="shared" si="43"/>
        <v>#REF!</v>
      </c>
      <c r="AP106" s="85" t="e">
        <f t="shared" si="43"/>
        <v>#REF!</v>
      </c>
      <c r="AQ106" s="85" t="e">
        <f t="shared" si="43"/>
        <v>#REF!</v>
      </c>
      <c r="AR106" s="85" t="e">
        <f t="shared" si="43"/>
        <v>#REF!</v>
      </c>
      <c r="AS106" s="85" t="e">
        <f t="shared" si="43"/>
        <v>#REF!</v>
      </c>
      <c r="AT106" s="85" t="e">
        <f t="shared" si="43"/>
        <v>#REF!</v>
      </c>
      <c r="AU106" s="85" t="e">
        <f t="shared" si="43"/>
        <v>#REF!</v>
      </c>
      <c r="AV106" s="85" t="e">
        <f t="shared" si="43"/>
        <v>#REF!</v>
      </c>
      <c r="AW106" s="85" t="e">
        <f t="shared" si="43"/>
        <v>#REF!</v>
      </c>
      <c r="AX106" s="85" t="e">
        <f t="shared" si="43"/>
        <v>#REF!</v>
      </c>
      <c r="AY106" s="85" t="e">
        <f t="shared" si="43"/>
        <v>#REF!</v>
      </c>
      <c r="AZ106" s="85" t="e">
        <f t="shared" si="43"/>
        <v>#REF!</v>
      </c>
      <c r="BA106" s="85" t="e">
        <f t="shared" si="43"/>
        <v>#REF!</v>
      </c>
      <c r="BB106" s="85" t="e">
        <f t="shared" si="43"/>
        <v>#REF!</v>
      </c>
      <c r="BC106" s="85" t="e">
        <f t="shared" si="43"/>
        <v>#REF!</v>
      </c>
      <c r="BD106" s="85" t="e">
        <f t="shared" si="43"/>
        <v>#REF!</v>
      </c>
      <c r="BE106" s="85" t="e">
        <f t="shared" si="43"/>
        <v>#REF!</v>
      </c>
      <c r="BF106" s="85" t="e">
        <f t="shared" si="43"/>
        <v>#REF!</v>
      </c>
      <c r="BG106" s="85" t="e">
        <f t="shared" si="43"/>
        <v>#REF!</v>
      </c>
      <c r="BH106" s="85" t="e">
        <f t="shared" si="43"/>
        <v>#REF!</v>
      </c>
      <c r="BI106" s="85" t="e">
        <f t="shared" si="43"/>
        <v>#REF!</v>
      </c>
      <c r="BJ106" s="85" t="e">
        <f t="shared" si="43"/>
        <v>#REF!</v>
      </c>
      <c r="BK106" s="85" t="e">
        <f t="shared" si="43"/>
        <v>#REF!</v>
      </c>
      <c r="BL106" s="85" t="e">
        <f t="shared" si="43"/>
        <v>#REF!</v>
      </c>
      <c r="BM106" s="85" t="e">
        <f t="shared" si="43"/>
        <v>#REF!</v>
      </c>
      <c r="BN106" s="85" t="e">
        <f t="shared" si="43"/>
        <v>#REF!</v>
      </c>
      <c r="BO106" s="85" t="e">
        <f t="shared" si="43"/>
        <v>#REF!</v>
      </c>
      <c r="BP106" s="85" t="e">
        <f t="shared" si="43"/>
        <v>#REF!</v>
      </c>
      <c r="BQ106" s="85" t="e">
        <f t="shared" si="43"/>
        <v>#REF!</v>
      </c>
      <c r="BR106" s="85" t="e">
        <f t="shared" si="43"/>
        <v>#REF!</v>
      </c>
      <c r="BS106" s="86"/>
      <c r="BT106" s="86"/>
      <c r="BU106" s="152" t="e">
        <f>BU98*BU99*BU100*60/1000000</f>
        <v>#REF!</v>
      </c>
    </row>
    <row r="107" spans="1:73" hidden="1" x14ac:dyDescent="0.2">
      <c r="A107" s="123" t="s">
        <v>212</v>
      </c>
      <c r="B107" s="115" t="s">
        <v>213</v>
      </c>
      <c r="C107" s="148"/>
      <c r="D107" s="151" t="s">
        <v>214</v>
      </c>
      <c r="E107" s="85" t="e">
        <f t="shared" ref="E107:BU107" si="46">1/E106</f>
        <v>#DIV/0!</v>
      </c>
      <c r="F107" s="85" t="e">
        <f t="shared" si="46"/>
        <v>#DIV/0!</v>
      </c>
      <c r="G107" s="85" t="e">
        <f t="shared" si="46"/>
        <v>#DIV/0!</v>
      </c>
      <c r="H107" s="85"/>
      <c r="I107" s="85" t="e">
        <f t="shared" si="46"/>
        <v>#REF!</v>
      </c>
      <c r="J107" s="85" t="e">
        <f t="shared" si="46"/>
        <v>#REF!</v>
      </c>
      <c r="K107" s="85" t="e">
        <f t="shared" si="46"/>
        <v>#REF!</v>
      </c>
      <c r="L107" s="85" t="e">
        <f t="shared" ref="L107:AJ107" si="47">1/L106</f>
        <v>#REF!</v>
      </c>
      <c r="M107" s="85" t="e">
        <f t="shared" si="47"/>
        <v>#REF!</v>
      </c>
      <c r="N107" s="85" t="e">
        <f t="shared" si="47"/>
        <v>#REF!</v>
      </c>
      <c r="O107" s="85" t="e">
        <f t="shared" si="47"/>
        <v>#REF!</v>
      </c>
      <c r="P107" s="85" t="e">
        <f t="shared" si="47"/>
        <v>#REF!</v>
      </c>
      <c r="Q107" s="85" t="e">
        <f t="shared" si="47"/>
        <v>#REF!</v>
      </c>
      <c r="R107" s="85" t="e">
        <f t="shared" si="47"/>
        <v>#REF!</v>
      </c>
      <c r="S107" s="85" t="e">
        <f t="shared" si="47"/>
        <v>#REF!</v>
      </c>
      <c r="T107" s="85" t="e">
        <f t="shared" si="47"/>
        <v>#REF!</v>
      </c>
      <c r="U107" s="85" t="e">
        <f t="shared" si="47"/>
        <v>#REF!</v>
      </c>
      <c r="V107" s="85" t="e">
        <f t="shared" si="47"/>
        <v>#REF!</v>
      </c>
      <c r="W107" s="85" t="e">
        <f t="shared" si="47"/>
        <v>#REF!</v>
      </c>
      <c r="X107" s="85" t="e">
        <f t="shared" si="47"/>
        <v>#REF!</v>
      </c>
      <c r="Y107" s="85" t="e">
        <f t="shared" si="47"/>
        <v>#REF!</v>
      </c>
      <c r="Z107" s="85" t="e">
        <f t="shared" si="47"/>
        <v>#REF!</v>
      </c>
      <c r="AA107" s="85" t="e">
        <f t="shared" si="47"/>
        <v>#REF!</v>
      </c>
      <c r="AB107" s="85" t="e">
        <f t="shared" si="47"/>
        <v>#REF!</v>
      </c>
      <c r="AC107" s="85" t="e">
        <f t="shared" si="47"/>
        <v>#REF!</v>
      </c>
      <c r="AD107" s="85" t="e">
        <f t="shared" si="47"/>
        <v>#REF!</v>
      </c>
      <c r="AE107" s="85" t="e">
        <f t="shared" si="47"/>
        <v>#REF!</v>
      </c>
      <c r="AF107" s="85" t="e">
        <f t="shared" si="47"/>
        <v>#REF!</v>
      </c>
      <c r="AG107" s="85" t="e">
        <f t="shared" si="47"/>
        <v>#REF!</v>
      </c>
      <c r="AH107" s="85" t="e">
        <f t="shared" si="47"/>
        <v>#REF!</v>
      </c>
      <c r="AI107" s="85" t="e">
        <f t="shared" si="47"/>
        <v>#REF!</v>
      </c>
      <c r="AJ107" s="85" t="e">
        <f t="shared" si="47"/>
        <v>#REF!</v>
      </c>
      <c r="AK107" s="85" t="e">
        <f t="shared" ref="AK107" si="48">1/AK106</f>
        <v>#REF!</v>
      </c>
      <c r="AL107" s="85" t="e">
        <f t="shared" si="46"/>
        <v>#REF!</v>
      </c>
      <c r="AM107" s="85" t="e">
        <f t="shared" si="46"/>
        <v>#REF!</v>
      </c>
      <c r="AN107" s="85" t="e">
        <f t="shared" si="46"/>
        <v>#REF!</v>
      </c>
      <c r="AO107" s="85" t="e">
        <f t="shared" si="46"/>
        <v>#REF!</v>
      </c>
      <c r="AP107" s="85" t="e">
        <f t="shared" si="46"/>
        <v>#REF!</v>
      </c>
      <c r="AQ107" s="85" t="e">
        <f t="shared" si="46"/>
        <v>#REF!</v>
      </c>
      <c r="AR107" s="85" t="e">
        <f t="shared" si="46"/>
        <v>#REF!</v>
      </c>
      <c r="AS107" s="85" t="e">
        <f t="shared" si="46"/>
        <v>#REF!</v>
      </c>
      <c r="AT107" s="85" t="e">
        <f t="shared" si="46"/>
        <v>#REF!</v>
      </c>
      <c r="AU107" s="85" t="e">
        <f t="shared" si="46"/>
        <v>#REF!</v>
      </c>
      <c r="AV107" s="85" t="e">
        <f t="shared" si="46"/>
        <v>#REF!</v>
      </c>
      <c r="AW107" s="85" t="e">
        <f t="shared" si="46"/>
        <v>#REF!</v>
      </c>
      <c r="AX107" s="85" t="e">
        <f t="shared" si="46"/>
        <v>#REF!</v>
      </c>
      <c r="AY107" s="85" t="e">
        <f t="shared" si="46"/>
        <v>#REF!</v>
      </c>
      <c r="AZ107" s="85" t="e">
        <f t="shared" si="46"/>
        <v>#REF!</v>
      </c>
      <c r="BA107" s="85" t="e">
        <f t="shared" si="46"/>
        <v>#REF!</v>
      </c>
      <c r="BB107" s="85" t="e">
        <f t="shared" si="46"/>
        <v>#REF!</v>
      </c>
      <c r="BC107" s="85" t="e">
        <f t="shared" si="46"/>
        <v>#REF!</v>
      </c>
      <c r="BD107" s="85" t="e">
        <f t="shared" si="46"/>
        <v>#REF!</v>
      </c>
      <c r="BE107" s="85" t="e">
        <f t="shared" si="46"/>
        <v>#REF!</v>
      </c>
      <c r="BF107" s="85" t="e">
        <f t="shared" si="46"/>
        <v>#REF!</v>
      </c>
      <c r="BG107" s="85" t="e">
        <f t="shared" si="46"/>
        <v>#REF!</v>
      </c>
      <c r="BH107" s="85" t="e">
        <f t="shared" si="46"/>
        <v>#REF!</v>
      </c>
      <c r="BI107" s="85" t="e">
        <f t="shared" si="46"/>
        <v>#REF!</v>
      </c>
      <c r="BJ107" s="85" t="e">
        <f t="shared" si="46"/>
        <v>#REF!</v>
      </c>
      <c r="BK107" s="85" t="e">
        <f t="shared" si="46"/>
        <v>#REF!</v>
      </c>
      <c r="BL107" s="85" t="e">
        <f t="shared" si="46"/>
        <v>#REF!</v>
      </c>
      <c r="BM107" s="85" t="e">
        <f t="shared" si="46"/>
        <v>#REF!</v>
      </c>
      <c r="BN107" s="85" t="e">
        <f t="shared" si="46"/>
        <v>#REF!</v>
      </c>
      <c r="BO107" s="85" t="e">
        <f t="shared" si="46"/>
        <v>#REF!</v>
      </c>
      <c r="BP107" s="85" t="e">
        <f t="shared" si="46"/>
        <v>#REF!</v>
      </c>
      <c r="BQ107" s="85" t="e">
        <f t="shared" si="46"/>
        <v>#REF!</v>
      </c>
      <c r="BR107" s="85" t="e">
        <f t="shared" si="46"/>
        <v>#REF!</v>
      </c>
      <c r="BS107" s="86"/>
      <c r="BT107" s="86"/>
      <c r="BU107" s="152" t="e">
        <f t="shared" si="46"/>
        <v>#REF!</v>
      </c>
    </row>
    <row r="108" spans="1:73" hidden="1" x14ac:dyDescent="0.2">
      <c r="A108" s="123" t="s">
        <v>215</v>
      </c>
      <c r="B108" s="115" t="s">
        <v>216</v>
      </c>
      <c r="C108" s="148"/>
      <c r="D108" s="151" t="s">
        <v>206</v>
      </c>
      <c r="E108" s="85">
        <f t="shared" ref="E108:BU108" si="49">E102-E104</f>
        <v>24</v>
      </c>
      <c r="F108" s="85">
        <f t="shared" si="49"/>
        <v>24</v>
      </c>
      <c r="G108" s="85">
        <f t="shared" si="49"/>
        <v>24</v>
      </c>
      <c r="H108" s="85"/>
      <c r="I108" s="85">
        <f t="shared" si="49"/>
        <v>24</v>
      </c>
      <c r="J108" s="85">
        <f t="shared" si="49"/>
        <v>24</v>
      </c>
      <c r="K108" s="85">
        <f t="shared" si="49"/>
        <v>24</v>
      </c>
      <c r="L108" s="85">
        <f t="shared" ref="L108:AJ108" si="50">L102-L104</f>
        <v>24</v>
      </c>
      <c r="M108" s="85">
        <f t="shared" si="50"/>
        <v>24</v>
      </c>
      <c r="N108" s="85">
        <f t="shared" si="50"/>
        <v>24</v>
      </c>
      <c r="O108" s="85">
        <f t="shared" si="50"/>
        <v>24</v>
      </c>
      <c r="P108" s="85">
        <f t="shared" si="50"/>
        <v>24</v>
      </c>
      <c r="Q108" s="85">
        <f t="shared" si="50"/>
        <v>24</v>
      </c>
      <c r="R108" s="85">
        <f t="shared" si="50"/>
        <v>24</v>
      </c>
      <c r="S108" s="85">
        <f t="shared" si="50"/>
        <v>24</v>
      </c>
      <c r="T108" s="85">
        <f t="shared" si="50"/>
        <v>24</v>
      </c>
      <c r="U108" s="85">
        <f t="shared" si="50"/>
        <v>24</v>
      </c>
      <c r="V108" s="85">
        <f t="shared" si="50"/>
        <v>24</v>
      </c>
      <c r="W108" s="85">
        <f t="shared" si="50"/>
        <v>24</v>
      </c>
      <c r="X108" s="85">
        <f t="shared" si="50"/>
        <v>24</v>
      </c>
      <c r="Y108" s="85">
        <f t="shared" si="50"/>
        <v>24</v>
      </c>
      <c r="Z108" s="85">
        <f t="shared" si="50"/>
        <v>24</v>
      </c>
      <c r="AA108" s="85">
        <f t="shared" si="50"/>
        <v>24</v>
      </c>
      <c r="AB108" s="85">
        <f t="shared" si="50"/>
        <v>24</v>
      </c>
      <c r="AC108" s="85">
        <f t="shared" si="50"/>
        <v>24</v>
      </c>
      <c r="AD108" s="85">
        <f t="shared" si="50"/>
        <v>24</v>
      </c>
      <c r="AE108" s="85">
        <f t="shared" si="50"/>
        <v>24</v>
      </c>
      <c r="AF108" s="85">
        <f t="shared" si="50"/>
        <v>24</v>
      </c>
      <c r="AG108" s="85">
        <f t="shared" si="50"/>
        <v>24</v>
      </c>
      <c r="AH108" s="85">
        <f t="shared" si="50"/>
        <v>24</v>
      </c>
      <c r="AI108" s="85">
        <f t="shared" si="50"/>
        <v>24</v>
      </c>
      <c r="AJ108" s="85">
        <f t="shared" si="50"/>
        <v>24</v>
      </c>
      <c r="AK108" s="85">
        <f t="shared" ref="AK108" si="51">AK102-AK104</f>
        <v>24</v>
      </c>
      <c r="AL108" s="85">
        <f t="shared" si="49"/>
        <v>24</v>
      </c>
      <c r="AM108" s="85">
        <f t="shared" si="49"/>
        <v>24</v>
      </c>
      <c r="AN108" s="85">
        <f t="shared" si="49"/>
        <v>24</v>
      </c>
      <c r="AO108" s="85">
        <f t="shared" si="49"/>
        <v>24</v>
      </c>
      <c r="AP108" s="85">
        <f t="shared" si="49"/>
        <v>24</v>
      </c>
      <c r="AQ108" s="85">
        <f t="shared" si="49"/>
        <v>24</v>
      </c>
      <c r="AR108" s="85">
        <f t="shared" si="49"/>
        <v>24</v>
      </c>
      <c r="AS108" s="85">
        <f t="shared" si="49"/>
        <v>24</v>
      </c>
      <c r="AT108" s="85">
        <f t="shared" si="49"/>
        <v>24</v>
      </c>
      <c r="AU108" s="85">
        <f t="shared" si="49"/>
        <v>24</v>
      </c>
      <c r="AV108" s="85">
        <f t="shared" si="49"/>
        <v>24</v>
      </c>
      <c r="AW108" s="85">
        <f t="shared" si="49"/>
        <v>24</v>
      </c>
      <c r="AX108" s="85">
        <f t="shared" si="49"/>
        <v>24</v>
      </c>
      <c r="AY108" s="85">
        <f t="shared" si="49"/>
        <v>24</v>
      </c>
      <c r="AZ108" s="85">
        <f t="shared" si="49"/>
        <v>24</v>
      </c>
      <c r="BA108" s="85">
        <f t="shared" si="49"/>
        <v>24</v>
      </c>
      <c r="BB108" s="85">
        <f t="shared" si="49"/>
        <v>24</v>
      </c>
      <c r="BC108" s="85">
        <f t="shared" si="49"/>
        <v>24</v>
      </c>
      <c r="BD108" s="85">
        <f t="shared" si="49"/>
        <v>24</v>
      </c>
      <c r="BE108" s="85">
        <f t="shared" si="49"/>
        <v>24</v>
      </c>
      <c r="BF108" s="85">
        <f t="shared" si="49"/>
        <v>24</v>
      </c>
      <c r="BG108" s="85">
        <f t="shared" si="49"/>
        <v>24</v>
      </c>
      <c r="BH108" s="85">
        <f t="shared" si="49"/>
        <v>24</v>
      </c>
      <c r="BI108" s="85">
        <f t="shared" si="49"/>
        <v>24</v>
      </c>
      <c r="BJ108" s="85">
        <f t="shared" si="49"/>
        <v>24</v>
      </c>
      <c r="BK108" s="85">
        <f t="shared" si="49"/>
        <v>24</v>
      </c>
      <c r="BL108" s="85">
        <f t="shared" si="49"/>
        <v>24</v>
      </c>
      <c r="BM108" s="85">
        <f t="shared" si="49"/>
        <v>24</v>
      </c>
      <c r="BN108" s="85">
        <f t="shared" si="49"/>
        <v>24</v>
      </c>
      <c r="BO108" s="85">
        <f t="shared" si="49"/>
        <v>24</v>
      </c>
      <c r="BP108" s="85">
        <f t="shared" si="49"/>
        <v>24</v>
      </c>
      <c r="BQ108" s="85">
        <f t="shared" si="49"/>
        <v>24</v>
      </c>
      <c r="BR108" s="85">
        <f t="shared" si="49"/>
        <v>24</v>
      </c>
      <c r="BS108" s="86"/>
      <c r="BT108" s="86"/>
      <c r="BU108" s="152">
        <f t="shared" si="49"/>
        <v>888</v>
      </c>
    </row>
    <row r="109" spans="1:73" hidden="1" x14ac:dyDescent="0.2">
      <c r="A109" s="123" t="s">
        <v>217</v>
      </c>
      <c r="B109" s="115" t="s">
        <v>218</v>
      </c>
      <c r="C109" s="148"/>
      <c r="D109" s="151" t="s">
        <v>206</v>
      </c>
      <c r="E109" s="85">
        <f t="shared" ref="E109:BU109" si="52">E102-E103</f>
        <v>24</v>
      </c>
      <c r="F109" s="85">
        <f t="shared" si="52"/>
        <v>24</v>
      </c>
      <c r="G109" s="85">
        <f t="shared" si="52"/>
        <v>24</v>
      </c>
      <c r="H109" s="85"/>
      <c r="I109" s="85" t="e">
        <f t="shared" si="52"/>
        <v>#REF!</v>
      </c>
      <c r="J109" s="85" t="e">
        <f t="shared" si="52"/>
        <v>#REF!</v>
      </c>
      <c r="K109" s="85" t="e">
        <f t="shared" si="52"/>
        <v>#REF!</v>
      </c>
      <c r="L109" s="85" t="e">
        <f t="shared" ref="L109:AJ109" si="53">L102-L103</f>
        <v>#REF!</v>
      </c>
      <c r="M109" s="85" t="e">
        <f t="shared" si="53"/>
        <v>#REF!</v>
      </c>
      <c r="N109" s="85" t="e">
        <f t="shared" si="53"/>
        <v>#REF!</v>
      </c>
      <c r="O109" s="85" t="e">
        <f t="shared" si="53"/>
        <v>#REF!</v>
      </c>
      <c r="P109" s="85" t="e">
        <f t="shared" si="53"/>
        <v>#REF!</v>
      </c>
      <c r="Q109" s="85" t="e">
        <f t="shared" si="53"/>
        <v>#REF!</v>
      </c>
      <c r="R109" s="85" t="e">
        <f t="shared" si="53"/>
        <v>#REF!</v>
      </c>
      <c r="S109" s="85" t="e">
        <f t="shared" si="53"/>
        <v>#REF!</v>
      </c>
      <c r="T109" s="85" t="e">
        <f t="shared" si="53"/>
        <v>#REF!</v>
      </c>
      <c r="U109" s="85" t="e">
        <f t="shared" si="53"/>
        <v>#REF!</v>
      </c>
      <c r="V109" s="85" t="e">
        <f t="shared" si="53"/>
        <v>#REF!</v>
      </c>
      <c r="W109" s="85" t="e">
        <f t="shared" si="53"/>
        <v>#REF!</v>
      </c>
      <c r="X109" s="85" t="e">
        <f t="shared" si="53"/>
        <v>#REF!</v>
      </c>
      <c r="Y109" s="85" t="e">
        <f t="shared" si="53"/>
        <v>#REF!</v>
      </c>
      <c r="Z109" s="85" t="e">
        <f t="shared" si="53"/>
        <v>#REF!</v>
      </c>
      <c r="AA109" s="85" t="e">
        <f t="shared" si="53"/>
        <v>#REF!</v>
      </c>
      <c r="AB109" s="85" t="e">
        <f t="shared" si="53"/>
        <v>#REF!</v>
      </c>
      <c r="AC109" s="85" t="e">
        <f t="shared" si="53"/>
        <v>#REF!</v>
      </c>
      <c r="AD109" s="85" t="e">
        <f t="shared" si="53"/>
        <v>#REF!</v>
      </c>
      <c r="AE109" s="85" t="e">
        <f t="shared" si="53"/>
        <v>#REF!</v>
      </c>
      <c r="AF109" s="85" t="e">
        <f t="shared" si="53"/>
        <v>#REF!</v>
      </c>
      <c r="AG109" s="85" t="e">
        <f t="shared" si="53"/>
        <v>#REF!</v>
      </c>
      <c r="AH109" s="85" t="e">
        <f t="shared" si="53"/>
        <v>#REF!</v>
      </c>
      <c r="AI109" s="85" t="e">
        <f t="shared" si="53"/>
        <v>#REF!</v>
      </c>
      <c r="AJ109" s="85" t="e">
        <f t="shared" si="53"/>
        <v>#REF!</v>
      </c>
      <c r="AK109" s="85" t="e">
        <f t="shared" ref="AK109" si="54">AK102-AK103</f>
        <v>#REF!</v>
      </c>
      <c r="AL109" s="85" t="e">
        <f t="shared" si="52"/>
        <v>#REF!</v>
      </c>
      <c r="AM109" s="85" t="e">
        <f t="shared" si="52"/>
        <v>#REF!</v>
      </c>
      <c r="AN109" s="85" t="e">
        <f t="shared" si="52"/>
        <v>#REF!</v>
      </c>
      <c r="AO109" s="85" t="e">
        <f t="shared" si="52"/>
        <v>#REF!</v>
      </c>
      <c r="AP109" s="85" t="e">
        <f t="shared" si="52"/>
        <v>#REF!</v>
      </c>
      <c r="AQ109" s="85" t="e">
        <f t="shared" si="52"/>
        <v>#REF!</v>
      </c>
      <c r="AR109" s="85" t="e">
        <f t="shared" si="52"/>
        <v>#REF!</v>
      </c>
      <c r="AS109" s="85" t="e">
        <f t="shared" si="52"/>
        <v>#REF!</v>
      </c>
      <c r="AT109" s="85" t="e">
        <f t="shared" si="52"/>
        <v>#REF!</v>
      </c>
      <c r="AU109" s="85" t="e">
        <f t="shared" si="52"/>
        <v>#REF!</v>
      </c>
      <c r="AV109" s="85" t="e">
        <f t="shared" si="52"/>
        <v>#REF!</v>
      </c>
      <c r="AW109" s="85" t="e">
        <f t="shared" si="52"/>
        <v>#REF!</v>
      </c>
      <c r="AX109" s="85" t="e">
        <f t="shared" si="52"/>
        <v>#REF!</v>
      </c>
      <c r="AY109" s="85" t="e">
        <f t="shared" si="52"/>
        <v>#REF!</v>
      </c>
      <c r="AZ109" s="85" t="e">
        <f t="shared" si="52"/>
        <v>#REF!</v>
      </c>
      <c r="BA109" s="85" t="e">
        <f t="shared" si="52"/>
        <v>#REF!</v>
      </c>
      <c r="BB109" s="85" t="e">
        <f t="shared" si="52"/>
        <v>#REF!</v>
      </c>
      <c r="BC109" s="85" t="e">
        <f t="shared" si="52"/>
        <v>#REF!</v>
      </c>
      <c r="BD109" s="85" t="e">
        <f t="shared" si="52"/>
        <v>#REF!</v>
      </c>
      <c r="BE109" s="85" t="e">
        <f t="shared" si="52"/>
        <v>#REF!</v>
      </c>
      <c r="BF109" s="85" t="e">
        <f t="shared" si="52"/>
        <v>#REF!</v>
      </c>
      <c r="BG109" s="85" t="e">
        <f t="shared" si="52"/>
        <v>#REF!</v>
      </c>
      <c r="BH109" s="85" t="e">
        <f t="shared" si="52"/>
        <v>#REF!</v>
      </c>
      <c r="BI109" s="85" t="e">
        <f t="shared" si="52"/>
        <v>#REF!</v>
      </c>
      <c r="BJ109" s="85">
        <f t="shared" si="52"/>
        <v>22</v>
      </c>
      <c r="BK109" s="85">
        <f t="shared" si="52"/>
        <v>22</v>
      </c>
      <c r="BL109" s="85">
        <f t="shared" si="52"/>
        <v>22</v>
      </c>
      <c r="BM109" s="85">
        <f t="shared" si="52"/>
        <v>22</v>
      </c>
      <c r="BN109" s="85">
        <f t="shared" si="52"/>
        <v>22</v>
      </c>
      <c r="BO109" s="85">
        <f t="shared" si="52"/>
        <v>22</v>
      </c>
      <c r="BP109" s="85">
        <f t="shared" si="52"/>
        <v>22</v>
      </c>
      <c r="BQ109" s="85">
        <f t="shared" si="52"/>
        <v>22</v>
      </c>
      <c r="BR109" s="85">
        <f t="shared" si="52"/>
        <v>22</v>
      </c>
      <c r="BS109" s="86"/>
      <c r="BT109" s="86"/>
      <c r="BU109" s="152" t="e">
        <f t="shared" si="52"/>
        <v>#REF!</v>
      </c>
    </row>
    <row r="110" spans="1:73" hidden="1" x14ac:dyDescent="0.2">
      <c r="A110" s="123" t="s">
        <v>219</v>
      </c>
      <c r="B110" s="115" t="s">
        <v>220</v>
      </c>
      <c r="C110" s="148"/>
      <c r="D110" s="151"/>
      <c r="E110" s="85">
        <f t="shared" ref="E110:BU110" si="55">E109/E108</f>
        <v>1</v>
      </c>
      <c r="F110" s="85">
        <f t="shared" si="55"/>
        <v>1</v>
      </c>
      <c r="G110" s="85">
        <f t="shared" si="55"/>
        <v>1</v>
      </c>
      <c r="H110" s="85"/>
      <c r="I110" s="85" t="e">
        <f t="shared" si="55"/>
        <v>#REF!</v>
      </c>
      <c r="J110" s="85" t="e">
        <f t="shared" si="55"/>
        <v>#REF!</v>
      </c>
      <c r="K110" s="85" t="e">
        <f t="shared" si="55"/>
        <v>#REF!</v>
      </c>
      <c r="L110" s="85" t="e">
        <f t="shared" ref="L110:AJ110" si="56">L109/L108</f>
        <v>#REF!</v>
      </c>
      <c r="M110" s="85" t="e">
        <f t="shared" si="56"/>
        <v>#REF!</v>
      </c>
      <c r="N110" s="85" t="e">
        <f t="shared" si="56"/>
        <v>#REF!</v>
      </c>
      <c r="O110" s="85" t="e">
        <f t="shared" si="56"/>
        <v>#REF!</v>
      </c>
      <c r="P110" s="85" t="e">
        <f t="shared" si="56"/>
        <v>#REF!</v>
      </c>
      <c r="Q110" s="85" t="e">
        <f t="shared" si="56"/>
        <v>#REF!</v>
      </c>
      <c r="R110" s="85" t="e">
        <f t="shared" si="56"/>
        <v>#REF!</v>
      </c>
      <c r="S110" s="85" t="e">
        <f t="shared" si="56"/>
        <v>#REF!</v>
      </c>
      <c r="T110" s="85" t="e">
        <f t="shared" si="56"/>
        <v>#REF!</v>
      </c>
      <c r="U110" s="85" t="e">
        <f t="shared" si="56"/>
        <v>#REF!</v>
      </c>
      <c r="V110" s="85" t="e">
        <f t="shared" si="56"/>
        <v>#REF!</v>
      </c>
      <c r="W110" s="85" t="e">
        <f t="shared" si="56"/>
        <v>#REF!</v>
      </c>
      <c r="X110" s="85" t="e">
        <f t="shared" si="56"/>
        <v>#REF!</v>
      </c>
      <c r="Y110" s="85" t="e">
        <f t="shared" si="56"/>
        <v>#REF!</v>
      </c>
      <c r="Z110" s="85" t="e">
        <f t="shared" si="56"/>
        <v>#REF!</v>
      </c>
      <c r="AA110" s="85" t="e">
        <f t="shared" si="56"/>
        <v>#REF!</v>
      </c>
      <c r="AB110" s="85" t="e">
        <f t="shared" si="56"/>
        <v>#REF!</v>
      </c>
      <c r="AC110" s="85" t="e">
        <f t="shared" si="56"/>
        <v>#REF!</v>
      </c>
      <c r="AD110" s="85" t="e">
        <f t="shared" si="56"/>
        <v>#REF!</v>
      </c>
      <c r="AE110" s="85" t="e">
        <f t="shared" si="56"/>
        <v>#REF!</v>
      </c>
      <c r="AF110" s="85" t="e">
        <f t="shared" si="56"/>
        <v>#REF!</v>
      </c>
      <c r="AG110" s="85" t="e">
        <f t="shared" si="56"/>
        <v>#REF!</v>
      </c>
      <c r="AH110" s="85" t="e">
        <f t="shared" si="56"/>
        <v>#REF!</v>
      </c>
      <c r="AI110" s="85" t="e">
        <f t="shared" si="56"/>
        <v>#REF!</v>
      </c>
      <c r="AJ110" s="85" t="e">
        <f t="shared" si="56"/>
        <v>#REF!</v>
      </c>
      <c r="AK110" s="85" t="e">
        <f t="shared" ref="AK110" si="57">AK109/AK108</f>
        <v>#REF!</v>
      </c>
      <c r="AL110" s="85" t="e">
        <f t="shared" si="55"/>
        <v>#REF!</v>
      </c>
      <c r="AM110" s="85" t="e">
        <f t="shared" si="55"/>
        <v>#REF!</v>
      </c>
      <c r="AN110" s="85" t="e">
        <f t="shared" si="55"/>
        <v>#REF!</v>
      </c>
      <c r="AO110" s="85" t="e">
        <f t="shared" si="55"/>
        <v>#REF!</v>
      </c>
      <c r="AP110" s="85" t="e">
        <f t="shared" si="55"/>
        <v>#REF!</v>
      </c>
      <c r="AQ110" s="85" t="e">
        <f t="shared" si="55"/>
        <v>#REF!</v>
      </c>
      <c r="AR110" s="85" t="e">
        <f t="shared" si="55"/>
        <v>#REF!</v>
      </c>
      <c r="AS110" s="85" t="e">
        <f t="shared" si="55"/>
        <v>#REF!</v>
      </c>
      <c r="AT110" s="85" t="e">
        <f t="shared" si="55"/>
        <v>#REF!</v>
      </c>
      <c r="AU110" s="85" t="e">
        <f t="shared" si="55"/>
        <v>#REF!</v>
      </c>
      <c r="AV110" s="85" t="e">
        <f t="shared" si="55"/>
        <v>#REF!</v>
      </c>
      <c r="AW110" s="85" t="e">
        <f t="shared" si="55"/>
        <v>#REF!</v>
      </c>
      <c r="AX110" s="85" t="e">
        <f t="shared" si="55"/>
        <v>#REF!</v>
      </c>
      <c r="AY110" s="85" t="e">
        <f t="shared" si="55"/>
        <v>#REF!</v>
      </c>
      <c r="AZ110" s="85" t="e">
        <f t="shared" si="55"/>
        <v>#REF!</v>
      </c>
      <c r="BA110" s="85" t="e">
        <f t="shared" si="55"/>
        <v>#REF!</v>
      </c>
      <c r="BB110" s="85" t="e">
        <f t="shared" si="55"/>
        <v>#REF!</v>
      </c>
      <c r="BC110" s="85" t="e">
        <f t="shared" si="55"/>
        <v>#REF!</v>
      </c>
      <c r="BD110" s="85" t="e">
        <f t="shared" si="55"/>
        <v>#REF!</v>
      </c>
      <c r="BE110" s="85" t="e">
        <f t="shared" si="55"/>
        <v>#REF!</v>
      </c>
      <c r="BF110" s="85" t="e">
        <f t="shared" si="55"/>
        <v>#REF!</v>
      </c>
      <c r="BG110" s="85" t="e">
        <f t="shared" si="55"/>
        <v>#REF!</v>
      </c>
      <c r="BH110" s="85" t="e">
        <f t="shared" si="55"/>
        <v>#REF!</v>
      </c>
      <c r="BI110" s="85" t="e">
        <f t="shared" si="55"/>
        <v>#REF!</v>
      </c>
      <c r="BJ110" s="85">
        <f t="shared" si="55"/>
        <v>0.91666666666666663</v>
      </c>
      <c r="BK110" s="85">
        <f t="shared" si="55"/>
        <v>0.91666666666666663</v>
      </c>
      <c r="BL110" s="85">
        <f t="shared" si="55"/>
        <v>0.91666666666666663</v>
      </c>
      <c r="BM110" s="85">
        <f t="shared" si="55"/>
        <v>0.91666666666666663</v>
      </c>
      <c r="BN110" s="85">
        <f t="shared" si="55"/>
        <v>0.91666666666666663</v>
      </c>
      <c r="BO110" s="85">
        <f t="shared" si="55"/>
        <v>0.91666666666666663</v>
      </c>
      <c r="BP110" s="85">
        <f t="shared" si="55"/>
        <v>0.91666666666666663</v>
      </c>
      <c r="BQ110" s="85">
        <f t="shared" si="55"/>
        <v>0.91666666666666663</v>
      </c>
      <c r="BR110" s="85">
        <f t="shared" si="55"/>
        <v>0.91666666666666663</v>
      </c>
      <c r="BS110" s="86"/>
      <c r="BT110" s="86"/>
      <c r="BU110" s="152" t="e">
        <f t="shared" si="55"/>
        <v>#REF!</v>
      </c>
    </row>
    <row r="111" spans="1:73" hidden="1" x14ac:dyDescent="0.2">
      <c r="A111" s="123" t="s">
        <v>14</v>
      </c>
      <c r="B111" s="115" t="s">
        <v>221</v>
      </c>
      <c r="C111" s="148"/>
      <c r="D111" s="151"/>
      <c r="E111" s="85" t="e">
        <f t="shared" ref="E111:BU111" si="58">E107*E101/E109</f>
        <v>#DIV/0!</v>
      </c>
      <c r="F111" s="85" t="e">
        <f t="shared" si="58"/>
        <v>#DIV/0!</v>
      </c>
      <c r="G111" s="85" t="e">
        <f t="shared" si="58"/>
        <v>#DIV/0!</v>
      </c>
      <c r="H111" s="85"/>
      <c r="I111" s="85" t="e">
        <f t="shared" si="58"/>
        <v>#REF!</v>
      </c>
      <c r="J111" s="85" t="e">
        <f t="shared" si="58"/>
        <v>#REF!</v>
      </c>
      <c r="K111" s="85" t="e">
        <f t="shared" si="58"/>
        <v>#REF!</v>
      </c>
      <c r="L111" s="85" t="e">
        <f t="shared" ref="L111:AJ111" si="59">L107*L101/L109</f>
        <v>#REF!</v>
      </c>
      <c r="M111" s="85" t="e">
        <f t="shared" si="59"/>
        <v>#REF!</v>
      </c>
      <c r="N111" s="85" t="e">
        <f t="shared" si="59"/>
        <v>#REF!</v>
      </c>
      <c r="O111" s="85" t="e">
        <f t="shared" si="59"/>
        <v>#REF!</v>
      </c>
      <c r="P111" s="85" t="e">
        <f t="shared" si="59"/>
        <v>#REF!</v>
      </c>
      <c r="Q111" s="85" t="e">
        <f t="shared" si="59"/>
        <v>#REF!</v>
      </c>
      <c r="R111" s="85" t="e">
        <f t="shared" si="59"/>
        <v>#REF!</v>
      </c>
      <c r="S111" s="85" t="e">
        <f t="shared" si="59"/>
        <v>#REF!</v>
      </c>
      <c r="T111" s="85" t="e">
        <f t="shared" si="59"/>
        <v>#REF!</v>
      </c>
      <c r="U111" s="85" t="e">
        <f t="shared" si="59"/>
        <v>#REF!</v>
      </c>
      <c r="V111" s="85" t="e">
        <f t="shared" si="59"/>
        <v>#REF!</v>
      </c>
      <c r="W111" s="85" t="e">
        <f t="shared" si="59"/>
        <v>#REF!</v>
      </c>
      <c r="X111" s="85" t="e">
        <f t="shared" si="59"/>
        <v>#REF!</v>
      </c>
      <c r="Y111" s="85" t="e">
        <f t="shared" si="59"/>
        <v>#REF!</v>
      </c>
      <c r="Z111" s="85" t="e">
        <f t="shared" si="59"/>
        <v>#REF!</v>
      </c>
      <c r="AA111" s="85" t="e">
        <f t="shared" si="59"/>
        <v>#REF!</v>
      </c>
      <c r="AB111" s="85" t="e">
        <f t="shared" si="59"/>
        <v>#REF!</v>
      </c>
      <c r="AC111" s="85" t="e">
        <f t="shared" si="59"/>
        <v>#REF!</v>
      </c>
      <c r="AD111" s="85" t="e">
        <f t="shared" si="59"/>
        <v>#REF!</v>
      </c>
      <c r="AE111" s="85" t="e">
        <f t="shared" si="59"/>
        <v>#REF!</v>
      </c>
      <c r="AF111" s="85" t="e">
        <f t="shared" si="59"/>
        <v>#REF!</v>
      </c>
      <c r="AG111" s="85" t="e">
        <f t="shared" si="59"/>
        <v>#REF!</v>
      </c>
      <c r="AH111" s="85" t="e">
        <f t="shared" si="59"/>
        <v>#REF!</v>
      </c>
      <c r="AI111" s="85" t="e">
        <f t="shared" si="59"/>
        <v>#REF!</v>
      </c>
      <c r="AJ111" s="85" t="e">
        <f t="shared" si="59"/>
        <v>#REF!</v>
      </c>
      <c r="AK111" s="85" t="e">
        <f t="shared" ref="AK111" si="60">AK107*AK101/AK109</f>
        <v>#REF!</v>
      </c>
      <c r="AL111" s="85" t="e">
        <f t="shared" si="58"/>
        <v>#REF!</v>
      </c>
      <c r="AM111" s="85" t="e">
        <f t="shared" si="58"/>
        <v>#REF!</v>
      </c>
      <c r="AN111" s="85" t="e">
        <f t="shared" si="58"/>
        <v>#REF!</v>
      </c>
      <c r="AO111" s="85" t="e">
        <f t="shared" si="58"/>
        <v>#REF!</v>
      </c>
      <c r="AP111" s="85" t="e">
        <f t="shared" si="58"/>
        <v>#REF!</v>
      </c>
      <c r="AQ111" s="85" t="e">
        <f t="shared" si="58"/>
        <v>#REF!</v>
      </c>
      <c r="AR111" s="85" t="e">
        <f t="shared" si="58"/>
        <v>#REF!</v>
      </c>
      <c r="AS111" s="85" t="e">
        <f t="shared" si="58"/>
        <v>#REF!</v>
      </c>
      <c r="AT111" s="85" t="e">
        <f t="shared" si="58"/>
        <v>#REF!</v>
      </c>
      <c r="AU111" s="85" t="e">
        <f t="shared" si="58"/>
        <v>#REF!</v>
      </c>
      <c r="AV111" s="85" t="e">
        <f t="shared" si="58"/>
        <v>#REF!</v>
      </c>
      <c r="AW111" s="85" t="e">
        <f t="shared" si="58"/>
        <v>#REF!</v>
      </c>
      <c r="AX111" s="85" t="e">
        <f t="shared" si="58"/>
        <v>#REF!</v>
      </c>
      <c r="AY111" s="85" t="e">
        <f t="shared" si="58"/>
        <v>#REF!</v>
      </c>
      <c r="AZ111" s="85" t="e">
        <f t="shared" si="58"/>
        <v>#REF!</v>
      </c>
      <c r="BA111" s="85" t="e">
        <f t="shared" si="58"/>
        <v>#REF!</v>
      </c>
      <c r="BB111" s="85" t="e">
        <f t="shared" si="58"/>
        <v>#REF!</v>
      </c>
      <c r="BC111" s="85" t="e">
        <f t="shared" si="58"/>
        <v>#REF!</v>
      </c>
      <c r="BD111" s="85" t="e">
        <f t="shared" si="58"/>
        <v>#REF!</v>
      </c>
      <c r="BE111" s="85" t="e">
        <f t="shared" si="58"/>
        <v>#REF!</v>
      </c>
      <c r="BF111" s="85" t="e">
        <f t="shared" si="58"/>
        <v>#REF!</v>
      </c>
      <c r="BG111" s="85" t="e">
        <f t="shared" si="58"/>
        <v>#REF!</v>
      </c>
      <c r="BH111" s="85" t="e">
        <f t="shared" si="58"/>
        <v>#REF!</v>
      </c>
      <c r="BI111" s="85" t="e">
        <f t="shared" si="58"/>
        <v>#REF!</v>
      </c>
      <c r="BJ111" s="85" t="e">
        <f t="shared" si="58"/>
        <v>#REF!</v>
      </c>
      <c r="BK111" s="85" t="e">
        <f t="shared" si="58"/>
        <v>#REF!</v>
      </c>
      <c r="BL111" s="85" t="e">
        <f t="shared" si="58"/>
        <v>#REF!</v>
      </c>
      <c r="BM111" s="85" t="e">
        <f t="shared" si="58"/>
        <v>#REF!</v>
      </c>
      <c r="BN111" s="85" t="e">
        <f t="shared" si="58"/>
        <v>#REF!</v>
      </c>
      <c r="BO111" s="85" t="e">
        <f t="shared" si="58"/>
        <v>#REF!</v>
      </c>
      <c r="BP111" s="85" t="e">
        <f t="shared" si="58"/>
        <v>#REF!</v>
      </c>
      <c r="BQ111" s="85" t="e">
        <f t="shared" si="58"/>
        <v>#REF!</v>
      </c>
      <c r="BR111" s="85" t="e">
        <f t="shared" si="58"/>
        <v>#REF!</v>
      </c>
      <c r="BS111" s="86"/>
      <c r="BT111" s="86"/>
      <c r="BU111" s="152" t="e">
        <f t="shared" si="58"/>
        <v>#REF!</v>
      </c>
    </row>
    <row r="112" spans="1:73" ht="21" hidden="1" thickBot="1" x14ac:dyDescent="0.25">
      <c r="A112" s="153"/>
      <c r="B112" s="131" t="s">
        <v>222</v>
      </c>
      <c r="C112" s="132"/>
      <c r="D112" s="133" t="s">
        <v>173</v>
      </c>
      <c r="E112" s="154" t="e">
        <f t="shared" ref="E112:BU112" si="61">E111*E110*100</f>
        <v>#DIV/0!</v>
      </c>
      <c r="F112" s="154" t="e">
        <f t="shared" si="61"/>
        <v>#DIV/0!</v>
      </c>
      <c r="G112" s="154" t="e">
        <f t="shared" si="61"/>
        <v>#DIV/0!</v>
      </c>
      <c r="H112" s="154">
        <f t="shared" si="61"/>
        <v>0</v>
      </c>
      <c r="I112" s="154" t="e">
        <f t="shared" si="61"/>
        <v>#REF!</v>
      </c>
      <c r="J112" s="154" t="e">
        <f t="shared" si="61"/>
        <v>#REF!</v>
      </c>
      <c r="K112" s="154" t="e">
        <f t="shared" si="61"/>
        <v>#REF!</v>
      </c>
      <c r="L112" s="154" t="e">
        <f t="shared" ref="L112:AJ112" si="62">L111*L110*100</f>
        <v>#REF!</v>
      </c>
      <c r="M112" s="154" t="e">
        <f t="shared" si="62"/>
        <v>#REF!</v>
      </c>
      <c r="N112" s="154" t="e">
        <f t="shared" si="62"/>
        <v>#REF!</v>
      </c>
      <c r="O112" s="154" t="e">
        <f t="shared" si="62"/>
        <v>#REF!</v>
      </c>
      <c r="P112" s="154" t="e">
        <f t="shared" si="62"/>
        <v>#REF!</v>
      </c>
      <c r="Q112" s="154" t="e">
        <f t="shared" si="62"/>
        <v>#REF!</v>
      </c>
      <c r="R112" s="154" t="e">
        <f t="shared" si="62"/>
        <v>#REF!</v>
      </c>
      <c r="S112" s="154" t="e">
        <f t="shared" si="62"/>
        <v>#REF!</v>
      </c>
      <c r="T112" s="154" t="e">
        <f t="shared" si="62"/>
        <v>#REF!</v>
      </c>
      <c r="U112" s="154" t="e">
        <f t="shared" si="62"/>
        <v>#REF!</v>
      </c>
      <c r="V112" s="154" t="e">
        <f t="shared" si="62"/>
        <v>#REF!</v>
      </c>
      <c r="W112" s="154" t="e">
        <f t="shared" si="62"/>
        <v>#REF!</v>
      </c>
      <c r="X112" s="154" t="e">
        <f t="shared" si="62"/>
        <v>#REF!</v>
      </c>
      <c r="Y112" s="154" t="e">
        <f t="shared" si="62"/>
        <v>#REF!</v>
      </c>
      <c r="Z112" s="154" t="e">
        <f t="shared" si="62"/>
        <v>#REF!</v>
      </c>
      <c r="AA112" s="154" t="e">
        <f t="shared" si="62"/>
        <v>#REF!</v>
      </c>
      <c r="AB112" s="154" t="e">
        <f t="shared" si="62"/>
        <v>#REF!</v>
      </c>
      <c r="AC112" s="154" t="e">
        <f t="shared" si="62"/>
        <v>#REF!</v>
      </c>
      <c r="AD112" s="154" t="e">
        <f t="shared" si="62"/>
        <v>#REF!</v>
      </c>
      <c r="AE112" s="154" t="e">
        <f t="shared" si="62"/>
        <v>#REF!</v>
      </c>
      <c r="AF112" s="154" t="e">
        <f t="shared" si="62"/>
        <v>#REF!</v>
      </c>
      <c r="AG112" s="154" t="e">
        <f t="shared" si="62"/>
        <v>#REF!</v>
      </c>
      <c r="AH112" s="154" t="e">
        <f t="shared" si="62"/>
        <v>#REF!</v>
      </c>
      <c r="AI112" s="154" t="e">
        <f t="shared" si="62"/>
        <v>#REF!</v>
      </c>
      <c r="AJ112" s="154" t="e">
        <f t="shared" si="62"/>
        <v>#REF!</v>
      </c>
      <c r="AK112" s="154" t="e">
        <f t="shared" ref="AK112" si="63">AK111*AK110*100</f>
        <v>#REF!</v>
      </c>
      <c r="AL112" s="154" t="e">
        <f t="shared" si="61"/>
        <v>#REF!</v>
      </c>
      <c r="AM112" s="154" t="e">
        <f t="shared" si="61"/>
        <v>#REF!</v>
      </c>
      <c r="AN112" s="154" t="e">
        <f t="shared" si="61"/>
        <v>#REF!</v>
      </c>
      <c r="AO112" s="154" t="e">
        <f t="shared" si="61"/>
        <v>#REF!</v>
      </c>
      <c r="AP112" s="154" t="e">
        <f t="shared" si="61"/>
        <v>#REF!</v>
      </c>
      <c r="AQ112" s="154" t="e">
        <f t="shared" si="61"/>
        <v>#REF!</v>
      </c>
      <c r="AR112" s="154" t="e">
        <f t="shared" si="61"/>
        <v>#REF!</v>
      </c>
      <c r="AS112" s="154" t="e">
        <f t="shared" si="61"/>
        <v>#REF!</v>
      </c>
      <c r="AT112" s="154" t="e">
        <f t="shared" si="61"/>
        <v>#REF!</v>
      </c>
      <c r="AU112" s="154" t="e">
        <f t="shared" si="61"/>
        <v>#REF!</v>
      </c>
      <c r="AV112" s="154" t="e">
        <f t="shared" si="61"/>
        <v>#REF!</v>
      </c>
      <c r="AW112" s="154" t="e">
        <f t="shared" si="61"/>
        <v>#REF!</v>
      </c>
      <c r="AX112" s="154" t="e">
        <f t="shared" si="61"/>
        <v>#REF!</v>
      </c>
      <c r="AY112" s="154" t="e">
        <f t="shared" si="61"/>
        <v>#REF!</v>
      </c>
      <c r="AZ112" s="154" t="e">
        <f t="shared" si="61"/>
        <v>#REF!</v>
      </c>
      <c r="BA112" s="154" t="e">
        <f t="shared" si="61"/>
        <v>#REF!</v>
      </c>
      <c r="BB112" s="154" t="e">
        <f t="shared" si="61"/>
        <v>#REF!</v>
      </c>
      <c r="BC112" s="154" t="e">
        <f t="shared" si="61"/>
        <v>#REF!</v>
      </c>
      <c r="BD112" s="154" t="e">
        <f t="shared" si="61"/>
        <v>#REF!</v>
      </c>
      <c r="BE112" s="154" t="e">
        <f t="shared" si="61"/>
        <v>#REF!</v>
      </c>
      <c r="BF112" s="154" t="e">
        <f t="shared" si="61"/>
        <v>#REF!</v>
      </c>
      <c r="BG112" s="154" t="e">
        <f t="shared" si="61"/>
        <v>#REF!</v>
      </c>
      <c r="BH112" s="154" t="e">
        <f t="shared" si="61"/>
        <v>#REF!</v>
      </c>
      <c r="BI112" s="154" t="e">
        <f t="shared" si="61"/>
        <v>#REF!</v>
      </c>
      <c r="BJ112" s="154" t="e">
        <f t="shared" si="61"/>
        <v>#REF!</v>
      </c>
      <c r="BK112" s="154" t="e">
        <f t="shared" si="61"/>
        <v>#REF!</v>
      </c>
      <c r="BL112" s="154" t="e">
        <f t="shared" si="61"/>
        <v>#REF!</v>
      </c>
      <c r="BM112" s="154" t="e">
        <f t="shared" si="61"/>
        <v>#REF!</v>
      </c>
      <c r="BN112" s="154" t="e">
        <f t="shared" si="61"/>
        <v>#REF!</v>
      </c>
      <c r="BO112" s="154" t="e">
        <f t="shared" si="61"/>
        <v>#REF!</v>
      </c>
      <c r="BP112" s="154" t="e">
        <f t="shared" si="61"/>
        <v>#REF!</v>
      </c>
      <c r="BQ112" s="154" t="e">
        <f t="shared" si="61"/>
        <v>#REF!</v>
      </c>
      <c r="BR112" s="154" t="e">
        <f t="shared" si="61"/>
        <v>#REF!</v>
      </c>
      <c r="BS112" s="155"/>
      <c r="BT112" s="155"/>
      <c r="BU112" s="136" t="e">
        <f t="shared" si="61"/>
        <v>#REF!</v>
      </c>
    </row>
    <row r="113" spans="1:73" x14ac:dyDescent="0.2">
      <c r="A113" s="138"/>
      <c r="B113" s="138"/>
      <c r="C113" s="139"/>
      <c r="D113" s="138"/>
      <c r="E113" s="138"/>
      <c r="F113" s="138"/>
      <c r="G113" s="138"/>
      <c r="H113" s="138"/>
      <c r="I113" s="138"/>
      <c r="J113" s="138"/>
      <c r="K113" s="138"/>
      <c r="L113" s="138"/>
      <c r="M113" s="138"/>
      <c r="N113" s="138"/>
      <c r="O113" s="138"/>
      <c r="P113" s="138"/>
      <c r="Q113" s="138"/>
      <c r="R113" s="138"/>
      <c r="S113" s="138"/>
      <c r="T113" s="138"/>
      <c r="U113" s="138"/>
      <c r="V113" s="138"/>
      <c r="W113" s="138"/>
      <c r="X113" s="138"/>
      <c r="Y113" s="138"/>
      <c r="Z113" s="138"/>
      <c r="AA113" s="138"/>
      <c r="AB113" s="138"/>
      <c r="AC113" s="138"/>
      <c r="AD113" s="138"/>
      <c r="AE113" s="138"/>
      <c r="AF113" s="138"/>
      <c r="AG113" s="138"/>
      <c r="AH113" s="138"/>
      <c r="AI113" s="138"/>
      <c r="AJ113" s="138"/>
      <c r="AK113" s="138"/>
      <c r="AL113" s="138"/>
      <c r="AM113" s="138"/>
      <c r="AN113" s="138"/>
      <c r="AO113" s="138"/>
      <c r="AP113" s="138"/>
      <c r="AQ113" s="138"/>
      <c r="AR113" s="138"/>
      <c r="AS113" s="156"/>
      <c r="AT113" s="156"/>
      <c r="AU113" s="156"/>
      <c r="AV113" s="156"/>
      <c r="AW113" s="156"/>
      <c r="AX113" s="156"/>
      <c r="AY113" s="156"/>
      <c r="AZ113" s="156"/>
      <c r="BA113" s="156"/>
      <c r="BB113" s="156"/>
      <c r="BC113" s="156"/>
      <c r="BD113" s="156"/>
      <c r="BE113" s="156"/>
      <c r="BF113" s="156"/>
      <c r="BG113" s="156"/>
      <c r="BH113" s="156"/>
      <c r="BI113" s="156"/>
      <c r="BJ113" s="156"/>
      <c r="BK113" s="156"/>
      <c r="BL113" s="156"/>
      <c r="BM113" s="156"/>
      <c r="BN113" s="156"/>
      <c r="BO113" s="156"/>
      <c r="BP113" s="156"/>
      <c r="BQ113" s="156"/>
      <c r="BR113" s="156"/>
      <c r="BS113" s="156"/>
      <c r="BT113" s="156"/>
      <c r="BU113" s="138"/>
    </row>
    <row r="114" spans="1:73" x14ac:dyDescent="0.2">
      <c r="A114" s="138"/>
      <c r="B114" s="138"/>
      <c r="C114" s="139"/>
      <c r="D114" s="138"/>
      <c r="E114" s="138"/>
      <c r="F114" s="138"/>
      <c r="G114" s="138"/>
      <c r="H114" s="138"/>
      <c r="I114" s="138"/>
      <c r="J114" s="138"/>
      <c r="K114" s="138"/>
      <c r="L114" s="138"/>
      <c r="M114" s="138"/>
      <c r="N114" s="138"/>
      <c r="O114" s="138"/>
      <c r="P114" s="138"/>
      <c r="Q114" s="138"/>
      <c r="R114" s="138"/>
      <c r="S114" s="138"/>
      <c r="T114" s="138"/>
      <c r="U114" s="138"/>
      <c r="V114" s="138"/>
      <c r="W114" s="138"/>
      <c r="X114" s="138"/>
      <c r="Y114" s="138"/>
      <c r="Z114" s="138"/>
      <c r="AA114" s="138"/>
      <c r="AB114" s="138"/>
      <c r="AC114" s="138"/>
      <c r="AD114" s="138"/>
      <c r="AE114" s="138"/>
      <c r="AF114" s="138"/>
      <c r="AG114" s="138"/>
      <c r="AH114" s="138"/>
      <c r="AI114" s="138"/>
      <c r="AJ114" s="138"/>
      <c r="AK114" s="138"/>
      <c r="AL114" s="138"/>
      <c r="AM114" s="138"/>
      <c r="AN114" s="138"/>
      <c r="AO114" s="138"/>
      <c r="AP114" s="138"/>
      <c r="AQ114" s="138"/>
      <c r="AR114" s="138"/>
      <c r="AS114" s="156"/>
      <c r="AT114" s="156"/>
      <c r="AU114" s="156"/>
      <c r="AV114" s="156"/>
      <c r="AW114" s="156"/>
      <c r="AX114" s="156"/>
      <c r="AY114" s="156"/>
      <c r="AZ114" s="156"/>
      <c r="BA114" s="156"/>
      <c r="BB114" s="156"/>
      <c r="BC114" s="156"/>
      <c r="BD114" s="156"/>
      <c r="BE114" s="156"/>
      <c r="BF114" s="156"/>
      <c r="BG114" s="156"/>
      <c r="BH114" s="156"/>
      <c r="BI114" s="156"/>
      <c r="BJ114" s="156"/>
      <c r="BK114" s="156"/>
      <c r="BL114" s="156"/>
      <c r="BM114" s="156"/>
      <c r="BN114" s="156"/>
      <c r="BO114" s="156"/>
      <c r="BP114" s="156"/>
      <c r="BQ114" s="156"/>
      <c r="BR114" s="156"/>
      <c r="BS114" s="156"/>
      <c r="BT114" s="156"/>
      <c r="BU114" s="138"/>
    </row>
    <row r="115" spans="1:73" ht="26.25" customHeight="1" x14ac:dyDescent="0.2">
      <c r="A115" s="138"/>
      <c r="B115" s="115" t="s">
        <v>283</v>
      </c>
      <c r="C115" s="148"/>
      <c r="D115" s="115"/>
      <c r="E115" s="115"/>
      <c r="F115" s="115"/>
      <c r="G115" s="115"/>
      <c r="H115" s="138"/>
      <c r="I115" s="138"/>
      <c r="J115" s="138"/>
      <c r="K115" s="138"/>
      <c r="L115" s="138"/>
      <c r="M115" s="138"/>
      <c r="N115" s="138"/>
      <c r="O115" s="138"/>
      <c r="P115" s="138"/>
      <c r="Q115" s="138"/>
      <c r="R115" s="138"/>
      <c r="S115" s="138"/>
      <c r="T115" s="138"/>
      <c r="U115" s="138"/>
      <c r="V115" s="138"/>
      <c r="W115" s="138"/>
      <c r="X115" s="138"/>
      <c r="Y115" s="138"/>
      <c r="Z115" s="138"/>
      <c r="AA115" s="138"/>
      <c r="AB115" s="138"/>
      <c r="AC115" s="138"/>
      <c r="AD115" s="138"/>
      <c r="AE115" s="138"/>
      <c r="AF115" s="138"/>
      <c r="AG115" s="138"/>
      <c r="AH115" s="138"/>
      <c r="AI115" s="138"/>
      <c r="AJ115" s="138"/>
      <c r="AK115" s="138"/>
      <c r="AL115" s="138"/>
      <c r="AM115" s="138"/>
      <c r="AN115" s="138"/>
      <c r="AO115" s="138"/>
      <c r="AP115" s="138"/>
      <c r="AQ115" s="138"/>
      <c r="AR115" s="138"/>
      <c r="AS115" s="138"/>
      <c r="AT115" s="138"/>
      <c r="AU115" s="138"/>
      <c r="AV115" s="138"/>
      <c r="AW115" s="138"/>
      <c r="AX115" s="138"/>
      <c r="AY115" s="138"/>
      <c r="AZ115" s="138"/>
      <c r="BA115" s="138"/>
      <c r="BB115" s="138"/>
      <c r="BC115" s="138"/>
      <c r="BD115" s="138"/>
      <c r="BE115" s="138"/>
      <c r="BF115" s="138"/>
      <c r="BG115" s="138"/>
      <c r="BH115" s="138"/>
      <c r="BI115" s="138"/>
      <c r="BJ115" s="138"/>
      <c r="BK115" s="138"/>
      <c r="BL115" s="138"/>
      <c r="BM115" s="138"/>
      <c r="BN115" s="138"/>
      <c r="BO115" s="138"/>
      <c r="BP115" s="138"/>
      <c r="BQ115" s="138"/>
      <c r="BR115" s="138"/>
      <c r="BS115" s="138"/>
      <c r="BT115" s="138"/>
      <c r="BU115" s="156"/>
    </row>
    <row r="116" spans="1:73" ht="15.75" customHeight="1" x14ac:dyDescent="0.2">
      <c r="A116" s="138"/>
      <c r="B116" s="115" t="s">
        <v>150</v>
      </c>
      <c r="C116" s="148"/>
      <c r="D116" s="115" t="s">
        <v>16</v>
      </c>
      <c r="E116" s="115"/>
      <c r="F116" s="115"/>
      <c r="G116" s="115">
        <v>135.80000000000001</v>
      </c>
      <c r="H116" s="115">
        <v>140.1</v>
      </c>
      <c r="I116" s="115">
        <v>129.30000000000001</v>
      </c>
      <c r="J116" s="115">
        <v>116.1</v>
      </c>
      <c r="K116" s="115">
        <v>134.30000000000001</v>
      </c>
      <c r="L116" s="115">
        <v>123.7</v>
      </c>
      <c r="M116" s="115">
        <v>140.69999999999999</v>
      </c>
      <c r="N116" s="115">
        <v>131.80000000000001</v>
      </c>
      <c r="O116" s="115">
        <v>118</v>
      </c>
      <c r="P116" s="115">
        <v>131.6</v>
      </c>
      <c r="Q116" s="115">
        <v>103.4</v>
      </c>
      <c r="R116" s="115">
        <v>114.2</v>
      </c>
      <c r="S116" s="115">
        <v>122.1</v>
      </c>
      <c r="T116" s="115">
        <v>141.30000000000001</v>
      </c>
      <c r="U116" s="115">
        <v>139.30000000000001</v>
      </c>
      <c r="V116" s="115">
        <v>119.3</v>
      </c>
      <c r="W116" s="115">
        <v>135.19999999999999</v>
      </c>
      <c r="X116" s="115">
        <v>128.6</v>
      </c>
      <c r="Y116" s="115">
        <v>124</v>
      </c>
      <c r="Z116" s="115">
        <v>119.6</v>
      </c>
      <c r="AA116" s="115">
        <v>123.1</v>
      </c>
      <c r="AB116" s="115">
        <v>126.5</v>
      </c>
      <c r="AC116" s="115">
        <v>99.5</v>
      </c>
      <c r="AD116" s="115">
        <v>122.9</v>
      </c>
      <c r="AE116" s="115">
        <v>101.8</v>
      </c>
      <c r="AF116" s="115">
        <v>118.7</v>
      </c>
      <c r="AG116" s="115">
        <v>109.8</v>
      </c>
      <c r="AH116" s="115">
        <v>122.4</v>
      </c>
      <c r="AI116" s="115">
        <v>120.3</v>
      </c>
      <c r="AJ116" s="115">
        <v>124.6</v>
      </c>
      <c r="AK116" s="115">
        <v>123.9</v>
      </c>
      <c r="AL116" s="138"/>
      <c r="AM116" s="138"/>
      <c r="AN116" s="138"/>
      <c r="AO116" s="138"/>
      <c r="AP116" s="138"/>
      <c r="AQ116" s="138"/>
      <c r="AR116" s="138"/>
      <c r="AS116" s="138"/>
      <c r="AT116" s="138"/>
      <c r="AU116" s="138"/>
      <c r="AV116" s="138"/>
      <c r="AW116" s="138"/>
      <c r="AX116" s="138"/>
      <c r="AY116" s="138"/>
      <c r="AZ116" s="138"/>
      <c r="BA116" s="138"/>
      <c r="BB116" s="138"/>
      <c r="BC116" s="138"/>
      <c r="BD116" s="138"/>
      <c r="BE116" s="138"/>
      <c r="BF116" s="138"/>
      <c r="BG116" s="138"/>
      <c r="BH116" s="138"/>
      <c r="BI116" s="138"/>
      <c r="BJ116" s="138"/>
      <c r="BK116" s="138"/>
      <c r="BL116" s="138"/>
      <c r="BM116" s="138"/>
      <c r="BN116" s="138"/>
      <c r="BO116" s="138"/>
      <c r="BP116" s="138"/>
      <c r="BQ116" s="138"/>
      <c r="BR116" s="138"/>
      <c r="BS116" s="138"/>
      <c r="BT116" s="138"/>
      <c r="BU116" s="156"/>
    </row>
    <row r="117" spans="1:73" x14ac:dyDescent="0.2">
      <c r="A117" s="138"/>
      <c r="B117" s="115" t="s">
        <v>276</v>
      </c>
      <c r="C117" s="148"/>
      <c r="D117" s="115" t="s">
        <v>282</v>
      </c>
      <c r="E117" s="115"/>
      <c r="F117" s="115"/>
      <c r="G117" s="115">
        <v>7409.9</v>
      </c>
      <c r="H117" s="115">
        <v>7366.2</v>
      </c>
      <c r="I117" s="115">
        <v>6625.4</v>
      </c>
      <c r="J117" s="115">
        <v>5090.7</v>
      </c>
      <c r="K117" s="115">
        <v>6875.4</v>
      </c>
      <c r="L117" s="115">
        <v>6222</v>
      </c>
      <c r="M117" s="115">
        <v>5923.6</v>
      </c>
      <c r="N117" s="115">
        <v>6046</v>
      </c>
      <c r="O117" s="115">
        <v>5748.3</v>
      </c>
      <c r="P117" s="115">
        <v>6004</v>
      </c>
      <c r="Q117" s="115">
        <v>4963.6000000000004</v>
      </c>
      <c r="R117" s="115">
        <v>5464.8</v>
      </c>
      <c r="S117" s="115">
        <v>5563.2</v>
      </c>
      <c r="T117" s="115">
        <v>6082.6</v>
      </c>
      <c r="U117" s="115">
        <v>5639.3</v>
      </c>
      <c r="V117" s="115">
        <v>6200.3</v>
      </c>
      <c r="W117" s="115">
        <v>5060</v>
      </c>
      <c r="X117" s="115">
        <v>5359.5</v>
      </c>
      <c r="Y117" s="115">
        <v>6775.9</v>
      </c>
      <c r="Z117" s="115">
        <v>6671</v>
      </c>
      <c r="AA117" s="115">
        <v>6201.2</v>
      </c>
      <c r="AB117" s="115">
        <v>6139.5</v>
      </c>
      <c r="AC117" s="115">
        <v>5475.8</v>
      </c>
      <c r="AD117" s="115">
        <v>6436.2</v>
      </c>
      <c r="AE117" s="115">
        <v>5520.7</v>
      </c>
      <c r="AF117" s="115">
        <v>6516.4</v>
      </c>
      <c r="AG117" s="115">
        <v>5990.6</v>
      </c>
      <c r="AH117" s="115">
        <v>5630.6</v>
      </c>
      <c r="AI117" s="115">
        <v>6757.2</v>
      </c>
      <c r="AJ117" s="115">
        <v>6507.1</v>
      </c>
      <c r="AK117" s="115">
        <v>6185.7</v>
      </c>
      <c r="AL117" s="138"/>
      <c r="AM117" s="138"/>
      <c r="AN117" s="138"/>
      <c r="AO117" s="138"/>
      <c r="AP117" s="138"/>
      <c r="AQ117" s="138"/>
      <c r="AR117" s="138"/>
      <c r="AS117" s="138"/>
      <c r="AT117" s="138"/>
      <c r="AU117" s="138"/>
      <c r="AV117" s="138"/>
      <c r="AW117" s="138"/>
      <c r="AX117" s="138"/>
      <c r="AY117" s="138"/>
      <c r="AZ117" s="138"/>
      <c r="BA117" s="138"/>
      <c r="BB117" s="138"/>
      <c r="BC117" s="138"/>
      <c r="BD117" s="138"/>
      <c r="BE117" s="138"/>
      <c r="BF117" s="138"/>
      <c r="BG117" s="138"/>
      <c r="BH117" s="138"/>
      <c r="BI117" s="138"/>
      <c r="BJ117" s="138"/>
      <c r="BK117" s="138"/>
      <c r="BL117" s="138"/>
      <c r="BM117" s="138"/>
      <c r="BN117" s="138"/>
      <c r="BO117" s="138"/>
      <c r="BP117" s="138"/>
      <c r="BQ117" s="138"/>
      <c r="BR117" s="138"/>
      <c r="BS117" s="138"/>
      <c r="BT117" s="138"/>
      <c r="BU117" s="156"/>
    </row>
    <row r="118" spans="1:73" x14ac:dyDescent="0.2">
      <c r="A118" s="138"/>
      <c r="B118" s="115" t="s">
        <v>277</v>
      </c>
      <c r="C118" s="148"/>
      <c r="D118" s="115" t="s">
        <v>282</v>
      </c>
      <c r="E118" s="115"/>
      <c r="F118" s="115"/>
      <c r="G118" s="115">
        <v>0</v>
      </c>
      <c r="H118" s="115">
        <v>0</v>
      </c>
      <c r="I118" s="115">
        <v>0</v>
      </c>
      <c r="J118" s="115">
        <v>9.6</v>
      </c>
      <c r="K118" s="115">
        <v>115.3</v>
      </c>
      <c r="L118" s="115">
        <v>28.9</v>
      </c>
      <c r="M118" s="115">
        <v>0</v>
      </c>
      <c r="N118" s="115">
        <v>17.100000000000001</v>
      </c>
      <c r="O118" s="115">
        <v>0</v>
      </c>
      <c r="P118" s="115">
        <v>0</v>
      </c>
      <c r="Q118" s="115">
        <v>5.6</v>
      </c>
      <c r="R118" s="115">
        <v>0</v>
      </c>
      <c r="S118" s="115">
        <v>0</v>
      </c>
      <c r="T118" s="115">
        <v>0</v>
      </c>
      <c r="U118" s="115">
        <v>0</v>
      </c>
      <c r="V118" s="115">
        <v>0</v>
      </c>
      <c r="W118" s="115">
        <v>0</v>
      </c>
      <c r="X118" s="115">
        <v>0</v>
      </c>
      <c r="Y118" s="115">
        <v>0</v>
      </c>
      <c r="Z118" s="115">
        <v>6.1</v>
      </c>
      <c r="AA118" s="115">
        <v>11.4</v>
      </c>
      <c r="AB118" s="115">
        <v>0</v>
      </c>
      <c r="AC118" s="115">
        <v>0</v>
      </c>
      <c r="AD118" s="115">
        <v>0</v>
      </c>
      <c r="AE118" s="115">
        <v>0</v>
      </c>
      <c r="AF118" s="115">
        <v>0</v>
      </c>
      <c r="AG118" s="115">
        <v>0</v>
      </c>
      <c r="AH118" s="115">
        <v>0</v>
      </c>
      <c r="AI118" s="115">
        <v>0</v>
      </c>
      <c r="AJ118" s="115">
        <v>0</v>
      </c>
      <c r="AK118" s="115">
        <v>0</v>
      </c>
      <c r="AL118" s="138"/>
      <c r="AM118" s="138"/>
      <c r="AN118" s="138"/>
      <c r="AO118" s="138"/>
      <c r="AP118" s="138"/>
      <c r="AQ118" s="138"/>
      <c r="AR118" s="138"/>
      <c r="AS118" s="138"/>
      <c r="AT118" s="138"/>
      <c r="AU118" s="138"/>
      <c r="AV118" s="138"/>
      <c r="AW118" s="138"/>
      <c r="AX118" s="138"/>
      <c r="AY118" s="138"/>
      <c r="AZ118" s="138"/>
      <c r="BA118" s="138"/>
      <c r="BB118" s="138"/>
      <c r="BC118" s="138"/>
      <c r="BD118" s="138"/>
      <c r="BE118" s="138"/>
      <c r="BF118" s="138"/>
      <c r="BG118" s="138"/>
      <c r="BH118" s="138"/>
      <c r="BI118" s="138"/>
      <c r="BJ118" s="138"/>
      <c r="BK118" s="138"/>
      <c r="BL118" s="138"/>
      <c r="BM118" s="138"/>
      <c r="BN118" s="138"/>
      <c r="BO118" s="138"/>
      <c r="BP118" s="138"/>
      <c r="BQ118" s="138"/>
      <c r="BR118" s="138"/>
      <c r="BS118" s="138"/>
      <c r="BT118" s="138"/>
      <c r="BU118" s="156"/>
    </row>
    <row r="119" spans="1:73" x14ac:dyDescent="0.2">
      <c r="A119" s="138"/>
      <c r="B119" s="115" t="s">
        <v>278</v>
      </c>
      <c r="C119" s="148"/>
      <c r="D119" s="115" t="s">
        <v>153</v>
      </c>
      <c r="E119" s="115"/>
      <c r="F119" s="115"/>
      <c r="G119" s="115">
        <v>670</v>
      </c>
      <c r="H119" s="115">
        <v>700</v>
      </c>
      <c r="I119" s="115">
        <v>616</v>
      </c>
      <c r="J119" s="115">
        <v>723</v>
      </c>
      <c r="K119" s="115">
        <v>580</v>
      </c>
      <c r="L119" s="115">
        <v>594</v>
      </c>
      <c r="M119" s="115">
        <v>740</v>
      </c>
      <c r="N119" s="115">
        <v>623</v>
      </c>
      <c r="O119" s="115">
        <v>621</v>
      </c>
      <c r="P119" s="115">
        <v>426</v>
      </c>
      <c r="Q119" s="115">
        <v>463</v>
      </c>
      <c r="R119" s="115">
        <v>439</v>
      </c>
      <c r="S119" s="115">
        <v>228</v>
      </c>
      <c r="T119" s="115">
        <v>300</v>
      </c>
      <c r="U119" s="115">
        <v>391</v>
      </c>
      <c r="V119" s="115">
        <v>419</v>
      </c>
      <c r="W119" s="115">
        <v>417</v>
      </c>
      <c r="X119" s="115">
        <v>396</v>
      </c>
      <c r="Y119" s="115">
        <v>421</v>
      </c>
      <c r="Z119" s="115">
        <v>431</v>
      </c>
      <c r="AA119" s="115">
        <v>391</v>
      </c>
      <c r="AB119" s="115">
        <v>410</v>
      </c>
      <c r="AC119" s="115">
        <v>437</v>
      </c>
      <c r="AD119" s="115">
        <v>446</v>
      </c>
      <c r="AE119" s="115">
        <v>470</v>
      </c>
      <c r="AF119" s="115">
        <v>404</v>
      </c>
      <c r="AG119" s="115">
        <v>457</v>
      </c>
      <c r="AH119" s="115">
        <v>433</v>
      </c>
      <c r="AI119" s="115">
        <v>454</v>
      </c>
      <c r="AJ119" s="115">
        <v>597</v>
      </c>
      <c r="AK119" s="115">
        <v>464</v>
      </c>
      <c r="AL119" s="138"/>
      <c r="AM119" s="138"/>
      <c r="AN119" s="138"/>
      <c r="AO119" s="138"/>
      <c r="AP119" s="138"/>
      <c r="AQ119" s="138"/>
      <c r="AR119" s="138"/>
      <c r="AS119" s="138"/>
      <c r="AT119" s="138"/>
      <c r="AU119" s="138"/>
      <c r="AV119" s="138"/>
      <c r="AW119" s="138"/>
      <c r="AX119" s="138"/>
      <c r="AY119" s="138"/>
      <c r="AZ119" s="138"/>
      <c r="BA119" s="138"/>
      <c r="BB119" s="138"/>
      <c r="BC119" s="138"/>
      <c r="BD119" s="138"/>
      <c r="BE119" s="138"/>
      <c r="BF119" s="138"/>
      <c r="BG119" s="138"/>
      <c r="BH119" s="138"/>
      <c r="BI119" s="138"/>
      <c r="BJ119" s="138"/>
      <c r="BK119" s="138"/>
      <c r="BL119" s="138"/>
      <c r="BM119" s="138"/>
      <c r="BN119" s="138"/>
      <c r="BO119" s="138"/>
      <c r="BP119" s="138"/>
      <c r="BQ119" s="138"/>
      <c r="BR119" s="138"/>
      <c r="BS119" s="138"/>
      <c r="BT119" s="138"/>
      <c r="BU119" s="156"/>
    </row>
    <row r="120" spans="1:73" x14ac:dyDescent="0.2">
      <c r="A120" s="138"/>
      <c r="B120" s="115" t="s">
        <v>279</v>
      </c>
      <c r="C120" s="148"/>
      <c r="D120" s="115" t="s">
        <v>153</v>
      </c>
      <c r="E120" s="115"/>
      <c r="F120" s="115"/>
      <c r="G120" s="115">
        <v>0</v>
      </c>
      <c r="H120" s="115">
        <v>0</v>
      </c>
      <c r="I120" s="115">
        <v>118</v>
      </c>
      <c r="J120" s="115">
        <v>127</v>
      </c>
      <c r="K120" s="115">
        <v>80</v>
      </c>
      <c r="L120" s="115">
        <v>0</v>
      </c>
      <c r="M120" s="115">
        <v>0</v>
      </c>
      <c r="N120" s="115">
        <v>186</v>
      </c>
      <c r="O120" s="115">
        <v>38</v>
      </c>
      <c r="P120" s="115">
        <v>226</v>
      </c>
      <c r="Q120" s="115">
        <v>199</v>
      </c>
      <c r="R120" s="115">
        <v>232</v>
      </c>
      <c r="S120" s="115">
        <v>405</v>
      </c>
      <c r="T120" s="115">
        <v>446</v>
      </c>
      <c r="U120" s="115">
        <v>250</v>
      </c>
      <c r="V120" s="115">
        <v>217</v>
      </c>
      <c r="W120" s="115">
        <v>251</v>
      </c>
      <c r="X120" s="115">
        <v>236</v>
      </c>
      <c r="Y120" s="115">
        <v>222</v>
      </c>
      <c r="Z120" s="115">
        <v>218</v>
      </c>
      <c r="AA120" s="115">
        <v>225</v>
      </c>
      <c r="AB120" s="115">
        <v>216</v>
      </c>
      <c r="AC120" s="115">
        <v>180</v>
      </c>
      <c r="AD120" s="115">
        <v>232</v>
      </c>
      <c r="AE120" s="115">
        <v>198</v>
      </c>
      <c r="AF120" s="115">
        <v>199</v>
      </c>
      <c r="AG120" s="115">
        <v>218</v>
      </c>
      <c r="AH120" s="115">
        <v>221</v>
      </c>
      <c r="AI120" s="115">
        <v>206</v>
      </c>
      <c r="AJ120" s="115">
        <v>42</v>
      </c>
      <c r="AK120" s="115">
        <v>351</v>
      </c>
      <c r="AL120" s="138"/>
      <c r="AM120" s="138"/>
      <c r="AN120" s="138"/>
      <c r="AO120" s="138"/>
      <c r="AP120" s="138"/>
      <c r="AQ120" s="138"/>
      <c r="AR120" s="138"/>
      <c r="AS120" s="138"/>
      <c r="AT120" s="138"/>
      <c r="AU120" s="138"/>
      <c r="AV120" s="138"/>
      <c r="AW120" s="138"/>
      <c r="AX120" s="138"/>
      <c r="AY120" s="138"/>
      <c r="AZ120" s="138"/>
      <c r="BA120" s="138"/>
      <c r="BB120" s="138"/>
      <c r="BC120" s="138"/>
      <c r="BD120" s="138"/>
      <c r="BE120" s="138"/>
      <c r="BF120" s="138"/>
      <c r="BG120" s="138"/>
      <c r="BH120" s="138"/>
      <c r="BI120" s="138"/>
      <c r="BJ120" s="138"/>
      <c r="BK120" s="138"/>
      <c r="BL120" s="138"/>
      <c r="BM120" s="138"/>
      <c r="BN120" s="138"/>
      <c r="BO120" s="138"/>
      <c r="BP120" s="138"/>
      <c r="BQ120" s="138"/>
      <c r="BR120" s="138"/>
      <c r="BS120" s="138"/>
      <c r="BT120" s="138"/>
      <c r="BU120" s="156"/>
    </row>
    <row r="121" spans="1:73" x14ac:dyDescent="0.2">
      <c r="A121" s="138"/>
      <c r="B121" s="115" t="s">
        <v>280</v>
      </c>
      <c r="C121" s="148"/>
      <c r="D121" s="115" t="s">
        <v>101</v>
      </c>
      <c r="E121" s="115"/>
      <c r="F121" s="115"/>
      <c r="G121" s="115">
        <v>93826</v>
      </c>
      <c r="H121" s="115">
        <v>95800</v>
      </c>
      <c r="I121" s="115">
        <v>92126</v>
      </c>
      <c r="J121" s="115">
        <v>85730</v>
      </c>
      <c r="K121" s="115">
        <v>96258</v>
      </c>
      <c r="L121" s="115">
        <v>90392</v>
      </c>
      <c r="M121" s="115">
        <v>98584</v>
      </c>
      <c r="N121" s="115">
        <v>92504</v>
      </c>
      <c r="O121" s="115">
        <v>90356</v>
      </c>
      <c r="P121" s="115">
        <v>87520</v>
      </c>
      <c r="Q121" s="115">
        <v>73081</v>
      </c>
      <c r="R121" s="115">
        <v>79199</v>
      </c>
      <c r="S121" s="115">
        <v>80410</v>
      </c>
      <c r="T121" s="115">
        <v>93729</v>
      </c>
      <c r="U121" s="115">
        <v>91868</v>
      </c>
      <c r="V121" s="115">
        <v>88753</v>
      </c>
      <c r="W121" s="115">
        <v>95878</v>
      </c>
      <c r="X121" s="115">
        <v>96711</v>
      </c>
      <c r="Y121" s="115">
        <v>99770</v>
      </c>
      <c r="Z121" s="115">
        <v>93220</v>
      </c>
      <c r="AA121" s="115">
        <v>97616</v>
      </c>
      <c r="AB121" s="115">
        <v>102648</v>
      </c>
      <c r="AC121" s="115">
        <v>86902</v>
      </c>
      <c r="AD121" s="115">
        <v>100001</v>
      </c>
      <c r="AE121" s="115">
        <v>85669</v>
      </c>
      <c r="AF121" s="115">
        <v>97328</v>
      </c>
      <c r="AG121" s="115">
        <v>90337</v>
      </c>
      <c r="AH121" s="115">
        <v>97198</v>
      </c>
      <c r="AI121" s="115">
        <v>96165</v>
      </c>
      <c r="AJ121" s="115">
        <v>95980</v>
      </c>
      <c r="AK121" s="115">
        <v>97850</v>
      </c>
      <c r="AL121" s="138"/>
      <c r="AM121" s="138"/>
      <c r="AN121" s="138"/>
      <c r="AO121" s="138"/>
      <c r="AP121" s="138"/>
      <c r="AQ121" s="138"/>
      <c r="AR121" s="138"/>
      <c r="AS121" s="138"/>
      <c r="AT121" s="138"/>
      <c r="AU121" s="138"/>
      <c r="AV121" s="138"/>
      <c r="AW121" s="138"/>
      <c r="AX121" s="138"/>
      <c r="AY121" s="138"/>
      <c r="AZ121" s="138"/>
      <c r="BA121" s="138"/>
      <c r="BB121" s="138"/>
      <c r="BC121" s="138"/>
      <c r="BD121" s="138"/>
      <c r="BE121" s="138"/>
      <c r="BF121" s="138"/>
      <c r="BG121" s="138"/>
      <c r="BH121" s="138"/>
      <c r="BI121" s="138"/>
      <c r="BJ121" s="138"/>
      <c r="BK121" s="138"/>
      <c r="BL121" s="138"/>
      <c r="BM121" s="138"/>
      <c r="BN121" s="138"/>
      <c r="BO121" s="138"/>
      <c r="BP121" s="138"/>
      <c r="BQ121" s="138"/>
      <c r="BR121" s="138"/>
      <c r="BS121" s="138"/>
      <c r="BT121" s="138"/>
      <c r="BU121" s="156"/>
    </row>
    <row r="122" spans="1:73" x14ac:dyDescent="0.2">
      <c r="A122" s="138"/>
      <c r="B122" s="115" t="s">
        <v>281</v>
      </c>
      <c r="C122" s="148"/>
      <c r="D122" s="115" t="s">
        <v>101</v>
      </c>
      <c r="E122" s="115"/>
      <c r="F122" s="115"/>
      <c r="G122" s="115">
        <v>8303</v>
      </c>
      <c r="H122" s="115">
        <v>7894</v>
      </c>
      <c r="I122" s="115">
        <v>7382</v>
      </c>
      <c r="J122" s="115">
        <v>8144</v>
      </c>
      <c r="K122" s="115">
        <v>7620</v>
      </c>
      <c r="L122" s="115">
        <v>8114</v>
      </c>
      <c r="M122" s="115">
        <v>7924</v>
      </c>
      <c r="N122" s="115">
        <v>7741</v>
      </c>
      <c r="O122" s="115">
        <v>8172</v>
      </c>
      <c r="P122" s="115">
        <v>8052</v>
      </c>
      <c r="Q122" s="115">
        <v>7900</v>
      </c>
      <c r="R122" s="115">
        <v>8230</v>
      </c>
      <c r="S122" s="115">
        <v>8052</v>
      </c>
      <c r="T122" s="115">
        <v>7890</v>
      </c>
      <c r="U122" s="115">
        <v>8080</v>
      </c>
      <c r="V122" s="115">
        <v>7773</v>
      </c>
      <c r="W122" s="115">
        <v>8031</v>
      </c>
      <c r="X122" s="115">
        <v>7484</v>
      </c>
      <c r="Y122" s="115">
        <v>7815</v>
      </c>
      <c r="Z122" s="115">
        <v>7778</v>
      </c>
      <c r="AA122" s="115">
        <v>7508</v>
      </c>
      <c r="AB122" s="115">
        <v>7589</v>
      </c>
      <c r="AC122" s="115">
        <v>7743</v>
      </c>
      <c r="AD122" s="115">
        <v>7405</v>
      </c>
      <c r="AE122" s="115">
        <v>7655</v>
      </c>
      <c r="AF122" s="115">
        <v>7907</v>
      </c>
      <c r="AG122" s="115">
        <v>8577</v>
      </c>
      <c r="AH122" s="115">
        <v>8860</v>
      </c>
      <c r="AI122" s="115">
        <v>8806</v>
      </c>
      <c r="AJ122" s="115">
        <v>8609</v>
      </c>
      <c r="AK122" s="115">
        <v>8269</v>
      </c>
      <c r="AL122" s="138"/>
      <c r="AM122" s="138"/>
      <c r="AN122" s="138"/>
      <c r="AO122" s="138"/>
      <c r="AP122" s="138"/>
      <c r="AQ122" s="138"/>
      <c r="AR122" s="138"/>
      <c r="AS122" s="138"/>
      <c r="AT122" s="138"/>
      <c r="AU122" s="138"/>
      <c r="AV122" s="138"/>
      <c r="AW122" s="138"/>
      <c r="AX122" s="138"/>
      <c r="AY122" s="138"/>
      <c r="AZ122" s="138"/>
      <c r="BA122" s="138"/>
      <c r="BB122" s="138"/>
      <c r="BC122" s="138"/>
      <c r="BD122" s="138"/>
      <c r="BE122" s="138"/>
      <c r="BF122" s="138"/>
      <c r="BG122" s="138"/>
      <c r="BH122" s="138"/>
      <c r="BI122" s="138"/>
      <c r="BJ122" s="138"/>
      <c r="BK122" s="138"/>
      <c r="BL122" s="138"/>
      <c r="BM122" s="138"/>
      <c r="BN122" s="138"/>
      <c r="BO122" s="138"/>
      <c r="BP122" s="138"/>
      <c r="BQ122" s="138"/>
      <c r="BR122" s="138"/>
      <c r="BS122" s="138"/>
      <c r="BT122" s="138"/>
      <c r="BU122" s="156"/>
    </row>
    <row r="123" spans="1:73" x14ac:dyDescent="0.2">
      <c r="A123" s="138"/>
      <c r="B123" s="138"/>
      <c r="C123" s="139"/>
      <c r="D123" s="138"/>
      <c r="E123" s="138"/>
      <c r="F123" s="138"/>
      <c r="G123" s="138"/>
      <c r="H123" s="138"/>
      <c r="I123" s="138"/>
      <c r="J123" s="138"/>
      <c r="K123" s="138"/>
      <c r="L123" s="138"/>
      <c r="M123" s="138"/>
      <c r="N123" s="138"/>
      <c r="O123" s="138"/>
      <c r="P123" s="138"/>
      <c r="Q123" s="138"/>
      <c r="R123" s="138"/>
      <c r="S123" s="138"/>
      <c r="T123" s="138"/>
      <c r="U123" s="138"/>
      <c r="V123" s="138"/>
      <c r="W123" s="138"/>
      <c r="X123" s="138"/>
      <c r="Y123" s="138"/>
      <c r="Z123" s="138"/>
      <c r="AA123" s="138"/>
      <c r="AB123" s="138"/>
      <c r="AC123" s="138"/>
      <c r="AD123" s="138"/>
      <c r="AE123" s="138"/>
      <c r="AF123" s="138"/>
      <c r="AG123" s="138"/>
      <c r="AH123" s="138"/>
      <c r="AI123" s="138"/>
      <c r="AJ123" s="138"/>
      <c r="AK123" s="138"/>
      <c r="AL123" s="138"/>
      <c r="AM123" s="138"/>
      <c r="AN123" s="138"/>
      <c r="AO123" s="138"/>
      <c r="AP123" s="138"/>
      <c r="AQ123" s="138"/>
      <c r="AR123" s="138"/>
      <c r="AS123" s="138"/>
      <c r="AT123" s="138"/>
      <c r="AU123" s="138"/>
      <c r="AV123" s="138"/>
      <c r="AW123" s="138"/>
      <c r="AX123" s="138"/>
      <c r="AY123" s="138"/>
      <c r="AZ123" s="138"/>
      <c r="BA123" s="138"/>
      <c r="BB123" s="138"/>
      <c r="BC123" s="138"/>
      <c r="BD123" s="138"/>
      <c r="BE123" s="138"/>
      <c r="BF123" s="138"/>
      <c r="BG123" s="138"/>
      <c r="BH123" s="138"/>
      <c r="BI123" s="138"/>
      <c r="BJ123" s="138"/>
      <c r="BK123" s="138"/>
      <c r="BL123" s="138"/>
      <c r="BM123" s="138"/>
      <c r="BN123" s="138"/>
      <c r="BO123" s="138"/>
      <c r="BP123" s="138"/>
      <c r="BQ123" s="138"/>
      <c r="BR123" s="138"/>
      <c r="BS123" s="138"/>
      <c r="BT123" s="138"/>
      <c r="BU123" s="156"/>
    </row>
    <row r="124" spans="1:73" x14ac:dyDescent="0.2">
      <c r="A124" s="138"/>
      <c r="B124" s="138"/>
      <c r="C124" s="139"/>
      <c r="D124" s="138"/>
      <c r="E124" s="138"/>
      <c r="F124" s="138"/>
      <c r="G124" s="138"/>
      <c r="H124" s="138"/>
      <c r="I124" s="138"/>
      <c r="J124" s="138"/>
      <c r="K124" s="138"/>
      <c r="L124" s="138"/>
      <c r="M124" s="138"/>
      <c r="N124" s="138"/>
      <c r="O124" s="138"/>
      <c r="P124" s="138"/>
      <c r="Q124" s="138"/>
      <c r="R124" s="138"/>
      <c r="S124" s="138"/>
      <c r="T124" s="138"/>
      <c r="U124" s="138"/>
      <c r="V124" s="138"/>
      <c r="W124" s="138"/>
      <c r="X124" s="138"/>
      <c r="Y124" s="138"/>
      <c r="Z124" s="138"/>
      <c r="AA124" s="138"/>
      <c r="AB124" s="138"/>
      <c r="AC124" s="138"/>
      <c r="AD124" s="138"/>
      <c r="AE124" s="138"/>
      <c r="AF124" s="138"/>
      <c r="AG124" s="138"/>
      <c r="AH124" s="138"/>
      <c r="AI124" s="138"/>
      <c r="AJ124" s="138"/>
      <c r="AK124" s="138"/>
      <c r="AL124" s="138"/>
      <c r="AM124" s="138"/>
      <c r="AN124" s="138"/>
      <c r="AO124" s="138"/>
      <c r="AP124" s="138"/>
      <c r="AQ124" s="138"/>
      <c r="AR124" s="138"/>
      <c r="AS124" s="138"/>
      <c r="AT124" s="138"/>
      <c r="AU124" s="138"/>
      <c r="AV124" s="138"/>
      <c r="AW124" s="138"/>
      <c r="AX124" s="138"/>
      <c r="AY124" s="138"/>
      <c r="AZ124" s="138"/>
      <c r="BA124" s="138"/>
      <c r="BB124" s="138"/>
      <c r="BC124" s="138"/>
      <c r="BD124" s="138"/>
      <c r="BE124" s="138"/>
      <c r="BF124" s="138"/>
      <c r="BG124" s="138"/>
      <c r="BH124" s="138"/>
      <c r="BI124" s="138"/>
      <c r="BJ124" s="138"/>
      <c r="BK124" s="138"/>
      <c r="BL124" s="138"/>
      <c r="BM124" s="138"/>
      <c r="BN124" s="138"/>
      <c r="BO124" s="138"/>
      <c r="BP124" s="138"/>
      <c r="BQ124" s="138"/>
      <c r="BR124" s="138"/>
      <c r="BS124" s="138"/>
      <c r="BT124" s="138"/>
      <c r="BU124" s="156"/>
    </row>
    <row r="125" spans="1:73" ht="20.25" customHeight="1" x14ac:dyDescent="0.2">
      <c r="A125" s="138"/>
      <c r="B125" s="138"/>
      <c r="C125" s="139"/>
      <c r="D125" s="138"/>
      <c r="E125" s="138"/>
      <c r="F125" s="138"/>
      <c r="G125" s="138"/>
      <c r="H125" s="138"/>
      <c r="I125" s="138"/>
      <c r="J125" s="138"/>
      <c r="K125" s="138"/>
      <c r="L125" s="138"/>
      <c r="M125" s="138"/>
      <c r="N125" s="138"/>
      <c r="O125" s="138"/>
      <c r="P125" s="138"/>
      <c r="Q125" s="138"/>
      <c r="R125" s="138"/>
      <c r="S125" s="138"/>
      <c r="T125" s="138"/>
      <c r="U125" s="138"/>
      <c r="V125" s="138"/>
      <c r="W125" s="138"/>
      <c r="X125" s="138"/>
      <c r="Y125" s="138"/>
      <c r="Z125" s="138"/>
      <c r="AA125" s="138"/>
      <c r="AB125" s="138"/>
      <c r="AC125" s="138"/>
      <c r="AD125" s="138"/>
      <c r="AE125" s="138"/>
      <c r="AF125" s="138"/>
      <c r="AG125" s="138"/>
      <c r="AH125" s="138"/>
      <c r="AI125" s="138"/>
      <c r="AJ125" s="138"/>
      <c r="AK125" s="138"/>
      <c r="AL125" s="138"/>
      <c r="AM125" s="138"/>
      <c r="AN125" s="138"/>
      <c r="AO125" s="138"/>
      <c r="AP125" s="138"/>
      <c r="AQ125" s="138"/>
      <c r="AR125" s="138"/>
      <c r="AS125" s="138"/>
      <c r="AT125" s="138"/>
      <c r="AU125" s="138"/>
      <c r="AV125" s="138"/>
      <c r="AW125" s="138"/>
      <c r="AX125" s="138"/>
      <c r="AY125" s="138"/>
      <c r="AZ125" s="138"/>
      <c r="BA125" s="138"/>
      <c r="BB125" s="138"/>
      <c r="BC125" s="138"/>
      <c r="BD125" s="138"/>
      <c r="BE125" s="138"/>
      <c r="BF125" s="138"/>
      <c r="BG125" s="138"/>
      <c r="BH125" s="138"/>
      <c r="BI125" s="138"/>
      <c r="BJ125" s="138"/>
      <c r="BK125" s="138"/>
      <c r="BL125" s="138"/>
      <c r="BM125" s="138"/>
      <c r="BN125" s="138"/>
      <c r="BO125" s="138"/>
      <c r="BP125" s="138"/>
      <c r="BQ125" s="138"/>
      <c r="BR125" s="138"/>
      <c r="BS125" s="138"/>
      <c r="BT125" s="138"/>
      <c r="BU125" s="156"/>
    </row>
  </sheetData>
  <mergeCells count="9">
    <mergeCell ref="I86:AL86"/>
    <mergeCell ref="I3:BU3"/>
    <mergeCell ref="H19:AO19"/>
    <mergeCell ref="C58:BU59"/>
    <mergeCell ref="C65:BU65"/>
    <mergeCell ref="D78:BU78"/>
    <mergeCell ref="I80:AL80"/>
    <mergeCell ref="D50:BU50"/>
    <mergeCell ref="A55:BU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01-10-2025</vt:lpstr>
      <vt:lpstr>02-10-2025</vt:lpstr>
      <vt:lpstr>03-10-2025</vt:lpstr>
      <vt:lpstr>04-10-2025</vt:lpstr>
      <vt:lpstr>05-10-2025</vt:lpstr>
      <vt:lpstr>06-10-2025</vt:lpstr>
      <vt:lpstr>07-10-2025</vt:lpstr>
      <vt:lpstr>08-10-2025</vt:lpstr>
      <vt:lpstr>09-10-2025</vt:lpstr>
      <vt:lpstr>10-10-2025</vt:lpstr>
      <vt:lpstr>11-10-2025</vt:lpstr>
      <vt:lpstr>12-10-2025</vt:lpstr>
      <vt:lpstr>13-10-2025</vt:lpstr>
      <vt:lpstr>14-10-2025</vt:lpstr>
      <vt:lpstr>15-10-2025</vt:lpstr>
      <vt:lpstr>16-10-2025</vt:lpstr>
      <vt:lpstr>17-10-2025</vt:lpstr>
      <vt:lpstr>18-10-2025</vt:lpstr>
      <vt:lpstr>19-10-2025</vt:lpstr>
      <vt:lpstr>20-10-2025</vt:lpstr>
      <vt:lpstr>21-10-2025</vt:lpstr>
      <vt:lpstr>22-10-2025</vt:lpstr>
      <vt:lpstr>23-10-2025</vt:lpstr>
      <vt:lpstr>24-10-2025</vt:lpstr>
      <vt:lpstr>25-10-2025</vt:lpstr>
      <vt:lpstr>26-10-2025</vt:lpstr>
      <vt:lpstr>27-10-2025</vt:lpstr>
      <vt:lpstr>28-10-2025</vt:lpstr>
      <vt:lpstr>29-10-2025</vt:lpstr>
      <vt:lpstr>30-10-2025</vt:lpstr>
      <vt:lpstr>31-10-2025</vt:lpstr>
      <vt:lpstr>Pulp &amp; Chemical consumption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Ravi Arora</cp:lastModifiedBy>
  <dcterms:created xsi:type="dcterms:W3CDTF">2025-04-02T05:06:05Z</dcterms:created>
  <dcterms:modified xsi:type="dcterms:W3CDTF">2026-02-27T15:34:24Z</dcterms:modified>
</cp:coreProperties>
</file>