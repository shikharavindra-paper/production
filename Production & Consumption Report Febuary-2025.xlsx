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ravindra/Desktop/production /"/>
    </mc:Choice>
  </mc:AlternateContent>
  <xr:revisionPtr revIDLastSave="0" documentId="13_ncr:1_{45A1FE82-2269-D14B-813D-DE32F8D69D1E}" xr6:coauthVersionLast="47" xr6:coauthVersionMax="47" xr10:uidLastSave="{00000000-0000-0000-0000-000000000000}"/>
  <bookViews>
    <workbookView xWindow="0" yWindow="520" windowWidth="20480" windowHeight="12800" firstSheet="22" activeTab="28" xr2:uid="{00000000-000D-0000-FFFF-FFFF00000000}"/>
  </bookViews>
  <sheets>
    <sheet name="01-02-2025" sheetId="254" r:id="rId1"/>
    <sheet name="02-02-2025" sheetId="255" r:id="rId2"/>
    <sheet name="03-02-2025" sheetId="256" r:id="rId3"/>
    <sheet name="04-02-2025" sheetId="257" r:id="rId4"/>
    <sheet name="05-02-2025" sheetId="258" r:id="rId5"/>
    <sheet name="06-02-2025" sheetId="259" r:id="rId6"/>
    <sheet name="07-02-2025" sheetId="260" r:id="rId7"/>
    <sheet name="08-02-2025" sheetId="261" r:id="rId8"/>
    <sheet name="09-02-2025" sheetId="262" r:id="rId9"/>
    <sheet name="10-02-2025" sheetId="263" r:id="rId10"/>
    <sheet name="11-02-2025" sheetId="264" r:id="rId11"/>
    <sheet name="12-02-2025" sheetId="265" r:id="rId12"/>
    <sheet name="13-02-2025" sheetId="266" r:id="rId13"/>
    <sheet name="14-02-2025" sheetId="267" r:id="rId14"/>
    <sheet name="15-02-2025" sheetId="268" r:id="rId15"/>
    <sheet name="16-02-2025" sheetId="269" r:id="rId16"/>
    <sheet name="17-02-205" sheetId="270" r:id="rId17"/>
    <sheet name="18-02-2025" sheetId="271" r:id="rId18"/>
    <sheet name="19-02-2025" sheetId="272" r:id="rId19"/>
    <sheet name="20-02-2025" sheetId="273" r:id="rId20"/>
    <sheet name="21-02-2025" sheetId="274" r:id="rId21"/>
    <sheet name="22-02-2025" sheetId="275" r:id="rId22"/>
    <sheet name="23-02-2025" sheetId="276" r:id="rId23"/>
    <sheet name="24-02-2025" sheetId="277" r:id="rId24"/>
    <sheet name="25-02-2025" sheetId="278" r:id="rId25"/>
    <sheet name="26-02-2025" sheetId="279" r:id="rId26"/>
    <sheet name="27-02-2025" sheetId="280" r:id="rId27"/>
    <sheet name="28-02-2025" sheetId="281" r:id="rId28"/>
    <sheet name="PULP &amp; CHEMICAL REPORT" sheetId="41" r:id="rId29"/>
  </sheets>
  <definedNames>
    <definedName name="_xlnm._FilterDatabase" localSheetId="28" hidden="1">'PULP &amp; CHEMICAL REPORT'!$A$2:$AJ$49</definedName>
    <definedName name="_xlnm.Print_Area" localSheetId="28">'PULP &amp; CHEMICAL REPORT'!$A$1:$AI$43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281" l="1"/>
  <c r="F22" i="281"/>
  <c r="H10" i="281"/>
  <c r="G10" i="281"/>
  <c r="H9" i="281"/>
  <c r="G9" i="281"/>
  <c r="F22" i="280"/>
  <c r="H11" i="280"/>
  <c r="G11" i="280"/>
  <c r="H10" i="280"/>
  <c r="G10" i="280"/>
  <c r="H9" i="280"/>
  <c r="G9" i="280"/>
  <c r="J26" i="279"/>
  <c r="F22" i="279"/>
  <c r="H13" i="279"/>
  <c r="G13" i="279"/>
  <c r="H12" i="279"/>
  <c r="G12" i="279"/>
  <c r="H11" i="279"/>
  <c r="G11" i="279"/>
  <c r="H10" i="279"/>
  <c r="G10" i="279"/>
  <c r="H9" i="279"/>
  <c r="H22" i="279" s="1"/>
  <c r="G9" i="279"/>
  <c r="H13" i="278"/>
  <c r="G13" i="278"/>
  <c r="F22" i="278"/>
  <c r="H12" i="278"/>
  <c r="G12" i="278"/>
  <c r="H11" i="278"/>
  <c r="H22" i="278" s="1"/>
  <c r="G11" i="278"/>
  <c r="H10" i="278"/>
  <c r="G10" i="278"/>
  <c r="H9" i="278"/>
  <c r="G9" i="278"/>
  <c r="F22" i="277"/>
  <c r="H22" i="277" s="1"/>
  <c r="H12" i="277"/>
  <c r="G12" i="277"/>
  <c r="H11" i="277"/>
  <c r="G11" i="277"/>
  <c r="H10" i="277"/>
  <c r="G10" i="277"/>
  <c r="H9" i="277"/>
  <c r="G9" i="277"/>
  <c r="H13" i="276"/>
  <c r="H14" i="276"/>
  <c r="G13" i="276"/>
  <c r="G14" i="276"/>
  <c r="F22" i="276"/>
  <c r="H12" i="276"/>
  <c r="G12" i="276"/>
  <c r="H11" i="276"/>
  <c r="G11" i="276"/>
  <c r="H10" i="276"/>
  <c r="G10" i="276"/>
  <c r="H9" i="276"/>
  <c r="G9" i="276"/>
  <c r="F22" i="275"/>
  <c r="H12" i="275"/>
  <c r="G12" i="275"/>
  <c r="H11" i="275"/>
  <c r="G11" i="275"/>
  <c r="H10" i="275"/>
  <c r="G10" i="275"/>
  <c r="H9" i="275"/>
  <c r="G9" i="275"/>
  <c r="F22" i="274"/>
  <c r="H15" i="274"/>
  <c r="G15" i="274"/>
  <c r="H14" i="274"/>
  <c r="G14" i="274"/>
  <c r="H13" i="274"/>
  <c r="G13" i="274"/>
  <c r="H12" i="274"/>
  <c r="G12" i="274"/>
  <c r="H11" i="274"/>
  <c r="G11" i="274"/>
  <c r="H10" i="274"/>
  <c r="G10" i="274"/>
  <c r="H9" i="274"/>
  <c r="G9" i="274"/>
  <c r="F22" i="273"/>
  <c r="H9" i="273"/>
  <c r="G9" i="273"/>
  <c r="H13" i="272"/>
  <c r="H14" i="272"/>
  <c r="H15" i="272"/>
  <c r="G13" i="272"/>
  <c r="G14" i="272"/>
  <c r="G15" i="272"/>
  <c r="F22" i="272"/>
  <c r="H12" i="272"/>
  <c r="G12" i="272"/>
  <c r="H11" i="272"/>
  <c r="G11" i="272"/>
  <c r="H10" i="272"/>
  <c r="G10" i="272"/>
  <c r="H9" i="272"/>
  <c r="G9" i="272"/>
  <c r="F22" i="271"/>
  <c r="H12" i="271"/>
  <c r="G12" i="271"/>
  <c r="H11" i="271"/>
  <c r="G11" i="271"/>
  <c r="H10" i="271"/>
  <c r="G10" i="271"/>
  <c r="H9" i="271"/>
  <c r="G9" i="271"/>
  <c r="AI40" i="41"/>
  <c r="AI39" i="41"/>
  <c r="AI38" i="41"/>
  <c r="AI37" i="41"/>
  <c r="AI36" i="41"/>
  <c r="F22" i="270"/>
  <c r="H12" i="270"/>
  <c r="G12" i="270"/>
  <c r="H11" i="270"/>
  <c r="G11" i="270"/>
  <c r="H10" i="270"/>
  <c r="G10" i="270"/>
  <c r="H9" i="270"/>
  <c r="G9" i="270"/>
  <c r="H12" i="269"/>
  <c r="H13" i="269"/>
  <c r="G12" i="269"/>
  <c r="G13" i="269"/>
  <c r="F22" i="269"/>
  <c r="H11" i="269"/>
  <c r="G11" i="269"/>
  <c r="H10" i="269"/>
  <c r="G10" i="269"/>
  <c r="H9" i="269"/>
  <c r="G9" i="269"/>
  <c r="G22" i="269" s="1"/>
  <c r="G22" i="281" l="1"/>
  <c r="H22" i="281"/>
  <c r="H22" i="280"/>
  <c r="G22" i="280"/>
  <c r="G22" i="279"/>
  <c r="G22" i="278"/>
  <c r="G22" i="277"/>
  <c r="H22" i="276"/>
  <c r="G22" i="276"/>
  <c r="G22" i="275"/>
  <c r="H22" i="275"/>
  <c r="H22" i="274"/>
  <c r="G22" i="274"/>
  <c r="G22" i="273"/>
  <c r="H22" i="273"/>
  <c r="H22" i="272"/>
  <c r="G22" i="272"/>
  <c r="H22" i="271"/>
  <c r="G22" i="271"/>
  <c r="G22" i="270"/>
  <c r="H22" i="270"/>
  <c r="H22" i="269"/>
  <c r="F22" i="268" l="1"/>
  <c r="H11" i="268"/>
  <c r="G11" i="268"/>
  <c r="H10" i="268"/>
  <c r="G10" i="268"/>
  <c r="H9" i="268"/>
  <c r="H22" i="268" s="1"/>
  <c r="G9" i="268"/>
  <c r="F22" i="267"/>
  <c r="H11" i="267"/>
  <c r="G11" i="267"/>
  <c r="H10" i="267"/>
  <c r="G10" i="267"/>
  <c r="H9" i="267"/>
  <c r="G9" i="267"/>
  <c r="AI35" i="41"/>
  <c r="F22" i="266"/>
  <c r="G22" i="266" s="1"/>
  <c r="F22" i="265"/>
  <c r="H22" i="265" s="1"/>
  <c r="AI31" i="41"/>
  <c r="G22" i="268" l="1"/>
  <c r="H22" i="267"/>
  <c r="G22" i="267"/>
  <c r="H22" i="266"/>
  <c r="G22" i="265"/>
  <c r="F22" i="264"/>
  <c r="H9" i="264"/>
  <c r="G9" i="264"/>
  <c r="H12" i="263"/>
  <c r="H13" i="263"/>
  <c r="H14" i="263"/>
  <c r="G12" i="263"/>
  <c r="G13" i="263"/>
  <c r="G14" i="263"/>
  <c r="F22" i="263"/>
  <c r="H11" i="263"/>
  <c r="G11" i="263"/>
  <c r="H10" i="263"/>
  <c r="G10" i="263"/>
  <c r="H9" i="263"/>
  <c r="G9" i="263"/>
  <c r="F22" i="262"/>
  <c r="H11" i="262"/>
  <c r="G11" i="262"/>
  <c r="H10" i="262"/>
  <c r="G10" i="262"/>
  <c r="H9" i="262"/>
  <c r="G9" i="262"/>
  <c r="F22" i="261"/>
  <c r="H11" i="261"/>
  <c r="G11" i="261"/>
  <c r="H10" i="261"/>
  <c r="G10" i="261"/>
  <c r="H9" i="261"/>
  <c r="G9" i="261"/>
  <c r="H13" i="260"/>
  <c r="H14" i="260"/>
  <c r="H15" i="260"/>
  <c r="G13" i="260"/>
  <c r="G14" i="260"/>
  <c r="G15" i="260"/>
  <c r="F22" i="260"/>
  <c r="H12" i="260"/>
  <c r="G12" i="260"/>
  <c r="H11" i="260"/>
  <c r="G11" i="260"/>
  <c r="H10" i="260"/>
  <c r="G10" i="260"/>
  <c r="H9" i="260"/>
  <c r="G9" i="260"/>
  <c r="AI6" i="41"/>
  <c r="AI7" i="41"/>
  <c r="AI8" i="41"/>
  <c r="AI9" i="41"/>
  <c r="AI10" i="41"/>
  <c r="AI11" i="41"/>
  <c r="AI12" i="41"/>
  <c r="F22" i="259"/>
  <c r="H12" i="259"/>
  <c r="G12" i="259"/>
  <c r="H11" i="259"/>
  <c r="G11" i="259"/>
  <c r="H10" i="259"/>
  <c r="G10" i="259"/>
  <c r="H9" i="259"/>
  <c r="G9" i="259"/>
  <c r="F22" i="258"/>
  <c r="H12" i="258"/>
  <c r="G12" i="258"/>
  <c r="H11" i="258"/>
  <c r="G11" i="258"/>
  <c r="H10" i="258"/>
  <c r="G10" i="258"/>
  <c r="H9" i="258"/>
  <c r="G9" i="258"/>
  <c r="H12" i="257"/>
  <c r="H13" i="257"/>
  <c r="H14" i="257"/>
  <c r="G12" i="257"/>
  <c r="G13" i="257"/>
  <c r="G14" i="257"/>
  <c r="F22" i="257"/>
  <c r="H11" i="257"/>
  <c r="G11" i="257"/>
  <c r="H10" i="257"/>
  <c r="G10" i="257"/>
  <c r="H9" i="257"/>
  <c r="G9" i="257"/>
  <c r="H22" i="263" l="1"/>
  <c r="G22" i="263"/>
  <c r="H22" i="264"/>
  <c r="G22" i="264"/>
  <c r="H22" i="262"/>
  <c r="G22" i="262"/>
  <c r="G22" i="261"/>
  <c r="H22" i="261"/>
  <c r="H22" i="260"/>
  <c r="G22" i="260"/>
  <c r="H22" i="259"/>
  <c r="G22" i="259"/>
  <c r="G22" i="258"/>
  <c r="H22" i="258"/>
  <c r="H22" i="257"/>
  <c r="G22" i="257"/>
  <c r="F22" i="256" l="1"/>
  <c r="H11" i="256"/>
  <c r="G11" i="256"/>
  <c r="H10" i="256"/>
  <c r="G10" i="256"/>
  <c r="H9" i="256"/>
  <c r="G9" i="256"/>
  <c r="H13" i="255"/>
  <c r="G13" i="255"/>
  <c r="F22" i="255"/>
  <c r="H12" i="255"/>
  <c r="G12" i="255"/>
  <c r="H11" i="255"/>
  <c r="G11" i="255"/>
  <c r="H10" i="255"/>
  <c r="G10" i="255"/>
  <c r="H9" i="255"/>
  <c r="G9" i="255"/>
  <c r="F22" i="254"/>
  <c r="H12" i="254"/>
  <c r="G12" i="254"/>
  <c r="H11" i="254"/>
  <c r="G11" i="254"/>
  <c r="H10" i="254"/>
  <c r="G10" i="254"/>
  <c r="H9" i="254"/>
  <c r="G9" i="254"/>
  <c r="H22" i="256" l="1"/>
  <c r="G22" i="256"/>
  <c r="H22" i="255"/>
  <c r="G22" i="255"/>
  <c r="H22" i="254"/>
  <c r="G22" i="254"/>
  <c r="AE13" i="41" l="1"/>
  <c r="AD13" i="41"/>
  <c r="AC13" i="41"/>
  <c r="AI22" i="41"/>
  <c r="AI20" i="41"/>
  <c r="AB13" i="41"/>
  <c r="AA13" i="41"/>
  <c r="Z13" i="41"/>
  <c r="Y13" i="41" l="1"/>
  <c r="X13" i="41" l="1"/>
  <c r="W13" i="41"/>
  <c r="V13" i="41" l="1"/>
  <c r="U13" i="41" l="1"/>
  <c r="T13" i="41"/>
  <c r="S13" i="41" l="1"/>
  <c r="R13" i="41" l="1"/>
  <c r="Q13" i="41" l="1"/>
  <c r="P13" i="41"/>
  <c r="O13" i="41"/>
  <c r="N13" i="41" l="1"/>
  <c r="M13" i="41" l="1"/>
  <c r="L13" i="41" l="1"/>
  <c r="K13" i="41" l="1"/>
  <c r="J13" i="41" l="1"/>
  <c r="I13" i="41"/>
  <c r="AH94" i="41" l="1"/>
  <c r="AH86" i="41"/>
  <c r="AH84" i="41"/>
  <c r="AH80" i="41" s="1"/>
  <c r="AH71" i="41"/>
  <c r="AH79" i="41" s="1"/>
  <c r="AH87" i="41" s="1"/>
  <c r="AH49" i="41"/>
  <c r="AH89" i="41" s="1"/>
  <c r="AH95" i="41" s="1"/>
  <c r="AH13" i="41"/>
  <c r="AH50" i="41" l="1"/>
  <c r="AH96" i="41"/>
  <c r="AH92" i="41"/>
  <c r="AH93" i="41" s="1"/>
  <c r="AH97" i="41" s="1"/>
  <c r="AG94" i="41"/>
  <c r="AG86" i="41"/>
  <c r="AG84" i="41"/>
  <c r="AG80" i="41" s="1"/>
  <c r="AG71" i="41"/>
  <c r="AG79" i="41" s="1"/>
  <c r="AG87" i="41" s="1"/>
  <c r="AG49" i="41"/>
  <c r="AG89" i="41" s="1"/>
  <c r="AG95" i="41" s="1"/>
  <c r="AG96" i="41" s="1"/>
  <c r="AG13" i="41"/>
  <c r="AH98" i="41" l="1"/>
  <c r="AG50" i="41"/>
  <c r="AG92" i="41"/>
  <c r="AG93" i="41" s="1"/>
  <c r="AG97" i="41" s="1"/>
  <c r="AG98" i="41" s="1"/>
  <c r="AF94" i="41"/>
  <c r="AF86" i="41"/>
  <c r="AF84" i="41"/>
  <c r="AF80" i="41" s="1"/>
  <c r="AF71" i="41"/>
  <c r="AF79" i="41" s="1"/>
  <c r="AF87" i="41" s="1"/>
  <c r="AF49" i="41"/>
  <c r="AF89" i="41" s="1"/>
  <c r="AF95" i="41" s="1"/>
  <c r="AF13" i="41"/>
  <c r="AE94" i="41"/>
  <c r="AE86" i="41"/>
  <c r="AE84" i="41"/>
  <c r="AE71" i="41"/>
  <c r="AE79" i="41" s="1"/>
  <c r="AE87" i="41" s="1"/>
  <c r="AE49" i="41"/>
  <c r="AE89" i="41" s="1"/>
  <c r="AE95" i="41" s="1"/>
  <c r="H13" i="41"/>
  <c r="G13" i="41"/>
  <c r="AD94" i="41"/>
  <c r="AD86" i="41"/>
  <c r="AD84" i="41"/>
  <c r="AD71" i="41"/>
  <c r="AD79" i="41" s="1"/>
  <c r="AD87" i="41" s="1"/>
  <c r="AD49" i="41"/>
  <c r="AD89" i="41" s="1"/>
  <c r="AD95" i="41" s="1"/>
  <c r="AC94" i="41"/>
  <c r="AC86" i="41"/>
  <c r="AC84" i="41"/>
  <c r="AC80" i="41" s="1"/>
  <c r="AC71" i="41"/>
  <c r="AC79" i="41" s="1"/>
  <c r="AC87" i="41" s="1"/>
  <c r="AC49" i="41"/>
  <c r="AC89" i="41" s="1"/>
  <c r="AC95" i="41" s="1"/>
  <c r="AB94" i="41"/>
  <c r="AB86" i="41"/>
  <c r="AB84" i="41"/>
  <c r="AB80" i="41" s="1"/>
  <c r="AB71" i="41"/>
  <c r="AB79" i="41" s="1"/>
  <c r="AB87" i="41" s="1"/>
  <c r="AB49" i="41"/>
  <c r="AB89" i="41" s="1"/>
  <c r="AB95" i="41" s="1"/>
  <c r="AA94" i="41"/>
  <c r="AA86" i="41"/>
  <c r="AA84" i="41"/>
  <c r="AA80" i="41" s="1"/>
  <c r="AA71" i="41"/>
  <c r="AA79" i="41" s="1"/>
  <c r="AA87" i="41" s="1"/>
  <c r="AA49" i="41"/>
  <c r="AA89" i="41" s="1"/>
  <c r="AA95" i="41" s="1"/>
  <c r="Z94" i="41"/>
  <c r="Z86" i="41"/>
  <c r="Z84" i="41"/>
  <c r="Z80" i="41" s="1"/>
  <c r="Z71" i="41"/>
  <c r="Z79" i="41" s="1"/>
  <c r="Z87" i="41" s="1"/>
  <c r="Z49" i="41"/>
  <c r="Z89" i="41" s="1"/>
  <c r="Z95" i="41" s="1"/>
  <c r="Y94" i="41"/>
  <c r="Y86" i="41"/>
  <c r="Y84" i="41"/>
  <c r="Y80" i="41" s="1"/>
  <c r="Y71" i="41"/>
  <c r="Y79" i="41" s="1"/>
  <c r="Y87" i="41" s="1"/>
  <c r="Y49" i="41"/>
  <c r="Y89" i="41" s="1"/>
  <c r="Y95" i="41" s="1"/>
  <c r="X94" i="41"/>
  <c r="X86" i="41"/>
  <c r="X84" i="41"/>
  <c r="X71" i="41"/>
  <c r="X79" i="41" s="1"/>
  <c r="X87" i="41" s="1"/>
  <c r="X49" i="41"/>
  <c r="X89" i="41" s="1"/>
  <c r="X95" i="41" s="1"/>
  <c r="W94" i="41"/>
  <c r="W86" i="41"/>
  <c r="W84" i="41"/>
  <c r="W71" i="41"/>
  <c r="W79" i="41" s="1"/>
  <c r="W87" i="41" s="1"/>
  <c r="W49" i="41"/>
  <c r="W89" i="41" s="1"/>
  <c r="W95" i="41" s="1"/>
  <c r="V94" i="41"/>
  <c r="V86" i="41"/>
  <c r="V84" i="41"/>
  <c r="V80" i="41" s="1"/>
  <c r="V71" i="41"/>
  <c r="V79" i="41" s="1"/>
  <c r="V87" i="41" s="1"/>
  <c r="V49" i="41"/>
  <c r="V89" i="41" s="1"/>
  <c r="V95" i="41" s="1"/>
  <c r="U94" i="41"/>
  <c r="U86" i="41"/>
  <c r="U84" i="41"/>
  <c r="U80" i="41" s="1"/>
  <c r="U71" i="41"/>
  <c r="U79" i="41" s="1"/>
  <c r="U87" i="41" s="1"/>
  <c r="U49" i="41"/>
  <c r="U89" i="41" s="1"/>
  <c r="U95" i="41" s="1"/>
  <c r="T94" i="41"/>
  <c r="T86" i="41"/>
  <c r="T84" i="41"/>
  <c r="T80" i="41" s="1"/>
  <c r="T71" i="41"/>
  <c r="T79" i="41" s="1"/>
  <c r="T87" i="41" s="1"/>
  <c r="T49" i="41"/>
  <c r="T89" i="41" s="1"/>
  <c r="T95" i="41" s="1"/>
  <c r="AD50" i="41" l="1"/>
  <c r="AE92" i="41"/>
  <c r="AE93" i="41" s="1"/>
  <c r="AE97" i="41" s="1"/>
  <c r="AF50" i="41"/>
  <c r="AF96" i="41"/>
  <c r="AC96" i="41"/>
  <c r="AE50" i="41"/>
  <c r="AF92" i="41"/>
  <c r="AF93" i="41" s="1"/>
  <c r="AF97" i="41" s="1"/>
  <c r="AB96" i="41"/>
  <c r="AE96" i="41"/>
  <c r="W92" i="41"/>
  <c r="W93" i="41" s="1"/>
  <c r="W97" i="41" s="1"/>
  <c r="AA50" i="41"/>
  <c r="AE80" i="41"/>
  <c r="AA96" i="41"/>
  <c r="AD96" i="41"/>
  <c r="AC50" i="41"/>
  <c r="AD92" i="41"/>
  <c r="AD93" i="41" s="1"/>
  <c r="AD97" i="41" s="1"/>
  <c r="AD80" i="41"/>
  <c r="AB50" i="41"/>
  <c r="AB92" i="41"/>
  <c r="AB93" i="41" s="1"/>
  <c r="AB97" i="41" s="1"/>
  <c r="W50" i="41"/>
  <c r="W96" i="41"/>
  <c r="Y50" i="41"/>
  <c r="Z92" i="41"/>
  <c r="Z93" i="41" s="1"/>
  <c r="Z97" i="41" s="1"/>
  <c r="AC92" i="41"/>
  <c r="AC93" i="41" s="1"/>
  <c r="AC97" i="41" s="1"/>
  <c r="Z50" i="41"/>
  <c r="X50" i="41"/>
  <c r="X96" i="41"/>
  <c r="X92" i="41"/>
  <c r="X93" i="41" s="1"/>
  <c r="X97" i="41" s="1"/>
  <c r="X98" i="41" s="1"/>
  <c r="AA92" i="41"/>
  <c r="AA93" i="41" s="1"/>
  <c r="AA97" i="41" s="1"/>
  <c r="Z96" i="41"/>
  <c r="U50" i="41"/>
  <c r="X80" i="41"/>
  <c r="Y96" i="41"/>
  <c r="V96" i="41"/>
  <c r="Y92" i="41"/>
  <c r="Y93" i="41" s="1"/>
  <c r="Y97" i="41" s="1"/>
  <c r="U96" i="41"/>
  <c r="T96" i="41"/>
  <c r="V50" i="41"/>
  <c r="W80" i="41"/>
  <c r="V92" i="41"/>
  <c r="V93" i="41" s="1"/>
  <c r="V97" i="41" s="1"/>
  <c r="U92" i="41"/>
  <c r="U93" i="41" s="1"/>
  <c r="U97" i="41" s="1"/>
  <c r="T50" i="41"/>
  <c r="T92" i="41"/>
  <c r="T93" i="41" s="1"/>
  <c r="T97" i="41" s="1"/>
  <c r="AB98" i="41" l="1"/>
  <c r="AE98" i="41"/>
  <c r="AC98" i="41"/>
  <c r="AF98" i="41"/>
  <c r="AD98" i="41"/>
  <c r="U98" i="41"/>
  <c r="AA98" i="41"/>
  <c r="W98" i="41"/>
  <c r="Y98" i="41"/>
  <c r="Z98" i="41"/>
  <c r="T98" i="41"/>
  <c r="V98" i="41"/>
  <c r="AI5" i="41" l="1"/>
  <c r="AI14" i="41"/>
  <c r="AI15" i="41"/>
  <c r="AI16" i="41"/>
  <c r="AI17" i="41"/>
  <c r="AI18" i="41"/>
  <c r="AI19" i="41"/>
  <c r="AI21" i="41"/>
  <c r="AI23" i="41"/>
  <c r="AI24" i="41"/>
  <c r="AI25" i="41"/>
  <c r="AI26" i="41"/>
  <c r="AI27" i="41"/>
  <c r="AI28" i="41"/>
  <c r="AI29" i="41"/>
  <c r="AI30" i="41"/>
  <c r="AI32" i="41"/>
  <c r="AI33" i="41"/>
  <c r="AI34" i="41"/>
  <c r="AI42" i="41"/>
  <c r="AI4" i="41"/>
  <c r="S49" i="41" l="1"/>
  <c r="S89" i="41" s="1"/>
  <c r="S95" i="41" s="1"/>
  <c r="R49" i="41"/>
  <c r="R89" i="41" s="1"/>
  <c r="R95" i="41" s="1"/>
  <c r="Q49" i="41"/>
  <c r="Q89" i="41" s="1"/>
  <c r="P49" i="41"/>
  <c r="O49" i="41"/>
  <c r="S94" i="41"/>
  <c r="S86" i="41"/>
  <c r="S84" i="41"/>
  <c r="S71" i="41"/>
  <c r="S79" i="41" s="1"/>
  <c r="S87" i="41" s="1"/>
  <c r="S43" i="41"/>
  <c r="R94" i="41"/>
  <c r="Q80" i="41"/>
  <c r="R86" i="41"/>
  <c r="Q86" i="41"/>
  <c r="P86" i="41"/>
  <c r="R84" i="41"/>
  <c r="R80" i="41" s="1"/>
  <c r="S96" i="41" l="1"/>
  <c r="S92" i="41"/>
  <c r="S93" i="41" s="1"/>
  <c r="S97" i="41" s="1"/>
  <c r="R92" i="41"/>
  <c r="R93" i="41" s="1"/>
  <c r="S50" i="41"/>
  <c r="S80" i="41"/>
  <c r="R96" i="41"/>
  <c r="AI13" i="41" l="1"/>
  <c r="S98" i="41"/>
  <c r="AI70" i="41" l="1"/>
  <c r="AI69" i="41"/>
  <c r="AI68" i="41"/>
  <c r="AI67" i="41"/>
  <c r="Q94" i="41" l="1"/>
  <c r="Q92" i="41"/>
  <c r="Q93" i="41" s="1"/>
  <c r="Q95" i="41"/>
  <c r="Q71" i="41"/>
  <c r="Q79" i="41" s="1"/>
  <c r="Q87" i="41" s="1"/>
  <c r="Q52" i="41"/>
  <c r="Q96" i="41" l="1"/>
  <c r="Q50" i="41"/>
  <c r="Q53" i="41"/>
  <c r="Q54" i="41"/>
  <c r="Q97" i="41"/>
  <c r="P89" i="41"/>
  <c r="Q98" i="41" l="1"/>
  <c r="AI90" i="41"/>
  <c r="AI88" i="41"/>
  <c r="AI84" i="41"/>
  <c r="R71" i="41"/>
  <c r="R79" i="41" s="1"/>
  <c r="R87" i="41" s="1"/>
  <c r="R97" i="41" s="1"/>
  <c r="R98" i="41" s="1"/>
  <c r="R43" i="41"/>
  <c r="R52" i="41" s="1"/>
  <c r="R54" i="41" l="1"/>
  <c r="R50" i="41"/>
  <c r="R53" i="41"/>
  <c r="P95" i="41" l="1"/>
  <c r="P94" i="41"/>
  <c r="P92" i="41"/>
  <c r="P93" i="41" s="1"/>
  <c r="AI94" i="41"/>
  <c r="P80" i="41"/>
  <c r="P71" i="41"/>
  <c r="P79" i="41" s="1"/>
  <c r="P87" i="41" s="1"/>
  <c r="P52" i="41" l="1"/>
  <c r="P53" i="41"/>
  <c r="P54" i="41"/>
  <c r="P50" i="41"/>
  <c r="P96" i="41"/>
  <c r="P97" i="41"/>
  <c r="O86" i="41"/>
  <c r="O92" i="41" s="1"/>
  <c r="O93" i="41" s="1"/>
  <c r="O50" i="41"/>
  <c r="O54" i="41"/>
  <c r="O53" i="41"/>
  <c r="O52" i="41"/>
  <c r="O94" i="41"/>
  <c r="O89" i="41"/>
  <c r="O95" i="41" s="1"/>
  <c r="O80" i="41"/>
  <c r="O78" i="41"/>
  <c r="O71" i="41"/>
  <c r="P98" i="41" l="1"/>
  <c r="O96" i="41"/>
  <c r="O79" i="41"/>
  <c r="N49" i="41"/>
  <c r="N89" i="41" s="1"/>
  <c r="N95" i="41" s="1"/>
  <c r="M49" i="41"/>
  <c r="N86" i="41"/>
  <c r="N92" i="41" s="1"/>
  <c r="N93" i="41" s="1"/>
  <c r="M86" i="41"/>
  <c r="N94" i="41"/>
  <c r="N80" i="41"/>
  <c r="N78" i="41"/>
  <c r="N71" i="41"/>
  <c r="N61" i="41"/>
  <c r="O87" i="41" l="1"/>
  <c r="O97" i="41" s="1"/>
  <c r="O98" i="41" s="1"/>
  <c r="N79" i="41"/>
  <c r="N96" i="41"/>
  <c r="N57" i="41"/>
  <c r="N53" i="41"/>
  <c r="N59" i="41" s="1"/>
  <c r="N54" i="41"/>
  <c r="N60" i="41" s="1"/>
  <c r="N50" i="41"/>
  <c r="N52" i="41"/>
  <c r="N58" i="41" s="1"/>
  <c r="N62" i="41"/>
  <c r="L86" i="41"/>
  <c r="L92" i="41" s="1"/>
  <c r="L49" i="41"/>
  <c r="L89" i="41" s="1"/>
  <c r="L95" i="41" s="1"/>
  <c r="L94" i="41"/>
  <c r="L80" i="41"/>
  <c r="L78" i="41"/>
  <c r="L71" i="41"/>
  <c r="L61" i="41"/>
  <c r="L54" i="41"/>
  <c r="N87" i="41" l="1"/>
  <c r="N97" i="41" s="1"/>
  <c r="N98" i="41" s="1"/>
  <c r="L57" i="41"/>
  <c r="L60" i="41"/>
  <c r="L79" i="41"/>
  <c r="L87" i="41" s="1"/>
  <c r="L96" i="41"/>
  <c r="L50" i="41"/>
  <c r="L93" i="41"/>
  <c r="L62" i="41"/>
  <c r="L53" i="41"/>
  <c r="L59" i="41" s="1"/>
  <c r="L52" i="41"/>
  <c r="L58" i="41" s="1"/>
  <c r="K86" i="41"/>
  <c r="J86" i="41"/>
  <c r="I86" i="41"/>
  <c r="AI86" i="41" l="1"/>
  <c r="L97" i="41"/>
  <c r="L98" i="41" s="1"/>
  <c r="M89" i="41"/>
  <c r="M95" i="41" s="1"/>
  <c r="K49" i="41"/>
  <c r="K89" i="41" s="1"/>
  <c r="K95" i="41" s="1"/>
  <c r="J49" i="41"/>
  <c r="J89" i="41" s="1"/>
  <c r="J95" i="41" s="1"/>
  <c r="I49" i="41"/>
  <c r="M52" i="41"/>
  <c r="M58" i="41" s="1"/>
  <c r="M71" i="41"/>
  <c r="E13" i="41"/>
  <c r="F13" i="41"/>
  <c r="E43" i="41"/>
  <c r="F43" i="41"/>
  <c r="G53" i="41"/>
  <c r="G59" i="41" s="1"/>
  <c r="AI46" i="41"/>
  <c r="AI47" i="41"/>
  <c r="AI48" i="41"/>
  <c r="AI55" i="41"/>
  <c r="AI61" i="41" s="1"/>
  <c r="E61" i="41"/>
  <c r="F61" i="41"/>
  <c r="G61" i="41"/>
  <c r="H61" i="41"/>
  <c r="I61" i="41"/>
  <c r="J61" i="41"/>
  <c r="K61" i="41"/>
  <c r="M61" i="41"/>
  <c r="AI63" i="41"/>
  <c r="E71" i="41"/>
  <c r="F71" i="41"/>
  <c r="G71" i="41"/>
  <c r="H71" i="41"/>
  <c r="I71" i="41"/>
  <c r="J71" i="41"/>
  <c r="K71" i="41"/>
  <c r="AI73" i="41"/>
  <c r="AI74" i="41"/>
  <c r="AI75" i="41"/>
  <c r="AI76" i="41"/>
  <c r="AI77" i="41"/>
  <c r="E78" i="41"/>
  <c r="F78" i="41"/>
  <c r="G78" i="41"/>
  <c r="H78" i="41"/>
  <c r="I78" i="41"/>
  <c r="J78" i="41"/>
  <c r="K78" i="41"/>
  <c r="M78" i="41"/>
  <c r="E80" i="41"/>
  <c r="F80" i="41"/>
  <c r="H80" i="41"/>
  <c r="I80" i="41"/>
  <c r="J80" i="41"/>
  <c r="K80" i="41"/>
  <c r="M80" i="41"/>
  <c r="AI85" i="41"/>
  <c r="E89" i="41"/>
  <c r="F89" i="41"/>
  <c r="F95" i="41" s="1"/>
  <c r="G89" i="41"/>
  <c r="G95" i="41" s="1"/>
  <c r="E92" i="41"/>
  <c r="E93" i="41" s="1"/>
  <c r="F92" i="41"/>
  <c r="F93" i="41" s="1"/>
  <c r="G92" i="41"/>
  <c r="G93" i="41" s="1"/>
  <c r="I92" i="41"/>
  <c r="I93" i="41" s="1"/>
  <c r="J92" i="41"/>
  <c r="J93" i="41" s="1"/>
  <c r="K92" i="41"/>
  <c r="K93" i="41" s="1"/>
  <c r="M92" i="41"/>
  <c r="M93" i="41" s="1"/>
  <c r="E94" i="41"/>
  <c r="F94" i="41"/>
  <c r="G94" i="41"/>
  <c r="I94" i="41"/>
  <c r="J94" i="41"/>
  <c r="K94" i="41"/>
  <c r="M94" i="41"/>
  <c r="I53" i="41" l="1"/>
  <c r="I59" i="41" s="1"/>
  <c r="AI43" i="41"/>
  <c r="AI49" i="41"/>
  <c r="AI92" i="41"/>
  <c r="AI93" i="41" s="1"/>
  <c r="K50" i="41"/>
  <c r="E95" i="41"/>
  <c r="E96" i="41" s="1"/>
  <c r="J50" i="41"/>
  <c r="E52" i="41"/>
  <c r="E58" i="41" s="1"/>
  <c r="K53" i="41"/>
  <c r="K59" i="41" s="1"/>
  <c r="K54" i="41"/>
  <c r="K60" i="41" s="1"/>
  <c r="I89" i="41"/>
  <c r="I50" i="41"/>
  <c r="M50" i="41"/>
  <c r="M53" i="41"/>
  <c r="M59" i="41" s="1"/>
  <c r="M62" i="41"/>
  <c r="M54" i="41"/>
  <c r="M60" i="41" s="1"/>
  <c r="I52" i="41"/>
  <c r="I58" i="41" s="1"/>
  <c r="I54" i="41"/>
  <c r="I60" i="41" s="1"/>
  <c r="K52" i="41"/>
  <c r="K58" i="41" s="1"/>
  <c r="E53" i="41"/>
  <c r="E59" i="41" s="1"/>
  <c r="K62" i="41"/>
  <c r="I62" i="41"/>
  <c r="M79" i="41"/>
  <c r="M87" i="41" s="1"/>
  <c r="M97" i="41" s="1"/>
  <c r="E62" i="41"/>
  <c r="G54" i="41"/>
  <c r="G60" i="41" s="1"/>
  <c r="F54" i="41"/>
  <c r="F60" i="41" s="1"/>
  <c r="I79" i="41"/>
  <c r="I87" i="41" s="1"/>
  <c r="F79" i="41"/>
  <c r="F97" i="41" s="1"/>
  <c r="G79" i="41"/>
  <c r="G97" i="41" s="1"/>
  <c r="F62" i="41"/>
  <c r="F52" i="41"/>
  <c r="F58" i="41" s="1"/>
  <c r="F53" i="41"/>
  <c r="F59" i="41" s="1"/>
  <c r="E54" i="41"/>
  <c r="E60" i="41" s="1"/>
  <c r="G62" i="41"/>
  <c r="G52" i="41"/>
  <c r="G58" i="41" s="1"/>
  <c r="H79" i="41"/>
  <c r="J53" i="41"/>
  <c r="J59" i="41" s="1"/>
  <c r="K79" i="41"/>
  <c r="K87" i="41" s="1"/>
  <c r="K97" i="41" s="1"/>
  <c r="J96" i="41"/>
  <c r="M96" i="41"/>
  <c r="K96" i="41"/>
  <c r="F96" i="41"/>
  <c r="J79" i="41"/>
  <c r="J87" i="41" s="1"/>
  <c r="J97" i="41" s="1"/>
  <c r="J62" i="41"/>
  <c r="AI80" i="41"/>
  <c r="J54" i="41"/>
  <c r="J60" i="41" s="1"/>
  <c r="J52" i="41"/>
  <c r="J58" i="41" s="1"/>
  <c r="AI78" i="41"/>
  <c r="E79" i="41"/>
  <c r="AI71" i="41"/>
  <c r="H62" i="41"/>
  <c r="H60" i="41"/>
  <c r="H58" i="41"/>
  <c r="G96" i="41"/>
  <c r="H59" i="41"/>
  <c r="E97" i="41" l="1"/>
  <c r="E98" i="41" s="1"/>
  <c r="AI50" i="41"/>
  <c r="AI89" i="41"/>
  <c r="AI95" i="41" s="1"/>
  <c r="AI87" i="41"/>
  <c r="I95" i="41"/>
  <c r="I96" i="41" s="1"/>
  <c r="H98" i="41"/>
  <c r="M98" i="41"/>
  <c r="F98" i="41"/>
  <c r="G98" i="41"/>
  <c r="J98" i="41"/>
  <c r="AI52" i="41"/>
  <c r="AI58" i="41" s="1"/>
  <c r="K98" i="41"/>
  <c r="AI53" i="41"/>
  <c r="AI59" i="41" s="1"/>
  <c r="AI54" i="41"/>
  <c r="AI60" i="41" s="1"/>
  <c r="AI79" i="41"/>
  <c r="AI62" i="41"/>
  <c r="AI96" i="41" l="1"/>
  <c r="AI97" i="41"/>
  <c r="I97" i="41"/>
  <c r="I98" i="41" s="1"/>
  <c r="F57" i="41"/>
  <c r="J57" i="41"/>
  <c r="I57" i="41"/>
  <c r="G57" i="41"/>
  <c r="K57" i="41"/>
  <c r="H57" i="41"/>
  <c r="M57" i="41"/>
  <c r="E57" i="41"/>
  <c r="AI98" i="41" l="1"/>
</calcChain>
</file>

<file path=xl/sharedStrings.xml><?xml version="1.0" encoding="utf-8"?>
<sst xmlns="http://schemas.openxmlformats.org/spreadsheetml/2006/main" count="3349" uniqueCount="296">
  <si>
    <t>MT</t>
  </si>
  <si>
    <t xml:space="preserve"> </t>
  </si>
  <si>
    <t>HRS</t>
  </si>
  <si>
    <t>Avg. Gsm</t>
  </si>
  <si>
    <t>m</t>
  </si>
  <si>
    <t>Date:</t>
  </si>
  <si>
    <t>S.N.</t>
  </si>
  <si>
    <t>QUALITY</t>
  </si>
  <si>
    <t>GSM</t>
  </si>
  <si>
    <t>M/C DECKLE</t>
  </si>
  <si>
    <t>M/C Reel SPEED</t>
  </si>
  <si>
    <t>M/C PROD.</t>
  </si>
  <si>
    <t>Avg. speed</t>
  </si>
  <si>
    <t>Production Loss Details</t>
  </si>
  <si>
    <t>REMARKS</t>
  </si>
  <si>
    <t>MPM</t>
  </si>
  <si>
    <t>Dept.</t>
  </si>
  <si>
    <t>Time loss,    Hrs.   Min.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</si>
  <si>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</si>
  <si>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</si>
  <si>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</si>
  <si>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</si>
  <si>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</si>
  <si>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</si>
  <si>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</si>
  <si>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</si>
  <si>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yankee doctor blade change</t>
  </si>
  <si>
    <t>Grade change</t>
  </si>
  <si>
    <t>Fan pump tripped</t>
  </si>
  <si>
    <t>Power fluctuation/tripped</t>
  </si>
  <si>
    <t>Wire &amp; felt cleaning</t>
  </si>
  <si>
    <t>Felt change</t>
  </si>
  <si>
    <t>Wire change</t>
  </si>
  <si>
    <t>CNG changwe over</t>
  </si>
  <si>
    <t>paper feeding airshower nozzle jammed</t>
  </si>
  <si>
    <t>dcs communication failed</t>
  </si>
  <si>
    <t>Particulars</t>
  </si>
  <si>
    <t>Date</t>
  </si>
  <si>
    <t>Todate consumption</t>
  </si>
  <si>
    <t>A</t>
  </si>
  <si>
    <t>RAW MATERIAL</t>
  </si>
  <si>
    <t>Unit</t>
  </si>
  <si>
    <t>%</t>
  </si>
  <si>
    <t>Total Pulp</t>
  </si>
  <si>
    <t>B</t>
  </si>
  <si>
    <t>Kg.</t>
  </si>
  <si>
    <t>C</t>
  </si>
  <si>
    <t>D</t>
  </si>
  <si>
    <t>F</t>
  </si>
  <si>
    <t>MACHINE PRODUCTION</t>
  </si>
  <si>
    <t>H</t>
  </si>
  <si>
    <t>Steam consumption</t>
  </si>
  <si>
    <t>LPG consumption</t>
  </si>
  <si>
    <t>Water consumption</t>
  </si>
  <si>
    <t>m3</t>
  </si>
  <si>
    <t>Down Time</t>
  </si>
  <si>
    <t>a</t>
  </si>
  <si>
    <t>Pulp Ratio</t>
  </si>
  <si>
    <t>Ratio</t>
  </si>
  <si>
    <t>b</t>
  </si>
  <si>
    <t>Steam,T/T</t>
  </si>
  <si>
    <t>T/T</t>
  </si>
  <si>
    <t>c</t>
  </si>
  <si>
    <t>LPG, Kg/T</t>
  </si>
  <si>
    <t>Kg./T</t>
  </si>
  <si>
    <t>d</t>
  </si>
  <si>
    <t>e</t>
  </si>
  <si>
    <t>Water, m3/T</t>
  </si>
  <si>
    <t>m3/T</t>
  </si>
  <si>
    <t>f</t>
  </si>
  <si>
    <t>Power, KWH/T</t>
  </si>
  <si>
    <t>U/T</t>
  </si>
  <si>
    <t>g</t>
  </si>
  <si>
    <t>h</t>
  </si>
  <si>
    <t>KPI(Key performance indicators)</t>
  </si>
  <si>
    <t>Actual, Rs./T</t>
  </si>
  <si>
    <t>Production Compliance</t>
  </si>
  <si>
    <t>Prod. Compl.</t>
  </si>
  <si>
    <t>Steam cost</t>
  </si>
  <si>
    <t>Rs./T</t>
  </si>
  <si>
    <t>LPG cost</t>
  </si>
  <si>
    <t>Water cost</t>
  </si>
  <si>
    <t>Power cost</t>
  </si>
  <si>
    <t>Variable Man power cost(VLC)</t>
  </si>
  <si>
    <t>Fixed man power (per ton basis)cost</t>
  </si>
  <si>
    <t>Quality Manufactured</t>
  </si>
  <si>
    <t>M/c</t>
  </si>
  <si>
    <t>Domestic</t>
  </si>
  <si>
    <t xml:space="preserve">Export </t>
  </si>
  <si>
    <t>Toilet</t>
  </si>
  <si>
    <t>Facial</t>
  </si>
  <si>
    <t>Napkin</t>
  </si>
  <si>
    <t>k.Towel</t>
  </si>
  <si>
    <t>i</t>
  </si>
  <si>
    <t>Total</t>
  </si>
  <si>
    <t>G.Total</t>
  </si>
  <si>
    <t>gsm</t>
  </si>
  <si>
    <t>J</t>
  </si>
  <si>
    <t>O.E.E. CALCULATION Tissue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</si>
  <si>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</si>
  <si>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</si>
  <si>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</si>
  <si>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</si>
  <si>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</si>
  <si>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</si>
  <si>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</si>
  <si>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</si>
  <si>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</si>
  <si>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PRODUCTION RATE</t>
  </si>
  <si>
    <t>T/hr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</si>
  <si>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</si>
  <si>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</si>
  <si>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</si>
  <si>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</si>
  <si>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</si>
  <si>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</si>
  <si>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</si>
  <si>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</si>
  <si>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</si>
  <si>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</si>
  <si>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NT-17-J</t>
  </si>
  <si>
    <t>KT-34-J</t>
  </si>
  <si>
    <t>KT-40-J</t>
  </si>
  <si>
    <t>KT-42-J</t>
  </si>
  <si>
    <t>KT-38-J</t>
  </si>
  <si>
    <t>KT-32-J</t>
  </si>
  <si>
    <t>KT-22-J</t>
  </si>
  <si>
    <t>TT-18-J</t>
  </si>
  <si>
    <t>TT-17-J</t>
  </si>
  <si>
    <t>TT-15-J</t>
  </si>
  <si>
    <t>NT-18-J</t>
  </si>
  <si>
    <t>NT-16-J</t>
  </si>
  <si>
    <t>NT-15-J</t>
  </si>
  <si>
    <t>NT-14-J</t>
  </si>
  <si>
    <t>FT-12.5-J</t>
  </si>
  <si>
    <t>MR-17-J</t>
  </si>
  <si>
    <t>KT-24-J</t>
  </si>
  <si>
    <t>KT-30-J</t>
  </si>
  <si>
    <t>NT-20-J</t>
  </si>
  <si>
    <t>MR-18-J</t>
  </si>
  <si>
    <t>MR-19-J</t>
  </si>
  <si>
    <t>NT-19-J</t>
  </si>
  <si>
    <t>KT-26-J</t>
  </si>
  <si>
    <t>TC-32-J</t>
  </si>
  <si>
    <t>TT-15.5-J</t>
  </si>
  <si>
    <t>TT-16-J</t>
  </si>
  <si>
    <t>CT-16-J</t>
  </si>
  <si>
    <t>KT-19-J</t>
  </si>
  <si>
    <t>TC-40-J</t>
  </si>
  <si>
    <t>ET-17-J</t>
  </si>
  <si>
    <t>EN-15-J</t>
  </si>
  <si>
    <t>ET-15-J</t>
  </si>
  <si>
    <t>KT-20-J</t>
  </si>
  <si>
    <t>EN-17-J</t>
  </si>
  <si>
    <t>EN-16-J</t>
  </si>
  <si>
    <t>ET-16-J</t>
  </si>
  <si>
    <t>ET-18-J</t>
  </si>
  <si>
    <t>TT-14-J</t>
  </si>
  <si>
    <t>FT-13-J</t>
  </si>
  <si>
    <t>FT-13.5-J</t>
  </si>
  <si>
    <t>KT-35-J</t>
  </si>
  <si>
    <t>EN-18-J</t>
  </si>
  <si>
    <t>FT-14-J</t>
  </si>
  <si>
    <t>KT-17-J</t>
  </si>
  <si>
    <t>KT-18-J</t>
  </si>
  <si>
    <t>KT-36-J</t>
  </si>
  <si>
    <t>TC-35-J</t>
  </si>
  <si>
    <t>TC-37-J</t>
  </si>
  <si>
    <t>TC-38-J</t>
  </si>
  <si>
    <t>TC-42-J</t>
  </si>
  <si>
    <t>TT-16.5-J</t>
  </si>
  <si>
    <t xml:space="preserve">  </t>
  </si>
  <si>
    <t>MR-20-J</t>
  </si>
  <si>
    <t>TT-21-J</t>
  </si>
  <si>
    <t>CSTT-23-J</t>
  </si>
  <si>
    <t>MR-15-J</t>
  </si>
  <si>
    <t>Item code</t>
  </si>
  <si>
    <t>Month - july`2022</t>
  </si>
  <si>
    <t>Kt  (Maxi roll)</t>
  </si>
  <si>
    <t>Kyemene 777LX (WSR)</t>
  </si>
  <si>
    <t>SOFTING AGENT - PROSOFT TQ 1182</t>
  </si>
  <si>
    <t>Rezosol 1400 ( Yankee Release)</t>
  </si>
  <si>
    <t>Creptrol A9915 (Yankee coating)</t>
  </si>
  <si>
    <t>Rezosol M278 (MAP)</t>
  </si>
  <si>
    <t>Hercobond 2515AP (DSR)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</si>
  <si>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</si>
  <si>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</si>
  <si>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</si>
  <si>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</si>
  <si>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</si>
  <si>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</si>
  <si>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</si>
  <si>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</si>
  <si>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Praestaret OMA 2520 (Anionic Flocculant)</t>
  </si>
  <si>
    <t>Catiofast 160 (Coagulant)</t>
  </si>
  <si>
    <t>Imported Softwood Pulp SODRA (AD)</t>
  </si>
  <si>
    <t>Kybreak 505 (Repulping Aid)</t>
  </si>
  <si>
    <t>Imported Hardwood Pulp CMPC (AD)Domestic</t>
  </si>
  <si>
    <t>GAYATRISHALTI TISSUE PRIVATE LIMITED</t>
  </si>
  <si>
    <t>DAILY PRODUCTION REPORT OF TISSUE</t>
  </si>
  <si>
    <t>Utility</t>
  </si>
  <si>
    <t>Solenise Chemicals</t>
  </si>
  <si>
    <t>Imported Hardwood Pulp Acacia (AD)April</t>
  </si>
  <si>
    <t>Imported Hardwood Pulp Acacia (AD)Exman</t>
  </si>
  <si>
    <t>Process</t>
  </si>
  <si>
    <t>Imported Softwood Pulp Mercer(AD)</t>
  </si>
  <si>
    <t>Imported Softwood Pulp Laja (AD)</t>
  </si>
  <si>
    <t>Others</t>
  </si>
  <si>
    <t>NT</t>
  </si>
  <si>
    <t>Wet strength white Tissue</t>
  </si>
  <si>
    <t>Imported Hardwood Pulp Baycel</t>
  </si>
  <si>
    <t>Grade Change</t>
  </si>
  <si>
    <t>Imported Softwood Pulp Pacifico (AD)</t>
  </si>
  <si>
    <t>Creptrol 3718 (Yankee coating)</t>
  </si>
  <si>
    <t>Rezosol 150 (Yankee Release)</t>
  </si>
  <si>
    <t>Doctor blade change</t>
  </si>
  <si>
    <t>Sticky &amp; System cleaning</t>
  </si>
  <si>
    <t>DAILY REPORT  Month (FEB -2025)</t>
  </si>
  <si>
    <t>KT</t>
  </si>
  <si>
    <t>System wash up</t>
  </si>
  <si>
    <t>Toscotec</t>
  </si>
  <si>
    <t>Machine shut for Toscotec jobs.</t>
  </si>
  <si>
    <t xml:space="preserve">Wire install </t>
  </si>
  <si>
    <t>FT</t>
  </si>
  <si>
    <t>Sheet break</t>
  </si>
  <si>
    <t>TT</t>
  </si>
  <si>
    <t>Sticky cleaning, system drained &amp; System workout</t>
  </si>
  <si>
    <t>Instrument</t>
  </si>
  <si>
    <t>Pope reel sequence issue and machine speed loss</t>
  </si>
  <si>
    <t>due to Rewinder 2, unwinding stands tension increase itself</t>
  </si>
  <si>
    <t>Power</t>
  </si>
  <si>
    <t>Power failure</t>
  </si>
  <si>
    <t xml:space="preserve">Pope reel sequence issue </t>
  </si>
  <si>
    <t>Electrical</t>
  </si>
  <si>
    <t>Wet process air fan motor tripped and burner stopped</t>
  </si>
  <si>
    <t>Wire and felt cleaning</t>
  </si>
  <si>
    <t>TOWEL</t>
  </si>
  <si>
    <t>Mecanical</t>
  </si>
  <si>
    <t>UTM pulper pump lifting problem</t>
  </si>
  <si>
    <t>Felt wire cleaning done</t>
  </si>
  <si>
    <t>Mechanical</t>
  </si>
  <si>
    <t>Wire high pressure shower hose leakage</t>
  </si>
  <si>
    <t>Felt &amp; wire cleanig and system work out</t>
  </si>
  <si>
    <t>DC bus fault machine stopped</t>
  </si>
  <si>
    <t>Insruments</t>
  </si>
  <si>
    <t>Hood burner emergency stop</t>
  </si>
  <si>
    <t>Planned shut</t>
  </si>
  <si>
    <t>Machine shut for stock and approach flow system</t>
  </si>
  <si>
    <t>chemical boil out</t>
  </si>
  <si>
    <t>Steam</t>
  </si>
  <si>
    <t>Machine shut for want of steam due to boiler shut down</t>
  </si>
  <si>
    <t>Telofin OF (Boilout)</t>
  </si>
  <si>
    <t>Machine remained shut for want of steam</t>
  </si>
  <si>
    <t>due to boiler maintainance job</t>
  </si>
  <si>
    <t>DeTac DC 779 F (Sticky control)</t>
  </si>
  <si>
    <t>Machine shut for want of steam</t>
  </si>
  <si>
    <t>Yankee Mapping</t>
  </si>
  <si>
    <t>FINISHED PRODUCTION TO WARE HOUSE</t>
  </si>
  <si>
    <t>Machine stopped for suction press roll holes cleaning</t>
  </si>
  <si>
    <t>Sodium hypochlorite</t>
  </si>
  <si>
    <t>Mix Xylene</t>
  </si>
  <si>
    <t>Retarder (Ethenol)</t>
  </si>
  <si>
    <t>Caustic soda flakes</t>
  </si>
  <si>
    <t>Anmosuper DIS (Liquid soap)</t>
  </si>
  <si>
    <t>Instuments</t>
  </si>
  <si>
    <t>Pope reel sequence stopped, primary arm not getting down</t>
  </si>
  <si>
    <t>Felt and wire cleaning</t>
  </si>
  <si>
    <t>Instruments</t>
  </si>
  <si>
    <t>Machine stopped due to next press M/S temp. high</t>
  </si>
  <si>
    <t>Pope reel sequence stopped</t>
  </si>
  <si>
    <t>Pope reel sequence stopped and machine speed loss due to</t>
  </si>
  <si>
    <t>Rewinder1 core chucks movement issue</t>
  </si>
  <si>
    <t>Felt and wire cleaning done</t>
  </si>
  <si>
    <t>Panned shut</t>
  </si>
  <si>
    <t>Machine shut for Next press work (By Toscotec)</t>
  </si>
  <si>
    <t>Natural Gas consumption (Tissue Machine)</t>
  </si>
  <si>
    <t>Natural Gas consumption (Boiler)</t>
  </si>
  <si>
    <t>SCM</t>
  </si>
  <si>
    <t>Power (BOILER+ETP)</t>
  </si>
  <si>
    <t>UTILITY Consumption</t>
  </si>
  <si>
    <t>02/13/2025</t>
  </si>
  <si>
    <t>12/14/2025</t>
  </si>
  <si>
    <t>02/15/2025</t>
  </si>
  <si>
    <t>02/16/2025</t>
  </si>
  <si>
    <t>02/17/2025</t>
  </si>
  <si>
    <t>02/18/2025</t>
  </si>
  <si>
    <t>02/19//2025</t>
  </si>
  <si>
    <t>02/20/2025</t>
  </si>
  <si>
    <t>02/28/2025</t>
  </si>
  <si>
    <t>02/27/2025</t>
  </si>
  <si>
    <t>02/26/2025</t>
  </si>
  <si>
    <t>02/25/2025</t>
  </si>
  <si>
    <t>02/24/2025</t>
  </si>
  <si>
    <t>02/23/2025</t>
  </si>
  <si>
    <t>02/22/2025</t>
  </si>
  <si>
    <t>02/21/2025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</si>
</sst>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h:mm;@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b/>
      <u/>
      <sz val="16"/>
      <name val="Times New Roman"/>
      <family val="1"/>
    </font>
    <font>
      <b/>
      <sz val="16"/>
      <name val="Times New Roman"/>
      <family val="1"/>
    </font>
    <font>
      <sz val="16"/>
      <color rgb="FFFF0000"/>
      <name val="Times New Roman"/>
      <family val="1"/>
    </font>
    <font>
      <b/>
      <u/>
      <sz val="18"/>
      <name val="Times New Roman"/>
      <family val="1"/>
    </font>
    <font>
      <b/>
      <sz val="18"/>
      <name val="Times New Roman"/>
      <family val="1"/>
    </font>
    <font>
      <b/>
      <u/>
      <sz val="2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</borders>
  <cellStyleXfs count="6">
    <xf numFmtId="0" fontId="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1" fillId="0" borderId="0"/>
  </cellStyleXfs>
  <cellXfs count="216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3" fillId="4" borderId="15" xfId="0" applyFont="1" applyFill="1" applyBorder="1"/>
    <xf numFmtId="0" fontId="5" fillId="4" borderId="1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0" xfId="0" applyFont="1" applyFill="1"/>
    <xf numFmtId="0" fontId="3" fillId="3" borderId="12" xfId="0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 vertical="center"/>
    </xf>
    <xf numFmtId="165" fontId="5" fillId="7" borderId="16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/>
    </xf>
    <xf numFmtId="0" fontId="9" fillId="5" borderId="2" xfId="0" applyFont="1" applyFill="1" applyBorder="1"/>
    <xf numFmtId="164" fontId="3" fillId="0" borderId="2" xfId="0" applyNumberFormat="1" applyFont="1" applyBorder="1" applyAlignment="1">
      <alignment horizontal="center"/>
    </xf>
    <xf numFmtId="2" fontId="5" fillId="6" borderId="2" xfId="0" applyNumberFormat="1" applyFont="1" applyFill="1" applyBorder="1" applyAlignment="1">
      <alignment horizontal="center"/>
    </xf>
    <xf numFmtId="0" fontId="9" fillId="5" borderId="1" xfId="0" applyFont="1" applyFill="1" applyBorder="1"/>
    <xf numFmtId="0" fontId="9" fillId="5" borderId="20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3" fillId="3" borderId="15" xfId="0" applyFont="1" applyFill="1" applyBorder="1" applyAlignment="1">
      <alignment horizontal="center"/>
    </xf>
    <xf numFmtId="0" fontId="8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2" fontId="5" fillId="3" borderId="16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5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3" borderId="16" xfId="0" applyNumberFormat="1" applyFont="1" applyFill="1" applyBorder="1" applyAlignment="1">
      <alignment horizontal="center"/>
    </xf>
    <xf numFmtId="164" fontId="5" fillId="3" borderId="16" xfId="0" applyNumberFormat="1" applyFont="1" applyFill="1" applyBorder="1" applyAlignment="1">
      <alignment horizontal="center" vertical="center"/>
    </xf>
    <xf numFmtId="1" fontId="5" fillId="3" borderId="16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right"/>
    </xf>
    <xf numFmtId="164" fontId="3" fillId="3" borderId="8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15" xfId="0" applyFont="1" applyFill="1" applyBorder="1"/>
    <xf numFmtId="164" fontId="5" fillId="3" borderId="1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/>
    </xf>
    <xf numFmtId="0" fontId="3" fillId="3" borderId="17" xfId="0" applyFont="1" applyFill="1" applyBorder="1"/>
    <xf numFmtId="0" fontId="5" fillId="3" borderId="18" xfId="0" applyFont="1" applyFill="1" applyBorder="1"/>
    <xf numFmtId="0" fontId="5" fillId="3" borderId="18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center"/>
    </xf>
    <xf numFmtId="2" fontId="3" fillId="3" borderId="18" xfId="0" applyNumberFormat="1" applyFont="1" applyFill="1" applyBorder="1" applyAlignment="1">
      <alignment horizontal="center"/>
    </xf>
    <xf numFmtId="2" fontId="5" fillId="3" borderId="19" xfId="0" applyNumberFormat="1" applyFont="1" applyFill="1" applyBorder="1" applyAlignment="1">
      <alignment horizontal="center" vertical="center"/>
    </xf>
    <xf numFmtId="0" fontId="3" fillId="3" borderId="2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2" fontId="3" fillId="3" borderId="27" xfId="0" applyNumberFormat="1" applyFont="1" applyFill="1" applyBorder="1" applyAlignment="1">
      <alignment horizontal="center"/>
    </xf>
    <xf numFmtId="0" fontId="3" fillId="3" borderId="25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left"/>
    </xf>
    <xf numFmtId="0" fontId="3" fillId="3" borderId="13" xfId="0" applyFont="1" applyFill="1" applyBorder="1"/>
    <xf numFmtId="0" fontId="5" fillId="3" borderId="13" xfId="0" applyFont="1" applyFill="1" applyBorder="1" applyAlignment="1">
      <alignment horizontal="left"/>
    </xf>
    <xf numFmtId="0" fontId="3" fillId="3" borderId="26" xfId="0" applyFont="1" applyFill="1" applyBorder="1"/>
    <xf numFmtId="0" fontId="5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5" fillId="3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2" fontId="3" fillId="3" borderId="16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/>
    </xf>
    <xf numFmtId="164" fontId="5" fillId="3" borderId="18" xfId="0" applyNumberFormat="1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0" fontId="7" fillId="0" borderId="26" xfId="0" applyFont="1" applyBorder="1"/>
    <xf numFmtId="0" fontId="7" fillId="0" borderId="28" xfId="0" applyFont="1" applyBorder="1"/>
    <xf numFmtId="0" fontId="7" fillId="0" borderId="29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/>
    </xf>
    <xf numFmtId="0" fontId="12" fillId="0" borderId="7" xfId="0" applyFont="1" applyBorder="1"/>
    <xf numFmtId="0" fontId="12" fillId="0" borderId="8" xfId="0" applyFont="1" applyBorder="1"/>
    <xf numFmtId="2" fontId="12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64" fontId="11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/>
    </xf>
    <xf numFmtId="2" fontId="12" fillId="0" borderId="7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2" fontId="1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1" fillId="0" borderId="1" xfId="0" applyFont="1" applyBorder="1"/>
    <xf numFmtId="0" fontId="12" fillId="0" borderId="10" xfId="0" applyFont="1" applyBorder="1"/>
    <xf numFmtId="0" fontId="12" fillId="0" borderId="9" xfId="0" applyFont="1" applyBorder="1"/>
    <xf numFmtId="0" fontId="11" fillId="0" borderId="10" xfId="0" applyFont="1" applyBorder="1" applyAlignment="1">
      <alignment horizontal="right"/>
    </xf>
    <xf numFmtId="2" fontId="12" fillId="0" borderId="10" xfId="0" applyNumberFormat="1" applyFont="1" applyBorder="1" applyAlignment="1">
      <alignment horizontal="center"/>
    </xf>
    <xf numFmtId="0" fontId="11" fillId="0" borderId="10" xfId="0" applyFont="1" applyBorder="1"/>
    <xf numFmtId="0" fontId="12" fillId="0" borderId="6" xfId="0" applyFont="1" applyBorder="1" applyAlignment="1">
      <alignment vertical="center" wrapText="1"/>
    </xf>
    <xf numFmtId="0" fontId="12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34" xfId="2" applyFont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/>
    </xf>
    <xf numFmtId="164" fontId="14" fillId="0" borderId="35" xfId="2" applyNumberFormat="1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164" fontId="14" fillId="0" borderId="38" xfId="2" applyNumberFormat="1" applyFont="1" applyBorder="1" applyAlignment="1">
      <alignment horizontal="center" vertical="center" wrapText="1"/>
    </xf>
    <xf numFmtId="0" fontId="14" fillId="0" borderId="39" xfId="2" applyFont="1" applyBorder="1" applyAlignment="1">
      <alignment horizontal="center" vertical="center" wrapText="1"/>
    </xf>
    <xf numFmtId="0" fontId="14" fillId="0" borderId="40" xfId="2" applyFont="1" applyBorder="1" applyAlignment="1">
      <alignment horizontal="center" vertical="center"/>
    </xf>
    <xf numFmtId="164" fontId="14" fillId="0" borderId="41" xfId="2" applyNumberFormat="1" applyFont="1" applyBorder="1" applyAlignment="1">
      <alignment horizontal="center" vertical="center" wrapText="1"/>
    </xf>
    <xf numFmtId="164" fontId="14" fillId="0" borderId="43" xfId="2" applyNumberFormat="1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164" fontId="14" fillId="0" borderId="1" xfId="2" applyNumberFormat="1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/>
    </xf>
    <xf numFmtId="0" fontId="14" fillId="0" borderId="1" xfId="0" applyFont="1" applyBorder="1"/>
    <xf numFmtId="0" fontId="14" fillId="0" borderId="42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 wrapText="1"/>
    </xf>
    <xf numFmtId="164" fontId="14" fillId="0" borderId="3" xfId="2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0" borderId="32" xfId="2" applyFont="1" applyBorder="1" applyAlignment="1">
      <alignment horizontal="center" vertical="center"/>
    </xf>
    <xf numFmtId="0" fontId="14" fillId="0" borderId="33" xfId="2" applyFont="1" applyBorder="1" applyAlignment="1">
      <alignment horizontal="center" vertical="center" wrapText="1"/>
    </xf>
    <xf numFmtId="164" fontId="14" fillId="0" borderId="8" xfId="2" applyNumberFormat="1" applyFont="1" applyBorder="1" applyAlignment="1">
      <alignment horizontal="center" vertical="center" wrapText="1"/>
    </xf>
    <xf numFmtId="164" fontId="14" fillId="0" borderId="36" xfId="2" applyNumberFormat="1" applyFont="1" applyBorder="1" applyAlignment="1">
      <alignment horizontal="center" vertical="center" wrapText="1"/>
    </xf>
    <xf numFmtId="0" fontId="14" fillId="0" borderId="35" xfId="2" applyFont="1" applyBorder="1" applyAlignment="1">
      <alignment horizontal="center" vertical="center" wrapText="1"/>
    </xf>
    <xf numFmtId="164" fontId="14" fillId="0" borderId="37" xfId="2" applyNumberFormat="1" applyFont="1" applyBorder="1" applyAlignment="1">
      <alignment horizontal="center" vertical="center" wrapText="1"/>
    </xf>
    <xf numFmtId="166" fontId="14" fillId="0" borderId="30" xfId="2" applyNumberFormat="1" applyFont="1" applyBorder="1" applyAlignment="1">
      <alignment horizontal="center" vertical="center"/>
    </xf>
    <xf numFmtId="0" fontId="14" fillId="0" borderId="31" xfId="2" applyFont="1" applyBorder="1" applyAlignment="1">
      <alignment vertical="center"/>
    </xf>
    <xf numFmtId="164" fontId="14" fillId="0" borderId="11" xfId="2" applyNumberFormat="1" applyFont="1" applyBorder="1" applyAlignment="1">
      <alignment horizontal="center" vertical="center" wrapText="1"/>
    </xf>
    <xf numFmtId="164" fontId="14" fillId="0" borderId="33" xfId="2" applyNumberFormat="1" applyFont="1" applyBorder="1" applyAlignment="1">
      <alignment horizontal="center" vertical="center" wrapText="1"/>
    </xf>
    <xf numFmtId="166" fontId="14" fillId="0" borderId="40" xfId="2" applyNumberFormat="1" applyFont="1" applyBorder="1" applyAlignment="1">
      <alignment horizontal="center" vertical="center"/>
    </xf>
    <xf numFmtId="0" fontId="14" fillId="0" borderId="44" xfId="2" applyFont="1" applyBorder="1" applyAlignment="1">
      <alignment vertical="center"/>
    </xf>
    <xf numFmtId="0" fontId="14" fillId="0" borderId="1" xfId="2" applyFont="1" applyBorder="1" applyAlignment="1">
      <alignment horizontal="center"/>
    </xf>
    <xf numFmtId="166" fontId="14" fillId="0" borderId="1" xfId="2" applyNumberFormat="1" applyFont="1" applyBorder="1" applyAlignment="1">
      <alignment horizontal="center" vertical="center"/>
    </xf>
    <xf numFmtId="0" fontId="14" fillId="0" borderId="16" xfId="2" applyFont="1" applyBorder="1"/>
    <xf numFmtId="2" fontId="14" fillId="0" borderId="40" xfId="2" applyNumberFormat="1" applyFont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164" fontId="3" fillId="0" borderId="1" xfId="0" applyNumberFormat="1" applyFont="1" applyBorder="1"/>
    <xf numFmtId="0" fontId="3" fillId="0" borderId="1" xfId="0" applyFont="1" applyBorder="1"/>
    <xf numFmtId="0" fontId="15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5" fontId="5" fillId="0" borderId="16" xfId="0" applyNumberFormat="1" applyFont="1" applyBorder="1" applyAlignment="1">
      <alignment horizontal="center" vertical="center"/>
    </xf>
    <xf numFmtId="0" fontId="5" fillId="6" borderId="18" xfId="0" applyFont="1" applyFill="1" applyBorder="1"/>
    <xf numFmtId="0" fontId="5" fillId="9" borderId="7" xfId="0" applyFont="1" applyFill="1" applyBorder="1" applyAlignment="1">
      <alignment horizontal="center" vertical="center" wrapText="1"/>
    </xf>
    <xf numFmtId="0" fontId="8" fillId="8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2 2" xfId="5" xr:uid="{447BF3C0-45C6-4799-87A6-E5372FB82479}"/>
    <cellStyle name="Normal 3" xfId="4" xr:uid="{37AF12E4-87F8-4F33-B814-393EC32EA1A7}"/>
    <cellStyle name="Normal 4" xfId="2" xr:uid="{638E90D9-1CCA-41BF-B1E9-C971D077DBB5}"/>
    <cellStyle name="Normal 5" xfId="3" xr:uid="{D22FDA42-3B61-4296-B763-86CA3A54C87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389F-F4D8-478B-80E4-236A0B8EA45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53.33203125" style="105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45659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17</v>
      </c>
      <c r="D9" s="144">
        <v>2.85</v>
      </c>
      <c r="E9" s="159">
        <v>1312</v>
      </c>
      <c r="F9" s="169">
        <v>4.2</v>
      </c>
      <c r="G9" s="145">
        <f>E9*F9</f>
        <v>5510.4000000000005</v>
      </c>
      <c r="H9" s="146">
        <f>F9*C9</f>
        <v>71.400000000000006</v>
      </c>
      <c r="I9" s="148" t="s">
        <v>204</v>
      </c>
      <c r="J9" s="172">
        <v>6.9444444444444441E-3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15</v>
      </c>
      <c r="D10" s="144">
        <v>2.85</v>
      </c>
      <c r="E10" s="150">
        <v>1230</v>
      </c>
      <c r="F10" s="171">
        <v>4</v>
      </c>
      <c r="G10" s="145">
        <f t="shared" ref="G10:G11" si="0">E10*F10</f>
        <v>4920</v>
      </c>
      <c r="H10" s="146">
        <f t="shared" ref="H10:H11" si="1">F10*C10</f>
        <v>60</v>
      </c>
      <c r="I10" s="148" t="s">
        <v>27</v>
      </c>
      <c r="J10" s="172">
        <v>2.0833333333333332E-2</v>
      </c>
      <c r="K10" s="173" t="s">
        <v>211</v>
      </c>
    </row>
    <row r="11" spans="1:11" ht="17" x14ac:dyDescent="0.15">
      <c r="A11" s="147">
        <v>3</v>
      </c>
      <c r="B11" s="170" t="s">
        <v>218</v>
      </c>
      <c r="C11" s="158">
        <v>22</v>
      </c>
      <c r="D11" s="144">
        <v>2.85</v>
      </c>
      <c r="E11" s="150">
        <v>1134</v>
      </c>
      <c r="F11" s="174">
        <v>7</v>
      </c>
      <c r="G11" s="145">
        <f t="shared" si="0"/>
        <v>7938</v>
      </c>
      <c r="H11" s="146">
        <f t="shared" si="1"/>
        <v>154</v>
      </c>
      <c r="I11" s="153" t="s">
        <v>219</v>
      </c>
      <c r="J11" s="176">
        <v>0.16666666666666666</v>
      </c>
      <c r="K11" s="177" t="s">
        <v>216</v>
      </c>
    </row>
    <row r="12" spans="1:11" ht="16" x14ac:dyDescent="0.15">
      <c r="A12" s="147">
        <v>4</v>
      </c>
      <c r="B12" s="148" t="s">
        <v>218</v>
      </c>
      <c r="C12" s="175">
        <v>20</v>
      </c>
      <c r="D12" s="144">
        <v>2.85</v>
      </c>
      <c r="E12" s="159">
        <v>1147</v>
      </c>
      <c r="F12" s="169">
        <v>12.8</v>
      </c>
      <c r="G12" s="145">
        <f>E12*F12</f>
        <v>14681.6</v>
      </c>
      <c r="H12" s="146">
        <f>F12*C12</f>
        <v>256</v>
      </c>
      <c r="I12" s="153" t="s">
        <v>220</v>
      </c>
      <c r="J12" s="176">
        <v>0.375</v>
      </c>
      <c r="K12" s="177" t="s">
        <v>221</v>
      </c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 t="s">
        <v>207</v>
      </c>
      <c r="J13" s="176">
        <v>0.125</v>
      </c>
      <c r="K13" s="177" t="s">
        <v>222</v>
      </c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28</v>
      </c>
      <c r="G22" s="126">
        <f>SUM(G9:G21)/F22</f>
        <v>1180.3571428571429</v>
      </c>
      <c r="H22" s="127">
        <f>SUM(H9:H21)/F22</f>
        <v>19.335714285714285</v>
      </c>
      <c r="I22" s="128" t="s">
        <v>19</v>
      </c>
      <c r="J22" s="129">
        <v>16.399999999999999</v>
      </c>
      <c r="K22" s="122"/>
    </row>
    <row r="23" spans="1:11" x14ac:dyDescent="0.15">
      <c r="E23" s="130"/>
      <c r="F23" s="131"/>
      <c r="I23" s="132" t="s">
        <v>20</v>
      </c>
      <c r="J23" s="133">
        <v>16.670000000000002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28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28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16.670000000000002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7B756A5A-4D1D-4363-AF22-095A84423DF0}">
      <formula1>$K$29:$K$85</formula1>
    </dataValidation>
    <dataValidation type="list" allowBlank="1" showInputMessage="1" showErrorMessage="1" sqref="B20:B21" xr:uid="{8F614817-DC97-4B74-8D59-E09A46B60958}">
      <formula1>$K$29:$K$40</formula1>
    </dataValidation>
    <dataValidation type="list" allowBlank="1" showInputMessage="1" showErrorMessage="1" sqref="I50 K15:K21" xr:uid="{55788E24-F648-437A-AB26-C86AA9B9DD0B}">
      <formula1>$I$41:$I$50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E646-81D7-46E7-8062-21276F39E7C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53.33203125" style="105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45690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17</v>
      </c>
      <c r="D9" s="144">
        <v>2.85</v>
      </c>
      <c r="E9" s="159">
        <v>1312</v>
      </c>
      <c r="F9" s="169">
        <v>4</v>
      </c>
      <c r="G9" s="145">
        <f>E9*F9</f>
        <v>5248</v>
      </c>
      <c r="H9" s="146">
        <f>F9*C9</f>
        <v>68</v>
      </c>
      <c r="I9" s="148" t="s">
        <v>204</v>
      </c>
      <c r="J9" s="172">
        <v>1.3888888888888888E-2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14</v>
      </c>
      <c r="D10" s="144">
        <v>2.85</v>
      </c>
      <c r="E10" s="150">
        <v>1230</v>
      </c>
      <c r="F10" s="171">
        <v>21.7</v>
      </c>
      <c r="G10" s="145">
        <f t="shared" ref="G10:G11" si="0">E10*F10</f>
        <v>26691</v>
      </c>
      <c r="H10" s="146">
        <f t="shared" ref="H10:H11" si="1">F10*C10</f>
        <v>303.8</v>
      </c>
      <c r="I10" s="148" t="s">
        <v>27</v>
      </c>
      <c r="J10" s="172">
        <v>6.9444444444444441E-3</v>
      </c>
      <c r="K10" s="173" t="s">
        <v>211</v>
      </c>
    </row>
    <row r="11" spans="1:11" ht="17" x14ac:dyDescent="0.15">
      <c r="A11" s="147">
        <v>3</v>
      </c>
      <c r="B11" s="170" t="s">
        <v>208</v>
      </c>
      <c r="C11" s="158">
        <v>15</v>
      </c>
      <c r="D11" s="144">
        <v>2.85</v>
      </c>
      <c r="E11" s="150">
        <v>1134</v>
      </c>
      <c r="F11" s="174">
        <v>7.7</v>
      </c>
      <c r="G11" s="145">
        <f t="shared" si="0"/>
        <v>8731.8000000000011</v>
      </c>
      <c r="H11" s="146">
        <f t="shared" si="1"/>
        <v>115.5</v>
      </c>
      <c r="I11" s="153" t="s">
        <v>219</v>
      </c>
      <c r="J11" s="176">
        <v>0.34375</v>
      </c>
      <c r="K11" s="177" t="s">
        <v>216</v>
      </c>
    </row>
    <row r="12" spans="1:11" ht="16" x14ac:dyDescent="0.15">
      <c r="A12" s="147">
        <v>4</v>
      </c>
      <c r="B12" s="148" t="s">
        <v>223</v>
      </c>
      <c r="C12" s="175">
        <v>13.5</v>
      </c>
      <c r="D12" s="144">
        <v>2.85</v>
      </c>
      <c r="E12" s="159">
        <v>1147</v>
      </c>
      <c r="F12" s="169">
        <v>10.9</v>
      </c>
      <c r="G12" s="145">
        <f>E12*F12</f>
        <v>12502.300000000001</v>
      </c>
      <c r="H12" s="146">
        <f>F12*C12</f>
        <v>147.15</v>
      </c>
      <c r="I12" s="153" t="s">
        <v>224</v>
      </c>
      <c r="J12" s="176">
        <v>6.9444444444444441E-3</v>
      </c>
      <c r="K12" s="177" t="s">
        <v>224</v>
      </c>
    </row>
    <row r="13" spans="1:11" ht="16" x14ac:dyDescent="0.15">
      <c r="A13" s="147">
        <v>5</v>
      </c>
      <c r="B13" s="148" t="s">
        <v>223</v>
      </c>
      <c r="C13" s="149">
        <v>12.5</v>
      </c>
      <c r="D13" s="144">
        <v>2.85</v>
      </c>
      <c r="E13" s="159">
        <v>1058</v>
      </c>
      <c r="F13" s="151">
        <v>3.7</v>
      </c>
      <c r="G13" s="145">
        <f>E13*F13</f>
        <v>3914.6000000000004</v>
      </c>
      <c r="H13" s="146">
        <f>F13*C13</f>
        <v>46.25</v>
      </c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48</v>
      </c>
      <c r="G22" s="126">
        <f>SUM(G9:G21)/F22</f>
        <v>1189.3270833333333</v>
      </c>
      <c r="H22" s="127">
        <f>SUM(H9:H21)/F22</f>
        <v>14.18125</v>
      </c>
      <c r="I22" s="128" t="s">
        <v>19</v>
      </c>
      <c r="J22" s="129">
        <v>8.5500000000000007</v>
      </c>
      <c r="K22" s="122"/>
    </row>
    <row r="23" spans="1:11" x14ac:dyDescent="0.15">
      <c r="E23" s="130"/>
      <c r="F23" s="131"/>
      <c r="I23" s="132" t="s">
        <v>20</v>
      </c>
      <c r="J23" s="133">
        <v>8.92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28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76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25.58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DBE4D96A-688A-4785-9176-F146D1DBBD90}">
      <formula1>$I$41:$I$50</formula1>
    </dataValidation>
    <dataValidation type="list" allowBlank="1" showInputMessage="1" showErrorMessage="1" sqref="B20:B21" xr:uid="{98C12AD1-B167-455E-84CD-522198E580BE}">
      <formula1>$K$29:$K$40</formula1>
    </dataValidation>
    <dataValidation type="list" allowBlank="1" showInputMessage="1" showErrorMessage="1" sqref="B16:B19" xr:uid="{BAD8557F-D31A-4B41-89CA-05E08D672CE0}">
      <formula1>$K$29:$K$85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4E81-D137-4BA6-BA52-0F8E856E85C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55.5" style="105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45718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15</v>
      </c>
      <c r="D9" s="144">
        <v>2.85</v>
      </c>
      <c r="E9" s="159">
        <v>1312</v>
      </c>
      <c r="F9" s="169">
        <v>18.8</v>
      </c>
      <c r="G9" s="145">
        <f>E9*F9</f>
        <v>24665.600000000002</v>
      </c>
      <c r="H9" s="146">
        <f>F9*C9</f>
        <v>282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225</v>
      </c>
      <c r="C10" s="158">
        <v>15</v>
      </c>
      <c r="D10" s="144">
        <v>2.85</v>
      </c>
      <c r="E10" s="150">
        <v>1296</v>
      </c>
      <c r="F10" s="171">
        <v>19.600000000000001</v>
      </c>
      <c r="G10" s="145">
        <f t="shared" ref="G10:G11" si="0">E10*F10</f>
        <v>25401.600000000002</v>
      </c>
      <c r="H10" s="146">
        <f t="shared" ref="H10:H11" si="1">F10*C10</f>
        <v>294</v>
      </c>
      <c r="I10" s="148" t="s">
        <v>27</v>
      </c>
      <c r="J10" s="172">
        <v>1.3888888888888888E-2</v>
      </c>
      <c r="K10" s="173" t="s">
        <v>211</v>
      </c>
    </row>
    <row r="11" spans="1:11" ht="17" x14ac:dyDescent="0.15">
      <c r="A11" s="147">
        <v>3</v>
      </c>
      <c r="B11" s="170" t="s">
        <v>225</v>
      </c>
      <c r="C11" s="158">
        <v>17</v>
      </c>
      <c r="D11" s="144">
        <v>2.85</v>
      </c>
      <c r="E11" s="150">
        <v>1337</v>
      </c>
      <c r="F11" s="174">
        <v>14.6</v>
      </c>
      <c r="G11" s="145">
        <f t="shared" si="0"/>
        <v>19520.2</v>
      </c>
      <c r="H11" s="146">
        <f t="shared" si="1"/>
        <v>248.2</v>
      </c>
      <c r="I11" s="153" t="s">
        <v>219</v>
      </c>
      <c r="J11" s="176">
        <v>0.30555555555555558</v>
      </c>
      <c r="K11" s="177" t="s">
        <v>226</v>
      </c>
    </row>
    <row r="12" spans="1:11" ht="16" x14ac:dyDescent="0.15">
      <c r="A12" s="147"/>
      <c r="B12" s="148"/>
      <c r="C12" s="175"/>
      <c r="D12" s="144"/>
      <c r="E12" s="159"/>
      <c r="F12" s="169"/>
      <c r="G12" s="145"/>
      <c r="H12" s="146"/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9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53.000000000000007</v>
      </c>
      <c r="G22" s="126">
        <f>SUM(G9:G21)/F22</f>
        <v>1312.9698113207546</v>
      </c>
      <c r="H22" s="127">
        <f>SUM(H9:H21)/F22</f>
        <v>15.550943396226414</v>
      </c>
      <c r="I22" s="128" t="s">
        <v>19</v>
      </c>
      <c r="J22" s="129">
        <v>8.1</v>
      </c>
      <c r="K22" s="122"/>
    </row>
    <row r="23" spans="1:11" x14ac:dyDescent="0.15">
      <c r="E23" s="130"/>
      <c r="F23" s="131"/>
      <c r="I23" s="132" t="s">
        <v>20</v>
      </c>
      <c r="J23" s="133">
        <v>8.17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53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129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33.75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8BE9093F-D116-4FD1-905C-36D3992FB61A}">
      <formula1>$K$29:$K$85</formula1>
    </dataValidation>
    <dataValidation type="list" allowBlank="1" showInputMessage="1" showErrorMessage="1" sqref="B20:B21" xr:uid="{4EFE2396-C7E0-41C8-824E-2C05A16BC282}">
      <formula1>$K$29:$K$40</formula1>
    </dataValidation>
    <dataValidation type="list" allowBlank="1" showInputMessage="1" showErrorMessage="1" sqref="I50 K15:K21" xr:uid="{F1DC4270-E4D0-4064-A835-C4A5BB4B0F0C}">
      <formula1>$I$41:$I$50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8E6E-B974-4A6C-8C43-DE0B000C413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45749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15</v>
      </c>
      <c r="D9" s="144">
        <v>2.85</v>
      </c>
      <c r="E9" s="159">
        <v>1394</v>
      </c>
      <c r="F9" s="169">
        <v>22.3</v>
      </c>
      <c r="G9" s="145">
        <f>E9*F9</f>
        <v>31086.2</v>
      </c>
      <c r="H9" s="146">
        <f>F9*C9</f>
        <v>334.5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14</v>
      </c>
      <c r="D10" s="144">
        <v>2.85</v>
      </c>
      <c r="E10" s="150">
        <v>1296</v>
      </c>
      <c r="F10" s="171">
        <v>7.8</v>
      </c>
      <c r="G10" s="145">
        <f t="shared" ref="G10:G14" si="0">E10*F10</f>
        <v>10108.799999999999</v>
      </c>
      <c r="H10" s="146">
        <f t="shared" ref="H10:H14" si="1">F10*C10</f>
        <v>109.2</v>
      </c>
      <c r="I10" s="148" t="s">
        <v>27</v>
      </c>
      <c r="J10" s="172">
        <v>3.4722222222222224E-2</v>
      </c>
      <c r="K10" s="173" t="s">
        <v>211</v>
      </c>
    </row>
    <row r="11" spans="1:11" ht="17" x14ac:dyDescent="0.15">
      <c r="A11" s="147">
        <v>3</v>
      </c>
      <c r="B11" s="170" t="s">
        <v>208</v>
      </c>
      <c r="C11" s="158">
        <v>17</v>
      </c>
      <c r="D11" s="144">
        <v>2.85</v>
      </c>
      <c r="E11" s="150">
        <v>1337</v>
      </c>
      <c r="F11" s="174">
        <v>8.5</v>
      </c>
      <c r="G11" s="145">
        <f t="shared" si="0"/>
        <v>11364.5</v>
      </c>
      <c r="H11" s="146">
        <f t="shared" si="1"/>
        <v>144.5</v>
      </c>
      <c r="I11" s="153" t="s">
        <v>224</v>
      </c>
      <c r="J11" s="176">
        <v>2.0833333333333332E-2</v>
      </c>
      <c r="K11" s="177" t="s">
        <v>224</v>
      </c>
    </row>
    <row r="12" spans="1:11" ht="16" x14ac:dyDescent="0.15">
      <c r="A12" s="147">
        <v>4</v>
      </c>
      <c r="B12" s="148" t="s">
        <v>225</v>
      </c>
      <c r="C12" s="175">
        <v>15</v>
      </c>
      <c r="D12" s="144">
        <v>2.85</v>
      </c>
      <c r="E12" s="159">
        <v>1418</v>
      </c>
      <c r="F12" s="169">
        <v>3.3</v>
      </c>
      <c r="G12" s="145">
        <f>E12*F12</f>
        <v>4679.3999999999996</v>
      </c>
      <c r="H12" s="146">
        <f>F12*C12</f>
        <v>49.5</v>
      </c>
      <c r="I12" s="153" t="s">
        <v>227</v>
      </c>
      <c r="J12" s="176">
        <v>2.7777777777777776E-2</v>
      </c>
      <c r="K12" s="177" t="s">
        <v>228</v>
      </c>
    </row>
    <row r="13" spans="1:11" ht="16" x14ac:dyDescent="0.15">
      <c r="A13" s="147">
        <v>5</v>
      </c>
      <c r="B13" s="148" t="s">
        <v>223</v>
      </c>
      <c r="C13" s="149">
        <v>12.5</v>
      </c>
      <c r="D13" s="144">
        <v>2.85</v>
      </c>
      <c r="E13" s="150">
        <v>1426</v>
      </c>
      <c r="F13" s="151">
        <v>12.7</v>
      </c>
      <c r="G13" s="145">
        <f t="shared" si="0"/>
        <v>18110.2</v>
      </c>
      <c r="H13" s="146">
        <f t="shared" si="1"/>
        <v>158.75</v>
      </c>
      <c r="I13" s="153"/>
      <c r="J13" s="176"/>
      <c r="K13" s="177" t="s">
        <v>229</v>
      </c>
    </row>
    <row r="14" spans="1:11" ht="16" x14ac:dyDescent="0.15">
      <c r="A14" s="152">
        <v>6</v>
      </c>
      <c r="B14" s="153" t="s">
        <v>223</v>
      </c>
      <c r="C14" s="154">
        <v>13.5</v>
      </c>
      <c r="D14" s="144">
        <v>2.85</v>
      </c>
      <c r="E14" s="150">
        <v>1377</v>
      </c>
      <c r="F14" s="155">
        <v>14.4</v>
      </c>
      <c r="G14" s="145">
        <f t="shared" si="0"/>
        <v>19828.8</v>
      </c>
      <c r="H14" s="146">
        <f t="shared" si="1"/>
        <v>194.4</v>
      </c>
      <c r="I14" s="153" t="s">
        <v>230</v>
      </c>
      <c r="J14" s="179">
        <v>4.8611111111111112E-2</v>
      </c>
      <c r="K14" s="177" t="s">
        <v>231</v>
      </c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69</v>
      </c>
      <c r="G22" s="126">
        <f>SUM(G9:G21)/F22</f>
        <v>1379.3898550724639</v>
      </c>
      <c r="H22" s="127">
        <f>SUM(H9:H21)/F22</f>
        <v>14.360144927536233</v>
      </c>
      <c r="I22" s="128" t="s">
        <v>19</v>
      </c>
      <c r="J22" s="129">
        <v>3.4</v>
      </c>
      <c r="K22" s="122"/>
    </row>
    <row r="23" spans="1:11" x14ac:dyDescent="0.15">
      <c r="E23" s="130"/>
      <c r="F23" s="131"/>
      <c r="I23" s="132" t="s">
        <v>20</v>
      </c>
      <c r="J23" s="133">
        <v>3.67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69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198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37.42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D0FADB0A-CD94-4322-AED7-579FBDD4A357}">
      <formula1>$I$41:$I$50</formula1>
    </dataValidation>
    <dataValidation type="list" allowBlank="1" showInputMessage="1" showErrorMessage="1" sqref="B20:B21" xr:uid="{EDACE498-1BE4-4A3E-92B9-588EAE73287F}">
      <formula1>$K$29:$K$40</formula1>
    </dataValidation>
    <dataValidation type="list" allowBlank="1" showInputMessage="1" showErrorMessage="1" sqref="B16:B19" xr:uid="{6BD26582-379E-4594-B3B1-0F1A6A73271C}">
      <formula1>$K$29:$K$85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019D-6BF1-4465-ACF3-519072360C6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45779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14</v>
      </c>
      <c r="D9" s="144">
        <v>2.85</v>
      </c>
      <c r="E9" s="159">
        <v>1377</v>
      </c>
      <c r="F9" s="169">
        <v>12.9</v>
      </c>
      <c r="G9" s="145">
        <f>E9*F9</f>
        <v>17763.3</v>
      </c>
      <c r="H9" s="146">
        <f>F9*C9</f>
        <v>180.6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15</v>
      </c>
      <c r="D10" s="144">
        <v>2.85</v>
      </c>
      <c r="E10" s="150">
        <v>1386</v>
      </c>
      <c r="F10" s="171">
        <v>7.8</v>
      </c>
      <c r="G10" s="145">
        <f t="shared" ref="G10:G11" si="0">E10*F10</f>
        <v>10810.8</v>
      </c>
      <c r="H10" s="146">
        <f t="shared" ref="H10:H11" si="1">F10*C10</f>
        <v>117</v>
      </c>
      <c r="I10" s="148" t="s">
        <v>27</v>
      </c>
      <c r="J10" s="172">
        <v>3.4722222222222224E-2</v>
      </c>
      <c r="K10" s="173" t="s">
        <v>211</v>
      </c>
    </row>
    <row r="11" spans="1:11" ht="17" x14ac:dyDescent="0.15">
      <c r="A11" s="147">
        <v>3</v>
      </c>
      <c r="B11" s="170" t="s">
        <v>208</v>
      </c>
      <c r="C11" s="158">
        <v>17</v>
      </c>
      <c r="D11" s="144">
        <v>2.85</v>
      </c>
      <c r="E11" s="150">
        <v>1312</v>
      </c>
      <c r="F11" s="174">
        <v>12.5</v>
      </c>
      <c r="G11" s="145">
        <f t="shared" si="0"/>
        <v>16400</v>
      </c>
      <c r="H11" s="146">
        <f t="shared" si="1"/>
        <v>212.5</v>
      </c>
      <c r="I11" s="153" t="s">
        <v>224</v>
      </c>
      <c r="J11" s="176">
        <v>1.3888888888888888E-2</v>
      </c>
      <c r="K11" s="177" t="s">
        <v>224</v>
      </c>
    </row>
    <row r="12" spans="1:11" ht="16" x14ac:dyDescent="0.15">
      <c r="A12" s="147">
        <v>4</v>
      </c>
      <c r="B12" s="148" t="s">
        <v>223</v>
      </c>
      <c r="C12" s="175">
        <v>12.5</v>
      </c>
      <c r="D12" s="144">
        <v>2.85</v>
      </c>
      <c r="E12" s="159">
        <v>1418</v>
      </c>
      <c r="F12" s="169">
        <v>33.799999999999997</v>
      </c>
      <c r="G12" s="145">
        <f>E12*F12</f>
        <v>47928.399999999994</v>
      </c>
      <c r="H12" s="146">
        <f>F12*C12</f>
        <v>422.49999999999994</v>
      </c>
      <c r="I12" s="153" t="s">
        <v>227</v>
      </c>
      <c r="J12" s="176">
        <v>1.3888888888888888E-2</v>
      </c>
      <c r="K12" s="177" t="s">
        <v>232</v>
      </c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 t="s">
        <v>233</v>
      </c>
      <c r="J13" s="176">
        <v>1.3888888888888888E-2</v>
      </c>
      <c r="K13" s="177" t="s">
        <v>234</v>
      </c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 t="s">
        <v>219</v>
      </c>
      <c r="J14" s="179">
        <v>4.8611111111111112E-2</v>
      </c>
      <c r="K14" s="177" t="s">
        <v>235</v>
      </c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67</v>
      </c>
      <c r="G22" s="126">
        <f>SUM(G9:G21)/F22</f>
        <v>1386.6044776119404</v>
      </c>
      <c r="H22" s="127">
        <f>SUM(H9:H21)/F22</f>
        <v>13.919402985074626</v>
      </c>
      <c r="I22" s="128" t="s">
        <v>19</v>
      </c>
      <c r="J22" s="129">
        <v>3.3</v>
      </c>
      <c r="K22" s="122"/>
    </row>
    <row r="23" spans="1:11" x14ac:dyDescent="0.15">
      <c r="E23" s="130"/>
      <c r="F23" s="131"/>
      <c r="I23" s="132" t="s">
        <v>20</v>
      </c>
      <c r="J23" s="133">
        <v>3.5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67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265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40.92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1A09F793-AC6A-4DD7-83CE-9925087B303B}">
      <formula1>$K$29:$K$85</formula1>
    </dataValidation>
    <dataValidation type="list" allowBlank="1" showInputMessage="1" showErrorMessage="1" sqref="B20:B21" xr:uid="{93D278F0-A8E1-4ADD-A823-F6DBA6B8E4DA}">
      <formula1>$K$29:$K$40</formula1>
    </dataValidation>
    <dataValidation type="list" allowBlank="1" showInputMessage="1" showErrorMessage="1" sqref="I50 K15:K21" xr:uid="{D5744774-30B3-4227-B6B0-5DDC56148C9A}">
      <formula1>$I$41:$I$50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58F5-2F66-439C-A795-14625F14AC5C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45810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223</v>
      </c>
      <c r="C9" s="168">
        <v>12.5</v>
      </c>
      <c r="D9" s="144">
        <v>2.85</v>
      </c>
      <c r="E9" s="159">
        <v>1426</v>
      </c>
      <c r="F9" s="169">
        <v>20.9</v>
      </c>
      <c r="G9" s="145">
        <f>E9*F9</f>
        <v>29803.399999999998</v>
      </c>
      <c r="H9" s="146">
        <f>F9*C9</f>
        <v>261.25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14</v>
      </c>
      <c r="D10" s="144">
        <v>2.85</v>
      </c>
      <c r="E10" s="150">
        <v>1386</v>
      </c>
      <c r="F10" s="171">
        <v>15.5</v>
      </c>
      <c r="G10" s="145">
        <f t="shared" ref="G10:G11" si="0">E10*F10</f>
        <v>21483</v>
      </c>
      <c r="H10" s="146">
        <f t="shared" ref="H10:H11" si="1">F10*C10</f>
        <v>217</v>
      </c>
      <c r="I10" s="148" t="s">
        <v>27</v>
      </c>
      <c r="J10" s="172">
        <v>3.4722222222222224E-2</v>
      </c>
      <c r="K10" s="173" t="s">
        <v>211</v>
      </c>
    </row>
    <row r="11" spans="1:11" ht="17" x14ac:dyDescent="0.15">
      <c r="A11" s="147">
        <v>3</v>
      </c>
      <c r="B11" s="170" t="s">
        <v>208</v>
      </c>
      <c r="C11" s="158">
        <v>15</v>
      </c>
      <c r="D11" s="144">
        <v>2.85</v>
      </c>
      <c r="E11" s="150">
        <v>1386</v>
      </c>
      <c r="F11" s="174">
        <v>30.2</v>
      </c>
      <c r="G11" s="145">
        <f t="shared" si="0"/>
        <v>41857.199999999997</v>
      </c>
      <c r="H11" s="146">
        <f t="shared" si="1"/>
        <v>453</v>
      </c>
      <c r="I11" s="153" t="s">
        <v>224</v>
      </c>
      <c r="J11" s="176">
        <v>6.9444444444444441E-3</v>
      </c>
      <c r="K11" s="177" t="s">
        <v>224</v>
      </c>
    </row>
    <row r="12" spans="1:11" ht="16" x14ac:dyDescent="0.15">
      <c r="A12" s="147">
        <v>4</v>
      </c>
      <c r="B12" s="148" t="s">
        <v>208</v>
      </c>
      <c r="C12" s="175">
        <v>16</v>
      </c>
      <c r="D12" s="144">
        <v>2.85</v>
      </c>
      <c r="E12" s="159">
        <v>1385</v>
      </c>
      <c r="F12" s="169">
        <v>10.4</v>
      </c>
      <c r="G12" s="145">
        <f>E12*F12</f>
        <v>14404</v>
      </c>
      <c r="H12" s="146">
        <f>F12*C12</f>
        <v>166.4</v>
      </c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77</v>
      </c>
      <c r="G22" s="126">
        <f>SUM(G9:G21)/F22</f>
        <v>1396.7220779220779</v>
      </c>
      <c r="H22" s="127">
        <f>SUM(H9:H21)/F22</f>
        <v>14.255194805194806</v>
      </c>
      <c r="I22" s="128" t="s">
        <v>19</v>
      </c>
      <c r="J22" s="129">
        <v>1.3</v>
      </c>
      <c r="K22" s="122"/>
    </row>
    <row r="23" spans="1:11" x14ac:dyDescent="0.15">
      <c r="E23" s="130"/>
      <c r="F23" s="131"/>
      <c r="I23" s="132" t="s">
        <v>20</v>
      </c>
      <c r="J23" s="133">
        <v>1.5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77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342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42.42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C45660CD-A22F-401F-8D25-F2601E358EE2}">
      <formula1>$I$41:$I$50</formula1>
    </dataValidation>
    <dataValidation type="list" allowBlank="1" showInputMessage="1" showErrorMessage="1" sqref="B20:B21" xr:uid="{FFC9B474-E685-4B11-B626-9D814FC74926}">
      <formula1>$K$29:$K$40</formula1>
    </dataValidation>
    <dataValidation type="list" allowBlank="1" showInputMessage="1" showErrorMessage="1" sqref="B16:B19" xr:uid="{3D6A38CB-B934-4951-9368-E0A24F6D02FF}">
      <formula1>$K$29:$K$85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5F1C-82B4-41E7-BD16-8B7CE751A8B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45840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218</v>
      </c>
      <c r="C9" s="168">
        <v>40</v>
      </c>
      <c r="D9" s="144">
        <v>2.85</v>
      </c>
      <c r="E9" s="159">
        <v>668</v>
      </c>
      <c r="F9" s="169">
        <v>22.5</v>
      </c>
      <c r="G9" s="145">
        <f>E9*F9</f>
        <v>15030</v>
      </c>
      <c r="H9" s="146">
        <f>F9*C9</f>
        <v>900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218</v>
      </c>
      <c r="C10" s="158">
        <v>36</v>
      </c>
      <c r="D10" s="144">
        <v>2.85</v>
      </c>
      <c r="E10" s="150">
        <v>722</v>
      </c>
      <c r="F10" s="171">
        <v>6.3</v>
      </c>
      <c r="G10" s="145">
        <f t="shared" ref="G10:G11" si="0">E10*F10</f>
        <v>4548.5999999999995</v>
      </c>
      <c r="H10" s="146">
        <f t="shared" ref="H10:H11" si="1">F10*C10</f>
        <v>226.79999999999998</v>
      </c>
      <c r="I10" s="148" t="s">
        <v>27</v>
      </c>
      <c r="J10" s="172">
        <v>4.8611111111111112E-2</v>
      </c>
      <c r="K10" s="173" t="s">
        <v>211</v>
      </c>
    </row>
    <row r="11" spans="1:11" ht="17" x14ac:dyDescent="0.15">
      <c r="A11" s="147">
        <v>3</v>
      </c>
      <c r="B11" s="170" t="s">
        <v>218</v>
      </c>
      <c r="C11" s="158">
        <v>34</v>
      </c>
      <c r="D11" s="144">
        <v>2.85</v>
      </c>
      <c r="E11" s="150">
        <v>766</v>
      </c>
      <c r="F11" s="174">
        <v>5.9</v>
      </c>
      <c r="G11" s="145">
        <f t="shared" si="0"/>
        <v>4519.4000000000005</v>
      </c>
      <c r="H11" s="146">
        <f t="shared" si="1"/>
        <v>200.60000000000002</v>
      </c>
      <c r="I11" s="153" t="s">
        <v>237</v>
      </c>
      <c r="J11" s="176">
        <v>5.5555555555555552E-2</v>
      </c>
      <c r="K11" s="177" t="s">
        <v>238</v>
      </c>
    </row>
    <row r="12" spans="1:11" ht="16" x14ac:dyDescent="0.15">
      <c r="A12" s="147">
        <v>4</v>
      </c>
      <c r="B12" s="148" t="s">
        <v>218</v>
      </c>
      <c r="C12" s="175">
        <v>32</v>
      </c>
      <c r="D12" s="144">
        <v>2.85</v>
      </c>
      <c r="E12" s="159">
        <v>835</v>
      </c>
      <c r="F12" s="169">
        <v>13.3</v>
      </c>
      <c r="G12" s="145">
        <f>E12*F12</f>
        <v>11105.5</v>
      </c>
      <c r="H12" s="146">
        <f>F12*C12</f>
        <v>425.6</v>
      </c>
      <c r="I12" s="153"/>
      <c r="J12" s="176"/>
      <c r="K12" s="177"/>
    </row>
    <row r="13" spans="1:11" ht="16" x14ac:dyDescent="0.15">
      <c r="A13" s="147">
        <v>5</v>
      </c>
      <c r="B13" s="148" t="s">
        <v>218</v>
      </c>
      <c r="C13" s="149">
        <v>22</v>
      </c>
      <c r="D13" s="144">
        <v>2.85</v>
      </c>
      <c r="E13" s="150">
        <v>1148</v>
      </c>
      <c r="F13" s="151">
        <v>10.199999999999999</v>
      </c>
      <c r="G13" s="145">
        <f>E13*F13</f>
        <v>11709.599999999999</v>
      </c>
      <c r="H13" s="146">
        <f>F13*C13</f>
        <v>224.39999999999998</v>
      </c>
      <c r="I13" s="153"/>
      <c r="J13" s="176"/>
      <c r="K13" s="177"/>
    </row>
    <row r="14" spans="1:11" ht="16" x14ac:dyDescent="0.15">
      <c r="A14" s="152">
        <v>6</v>
      </c>
      <c r="B14" s="153" t="s">
        <v>218</v>
      </c>
      <c r="C14" s="154">
        <v>20</v>
      </c>
      <c r="D14" s="144">
        <v>2.85</v>
      </c>
      <c r="E14" s="150">
        <v>1148</v>
      </c>
      <c r="F14" s="155">
        <v>4.3</v>
      </c>
      <c r="G14" s="145">
        <f t="shared" ref="G14:G15" si="2">E14*F14</f>
        <v>4936.3999999999996</v>
      </c>
      <c r="H14" s="146">
        <f t="shared" ref="H14:H15" si="3">F14*C14</f>
        <v>86</v>
      </c>
      <c r="I14" s="153"/>
      <c r="J14" s="179"/>
      <c r="K14" s="177"/>
    </row>
    <row r="15" spans="1:11" ht="16" x14ac:dyDescent="0.2">
      <c r="A15" s="156">
        <v>7</v>
      </c>
      <c r="B15" s="157" t="s">
        <v>236</v>
      </c>
      <c r="C15" s="158">
        <v>17</v>
      </c>
      <c r="D15" s="144">
        <v>2.85</v>
      </c>
      <c r="E15" s="159">
        <v>1426</v>
      </c>
      <c r="F15" s="158">
        <v>31.5</v>
      </c>
      <c r="G15" s="145">
        <f t="shared" si="2"/>
        <v>44919</v>
      </c>
      <c r="H15" s="146">
        <f t="shared" si="3"/>
        <v>535.5</v>
      </c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94</v>
      </c>
      <c r="G22" s="126">
        <f>SUM(G9:G21)/F22</f>
        <v>1029.4521276595744</v>
      </c>
      <c r="H22" s="127">
        <f>SUM(H9:H21)/F22</f>
        <v>27.647872340425533</v>
      </c>
      <c r="I22" s="128" t="s">
        <v>19</v>
      </c>
      <c r="J22" s="129">
        <v>3</v>
      </c>
      <c r="K22" s="122"/>
    </row>
    <row r="23" spans="1:11" x14ac:dyDescent="0.15">
      <c r="E23" s="130"/>
      <c r="F23" s="131"/>
      <c r="I23" s="132" t="s">
        <v>20</v>
      </c>
      <c r="J23" s="133">
        <v>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94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436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45.42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072D0308-4271-4298-BC97-9759A4CD0DBD}">
      <formula1>$K$29:$K$85</formula1>
    </dataValidation>
    <dataValidation type="list" allowBlank="1" showInputMessage="1" showErrorMessage="1" sqref="B20:B21" xr:uid="{40CD5A78-600E-424D-B4CF-CAE1E74899D5}">
      <formula1>$K$29:$K$40</formula1>
    </dataValidation>
    <dataValidation type="list" allowBlank="1" showInputMessage="1" showErrorMessage="1" sqref="I50 K15:K21" xr:uid="{8A707730-12EA-48EC-8701-A53697B89A3E}">
      <formula1>$I$41:$I$50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8E6C-9A88-49B8-BEDF-07FFD759A6D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45871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17</v>
      </c>
      <c r="D9" s="144">
        <v>2.85</v>
      </c>
      <c r="E9" s="159">
        <v>1303</v>
      </c>
      <c r="F9" s="169">
        <v>13.4</v>
      </c>
      <c r="G9" s="145">
        <f>E9*F9</f>
        <v>17460.2</v>
      </c>
      <c r="H9" s="146">
        <f>F9*C9</f>
        <v>227.8</v>
      </c>
      <c r="I9" s="148" t="s">
        <v>204</v>
      </c>
      <c r="J9" s="172">
        <v>2.4305555555555556E-2</v>
      </c>
      <c r="K9" s="173" t="s">
        <v>215</v>
      </c>
    </row>
    <row r="10" spans="1:11" ht="17" x14ac:dyDescent="0.15">
      <c r="A10" s="147">
        <v>2</v>
      </c>
      <c r="B10" s="170" t="s">
        <v>236</v>
      </c>
      <c r="C10" s="158">
        <v>17</v>
      </c>
      <c r="D10" s="144">
        <v>2.85</v>
      </c>
      <c r="E10" s="150">
        <v>1296</v>
      </c>
      <c r="F10" s="171">
        <v>17.2</v>
      </c>
      <c r="G10" s="145">
        <f t="shared" ref="G10:G11" si="0">E10*F10</f>
        <v>22291.200000000001</v>
      </c>
      <c r="H10" s="146">
        <f t="shared" ref="H10:H11" si="1">F10*C10</f>
        <v>292.39999999999998</v>
      </c>
      <c r="I10" s="148" t="s">
        <v>27</v>
      </c>
      <c r="J10" s="172">
        <v>1.3888888888888888E-2</v>
      </c>
      <c r="K10" s="173" t="s">
        <v>211</v>
      </c>
    </row>
    <row r="11" spans="1:11" ht="17" x14ac:dyDescent="0.15">
      <c r="A11" s="147">
        <v>3</v>
      </c>
      <c r="B11" s="170" t="s">
        <v>208</v>
      </c>
      <c r="C11" s="158">
        <v>15</v>
      </c>
      <c r="D11" s="144">
        <v>2.85</v>
      </c>
      <c r="E11" s="150">
        <v>1296</v>
      </c>
      <c r="F11" s="174">
        <v>44.4</v>
      </c>
      <c r="G11" s="145">
        <f t="shared" si="0"/>
        <v>57542.400000000001</v>
      </c>
      <c r="H11" s="146">
        <f t="shared" si="1"/>
        <v>666</v>
      </c>
      <c r="I11" s="153" t="s">
        <v>219</v>
      </c>
      <c r="J11" s="176">
        <v>4.1666666666666664E-2</v>
      </c>
      <c r="K11" s="177" t="s">
        <v>239</v>
      </c>
    </row>
    <row r="12" spans="1:11" ht="16" x14ac:dyDescent="0.15">
      <c r="A12" s="147"/>
      <c r="B12" s="148"/>
      <c r="C12" s="175"/>
      <c r="D12" s="144"/>
      <c r="E12" s="159"/>
      <c r="F12" s="169"/>
      <c r="G12" s="145"/>
      <c r="H12" s="146"/>
      <c r="I12" s="153" t="s">
        <v>240</v>
      </c>
      <c r="J12" s="176">
        <v>1.3888888888888888E-2</v>
      </c>
      <c r="K12" s="177" t="s">
        <v>241</v>
      </c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75</v>
      </c>
      <c r="G22" s="126">
        <f>SUM(G9:G21)/F22</f>
        <v>1297.2506666666668</v>
      </c>
      <c r="H22" s="127">
        <f>SUM(H9:H21)/F22</f>
        <v>15.816000000000001</v>
      </c>
      <c r="I22" s="128" t="s">
        <v>19</v>
      </c>
      <c r="J22" s="129">
        <v>2.15</v>
      </c>
      <c r="K22" s="122"/>
    </row>
    <row r="23" spans="1:11" x14ac:dyDescent="0.15">
      <c r="E23" s="130"/>
      <c r="F23" s="131"/>
      <c r="I23" s="132" t="s">
        <v>20</v>
      </c>
      <c r="J23" s="133">
        <v>2.25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75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511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47.67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B60A1526-4DB8-4E0C-976B-9FCFFC909C2A}">
      <formula1>$I$41:$I$50</formula1>
    </dataValidation>
    <dataValidation type="list" allowBlank="1" showInputMessage="1" showErrorMessage="1" sqref="B20:B21" xr:uid="{7DE05766-AFCD-4CA4-9E33-224938E045EC}">
      <formula1>$K$29:$K$40</formula1>
    </dataValidation>
    <dataValidation type="list" allowBlank="1" showInputMessage="1" showErrorMessage="1" sqref="B16:B19" xr:uid="{9E51BFAD-661C-416F-859C-4D1715BE2031}">
      <formula1>$K$29:$K$85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1908-9287-4E3B-AF7D-BC59985E1F8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45902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236</v>
      </c>
      <c r="C9" s="168">
        <v>17</v>
      </c>
      <c r="D9" s="144">
        <v>2.85</v>
      </c>
      <c r="E9" s="159">
        <v>1264</v>
      </c>
      <c r="F9" s="169">
        <v>67.900000000000006</v>
      </c>
      <c r="G9" s="145">
        <f>E9*F9</f>
        <v>85825.600000000006</v>
      </c>
      <c r="H9" s="146">
        <f>F9*C9</f>
        <v>1154.3000000000002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223</v>
      </c>
      <c r="C10" s="158">
        <v>12.5</v>
      </c>
      <c r="D10" s="144">
        <v>2.85</v>
      </c>
      <c r="E10" s="150">
        <v>1296</v>
      </c>
      <c r="F10" s="171">
        <v>5.0999999999999996</v>
      </c>
      <c r="G10" s="145">
        <f t="shared" ref="G10:G11" si="0">E10*F10</f>
        <v>6609.5999999999995</v>
      </c>
      <c r="H10" s="146">
        <f t="shared" ref="H10:H11" si="1">F10*C10</f>
        <v>63.749999999999993</v>
      </c>
      <c r="I10" s="148" t="s">
        <v>27</v>
      </c>
      <c r="J10" s="172">
        <v>1.3888888888888888E-2</v>
      </c>
      <c r="K10" s="173" t="s">
        <v>211</v>
      </c>
    </row>
    <row r="11" spans="1:11" ht="17" x14ac:dyDescent="0.15">
      <c r="A11" s="147">
        <v>3</v>
      </c>
      <c r="B11" s="170" t="s">
        <v>225</v>
      </c>
      <c r="C11" s="158">
        <v>16</v>
      </c>
      <c r="D11" s="144">
        <v>2.85</v>
      </c>
      <c r="E11" s="150">
        <v>1280</v>
      </c>
      <c r="F11" s="174">
        <v>10</v>
      </c>
      <c r="G11" s="145">
        <f t="shared" si="0"/>
        <v>12800</v>
      </c>
      <c r="H11" s="146">
        <f t="shared" si="1"/>
        <v>160</v>
      </c>
      <c r="I11" s="153"/>
      <c r="J11" s="176"/>
      <c r="K11" s="177"/>
    </row>
    <row r="12" spans="1:11" ht="16" x14ac:dyDescent="0.15">
      <c r="A12" s="147"/>
      <c r="B12" s="148"/>
      <c r="C12" s="175"/>
      <c r="D12" s="144"/>
      <c r="E12" s="159"/>
      <c r="F12" s="169"/>
      <c r="G12" s="145"/>
      <c r="H12" s="146"/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83</v>
      </c>
      <c r="G22" s="126">
        <f>SUM(G9:G21)/F22</f>
        <v>1267.8939759036145</v>
      </c>
      <c r="H22" s="127">
        <f>SUM(H9:H21)/F22</f>
        <v>16.603012048192774</v>
      </c>
      <c r="I22" s="128" t="s">
        <v>19</v>
      </c>
      <c r="J22" s="129">
        <v>0.5</v>
      </c>
      <c r="K22" s="122"/>
    </row>
    <row r="23" spans="1:11" x14ac:dyDescent="0.15">
      <c r="E23" s="130"/>
      <c r="F23" s="131"/>
      <c r="I23" s="132" t="s">
        <v>20</v>
      </c>
      <c r="J23" s="133">
        <v>0.83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83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594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48.5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6F2517A8-2D13-4EE2-8289-7B28F0D5B2CD}">
      <formula1>$K$29:$K$85</formula1>
    </dataValidation>
    <dataValidation type="list" allowBlank="1" showInputMessage="1" showErrorMessage="1" sqref="B20:B21" xr:uid="{EEFB166F-6022-4964-845C-37A0BFF935B4}">
      <formula1>$K$29:$K$40</formula1>
    </dataValidation>
    <dataValidation type="list" allowBlank="1" showInputMessage="1" showErrorMessage="1" sqref="I50 K15:K21" xr:uid="{98CEEFB3-8875-4FCC-AFDF-8DA899C5A385}">
      <formula1>$I$41:$I$50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D7FA-5664-4E41-B94A-EDE32DBBF50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45932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218</v>
      </c>
      <c r="C9" s="168">
        <v>40</v>
      </c>
      <c r="D9" s="144">
        <v>2.85</v>
      </c>
      <c r="E9" s="159">
        <v>650</v>
      </c>
      <c r="F9" s="169">
        <v>5</v>
      </c>
      <c r="G9" s="145">
        <f>E9*F9</f>
        <v>3250</v>
      </c>
      <c r="H9" s="146">
        <f>F9*C9</f>
        <v>200</v>
      </c>
      <c r="I9" s="148" t="s">
        <v>204</v>
      </c>
      <c r="J9" s="172">
        <v>1.3888888888888888E-2</v>
      </c>
      <c r="K9" s="173" t="s">
        <v>215</v>
      </c>
    </row>
    <row r="10" spans="1:11" ht="17" x14ac:dyDescent="0.15">
      <c r="A10" s="147">
        <v>2</v>
      </c>
      <c r="B10" s="170" t="s">
        <v>218</v>
      </c>
      <c r="C10" s="158">
        <v>20</v>
      </c>
      <c r="D10" s="144">
        <v>2.85</v>
      </c>
      <c r="E10" s="150">
        <v>1204</v>
      </c>
      <c r="F10" s="171">
        <v>4</v>
      </c>
      <c r="G10" s="145">
        <f t="shared" ref="G10:G14" si="0">E10*F10</f>
        <v>4816</v>
      </c>
      <c r="H10" s="146">
        <f t="shared" ref="H10:H14" si="1">F10*C10</f>
        <v>80</v>
      </c>
      <c r="I10" s="148" t="s">
        <v>27</v>
      </c>
      <c r="J10" s="172">
        <v>2.7777777777777776E-2</v>
      </c>
      <c r="K10" s="173" t="s">
        <v>211</v>
      </c>
    </row>
    <row r="11" spans="1:11" ht="17" x14ac:dyDescent="0.15">
      <c r="A11" s="147">
        <v>3</v>
      </c>
      <c r="B11" s="170" t="s">
        <v>208</v>
      </c>
      <c r="C11" s="158">
        <v>14</v>
      </c>
      <c r="D11" s="144">
        <v>2.85</v>
      </c>
      <c r="E11" s="150">
        <v>1288</v>
      </c>
      <c r="F11" s="174">
        <v>8</v>
      </c>
      <c r="G11" s="145">
        <f t="shared" si="0"/>
        <v>10304</v>
      </c>
      <c r="H11" s="146">
        <f t="shared" si="1"/>
        <v>112</v>
      </c>
      <c r="I11" s="153" t="s">
        <v>219</v>
      </c>
      <c r="J11" s="176">
        <v>0.19444444444444445</v>
      </c>
      <c r="K11" s="177" t="s">
        <v>242</v>
      </c>
    </row>
    <row r="12" spans="1:11" ht="16" x14ac:dyDescent="0.15">
      <c r="A12" s="147">
        <v>4</v>
      </c>
      <c r="B12" s="148" t="s">
        <v>208</v>
      </c>
      <c r="C12" s="175">
        <v>15</v>
      </c>
      <c r="D12" s="144">
        <v>2.85</v>
      </c>
      <c r="E12" s="159">
        <v>1208</v>
      </c>
      <c r="F12" s="169">
        <v>16</v>
      </c>
      <c r="G12" s="145">
        <f>E12*F12</f>
        <v>19328</v>
      </c>
      <c r="H12" s="146">
        <f>F12*C12</f>
        <v>240</v>
      </c>
      <c r="I12" s="153" t="s">
        <v>233</v>
      </c>
      <c r="J12" s="176">
        <v>4.1666666666666664E-2</v>
      </c>
      <c r="K12" s="177" t="s">
        <v>243</v>
      </c>
    </row>
    <row r="13" spans="1:11" ht="16" x14ac:dyDescent="0.15">
      <c r="A13" s="147">
        <v>5</v>
      </c>
      <c r="B13" s="148" t="s">
        <v>225</v>
      </c>
      <c r="C13" s="149">
        <v>16</v>
      </c>
      <c r="D13" s="144">
        <v>2.85</v>
      </c>
      <c r="E13" s="150">
        <v>1408</v>
      </c>
      <c r="F13" s="151">
        <v>6</v>
      </c>
      <c r="G13" s="145">
        <f t="shared" si="0"/>
        <v>8448</v>
      </c>
      <c r="H13" s="146">
        <f t="shared" si="1"/>
        <v>96</v>
      </c>
      <c r="I13" s="153" t="s">
        <v>244</v>
      </c>
      <c r="J13" s="176">
        <v>0.1736111111111111</v>
      </c>
      <c r="K13" s="177" t="s">
        <v>245</v>
      </c>
    </row>
    <row r="14" spans="1:11" ht="16" x14ac:dyDescent="0.15">
      <c r="A14" s="152">
        <v>6</v>
      </c>
      <c r="B14" s="153" t="s">
        <v>225</v>
      </c>
      <c r="C14" s="154">
        <v>17</v>
      </c>
      <c r="D14" s="144">
        <v>2.85</v>
      </c>
      <c r="E14" s="150">
        <v>1408</v>
      </c>
      <c r="F14" s="155">
        <v>4</v>
      </c>
      <c r="G14" s="145">
        <f t="shared" si="0"/>
        <v>5632</v>
      </c>
      <c r="H14" s="146">
        <f t="shared" si="1"/>
        <v>68</v>
      </c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43</v>
      </c>
      <c r="G22" s="126">
        <f>SUM(G9:G21)/F22</f>
        <v>1204.1395348837209</v>
      </c>
      <c r="H22" s="127">
        <f>SUM(H9:H21)/F22</f>
        <v>18.511627906976745</v>
      </c>
      <c r="I22" s="128" t="s">
        <v>19</v>
      </c>
      <c r="J22" s="129">
        <v>10.5</v>
      </c>
      <c r="K22" s="122"/>
    </row>
    <row r="23" spans="1:11" x14ac:dyDescent="0.15">
      <c r="E23" s="130"/>
      <c r="F23" s="131"/>
      <c r="I23" s="132" t="s">
        <v>20</v>
      </c>
      <c r="J23" s="133">
        <v>10.83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43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637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59.33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E1C9C274-008D-418A-9402-D6A22D1CA099}">
      <formula1>$I$41:$I$50</formula1>
    </dataValidation>
    <dataValidation type="list" allowBlank="1" showInputMessage="1" showErrorMessage="1" sqref="B20:B21" xr:uid="{D34F121C-9DE3-4B8C-95D2-F0C7B7AE9E51}">
      <formula1>$K$29:$K$40</formula1>
    </dataValidation>
    <dataValidation type="list" allowBlank="1" showInputMessage="1" showErrorMessage="1" sqref="B16:B19" xr:uid="{8F77C93D-9F66-4B00-8807-F75326489297}">
      <formula1>$K$29:$K$85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2BC93-8DEA-499C-9FBC-CFC2AE586B64}">
  <dimension ref="A1:K85"/>
  <sheetViews>
    <sheetView topLeftCell="A4" workbookViewId="0">
      <selection activeCell="A4" sqref="A1:XFD104857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45963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14</v>
      </c>
      <c r="D9" s="144">
        <v>2.85</v>
      </c>
      <c r="E9" s="159">
        <v>1053</v>
      </c>
      <c r="F9" s="169">
        <v>3</v>
      </c>
      <c r="G9" s="145">
        <f>E9*F9</f>
        <v>3159</v>
      </c>
      <c r="H9" s="146">
        <f>F9*C9</f>
        <v>42</v>
      </c>
      <c r="I9" s="148" t="s">
        <v>204</v>
      </c>
      <c r="J9" s="172">
        <v>6.9444444444444441E-3</v>
      </c>
      <c r="K9" s="173" t="s">
        <v>215</v>
      </c>
    </row>
    <row r="10" spans="1:11" ht="16" x14ac:dyDescent="0.15">
      <c r="A10" s="147"/>
      <c r="B10" s="170"/>
      <c r="C10" s="158"/>
      <c r="D10" s="144"/>
      <c r="E10" s="150"/>
      <c r="F10" s="171"/>
      <c r="G10" s="145"/>
      <c r="H10" s="146"/>
      <c r="I10" s="148" t="s">
        <v>246</v>
      </c>
      <c r="J10" s="172">
        <v>0.45833333333333331</v>
      </c>
      <c r="K10" s="173" t="s">
        <v>247</v>
      </c>
    </row>
    <row r="11" spans="1:11" ht="16" x14ac:dyDescent="0.15">
      <c r="A11" s="147"/>
      <c r="B11" s="170"/>
      <c r="C11" s="158"/>
      <c r="D11" s="144"/>
      <c r="E11" s="150"/>
      <c r="F11" s="174"/>
      <c r="G11" s="145"/>
      <c r="H11" s="146"/>
      <c r="I11" s="153"/>
      <c r="J11" s="176"/>
      <c r="K11" s="177" t="s">
        <v>248</v>
      </c>
    </row>
    <row r="12" spans="1:11" ht="16" x14ac:dyDescent="0.15">
      <c r="A12" s="147"/>
      <c r="B12" s="148"/>
      <c r="C12" s="175"/>
      <c r="D12" s="144"/>
      <c r="E12" s="159"/>
      <c r="F12" s="169"/>
      <c r="G12" s="145"/>
      <c r="H12" s="146"/>
      <c r="I12" s="153" t="s">
        <v>249</v>
      </c>
      <c r="J12" s="176">
        <v>0.4375</v>
      </c>
      <c r="K12" s="177" t="s">
        <v>250</v>
      </c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3</v>
      </c>
      <c r="G22" s="126">
        <f>SUM(G9:G21)/F22</f>
        <v>1053</v>
      </c>
      <c r="H22" s="127">
        <f>SUM(H9:H21)/F22</f>
        <v>14</v>
      </c>
      <c r="I22" s="128" t="s">
        <v>19</v>
      </c>
      <c r="J22" s="129">
        <v>21.4</v>
      </c>
      <c r="K22" s="122"/>
    </row>
    <row r="23" spans="1:11" x14ac:dyDescent="0.15">
      <c r="E23" s="130"/>
      <c r="F23" s="131"/>
      <c r="I23" s="132" t="s">
        <v>20</v>
      </c>
      <c r="J23" s="133">
        <v>21.67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3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640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81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991F7894-4CF8-4EF1-B4C6-E30BC3235ECB}">
      <formula1>$K$29:$K$85</formula1>
    </dataValidation>
    <dataValidation type="list" allowBlank="1" showInputMessage="1" showErrorMessage="1" sqref="B20:B21" xr:uid="{B697E12C-9F05-48B5-91FE-BBEF8A549B0E}">
      <formula1>$K$29:$K$40</formula1>
    </dataValidation>
    <dataValidation type="list" allowBlank="1" showInputMessage="1" showErrorMessage="1" sqref="I50 K15:K21" xr:uid="{107EB63C-077B-45EE-B12F-49EC9DED72E1}">
      <formula1>$I$41:$I$50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723E-DC61-44DA-9DB6-D508C11616E7}">
  <dimension ref="A1:K85"/>
  <sheetViews>
    <sheetView workbookViewId="0">
      <selection activeCell="J13" sqref="J13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>
        <v>45993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6" x14ac:dyDescent="0.15">
      <c r="A9" s="166"/>
      <c r="B9" s="167"/>
      <c r="C9" s="168"/>
      <c r="D9" s="144"/>
      <c r="E9" s="159"/>
      <c r="F9" s="169"/>
      <c r="G9" s="145"/>
      <c r="H9" s="146"/>
      <c r="I9" s="153" t="s">
        <v>249</v>
      </c>
      <c r="J9" s="181">
        <v>24</v>
      </c>
      <c r="K9" s="177" t="s">
        <v>252</v>
      </c>
    </row>
    <row r="10" spans="1:11" ht="16" x14ac:dyDescent="0.15">
      <c r="A10" s="147"/>
      <c r="B10" s="170"/>
      <c r="C10" s="158"/>
      <c r="D10" s="144"/>
      <c r="E10" s="150"/>
      <c r="F10" s="171"/>
      <c r="G10" s="145"/>
      <c r="H10" s="146"/>
      <c r="I10" s="148"/>
      <c r="J10" s="172"/>
      <c r="K10" s="173" t="s">
        <v>253</v>
      </c>
    </row>
    <row r="11" spans="1:11" ht="16" x14ac:dyDescent="0.15">
      <c r="A11" s="147"/>
      <c r="B11" s="170"/>
      <c r="C11" s="158"/>
      <c r="D11" s="144"/>
      <c r="E11" s="150"/>
      <c r="F11" s="174"/>
      <c r="G11" s="145"/>
      <c r="H11" s="146"/>
      <c r="I11" s="153"/>
      <c r="J11" s="176"/>
      <c r="K11" s="177"/>
    </row>
    <row r="12" spans="1:11" ht="16" x14ac:dyDescent="0.15">
      <c r="A12" s="147"/>
      <c r="B12" s="148"/>
      <c r="C12" s="175"/>
      <c r="D12" s="144"/>
      <c r="E12" s="159"/>
      <c r="F12" s="169"/>
      <c r="G12" s="145"/>
      <c r="H12" s="146"/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0</v>
      </c>
      <c r="G22" s="126" t="e">
        <f>SUM(G9:G21)/F22</f>
        <v>#DIV/0!</v>
      </c>
      <c r="H22" s="127" t="e">
        <f>SUM(H9:H21)/F22</f>
        <v>#DIV/0!</v>
      </c>
      <c r="I22" s="128" t="s">
        <v>19</v>
      </c>
      <c r="J22" s="129">
        <v>24</v>
      </c>
      <c r="K22" s="122"/>
    </row>
    <row r="23" spans="1:11" x14ac:dyDescent="0.15">
      <c r="E23" s="130"/>
      <c r="F23" s="131"/>
      <c r="I23" s="132" t="s">
        <v>20</v>
      </c>
      <c r="J23" s="133">
        <v>24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0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640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105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076253A2-AED1-4A0F-A829-2409391C68A3}">
      <formula1>$I$41:$I$50</formula1>
    </dataValidation>
    <dataValidation type="list" allowBlank="1" showInputMessage="1" showErrorMessage="1" sqref="B20:B21" xr:uid="{2FF7C389-AAC7-43E7-AA46-6245B53F68B6}">
      <formula1>$K$29:$K$40</formula1>
    </dataValidation>
    <dataValidation type="list" allowBlank="1" showInputMessage="1" showErrorMessage="1" sqref="B16:B19" xr:uid="{E25F1E74-BB2A-4C30-B1DE-4A9BCEDA3591}">
      <formula1>$K$29:$K$85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F126-18D4-4D6F-90E0-351CD4286CB0}">
  <dimension ref="A1:K85"/>
  <sheetViews>
    <sheetView workbookViewId="0">
      <selection activeCell="F10" sqref="F10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280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6" x14ac:dyDescent="0.15">
      <c r="A9" s="166"/>
      <c r="B9" s="167"/>
      <c r="C9" s="168"/>
      <c r="D9" s="144"/>
      <c r="E9" s="159"/>
      <c r="F9" s="169"/>
      <c r="G9" s="145"/>
      <c r="H9" s="146"/>
      <c r="I9" s="153" t="s">
        <v>249</v>
      </c>
      <c r="J9" s="181">
        <v>24</v>
      </c>
      <c r="K9" s="177" t="s">
        <v>252</v>
      </c>
    </row>
    <row r="10" spans="1:11" ht="16" x14ac:dyDescent="0.15">
      <c r="A10" s="147"/>
      <c r="B10" s="170"/>
      <c r="C10" s="158"/>
      <c r="D10" s="144"/>
      <c r="E10" s="150"/>
      <c r="F10" s="171"/>
      <c r="G10" s="145"/>
      <c r="H10" s="146"/>
      <c r="I10" s="148"/>
      <c r="J10" s="172"/>
      <c r="K10" s="173" t="s">
        <v>253</v>
      </c>
    </row>
    <row r="11" spans="1:11" ht="16" x14ac:dyDescent="0.15">
      <c r="A11" s="147"/>
      <c r="B11" s="170"/>
      <c r="C11" s="158"/>
      <c r="D11" s="144"/>
      <c r="E11" s="150"/>
      <c r="F11" s="174"/>
      <c r="G11" s="145"/>
      <c r="H11" s="146"/>
      <c r="I11" s="153"/>
      <c r="J11" s="176"/>
      <c r="K11" s="177"/>
    </row>
    <row r="12" spans="1:11" ht="16" x14ac:dyDescent="0.15">
      <c r="A12" s="147"/>
      <c r="B12" s="148"/>
      <c r="C12" s="175"/>
      <c r="D12" s="144"/>
      <c r="E12" s="159"/>
      <c r="F12" s="169"/>
      <c r="G12" s="145"/>
      <c r="H12" s="146"/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0</v>
      </c>
      <c r="G22" s="126" t="e">
        <f>SUM(G9:G21)/F22</f>
        <v>#DIV/0!</v>
      </c>
      <c r="H22" s="127" t="e">
        <f>SUM(H9:H21)/F22</f>
        <v>#DIV/0!</v>
      </c>
      <c r="I22" s="128" t="s">
        <v>19</v>
      </c>
      <c r="J22" s="129">
        <v>24</v>
      </c>
      <c r="K22" s="122"/>
    </row>
    <row r="23" spans="1:11" x14ac:dyDescent="0.15">
      <c r="E23" s="130"/>
      <c r="F23" s="131"/>
      <c r="I23" s="132" t="s">
        <v>20</v>
      </c>
      <c r="J23" s="133">
        <v>24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0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640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129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B6A28F52-3A56-42CC-97D6-BBCEBA03C639}">
      <formula1>$K$29:$K$85</formula1>
    </dataValidation>
    <dataValidation type="list" allowBlank="1" showInputMessage="1" showErrorMessage="1" sqref="B20:B21" xr:uid="{DB0DA5B1-8E8A-40CB-8C7F-A6543840D9C7}">
      <formula1>$K$29:$K$40</formula1>
    </dataValidation>
    <dataValidation type="list" allowBlank="1" showInputMessage="1" showErrorMessage="1" sqref="I50 K15:K21" xr:uid="{048865D5-1F56-464B-ACC2-DAEAAF66B0A7}">
      <formula1>$I$41:$I$50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0694-A946-42F8-BCDE-1DFF859E3A9B}">
  <dimension ref="A1:K85"/>
  <sheetViews>
    <sheetView workbookViewId="0">
      <selection activeCell="J4" sqref="J4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281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225</v>
      </c>
      <c r="C9" s="168">
        <v>16</v>
      </c>
      <c r="D9" s="144">
        <v>2.85</v>
      </c>
      <c r="E9" s="159">
        <v>800</v>
      </c>
      <c r="F9" s="169">
        <v>22.6</v>
      </c>
      <c r="G9" s="145">
        <f>E9*F9</f>
        <v>18080</v>
      </c>
      <c r="H9" s="146">
        <f>F9*C9</f>
        <v>361.6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225</v>
      </c>
      <c r="C10" s="158">
        <v>17</v>
      </c>
      <c r="D10" s="144">
        <v>2.85</v>
      </c>
      <c r="E10" s="150">
        <v>867</v>
      </c>
      <c r="F10" s="171">
        <v>20</v>
      </c>
      <c r="G10" s="145">
        <f t="shared" ref="G10:G11" si="0">E10*F10</f>
        <v>17340</v>
      </c>
      <c r="H10" s="146">
        <f t="shared" ref="H10:H11" si="1">F10*C10</f>
        <v>340</v>
      </c>
      <c r="I10" s="148" t="s">
        <v>27</v>
      </c>
      <c r="J10" s="172">
        <v>2.0833333333333332E-2</v>
      </c>
      <c r="K10" s="173" t="s">
        <v>211</v>
      </c>
    </row>
    <row r="11" spans="1:11" ht="17" x14ac:dyDescent="0.15">
      <c r="A11" s="147">
        <v>3</v>
      </c>
      <c r="B11" s="170" t="s">
        <v>225</v>
      </c>
      <c r="C11" s="158">
        <v>18</v>
      </c>
      <c r="D11" s="144">
        <v>2.85</v>
      </c>
      <c r="E11" s="150">
        <v>867</v>
      </c>
      <c r="F11" s="174">
        <v>6.4</v>
      </c>
      <c r="G11" s="145">
        <f t="shared" si="0"/>
        <v>5548.8</v>
      </c>
      <c r="H11" s="146">
        <f t="shared" si="1"/>
        <v>115.2</v>
      </c>
      <c r="I11" s="153" t="s">
        <v>224</v>
      </c>
      <c r="J11" s="176">
        <v>6.9444444444444441E-3</v>
      </c>
      <c r="K11" s="177" t="s">
        <v>224</v>
      </c>
    </row>
    <row r="12" spans="1:11" ht="16" x14ac:dyDescent="0.15">
      <c r="A12" s="147"/>
      <c r="B12" s="148"/>
      <c r="C12" s="175"/>
      <c r="D12" s="144"/>
      <c r="E12" s="159"/>
      <c r="F12" s="169"/>
      <c r="G12" s="145"/>
      <c r="H12" s="146"/>
      <c r="I12" s="153" t="s">
        <v>249</v>
      </c>
      <c r="J12" s="176">
        <v>4.1666666666666664E-2</v>
      </c>
      <c r="K12" s="177" t="s">
        <v>255</v>
      </c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 t="s">
        <v>207</v>
      </c>
      <c r="J13" s="176">
        <v>4.1666666666666664E-2</v>
      </c>
      <c r="K13" s="177" t="s">
        <v>256</v>
      </c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49</v>
      </c>
      <c r="G22" s="126">
        <f>SUM(G9:G21)/F22</f>
        <v>836.09795918367354</v>
      </c>
      <c r="H22" s="127">
        <f>SUM(H9:H21)/F22</f>
        <v>16.669387755102044</v>
      </c>
      <c r="I22" s="128" t="s">
        <v>19</v>
      </c>
      <c r="J22" s="129">
        <v>3.1</v>
      </c>
      <c r="K22" s="122"/>
    </row>
    <row r="23" spans="1:11" x14ac:dyDescent="0.15">
      <c r="E23" s="130"/>
      <c r="F23" s="131"/>
      <c r="I23" s="132" t="s">
        <v>20</v>
      </c>
      <c r="J23" s="133">
        <v>3.17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49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689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132.16999999999999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525FEF8B-B0FE-4681-88DA-B54A45B45F17}">
      <formula1>$K$29:$K$85</formula1>
    </dataValidation>
    <dataValidation type="list" allowBlank="1" showInputMessage="1" showErrorMessage="1" sqref="B20:B21" xr:uid="{963057E4-7F63-46CB-9528-4DD129D4D5A4}">
      <formula1>$K$29:$K$40</formula1>
    </dataValidation>
    <dataValidation type="list" allowBlank="1" showInputMessage="1" showErrorMessage="1" sqref="I50 K15:K21" xr:uid="{6B5F2238-E60B-467F-864C-779171555272}">
      <formula1>$I$41:$I$50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89F4-CAA2-4CAB-B2E7-DA20527DDB4F}">
  <dimension ref="A1:K85"/>
  <sheetViews>
    <sheetView workbookViewId="0">
      <selection activeCell="J4" sqref="J4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282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225</v>
      </c>
      <c r="C9" s="168">
        <v>16</v>
      </c>
      <c r="D9" s="144">
        <v>2.85</v>
      </c>
      <c r="E9" s="159">
        <v>875</v>
      </c>
      <c r="F9" s="169">
        <v>4.2</v>
      </c>
      <c r="G9" s="145">
        <f>E9*F9</f>
        <v>3675</v>
      </c>
      <c r="H9" s="146">
        <f>F9*C9</f>
        <v>67.2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225</v>
      </c>
      <c r="C10" s="158">
        <v>14</v>
      </c>
      <c r="D10" s="144">
        <v>2.85</v>
      </c>
      <c r="E10" s="150">
        <v>1000</v>
      </c>
      <c r="F10" s="171">
        <v>11.7</v>
      </c>
      <c r="G10" s="145">
        <f t="shared" ref="G10:G11" si="0">E10*F10</f>
        <v>11700</v>
      </c>
      <c r="H10" s="146">
        <f t="shared" ref="H10:H11" si="1">F10*C10</f>
        <v>163.79999999999998</v>
      </c>
      <c r="I10" s="148" t="s">
        <v>27</v>
      </c>
      <c r="J10" s="172">
        <v>2.0833333333333332E-2</v>
      </c>
      <c r="K10" s="173" t="s">
        <v>211</v>
      </c>
    </row>
    <row r="11" spans="1:11" ht="17" x14ac:dyDescent="0.15">
      <c r="A11" s="147">
        <v>3</v>
      </c>
      <c r="B11" s="170" t="s">
        <v>225</v>
      </c>
      <c r="C11" s="158">
        <v>16.5</v>
      </c>
      <c r="D11" s="144">
        <v>2.85</v>
      </c>
      <c r="E11" s="150">
        <v>1080</v>
      </c>
      <c r="F11" s="174">
        <v>41.1</v>
      </c>
      <c r="G11" s="145">
        <f t="shared" si="0"/>
        <v>44388</v>
      </c>
      <c r="H11" s="146">
        <f t="shared" si="1"/>
        <v>678.15</v>
      </c>
      <c r="I11" s="153" t="s">
        <v>224</v>
      </c>
      <c r="J11" s="176">
        <v>1.3888888888888888E-2</v>
      </c>
      <c r="K11" s="177" t="s">
        <v>224</v>
      </c>
    </row>
    <row r="12" spans="1:11" ht="16" x14ac:dyDescent="0.15">
      <c r="A12" s="147"/>
      <c r="B12" s="148"/>
      <c r="C12" s="175"/>
      <c r="D12" s="144"/>
      <c r="E12" s="159"/>
      <c r="F12" s="169"/>
      <c r="G12" s="145"/>
      <c r="H12" s="146"/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57</v>
      </c>
      <c r="G22" s="126">
        <f>SUM(G9:G21)/F22</f>
        <v>1048.4736842105262</v>
      </c>
      <c r="H22" s="127">
        <f>SUM(H9:H21)/F22</f>
        <v>15.95</v>
      </c>
      <c r="I22" s="128" t="s">
        <v>19</v>
      </c>
      <c r="J22" s="129">
        <v>1.2</v>
      </c>
      <c r="K22" s="122"/>
    </row>
    <row r="23" spans="1:11" x14ac:dyDescent="0.15">
      <c r="E23" s="130"/>
      <c r="F23" s="131"/>
      <c r="I23" s="132" t="s">
        <v>20</v>
      </c>
      <c r="J23" s="133">
        <v>1.33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57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746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133.5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B92735B2-649F-464B-8E2F-2455FD0A48B4}">
      <formula1>$I$41:$I$50</formula1>
    </dataValidation>
    <dataValidation type="list" allowBlank="1" showInputMessage="1" showErrorMessage="1" sqref="B20:B21" xr:uid="{9F2A7190-C908-4F52-AE1D-1952215F2FBE}">
      <formula1>$K$29:$K$40</formula1>
    </dataValidation>
    <dataValidation type="list" allowBlank="1" showInputMessage="1" showErrorMessage="1" sqref="B16:B19" xr:uid="{B8002810-461A-48DD-B996-86EC2191EA46}">
      <formula1>$K$29:$K$85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1D89-CFBD-4D04-A83E-B330203AB494}">
  <dimension ref="A1:K85"/>
  <sheetViews>
    <sheetView workbookViewId="0">
      <selection activeCell="J4" sqref="J4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283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14</v>
      </c>
      <c r="D9" s="144">
        <v>2.85</v>
      </c>
      <c r="E9" s="159">
        <v>1093</v>
      </c>
      <c r="F9" s="169">
        <v>2.5</v>
      </c>
      <c r="G9" s="145">
        <f>E9*F9</f>
        <v>2732.5</v>
      </c>
      <c r="H9" s="146">
        <f>F9*C9</f>
        <v>35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15</v>
      </c>
      <c r="D10" s="144">
        <v>2.85</v>
      </c>
      <c r="E10" s="150">
        <v>1186</v>
      </c>
      <c r="F10" s="171">
        <v>7.3</v>
      </c>
      <c r="G10" s="145">
        <f t="shared" ref="G10:G13" si="0">E10*F10</f>
        <v>8657.7999999999993</v>
      </c>
      <c r="H10" s="146">
        <f t="shared" ref="H10:H13" si="1">F10*C10</f>
        <v>109.5</v>
      </c>
      <c r="I10" s="148" t="s">
        <v>27</v>
      </c>
      <c r="J10" s="172">
        <v>3.4722222222222224E-2</v>
      </c>
      <c r="K10" s="173" t="s">
        <v>211</v>
      </c>
    </row>
    <row r="11" spans="1:11" ht="17" x14ac:dyDescent="0.15">
      <c r="A11" s="147">
        <v>3</v>
      </c>
      <c r="B11" s="170" t="s">
        <v>208</v>
      </c>
      <c r="C11" s="158">
        <v>16</v>
      </c>
      <c r="D11" s="144">
        <v>2.85</v>
      </c>
      <c r="E11" s="150">
        <v>1120</v>
      </c>
      <c r="F11" s="174">
        <v>7.2</v>
      </c>
      <c r="G11" s="145">
        <f t="shared" si="0"/>
        <v>8064</v>
      </c>
      <c r="H11" s="146">
        <f t="shared" si="1"/>
        <v>115.2</v>
      </c>
      <c r="I11" s="153"/>
      <c r="J11" s="176"/>
      <c r="K11" s="177"/>
    </row>
    <row r="12" spans="1:11" ht="16" x14ac:dyDescent="0.15">
      <c r="A12" s="147">
        <v>4</v>
      </c>
      <c r="B12" s="148" t="s">
        <v>208</v>
      </c>
      <c r="C12" s="175">
        <v>17</v>
      </c>
      <c r="D12" s="144">
        <v>2.85</v>
      </c>
      <c r="E12" s="159">
        <v>1226</v>
      </c>
      <c r="F12" s="169">
        <v>31.3</v>
      </c>
      <c r="G12" s="145">
        <f>E12*F12</f>
        <v>38373.800000000003</v>
      </c>
      <c r="H12" s="146">
        <f>F12*C12</f>
        <v>532.1</v>
      </c>
      <c r="I12" s="153"/>
      <c r="J12" s="176"/>
      <c r="K12" s="177"/>
    </row>
    <row r="13" spans="1:11" ht="16" x14ac:dyDescent="0.15">
      <c r="A13" s="147">
        <v>5</v>
      </c>
      <c r="B13" s="148" t="s">
        <v>236</v>
      </c>
      <c r="C13" s="149">
        <v>19</v>
      </c>
      <c r="D13" s="144">
        <v>2.85</v>
      </c>
      <c r="E13" s="150">
        <v>1264</v>
      </c>
      <c r="F13" s="151">
        <v>28.7</v>
      </c>
      <c r="G13" s="145">
        <f t="shared" si="0"/>
        <v>36276.799999999996</v>
      </c>
      <c r="H13" s="146">
        <f t="shared" si="1"/>
        <v>545.29999999999995</v>
      </c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77</v>
      </c>
      <c r="G22" s="126">
        <f>SUM(G9:G21)/F22</f>
        <v>1222.1415584415583</v>
      </c>
      <c r="H22" s="127">
        <f>SUM(H9:H21)/F22</f>
        <v>17.364935064935064</v>
      </c>
      <c r="I22" s="128" t="s">
        <v>19</v>
      </c>
      <c r="J22" s="129">
        <v>1.2</v>
      </c>
      <c r="K22" s="122"/>
    </row>
    <row r="23" spans="1:11" x14ac:dyDescent="0.15">
      <c r="E23" s="130"/>
      <c r="F23" s="131"/>
      <c r="I23" s="132" t="s">
        <v>20</v>
      </c>
      <c r="J23" s="133">
        <v>1.33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77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823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134.83000000000001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BA99CD15-0F30-48FA-9B00-02D18CE9C139}">
      <formula1>$K$29:$K$85</formula1>
    </dataValidation>
    <dataValidation type="list" allowBlank="1" showInputMessage="1" showErrorMessage="1" sqref="B20:B21" xr:uid="{8D5FF1BF-67FC-4F3F-8352-56B6C49CD351}">
      <formula1>$K$29:$K$40</formula1>
    </dataValidation>
    <dataValidation type="list" allowBlank="1" showInputMessage="1" showErrorMessage="1" sqref="I50 K15:K21" xr:uid="{1044C227-5806-47BB-9CF5-D018F35BA616}">
      <formula1>$I$41:$I$50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773D-FB0F-40B8-B4BC-5AD14F1CC85B}">
  <dimension ref="A1:K85"/>
  <sheetViews>
    <sheetView workbookViewId="0">
      <selection activeCell="J4" sqref="J4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284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14</v>
      </c>
      <c r="D9" s="144">
        <v>2.85</v>
      </c>
      <c r="E9" s="159">
        <v>1280</v>
      </c>
      <c r="F9" s="169">
        <v>18.7</v>
      </c>
      <c r="G9" s="145">
        <f>E9*F9</f>
        <v>23936</v>
      </c>
      <c r="H9" s="146">
        <f>F9*C9</f>
        <v>261.8</v>
      </c>
      <c r="I9" s="148" t="s">
        <v>204</v>
      </c>
      <c r="J9" s="172">
        <v>1.3888888888888888E-2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15</v>
      </c>
      <c r="D10" s="144">
        <v>2.85</v>
      </c>
      <c r="E10" s="150">
        <v>1264</v>
      </c>
      <c r="F10" s="171">
        <v>9.6999999999999993</v>
      </c>
      <c r="G10" s="145">
        <f t="shared" ref="G10:G11" si="0">E10*F10</f>
        <v>12260.8</v>
      </c>
      <c r="H10" s="146">
        <f t="shared" ref="H10:H11" si="1">F10*C10</f>
        <v>145.5</v>
      </c>
      <c r="I10" s="148" t="s">
        <v>27</v>
      </c>
      <c r="J10" s="172">
        <v>1.3888888888888888E-2</v>
      </c>
      <c r="K10" s="173" t="s">
        <v>211</v>
      </c>
    </row>
    <row r="11" spans="1:11" ht="17" x14ac:dyDescent="0.15">
      <c r="A11" s="147">
        <v>3</v>
      </c>
      <c r="B11" s="170" t="s">
        <v>223</v>
      </c>
      <c r="C11" s="158">
        <v>12.5</v>
      </c>
      <c r="D11" s="144">
        <v>2.85</v>
      </c>
      <c r="E11" s="150">
        <v>1343</v>
      </c>
      <c r="F11" s="174">
        <v>14.6</v>
      </c>
      <c r="G11" s="145">
        <f t="shared" si="0"/>
        <v>19607.8</v>
      </c>
      <c r="H11" s="146">
        <f t="shared" si="1"/>
        <v>182.5</v>
      </c>
      <c r="I11" s="153" t="s">
        <v>224</v>
      </c>
      <c r="J11" s="176">
        <v>6.9444444444444441E-3</v>
      </c>
      <c r="K11" s="177" t="s">
        <v>224</v>
      </c>
    </row>
    <row r="12" spans="1:11" ht="16" x14ac:dyDescent="0.15">
      <c r="A12" s="147">
        <v>4</v>
      </c>
      <c r="B12" s="148" t="s">
        <v>236</v>
      </c>
      <c r="C12" s="175">
        <v>19</v>
      </c>
      <c r="D12" s="144">
        <v>2.85</v>
      </c>
      <c r="E12" s="159">
        <v>1264</v>
      </c>
      <c r="F12" s="169">
        <v>4</v>
      </c>
      <c r="G12" s="145">
        <f>E12*F12</f>
        <v>5056</v>
      </c>
      <c r="H12" s="146">
        <f>F12*C12</f>
        <v>76</v>
      </c>
      <c r="I12" s="153" t="s">
        <v>220</v>
      </c>
      <c r="J12" s="176">
        <v>0.3125</v>
      </c>
      <c r="K12" s="177" t="s">
        <v>258</v>
      </c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47</v>
      </c>
      <c r="G22" s="126">
        <f>SUM(G9:G21)/F22</f>
        <v>1294.9063829787235</v>
      </c>
      <c r="H22" s="127">
        <f>SUM(H9:H21)/F22</f>
        <v>14.165957446808509</v>
      </c>
      <c r="I22" s="128" t="s">
        <v>19</v>
      </c>
      <c r="J22" s="129">
        <v>8.1999999999999993</v>
      </c>
      <c r="K22" s="122"/>
    </row>
    <row r="23" spans="1:11" x14ac:dyDescent="0.15">
      <c r="E23" s="130"/>
      <c r="F23" s="131"/>
      <c r="I23" s="132" t="s">
        <v>20</v>
      </c>
      <c r="J23" s="133">
        <v>8.33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47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870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143.16999999999999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B89785F5-DD6C-4BB1-99A6-5B921A1FC883}">
      <formula1>$I$41:$I$50</formula1>
    </dataValidation>
    <dataValidation type="list" allowBlank="1" showInputMessage="1" showErrorMessage="1" sqref="B20:B21" xr:uid="{E99D7B22-8C69-48AB-BF38-AAB71A4945C1}">
      <formula1>$K$29:$K$40</formula1>
    </dataValidation>
    <dataValidation type="list" allowBlank="1" showInputMessage="1" showErrorMessage="1" sqref="B16:B19" xr:uid="{FA80722C-274A-4A02-B460-A87CCB848748}">
      <formula1>$K$29:$K$85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288E-7DD9-434F-AB9B-249160DCCD45}">
  <dimension ref="A1:K85"/>
  <sheetViews>
    <sheetView workbookViewId="0">
      <selection activeCell="J4" sqref="J4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285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14</v>
      </c>
      <c r="D9" s="144">
        <v>2.85</v>
      </c>
      <c r="E9" s="159">
        <v>1351</v>
      </c>
      <c r="F9" s="169">
        <v>28.8</v>
      </c>
      <c r="G9" s="145">
        <f>E9*F9</f>
        <v>38908.800000000003</v>
      </c>
      <c r="H9" s="146">
        <f>F9*C9</f>
        <v>403.2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236</v>
      </c>
      <c r="C10" s="158">
        <v>17</v>
      </c>
      <c r="D10" s="144">
        <v>2.85</v>
      </c>
      <c r="E10" s="150">
        <v>1311</v>
      </c>
      <c r="F10" s="171">
        <v>18.7</v>
      </c>
      <c r="G10" s="145">
        <f t="shared" ref="G10:G11" si="0">E10*F10</f>
        <v>24515.7</v>
      </c>
      <c r="H10" s="146">
        <f t="shared" ref="H10:H11" si="1">F10*C10</f>
        <v>317.89999999999998</v>
      </c>
      <c r="I10" s="148" t="s">
        <v>27</v>
      </c>
      <c r="J10" s="172">
        <v>3.4722222222222224E-2</v>
      </c>
      <c r="K10" s="173" t="s">
        <v>211</v>
      </c>
    </row>
    <row r="11" spans="1:11" ht="17" x14ac:dyDescent="0.15">
      <c r="A11" s="147">
        <v>3</v>
      </c>
      <c r="B11" s="170" t="s">
        <v>223</v>
      </c>
      <c r="C11" s="158">
        <v>13.5</v>
      </c>
      <c r="D11" s="144">
        <v>2.85</v>
      </c>
      <c r="E11" s="150">
        <v>1361</v>
      </c>
      <c r="F11" s="174">
        <v>7.8</v>
      </c>
      <c r="G11" s="145">
        <f t="shared" si="0"/>
        <v>10615.8</v>
      </c>
      <c r="H11" s="146">
        <f t="shared" si="1"/>
        <v>105.3</v>
      </c>
      <c r="I11" s="153" t="s">
        <v>264</v>
      </c>
      <c r="J11" s="176">
        <v>6.9444444444444441E-3</v>
      </c>
      <c r="K11" s="177" t="s">
        <v>265</v>
      </c>
    </row>
    <row r="12" spans="1:11" ht="16" x14ac:dyDescent="0.15">
      <c r="A12" s="147">
        <v>4</v>
      </c>
      <c r="B12" s="148" t="s">
        <v>223</v>
      </c>
      <c r="C12" s="175">
        <v>12.5</v>
      </c>
      <c r="D12" s="144">
        <v>2.85</v>
      </c>
      <c r="E12" s="159">
        <v>1361</v>
      </c>
      <c r="F12" s="169">
        <v>21.7</v>
      </c>
      <c r="G12" s="145">
        <f>E12*F12</f>
        <v>29533.7</v>
      </c>
      <c r="H12" s="146">
        <f>F12*C12</f>
        <v>271.25</v>
      </c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77</v>
      </c>
      <c r="G22" s="126">
        <f>SUM(G9:G21)/F22</f>
        <v>1345.1168831168832</v>
      </c>
      <c r="H22" s="127">
        <f>SUM(H9:H21)/F22</f>
        <v>14.255194805194803</v>
      </c>
      <c r="I22" s="128" t="s">
        <v>19</v>
      </c>
      <c r="J22" s="129">
        <v>1.3</v>
      </c>
      <c r="K22" s="122"/>
    </row>
    <row r="23" spans="1:11" x14ac:dyDescent="0.15">
      <c r="E23" s="130"/>
      <c r="F23" s="131"/>
      <c r="I23" s="132" t="s">
        <v>20</v>
      </c>
      <c r="J23" s="133">
        <v>1.5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77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947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144.66999999999999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80D7C4DE-4B0C-4AB7-BA7C-B37DBFC5A1CE}">
      <formula1>$K$29:$K$85</formula1>
    </dataValidation>
    <dataValidation type="list" allowBlank="1" showInputMessage="1" showErrorMessage="1" sqref="B20:B21" xr:uid="{BBE30955-718D-45F5-B364-D503614A3B8F}">
      <formula1>$K$29:$K$40</formula1>
    </dataValidation>
    <dataValidation type="list" allowBlank="1" showInputMessage="1" showErrorMessage="1" sqref="I50 K15:K21" xr:uid="{3C3DD9B6-140E-4C2C-801E-F6F70AC15995}">
      <formula1>$I$41:$I$50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2EE0-BA51-4719-9840-36D32D5D4FF5}">
  <dimension ref="A1:K85"/>
  <sheetViews>
    <sheetView workbookViewId="0">
      <selection activeCell="J4" sqref="J4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286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208</v>
      </c>
      <c r="C9" s="168">
        <v>14</v>
      </c>
      <c r="D9" s="144">
        <v>2.85</v>
      </c>
      <c r="E9" s="159">
        <v>1359</v>
      </c>
      <c r="F9" s="169">
        <v>8.8000000000000007</v>
      </c>
      <c r="G9" s="145">
        <f>E9*F9</f>
        <v>11959.2</v>
      </c>
      <c r="H9" s="146">
        <f>F9*C9</f>
        <v>123.20000000000002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15</v>
      </c>
      <c r="D10" s="144">
        <v>2.85</v>
      </c>
      <c r="E10" s="150">
        <v>1334</v>
      </c>
      <c r="F10" s="171">
        <v>18.100000000000001</v>
      </c>
      <c r="G10" s="145">
        <f t="shared" ref="G10:G11" si="0">E10*F10</f>
        <v>24145.4</v>
      </c>
      <c r="H10" s="146">
        <f t="shared" ref="H10:H11" si="1">F10*C10</f>
        <v>271.5</v>
      </c>
      <c r="I10" s="148" t="s">
        <v>27</v>
      </c>
      <c r="J10" s="172">
        <v>3.4722222222222224E-2</v>
      </c>
      <c r="K10" s="173" t="s">
        <v>211</v>
      </c>
    </row>
    <row r="11" spans="1:11" ht="17" x14ac:dyDescent="0.15">
      <c r="A11" s="147">
        <v>3</v>
      </c>
      <c r="B11" s="170" t="s">
        <v>208</v>
      </c>
      <c r="C11" s="158">
        <v>16</v>
      </c>
      <c r="D11" s="144">
        <v>2.85</v>
      </c>
      <c r="E11" s="150">
        <v>1343</v>
      </c>
      <c r="F11" s="174">
        <v>15.3</v>
      </c>
      <c r="G11" s="145">
        <f t="shared" si="0"/>
        <v>20547.900000000001</v>
      </c>
      <c r="H11" s="146">
        <f t="shared" si="1"/>
        <v>244.8</v>
      </c>
      <c r="I11" s="153"/>
      <c r="J11" s="176"/>
      <c r="K11" s="177"/>
    </row>
    <row r="12" spans="1:11" ht="16" x14ac:dyDescent="0.15">
      <c r="A12" s="147">
        <v>4</v>
      </c>
      <c r="B12" s="148" t="s">
        <v>208</v>
      </c>
      <c r="C12" s="175">
        <v>16.5</v>
      </c>
      <c r="D12" s="144">
        <v>2.85</v>
      </c>
      <c r="E12" s="159">
        <v>1100</v>
      </c>
      <c r="F12" s="169">
        <v>14.4</v>
      </c>
      <c r="G12" s="145">
        <f>E12*F12</f>
        <v>15840</v>
      </c>
      <c r="H12" s="146">
        <f>F12*C12</f>
        <v>237.6</v>
      </c>
      <c r="I12" s="153"/>
      <c r="J12" s="176"/>
      <c r="K12" s="177"/>
    </row>
    <row r="13" spans="1:11" ht="16" x14ac:dyDescent="0.15">
      <c r="A13" s="147">
        <v>5</v>
      </c>
      <c r="B13" s="148" t="s">
        <v>208</v>
      </c>
      <c r="C13" s="149">
        <v>17</v>
      </c>
      <c r="D13" s="144">
        <v>2.85</v>
      </c>
      <c r="E13" s="150">
        <v>1256</v>
      </c>
      <c r="F13" s="151">
        <v>11</v>
      </c>
      <c r="G13" s="145">
        <f>E13*F13</f>
        <v>13816</v>
      </c>
      <c r="H13" s="146">
        <f>F13*C13</f>
        <v>187</v>
      </c>
      <c r="I13" s="153"/>
      <c r="J13" s="176"/>
      <c r="K13" s="177"/>
    </row>
    <row r="14" spans="1:11" ht="16" x14ac:dyDescent="0.15">
      <c r="A14" s="152">
        <v>6</v>
      </c>
      <c r="B14" s="153" t="s">
        <v>223</v>
      </c>
      <c r="C14" s="154">
        <v>12.5</v>
      </c>
      <c r="D14" s="144">
        <v>2.85</v>
      </c>
      <c r="E14" s="150">
        <v>1359</v>
      </c>
      <c r="F14" s="155">
        <v>8.5</v>
      </c>
      <c r="G14" s="145">
        <f t="shared" ref="G14:G15" si="2">E14*F14</f>
        <v>11551.5</v>
      </c>
      <c r="H14" s="146">
        <f t="shared" ref="H14:H15" si="3">F14*C14</f>
        <v>106.25</v>
      </c>
      <c r="I14" s="153"/>
      <c r="J14" s="179"/>
      <c r="K14" s="177"/>
    </row>
    <row r="15" spans="1:11" ht="16" x14ac:dyDescent="0.2">
      <c r="A15" s="156">
        <v>7</v>
      </c>
      <c r="B15" s="157" t="s">
        <v>236</v>
      </c>
      <c r="C15" s="158">
        <v>19</v>
      </c>
      <c r="D15" s="144">
        <v>2.85</v>
      </c>
      <c r="E15" s="159">
        <v>1209</v>
      </c>
      <c r="F15" s="158">
        <v>1.9</v>
      </c>
      <c r="G15" s="145">
        <f t="shared" si="2"/>
        <v>2297.1</v>
      </c>
      <c r="H15" s="146">
        <f t="shared" si="3"/>
        <v>36.1</v>
      </c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78</v>
      </c>
      <c r="G22" s="126">
        <f>SUM(G9:G21)/F22</f>
        <v>1284.0653846153848</v>
      </c>
      <c r="H22" s="127">
        <f>SUM(H9:H21)/F22</f>
        <v>15.46730769230769</v>
      </c>
      <c r="I22" s="128" t="s">
        <v>19</v>
      </c>
      <c r="J22" s="129">
        <v>1.2</v>
      </c>
      <c r="K22" s="122"/>
    </row>
    <row r="23" spans="1:11" x14ac:dyDescent="0.15">
      <c r="E23" s="130"/>
      <c r="F23" s="131"/>
      <c r="I23" s="132" t="s">
        <v>20</v>
      </c>
      <c r="J23" s="133">
        <v>1.33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78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1025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146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3D3383E8-FAA0-4E19-8A3D-3ACEF045180D}">
      <formula1>$I$41:$I$50</formula1>
    </dataValidation>
    <dataValidation type="list" allowBlank="1" showInputMessage="1" showErrorMessage="1" sqref="B20:B21" xr:uid="{C967A3E7-DD7A-4352-9C91-20730B01D2C7}">
      <formula1>$K$29:$K$40</formula1>
    </dataValidation>
    <dataValidation type="list" allowBlank="1" showInputMessage="1" showErrorMessage="1" sqref="B16:B19" xr:uid="{35173B00-0644-40ED-9426-A22DCF27E754}">
      <formula1>$K$29:$K$85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AA0B-7544-4A80-8139-EC30EE7E0303}">
  <dimension ref="A1:K85"/>
  <sheetViews>
    <sheetView workbookViewId="0">
      <selection activeCell="G12" sqref="G12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287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236</v>
      </c>
      <c r="C9" s="168">
        <v>19</v>
      </c>
      <c r="D9" s="144">
        <v>2.85</v>
      </c>
      <c r="E9" s="159">
        <v>1406</v>
      </c>
      <c r="F9" s="169">
        <v>105</v>
      </c>
      <c r="G9" s="145">
        <f>E9*F9</f>
        <v>147630</v>
      </c>
      <c r="H9" s="146">
        <f>F9*C9</f>
        <v>1995</v>
      </c>
      <c r="I9" s="148" t="s">
        <v>204</v>
      </c>
      <c r="J9" s="172">
        <v>2.0833333333333332E-2</v>
      </c>
      <c r="K9" s="173" t="s">
        <v>215</v>
      </c>
    </row>
    <row r="10" spans="1:11" ht="16" x14ac:dyDescent="0.15">
      <c r="A10" s="147"/>
      <c r="B10" s="170"/>
      <c r="C10" s="158"/>
      <c r="D10" s="144"/>
      <c r="E10" s="150"/>
      <c r="F10" s="171"/>
      <c r="G10" s="145"/>
      <c r="H10" s="146"/>
      <c r="I10" s="148"/>
      <c r="J10" s="172"/>
      <c r="K10" s="173"/>
    </row>
    <row r="11" spans="1:11" ht="16" x14ac:dyDescent="0.15">
      <c r="A11" s="147"/>
      <c r="B11" s="170"/>
      <c r="C11" s="158"/>
      <c r="D11" s="144"/>
      <c r="E11" s="150"/>
      <c r="F11" s="174"/>
      <c r="G11" s="145"/>
      <c r="H11" s="146"/>
      <c r="I11" s="153"/>
      <c r="J11" s="176"/>
      <c r="K11" s="177"/>
    </row>
    <row r="12" spans="1:11" ht="16" x14ac:dyDescent="0.15">
      <c r="A12" s="147"/>
      <c r="B12" s="148"/>
      <c r="C12" s="175"/>
      <c r="D12" s="144"/>
      <c r="E12" s="159"/>
      <c r="F12" s="169"/>
      <c r="G12" s="145"/>
      <c r="H12" s="146"/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105</v>
      </c>
      <c r="G22" s="126">
        <f>SUM(G9:G21)/F22</f>
        <v>1406</v>
      </c>
      <c r="H22" s="127">
        <f>SUM(H9:H21)/F22</f>
        <v>19</v>
      </c>
      <c r="I22" s="128" t="s">
        <v>19</v>
      </c>
      <c r="J22" s="129">
        <v>0.3</v>
      </c>
      <c r="K22" s="122"/>
    </row>
    <row r="23" spans="1:11" x14ac:dyDescent="0.15">
      <c r="E23" s="130"/>
      <c r="F23" s="131"/>
      <c r="I23" s="132" t="s">
        <v>20</v>
      </c>
      <c r="J23" s="133">
        <v>0.5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105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1130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146.5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3C0E5104-35A2-4340-B3DF-8DD5DE405A06}">
      <formula1>$K$29:$K$85</formula1>
    </dataValidation>
    <dataValidation type="list" allowBlank="1" showInputMessage="1" showErrorMessage="1" sqref="B20:B21" xr:uid="{C59C3048-4BDE-49BD-8AEE-831884D7AAB0}">
      <formula1>$K$29:$K$40</formula1>
    </dataValidation>
    <dataValidation type="list" allowBlank="1" showInputMessage="1" showErrorMessage="1" sqref="I50 K15:K21" xr:uid="{5FA63911-C7E4-4F7B-A206-BD631DD12599}">
      <formula1>$I$41:$I$50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BC26-6DF0-4AD7-8204-E6AA4CEC6914}">
  <dimension ref="A1:K85"/>
  <sheetViews>
    <sheetView workbookViewId="0">
      <selection activeCell="J4" sqref="J4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295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236</v>
      </c>
      <c r="C9" s="168">
        <v>19</v>
      </c>
      <c r="D9" s="144">
        <v>2.85</v>
      </c>
      <c r="E9" s="159">
        <v>1406</v>
      </c>
      <c r="F9" s="169">
        <v>51.8</v>
      </c>
      <c r="G9" s="145">
        <f>E9*F9</f>
        <v>72830.8</v>
      </c>
      <c r="H9" s="146">
        <f>F9*C9</f>
        <v>984.19999999999993</v>
      </c>
      <c r="I9" s="148" t="s">
        <v>204</v>
      </c>
      <c r="J9" s="172">
        <v>2.7777777777777776E-2</v>
      </c>
      <c r="K9" s="173" t="s">
        <v>215</v>
      </c>
    </row>
    <row r="10" spans="1:11" ht="17" x14ac:dyDescent="0.15">
      <c r="A10" s="147">
        <v>2</v>
      </c>
      <c r="B10" s="170" t="s">
        <v>218</v>
      </c>
      <c r="C10" s="158">
        <v>22</v>
      </c>
      <c r="D10" s="144">
        <v>2.85</v>
      </c>
      <c r="E10" s="150">
        <v>1175</v>
      </c>
      <c r="F10" s="171">
        <v>11</v>
      </c>
      <c r="G10" s="145">
        <f t="shared" ref="G10:G11" si="0">E10*F10</f>
        <v>12925</v>
      </c>
      <c r="H10" s="146">
        <f t="shared" ref="H10:H11" si="1">F10*C10</f>
        <v>242</v>
      </c>
      <c r="I10" s="148" t="s">
        <v>27</v>
      </c>
      <c r="J10" s="172">
        <v>4.8611111111111112E-2</v>
      </c>
      <c r="K10" s="173" t="s">
        <v>27</v>
      </c>
    </row>
    <row r="11" spans="1:11" ht="17" x14ac:dyDescent="0.15">
      <c r="A11" s="147">
        <v>3</v>
      </c>
      <c r="B11" s="170" t="s">
        <v>218</v>
      </c>
      <c r="C11" s="158">
        <v>28</v>
      </c>
      <c r="D11" s="144">
        <v>2.85</v>
      </c>
      <c r="E11" s="150">
        <v>929</v>
      </c>
      <c r="F11" s="174">
        <v>12.2</v>
      </c>
      <c r="G11" s="145">
        <f t="shared" si="0"/>
        <v>11333.8</v>
      </c>
      <c r="H11" s="146">
        <f t="shared" si="1"/>
        <v>341.59999999999997</v>
      </c>
      <c r="I11" s="153"/>
      <c r="J11" s="176"/>
      <c r="K11" s="177"/>
    </row>
    <row r="12" spans="1:11" ht="16" x14ac:dyDescent="0.15">
      <c r="A12" s="147">
        <v>4</v>
      </c>
      <c r="B12" s="148" t="s">
        <v>218</v>
      </c>
      <c r="C12" s="175">
        <v>30</v>
      </c>
      <c r="D12" s="144">
        <v>2.85</v>
      </c>
      <c r="E12" s="159">
        <v>929</v>
      </c>
      <c r="F12" s="169">
        <v>3</v>
      </c>
      <c r="G12" s="145">
        <f>E12*F12</f>
        <v>2787</v>
      </c>
      <c r="H12" s="146">
        <f>F12*C12</f>
        <v>90</v>
      </c>
      <c r="I12" s="153"/>
      <c r="J12" s="176"/>
      <c r="K12" s="177"/>
    </row>
    <row r="13" spans="1:11" ht="16" x14ac:dyDescent="0.15">
      <c r="A13" s="147">
        <v>5</v>
      </c>
      <c r="B13" s="148" t="s">
        <v>218</v>
      </c>
      <c r="C13" s="149">
        <v>32</v>
      </c>
      <c r="D13" s="144">
        <v>2.85</v>
      </c>
      <c r="E13" s="150">
        <v>853</v>
      </c>
      <c r="F13" s="151">
        <v>10</v>
      </c>
      <c r="G13" s="145">
        <f>E13*F13</f>
        <v>8530</v>
      </c>
      <c r="H13" s="146">
        <f>F13*C13</f>
        <v>320</v>
      </c>
      <c r="I13" s="153"/>
      <c r="J13" s="176"/>
      <c r="K13" s="177"/>
    </row>
    <row r="14" spans="1:11" ht="16" x14ac:dyDescent="0.15">
      <c r="A14" s="152">
        <v>6</v>
      </c>
      <c r="B14" s="153" t="s">
        <v>218</v>
      </c>
      <c r="C14" s="154">
        <v>34</v>
      </c>
      <c r="D14" s="144">
        <v>2.85</v>
      </c>
      <c r="E14" s="150">
        <v>788</v>
      </c>
      <c r="F14" s="155">
        <v>10.8</v>
      </c>
      <c r="G14" s="145">
        <f t="shared" ref="G14:G15" si="2">E14*F14</f>
        <v>8510.4000000000015</v>
      </c>
      <c r="H14" s="146">
        <f t="shared" ref="H14:H15" si="3">F14*C14</f>
        <v>367.20000000000005</v>
      </c>
      <c r="I14" s="153"/>
      <c r="J14" s="179"/>
      <c r="K14" s="177"/>
    </row>
    <row r="15" spans="1:11" ht="16" x14ac:dyDescent="0.2">
      <c r="A15" s="156">
        <v>7</v>
      </c>
      <c r="B15" s="157" t="s">
        <v>218</v>
      </c>
      <c r="C15" s="158">
        <v>36</v>
      </c>
      <c r="D15" s="144">
        <v>2.85</v>
      </c>
      <c r="E15" s="159">
        <v>740</v>
      </c>
      <c r="F15" s="158">
        <v>2.2000000000000002</v>
      </c>
      <c r="G15" s="145">
        <f t="shared" si="2"/>
        <v>1628.0000000000002</v>
      </c>
      <c r="H15" s="146">
        <f t="shared" si="3"/>
        <v>79.2</v>
      </c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101</v>
      </c>
      <c r="G22" s="126">
        <f>SUM(G9:G21)/F22</f>
        <v>1173.7128712871288</v>
      </c>
      <c r="H22" s="127">
        <f>SUM(H9:H21)/F22</f>
        <v>24.001980198019801</v>
      </c>
      <c r="I22" s="128" t="s">
        <v>19</v>
      </c>
      <c r="J22" s="129">
        <v>1.5</v>
      </c>
      <c r="K22" s="122"/>
    </row>
    <row r="23" spans="1:11" x14ac:dyDescent="0.15">
      <c r="E23" s="130"/>
      <c r="F23" s="131"/>
      <c r="I23" s="132" t="s">
        <v>20</v>
      </c>
      <c r="J23" s="133">
        <v>1.83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101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1231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148.33000000000001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88BB2080-1637-43F0-BBB1-B0322457F3C3}">
      <formula1>$K$29:$K$85</formula1>
    </dataValidation>
    <dataValidation type="list" allowBlank="1" showInputMessage="1" showErrorMessage="1" sqref="B20:B21" xr:uid="{CEA512D7-946E-45D3-A2A0-3511C45364BD}">
      <formula1>$K$29:$K$40</formula1>
    </dataValidation>
    <dataValidation type="list" allowBlank="1" showInputMessage="1" showErrorMessage="1" sqref="I50 K15:K21" xr:uid="{7C55381D-DC2D-4ED4-8248-10A106368A51}">
      <formula1>$I$41:$I$50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12FD-4905-4986-832B-CFE708C12E8D}">
  <dimension ref="A1:K85"/>
  <sheetViews>
    <sheetView workbookViewId="0">
      <selection activeCell="J13" sqref="J13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294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223</v>
      </c>
      <c r="C9" s="168">
        <v>12.5</v>
      </c>
      <c r="D9" s="144">
        <v>2.85</v>
      </c>
      <c r="E9" s="159">
        <v>1382</v>
      </c>
      <c r="F9" s="169">
        <v>14</v>
      </c>
      <c r="G9" s="145">
        <f>E9*F9</f>
        <v>19348</v>
      </c>
      <c r="H9" s="146">
        <f>F9*C9</f>
        <v>175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15</v>
      </c>
      <c r="D10" s="144">
        <v>2.85</v>
      </c>
      <c r="E10" s="150">
        <v>1357</v>
      </c>
      <c r="F10" s="171">
        <v>14</v>
      </c>
      <c r="G10" s="145">
        <f t="shared" ref="G10:G11" si="0">E10*F10</f>
        <v>18998</v>
      </c>
      <c r="H10" s="146">
        <f t="shared" ref="H10:H11" si="1">F10*C10</f>
        <v>210</v>
      </c>
      <c r="I10" s="148" t="s">
        <v>27</v>
      </c>
      <c r="J10" s="172">
        <v>3.4722222222222224E-2</v>
      </c>
      <c r="K10" s="173" t="s">
        <v>27</v>
      </c>
    </row>
    <row r="11" spans="1:11" ht="17" x14ac:dyDescent="0.15">
      <c r="A11" s="147">
        <v>3</v>
      </c>
      <c r="B11" s="170" t="s">
        <v>208</v>
      </c>
      <c r="C11" s="158">
        <v>16</v>
      </c>
      <c r="D11" s="144">
        <v>2.85</v>
      </c>
      <c r="E11" s="150">
        <v>1326</v>
      </c>
      <c r="F11" s="174">
        <v>36.9</v>
      </c>
      <c r="G11" s="145">
        <f t="shared" si="0"/>
        <v>48929.4</v>
      </c>
      <c r="H11" s="146">
        <f t="shared" si="1"/>
        <v>590.4</v>
      </c>
      <c r="I11" s="153" t="s">
        <v>219</v>
      </c>
      <c r="J11" s="176">
        <v>4.1666666666666664E-2</v>
      </c>
      <c r="K11" s="177" t="s">
        <v>266</v>
      </c>
    </row>
    <row r="12" spans="1:11" ht="16" x14ac:dyDescent="0.15">
      <c r="A12" s="147">
        <v>4</v>
      </c>
      <c r="B12" s="148" t="s">
        <v>225</v>
      </c>
      <c r="C12" s="175">
        <v>17</v>
      </c>
      <c r="D12" s="144">
        <v>2.85</v>
      </c>
      <c r="E12" s="159">
        <v>1296</v>
      </c>
      <c r="F12" s="169">
        <v>10.1</v>
      </c>
      <c r="G12" s="145">
        <f>E12*F12</f>
        <v>13089.6</v>
      </c>
      <c r="H12" s="146">
        <f>F12*C12</f>
        <v>171.7</v>
      </c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75</v>
      </c>
      <c r="G22" s="126">
        <f>SUM(G9:G21)/F22</f>
        <v>1338.2</v>
      </c>
      <c r="H22" s="127">
        <f>SUM(H9:H21)/F22</f>
        <v>15.294666666666666</v>
      </c>
      <c r="I22" s="128" t="s">
        <v>19</v>
      </c>
      <c r="J22" s="129">
        <v>2.2000000000000002</v>
      </c>
      <c r="K22" s="122"/>
    </row>
    <row r="23" spans="1:11" x14ac:dyDescent="0.15">
      <c r="E23" s="130"/>
      <c r="F23" s="131"/>
      <c r="I23" s="132" t="s">
        <v>20</v>
      </c>
      <c r="J23" s="133">
        <v>2.33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75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1306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150.66999999999999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62C37196-2E5B-4B5B-8CFD-3734B6F69EB5}">
      <formula1>$I$41:$I$50</formula1>
    </dataValidation>
    <dataValidation type="list" allowBlank="1" showInputMessage="1" showErrorMessage="1" sqref="B20:B21" xr:uid="{B2236F32-9460-45E9-8D3B-25614CE32EA2}">
      <formula1>$K$29:$K$40</formula1>
    </dataValidation>
    <dataValidation type="list" allowBlank="1" showInputMessage="1" showErrorMessage="1" sqref="B16:B19" xr:uid="{FE0B35F6-8000-4DC2-A163-B15A19F010A3}">
      <formula1>$K$29:$K$85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8B3A-0332-4AC0-8853-43BA9F13B841}">
  <dimension ref="A1:K85"/>
  <sheetViews>
    <sheetView workbookViewId="0">
      <selection activeCell="I19" sqref="I19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293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225</v>
      </c>
      <c r="C9" s="168">
        <v>17</v>
      </c>
      <c r="D9" s="144">
        <v>2.85</v>
      </c>
      <c r="E9" s="159">
        <v>1280</v>
      </c>
      <c r="F9" s="169">
        <v>15.2</v>
      </c>
      <c r="G9" s="145">
        <f>E9*F9</f>
        <v>19456</v>
      </c>
      <c r="H9" s="146">
        <f>F9*C9</f>
        <v>258.39999999999998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225</v>
      </c>
      <c r="C10" s="158">
        <v>16</v>
      </c>
      <c r="D10" s="144">
        <v>2.85</v>
      </c>
      <c r="E10" s="150">
        <v>1185</v>
      </c>
      <c r="F10" s="171">
        <v>7</v>
      </c>
      <c r="G10" s="145">
        <f t="shared" ref="G10:G11" si="0">E10*F10</f>
        <v>8295</v>
      </c>
      <c r="H10" s="146">
        <f t="shared" ref="H10:H11" si="1">F10*C10</f>
        <v>112</v>
      </c>
      <c r="I10" s="148" t="s">
        <v>27</v>
      </c>
      <c r="J10" s="172">
        <v>3.4722222222222224E-2</v>
      </c>
      <c r="K10" s="173" t="s">
        <v>27</v>
      </c>
    </row>
    <row r="11" spans="1:11" ht="17" x14ac:dyDescent="0.15">
      <c r="A11" s="147">
        <v>3</v>
      </c>
      <c r="B11" s="170" t="s">
        <v>225</v>
      </c>
      <c r="C11" s="158">
        <v>15</v>
      </c>
      <c r="D11" s="144">
        <v>2.85</v>
      </c>
      <c r="E11" s="150">
        <v>1264</v>
      </c>
      <c r="F11" s="174">
        <v>9.1</v>
      </c>
      <c r="G11" s="145">
        <f t="shared" si="0"/>
        <v>11502.4</v>
      </c>
      <c r="H11" s="146">
        <f t="shared" si="1"/>
        <v>136.5</v>
      </c>
      <c r="I11" s="153" t="s">
        <v>267</v>
      </c>
      <c r="J11" s="176">
        <v>2.0833333333333332E-2</v>
      </c>
      <c r="K11" s="177" t="s">
        <v>268</v>
      </c>
    </row>
    <row r="12" spans="1:11" ht="16" x14ac:dyDescent="0.15">
      <c r="A12" s="147">
        <v>4</v>
      </c>
      <c r="B12" s="148" t="s">
        <v>225</v>
      </c>
      <c r="C12" s="175">
        <v>14</v>
      </c>
      <c r="D12" s="144">
        <v>2.85</v>
      </c>
      <c r="E12" s="159">
        <v>1365</v>
      </c>
      <c r="F12" s="169">
        <v>2.4</v>
      </c>
      <c r="G12" s="145">
        <f>E12*F12</f>
        <v>3276</v>
      </c>
      <c r="H12" s="146">
        <f>F12*C12</f>
        <v>33.6</v>
      </c>
      <c r="I12" s="153"/>
      <c r="J12" s="176"/>
      <c r="K12" s="177"/>
    </row>
    <row r="13" spans="1:11" ht="16" x14ac:dyDescent="0.15">
      <c r="A13" s="147">
        <v>5</v>
      </c>
      <c r="B13" s="148" t="s">
        <v>208</v>
      </c>
      <c r="C13" s="149">
        <v>15</v>
      </c>
      <c r="D13" s="144">
        <v>2.85</v>
      </c>
      <c r="E13" s="150">
        <v>1343</v>
      </c>
      <c r="F13" s="151">
        <v>20.5</v>
      </c>
      <c r="G13" s="145">
        <f>E13*F13</f>
        <v>27531.5</v>
      </c>
      <c r="H13" s="146">
        <f>F13*C13</f>
        <v>307.5</v>
      </c>
      <c r="I13" s="153"/>
      <c r="J13" s="176"/>
      <c r="K13" s="177"/>
    </row>
    <row r="14" spans="1:11" ht="16" x14ac:dyDescent="0.15">
      <c r="A14" s="152">
        <v>6</v>
      </c>
      <c r="B14" s="153" t="s">
        <v>223</v>
      </c>
      <c r="C14" s="154">
        <v>12.5</v>
      </c>
      <c r="D14" s="144">
        <v>2.85</v>
      </c>
      <c r="E14" s="150">
        <v>1365</v>
      </c>
      <c r="F14" s="155">
        <v>18.8</v>
      </c>
      <c r="G14" s="145">
        <f t="shared" ref="G14" si="2">E14*F14</f>
        <v>25662</v>
      </c>
      <c r="H14" s="146">
        <f t="shared" ref="H14" si="3">F14*C14</f>
        <v>235</v>
      </c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73</v>
      </c>
      <c r="G22" s="126">
        <f>SUM(G9:G21)/F22</f>
        <v>1311.2726027397259</v>
      </c>
      <c r="H22" s="127">
        <f>SUM(H9:H21)/F22</f>
        <v>14.835616438356164</v>
      </c>
      <c r="I22" s="128" t="s">
        <v>19</v>
      </c>
      <c r="J22" s="129">
        <v>1.5</v>
      </c>
      <c r="K22" s="122"/>
    </row>
    <row r="23" spans="1:11" x14ac:dyDescent="0.15">
      <c r="E23" s="130"/>
      <c r="F23" s="131"/>
      <c r="I23" s="132" t="s">
        <v>20</v>
      </c>
      <c r="J23" s="133">
        <v>1.83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73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1379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152.5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34CEEF2F-2EF5-4849-9E97-A56267D96E73}">
      <formula1>$K$29:$K$85</formula1>
    </dataValidation>
    <dataValidation type="list" allowBlank="1" showInputMessage="1" showErrorMessage="1" sqref="B20:B21" xr:uid="{0989FC0B-18C8-40BE-9072-3CE2898BC864}">
      <formula1>$K$29:$K$40</formula1>
    </dataValidation>
    <dataValidation type="list" allowBlank="1" showInputMessage="1" showErrorMessage="1" sqref="I50 K15:K21" xr:uid="{7E4ED02E-DE14-439C-AF15-029F431FCF6B}">
      <formula1>$I$41:$I$50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E4F4-C6FD-495F-87C8-4BDB162B5AC0}">
  <dimension ref="A1:K85"/>
  <sheetViews>
    <sheetView workbookViewId="0">
      <selection activeCell="H15" sqref="H15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292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223</v>
      </c>
      <c r="C9" s="168">
        <v>12.5</v>
      </c>
      <c r="D9" s="144">
        <v>2.85</v>
      </c>
      <c r="E9" s="159">
        <v>1343</v>
      </c>
      <c r="F9" s="169">
        <v>20.5</v>
      </c>
      <c r="G9" s="145">
        <f>E9*F9</f>
        <v>27531.5</v>
      </c>
      <c r="H9" s="146">
        <f>F9*C9</f>
        <v>256.25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14</v>
      </c>
      <c r="D10" s="144">
        <v>2.85</v>
      </c>
      <c r="E10" s="150">
        <v>1351</v>
      </c>
      <c r="F10" s="171">
        <v>7</v>
      </c>
      <c r="G10" s="145">
        <f t="shared" ref="G10:G11" si="0">E10*F10</f>
        <v>9457</v>
      </c>
      <c r="H10" s="146">
        <f t="shared" ref="H10:H11" si="1">F10*C10</f>
        <v>98</v>
      </c>
      <c r="I10" s="148" t="s">
        <v>27</v>
      </c>
      <c r="J10" s="172">
        <v>4.1666666666666664E-2</v>
      </c>
      <c r="K10" s="173" t="s">
        <v>27</v>
      </c>
    </row>
    <row r="11" spans="1:11" ht="17" x14ac:dyDescent="0.15">
      <c r="A11" s="147">
        <v>3</v>
      </c>
      <c r="B11" s="170" t="s">
        <v>208</v>
      </c>
      <c r="C11" s="158">
        <v>15</v>
      </c>
      <c r="D11" s="144">
        <v>2.85</v>
      </c>
      <c r="E11" s="150">
        <v>1351</v>
      </c>
      <c r="F11" s="174">
        <v>32.6</v>
      </c>
      <c r="G11" s="145">
        <f t="shared" si="0"/>
        <v>44042.6</v>
      </c>
      <c r="H11" s="146">
        <f t="shared" si="1"/>
        <v>489</v>
      </c>
      <c r="I11" s="153"/>
      <c r="J11" s="176"/>
      <c r="K11" s="177"/>
    </row>
    <row r="12" spans="1:11" ht="19.25" customHeight="1" x14ac:dyDescent="0.15">
      <c r="A12" s="147">
        <v>4</v>
      </c>
      <c r="B12" s="148" t="s">
        <v>208</v>
      </c>
      <c r="C12" s="175">
        <v>17</v>
      </c>
      <c r="D12" s="144">
        <v>2.85</v>
      </c>
      <c r="E12" s="159">
        <v>1351</v>
      </c>
      <c r="F12" s="169">
        <v>14.9</v>
      </c>
      <c r="G12" s="145">
        <f>E12*F12</f>
        <v>20129.900000000001</v>
      </c>
      <c r="H12" s="146">
        <f>F12*C12</f>
        <v>253.3</v>
      </c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75</v>
      </c>
      <c r="G22" s="126">
        <f>SUM(G9:G21)/F22</f>
        <v>1348.8133333333333</v>
      </c>
      <c r="H22" s="127">
        <f>SUM(H9:H21)/F22</f>
        <v>14.620666666666667</v>
      </c>
      <c r="I22" s="128" t="s">
        <v>19</v>
      </c>
      <c r="J22" s="129">
        <v>1.3</v>
      </c>
      <c r="K22" s="122"/>
    </row>
    <row r="23" spans="1:11" x14ac:dyDescent="0.15">
      <c r="E23" s="130"/>
      <c r="F23" s="131"/>
      <c r="I23" s="132" t="s">
        <v>20</v>
      </c>
      <c r="J23" s="133">
        <v>1.5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75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1454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154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A0A0FB66-CC11-45ED-BCD2-CAFBF630079D}">
      <formula1>$I$41:$I$50</formula1>
    </dataValidation>
    <dataValidation type="list" allowBlank="1" showInputMessage="1" showErrorMessage="1" sqref="B20:B21" xr:uid="{B48CFEA7-85A4-48D1-9C7A-D642B7A05E42}">
      <formula1>$K$29:$K$40</formula1>
    </dataValidation>
    <dataValidation type="list" allowBlank="1" showInputMessage="1" showErrorMessage="1" sqref="B16:B19" xr:uid="{8E2AC460-CB0D-4F9D-AEC6-9FC65D2C02B5}">
      <formula1>$K$29:$K$85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2788-8E85-4879-ABFE-F5E56D868E9E}">
  <dimension ref="A1:K85"/>
  <sheetViews>
    <sheetView workbookViewId="0">
      <selection activeCell="J4" sqref="J4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291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223</v>
      </c>
      <c r="C9" s="168">
        <v>12.5</v>
      </c>
      <c r="D9" s="144">
        <v>2.85</v>
      </c>
      <c r="E9" s="159">
        <v>1335</v>
      </c>
      <c r="F9" s="169">
        <v>33</v>
      </c>
      <c r="G9" s="145">
        <f>E9*F9</f>
        <v>44055</v>
      </c>
      <c r="H9" s="146">
        <f>F9*C9</f>
        <v>412.5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14</v>
      </c>
      <c r="D10" s="144">
        <v>2.85</v>
      </c>
      <c r="E10" s="150">
        <v>1358</v>
      </c>
      <c r="F10" s="171">
        <v>21</v>
      </c>
      <c r="G10" s="145">
        <f t="shared" ref="G10:G11" si="0">E10*F10</f>
        <v>28518</v>
      </c>
      <c r="H10" s="146">
        <f t="shared" ref="H10:H11" si="1">F10*C10</f>
        <v>294</v>
      </c>
      <c r="I10" s="148" t="s">
        <v>27</v>
      </c>
      <c r="J10" s="172">
        <v>2.0833333333333332E-2</v>
      </c>
      <c r="K10" s="173" t="s">
        <v>27</v>
      </c>
    </row>
    <row r="11" spans="1:11" ht="17" x14ac:dyDescent="0.15">
      <c r="A11" s="147">
        <v>3</v>
      </c>
      <c r="B11" s="170" t="s">
        <v>208</v>
      </c>
      <c r="C11" s="158">
        <v>15</v>
      </c>
      <c r="D11" s="144">
        <v>2.85</v>
      </c>
      <c r="E11" s="150">
        <v>1360</v>
      </c>
      <c r="F11" s="174">
        <v>5.5</v>
      </c>
      <c r="G11" s="145">
        <f t="shared" si="0"/>
        <v>7480</v>
      </c>
      <c r="H11" s="146">
        <f t="shared" si="1"/>
        <v>82.5</v>
      </c>
      <c r="I11" s="153" t="s">
        <v>224</v>
      </c>
      <c r="J11" s="176">
        <v>1.3888888888888888E-2</v>
      </c>
      <c r="K11" s="177" t="s">
        <v>224</v>
      </c>
    </row>
    <row r="12" spans="1:11" ht="19.25" customHeight="1" x14ac:dyDescent="0.15">
      <c r="A12" s="147">
        <v>4</v>
      </c>
      <c r="B12" s="148" t="s">
        <v>208</v>
      </c>
      <c r="C12" s="175">
        <v>16</v>
      </c>
      <c r="D12" s="144">
        <v>2.85</v>
      </c>
      <c r="E12" s="159">
        <v>1335</v>
      </c>
      <c r="F12" s="169">
        <v>5.5</v>
      </c>
      <c r="G12" s="145">
        <f>E12*F12</f>
        <v>7342.5</v>
      </c>
      <c r="H12" s="146">
        <f>F12*C12</f>
        <v>88</v>
      </c>
      <c r="I12" s="153" t="s">
        <v>267</v>
      </c>
      <c r="J12" s="176">
        <v>6.9444444444444441E-3</v>
      </c>
      <c r="K12" s="177" t="s">
        <v>269</v>
      </c>
    </row>
    <row r="13" spans="1:11" ht="16" x14ac:dyDescent="0.15">
      <c r="A13" s="147">
        <v>5</v>
      </c>
      <c r="B13" s="148" t="s">
        <v>208</v>
      </c>
      <c r="C13" s="149">
        <v>17</v>
      </c>
      <c r="D13" s="144">
        <v>2.85</v>
      </c>
      <c r="E13" s="150">
        <v>1335</v>
      </c>
      <c r="F13" s="151">
        <v>6</v>
      </c>
      <c r="G13" s="145">
        <f>E13*F13</f>
        <v>8010</v>
      </c>
      <c r="H13" s="146">
        <f>F13*C13</f>
        <v>102</v>
      </c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71</v>
      </c>
      <c r="G22" s="126">
        <f>SUM(G9:G21)/F22</f>
        <v>1343.7394366197184</v>
      </c>
      <c r="H22" s="127">
        <f>SUM(H9:H21)/F22</f>
        <v>13.788732394366198</v>
      </c>
      <c r="I22" s="128" t="s">
        <v>19</v>
      </c>
      <c r="J22" s="129">
        <v>1.3</v>
      </c>
      <c r="K22" s="122"/>
    </row>
    <row r="23" spans="1:11" x14ac:dyDescent="0.15">
      <c r="E23" s="130"/>
      <c r="F23" s="131"/>
      <c r="I23" s="132" t="s">
        <v>20</v>
      </c>
      <c r="J23" s="133">
        <v>1.5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71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1525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155.5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A7AE912F-5D4F-47B1-A099-D94C79F8F7F4}">
      <formula1>$K$29:$K$85</formula1>
    </dataValidation>
    <dataValidation type="list" allowBlank="1" showInputMessage="1" showErrorMessage="1" sqref="B20:B21" xr:uid="{68D9E8BF-54AA-48C7-9FA7-A57E3B7A526A}">
      <formula1>$K$29:$K$40</formula1>
    </dataValidation>
    <dataValidation type="list" allowBlank="1" showInputMessage="1" showErrorMessage="1" sqref="I50 K15:K21" xr:uid="{855C3B93-CD9C-40B0-BFAC-46769B30E92D}">
      <formula1>$I$41:$I$50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68F1-31BF-4E8D-9D52-F4E16AECFCD8}">
  <dimension ref="A1:K85"/>
  <sheetViews>
    <sheetView workbookViewId="0">
      <selection activeCell="J15" sqref="J15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290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223</v>
      </c>
      <c r="C9" s="168">
        <v>12.5</v>
      </c>
      <c r="D9" s="144">
        <v>2.85</v>
      </c>
      <c r="E9" s="159">
        <v>1375</v>
      </c>
      <c r="F9" s="169">
        <v>7.8</v>
      </c>
      <c r="G9" s="145">
        <f>E9*F9</f>
        <v>10725</v>
      </c>
      <c r="H9" s="146">
        <f>F9*C9</f>
        <v>97.5</v>
      </c>
      <c r="I9" s="148" t="s">
        <v>204</v>
      </c>
      <c r="J9" s="172">
        <v>2.0833333333333332E-2</v>
      </c>
      <c r="K9" s="173" t="s">
        <v>215</v>
      </c>
    </row>
    <row r="10" spans="1:11" ht="17" x14ac:dyDescent="0.15">
      <c r="A10" s="147">
        <v>2</v>
      </c>
      <c r="B10" s="170" t="s">
        <v>208</v>
      </c>
      <c r="C10" s="158">
        <v>14</v>
      </c>
      <c r="D10" s="144">
        <v>2.85</v>
      </c>
      <c r="E10" s="150">
        <v>1375</v>
      </c>
      <c r="F10" s="171">
        <v>22</v>
      </c>
      <c r="G10" s="145">
        <f t="shared" ref="G10:G11" si="0">E10*F10</f>
        <v>30250</v>
      </c>
      <c r="H10" s="146">
        <f t="shared" ref="H10:H11" si="1">F10*C10</f>
        <v>308</v>
      </c>
      <c r="I10" s="148" t="s">
        <v>27</v>
      </c>
      <c r="J10" s="172">
        <v>3.4722222222222224E-2</v>
      </c>
      <c r="K10" s="173" t="s">
        <v>27</v>
      </c>
    </row>
    <row r="11" spans="1:11" ht="17" x14ac:dyDescent="0.15">
      <c r="A11" s="147">
        <v>3</v>
      </c>
      <c r="B11" s="170" t="s">
        <v>208</v>
      </c>
      <c r="C11" s="158">
        <v>15</v>
      </c>
      <c r="D11" s="144">
        <v>2.85</v>
      </c>
      <c r="E11" s="150">
        <v>1336</v>
      </c>
      <c r="F11" s="174">
        <v>22.7</v>
      </c>
      <c r="G11" s="145">
        <f t="shared" si="0"/>
        <v>30327.200000000001</v>
      </c>
      <c r="H11" s="146">
        <f t="shared" si="1"/>
        <v>340.5</v>
      </c>
      <c r="I11" s="153" t="s">
        <v>224</v>
      </c>
      <c r="J11" s="176">
        <v>1.3888888888888888E-2</v>
      </c>
      <c r="K11" s="177" t="s">
        <v>224</v>
      </c>
    </row>
    <row r="12" spans="1:11" ht="19.25" customHeight="1" x14ac:dyDescent="0.15">
      <c r="A12" s="147">
        <v>4</v>
      </c>
      <c r="B12" s="148" t="s">
        <v>225</v>
      </c>
      <c r="C12" s="175">
        <v>15</v>
      </c>
      <c r="D12" s="144">
        <v>2.85</v>
      </c>
      <c r="E12" s="159">
        <v>1336</v>
      </c>
      <c r="F12" s="169">
        <v>3</v>
      </c>
      <c r="G12" s="145">
        <f>E12*F12</f>
        <v>4008</v>
      </c>
      <c r="H12" s="146">
        <f>F12*C12</f>
        <v>45</v>
      </c>
      <c r="I12" s="153" t="s">
        <v>267</v>
      </c>
      <c r="J12" s="176">
        <v>2.7777777777777776E-2</v>
      </c>
      <c r="K12" s="177" t="s">
        <v>270</v>
      </c>
    </row>
    <row r="13" spans="1:11" ht="16" x14ac:dyDescent="0.15">
      <c r="A13" s="147">
        <v>5</v>
      </c>
      <c r="B13" s="148" t="s">
        <v>225</v>
      </c>
      <c r="C13" s="149">
        <v>17</v>
      </c>
      <c r="D13" s="144">
        <v>2.85</v>
      </c>
      <c r="E13" s="150">
        <v>1336</v>
      </c>
      <c r="F13" s="151">
        <v>14.5</v>
      </c>
      <c r="G13" s="145">
        <f>E13*F13</f>
        <v>19372</v>
      </c>
      <c r="H13" s="146">
        <f>F13*C13</f>
        <v>246.5</v>
      </c>
      <c r="I13" s="153"/>
      <c r="J13" s="176"/>
      <c r="K13" s="177" t="s">
        <v>271</v>
      </c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 t="s">
        <v>219</v>
      </c>
      <c r="J14" s="179">
        <v>6.25E-2</v>
      </c>
      <c r="K14" s="177" t="s">
        <v>272</v>
      </c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70</v>
      </c>
      <c r="G22" s="126">
        <f>SUM(G9:G21)/F22</f>
        <v>1352.6028571428571</v>
      </c>
      <c r="H22" s="127">
        <f>SUM(H9:H21)/F22</f>
        <v>14.821428571428571</v>
      </c>
      <c r="I22" s="128" t="s">
        <v>19</v>
      </c>
      <c r="J22" s="129">
        <v>3.5</v>
      </c>
      <c r="K22" s="122"/>
    </row>
    <row r="23" spans="1:11" x14ac:dyDescent="0.15">
      <c r="E23" s="130"/>
      <c r="F23" s="131"/>
      <c r="I23" s="132" t="s">
        <v>20</v>
      </c>
      <c r="J23" s="133">
        <v>3.83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70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f>1525+70</f>
        <v>1595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159.33000000000001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38ECABB1-7640-439C-BC76-5F06DE570E87}">
      <formula1>$I$41:$I$50</formula1>
    </dataValidation>
    <dataValidation type="list" allowBlank="1" showInputMessage="1" showErrorMessage="1" sqref="B20:B21" xr:uid="{1306C048-B615-4560-B0E9-78E2924C0184}">
      <formula1>$K$29:$K$40</formula1>
    </dataValidation>
    <dataValidation type="list" allowBlank="1" showInputMessage="1" showErrorMessage="1" sqref="B16:B19" xr:uid="{41E5D721-FA34-4CB2-A0B8-00B89C6CED5C}">
      <formula1>$K$29:$K$85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0E48-9DF1-4028-880D-9F24210B0FDD}">
  <dimension ref="A1:K85"/>
  <sheetViews>
    <sheetView workbookViewId="0">
      <selection activeCell="J16" sqref="J1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289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225</v>
      </c>
      <c r="C9" s="168">
        <v>15</v>
      </c>
      <c r="D9" s="144">
        <v>2.85</v>
      </c>
      <c r="E9" s="159">
        <v>1296</v>
      </c>
      <c r="F9" s="169">
        <v>60</v>
      </c>
      <c r="G9" s="145">
        <f>E9*F9</f>
        <v>77760</v>
      </c>
      <c r="H9" s="146">
        <f>F9*C9</f>
        <v>900</v>
      </c>
      <c r="I9" s="148" t="s">
        <v>204</v>
      </c>
      <c r="J9" s="172">
        <v>2.7777777777777776E-2</v>
      </c>
      <c r="K9" s="173" t="s">
        <v>215</v>
      </c>
    </row>
    <row r="10" spans="1:11" ht="17" x14ac:dyDescent="0.15">
      <c r="A10" s="147">
        <v>2</v>
      </c>
      <c r="B10" s="170" t="s">
        <v>225</v>
      </c>
      <c r="C10" s="158">
        <v>17</v>
      </c>
      <c r="D10" s="144">
        <v>2.85</v>
      </c>
      <c r="E10" s="150">
        <v>1296</v>
      </c>
      <c r="F10" s="171">
        <v>6</v>
      </c>
      <c r="G10" s="145">
        <f t="shared" ref="G10:G11" si="0">E10*F10</f>
        <v>7776</v>
      </c>
      <c r="H10" s="146">
        <f t="shared" ref="H10:H11" si="1">F10*C10</f>
        <v>102</v>
      </c>
      <c r="I10" s="148" t="s">
        <v>27</v>
      </c>
      <c r="J10" s="172">
        <v>6.9444444444444441E-3</v>
      </c>
      <c r="K10" s="173" t="s">
        <v>27</v>
      </c>
    </row>
    <row r="11" spans="1:11" ht="17" x14ac:dyDescent="0.15">
      <c r="A11" s="147">
        <v>3</v>
      </c>
      <c r="B11" s="170" t="s">
        <v>236</v>
      </c>
      <c r="C11" s="158">
        <v>17</v>
      </c>
      <c r="D11" s="144">
        <v>2.85</v>
      </c>
      <c r="E11" s="150">
        <v>1296</v>
      </c>
      <c r="F11" s="174">
        <v>2</v>
      </c>
      <c r="G11" s="145">
        <f t="shared" si="0"/>
        <v>2592</v>
      </c>
      <c r="H11" s="146">
        <f t="shared" si="1"/>
        <v>34</v>
      </c>
      <c r="I11" s="153" t="s">
        <v>224</v>
      </c>
      <c r="J11" s="176">
        <v>4.5138888888888888E-2</v>
      </c>
      <c r="K11" s="177" t="s">
        <v>224</v>
      </c>
    </row>
    <row r="12" spans="1:11" ht="19.25" customHeight="1" x14ac:dyDescent="0.15">
      <c r="A12" s="147"/>
      <c r="B12" s="148"/>
      <c r="C12" s="175"/>
      <c r="D12" s="144"/>
      <c r="E12" s="159"/>
      <c r="F12" s="169"/>
      <c r="G12" s="145"/>
      <c r="H12" s="146"/>
      <c r="I12" s="153" t="s">
        <v>267</v>
      </c>
      <c r="J12" s="176">
        <v>6.9444444444444441E-3</v>
      </c>
      <c r="K12" s="177" t="s">
        <v>269</v>
      </c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68</v>
      </c>
      <c r="G22" s="126">
        <f>SUM(G9:G21)/F22</f>
        <v>1296</v>
      </c>
      <c r="H22" s="127">
        <f>SUM(H9:H21)/F22</f>
        <v>15.235294117647058</v>
      </c>
      <c r="I22" s="128" t="s">
        <v>19</v>
      </c>
      <c r="J22" s="129">
        <v>2.0499999999999998</v>
      </c>
      <c r="K22" s="122"/>
    </row>
    <row r="23" spans="1:11" x14ac:dyDescent="0.15">
      <c r="E23" s="130"/>
      <c r="F23" s="131"/>
      <c r="I23" s="132" t="s">
        <v>20</v>
      </c>
      <c r="J23" s="133">
        <v>2.08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70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v>1663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161.41999999999999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B16:B19" xr:uid="{EAEA4DE3-6060-445C-B6A7-D2E2BF64430D}">
      <formula1>$K$29:$K$85</formula1>
    </dataValidation>
    <dataValidation type="list" allowBlank="1" showInputMessage="1" showErrorMessage="1" sqref="B20:B21" xr:uid="{C6EF8B15-06B2-477A-B4C0-5D70BFBACD50}">
      <formula1>$K$29:$K$40</formula1>
    </dataValidation>
    <dataValidation type="list" allowBlank="1" showInputMessage="1" showErrorMessage="1" sqref="I50 K15:K21" xr:uid="{36486B4C-D498-4B53-8B2C-01C517B2F2D5}">
      <formula1>$I$41:$I$50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2103-F4E0-4968-AAEB-D0DCA2EDFDDA}">
  <dimension ref="A1:K85"/>
  <sheetViews>
    <sheetView workbookViewId="0">
      <selection activeCell="F6" sqref="F6"/>
    </sheetView>
  </sheetViews>
  <sheetFormatPr baseColWidth="10" defaultColWidth="9.1640625" defaultRowHeight="14" x14ac:dyDescent="0.15"/>
  <cols>
    <col min="1" max="1" width="5.1640625" style="105" customWidth="1"/>
    <col min="2" max="2" width="22.5" style="105" customWidth="1"/>
    <col min="3" max="3" width="6.1640625" style="105" customWidth="1"/>
    <col min="4" max="4" width="12.5" style="105" bestFit="1" customWidth="1"/>
    <col min="5" max="5" width="9.83203125" style="105" customWidth="1"/>
    <col min="6" max="6" width="9.33203125" style="105" bestFit="1" customWidth="1"/>
    <col min="7" max="7" width="8.6640625" style="105" customWidth="1"/>
    <col min="8" max="8" width="9.5" style="105" bestFit="1" customWidth="1"/>
    <col min="9" max="9" width="17.83203125" style="105" bestFit="1" customWidth="1"/>
    <col min="10" max="10" width="10.33203125" style="105" bestFit="1" customWidth="1"/>
    <col min="11" max="11" width="65.83203125" style="105" bestFit="1" customWidth="1"/>
    <col min="12" max="16384" width="9.1640625" style="105"/>
  </cols>
  <sheetData>
    <row r="1" spans="1:11" x14ac:dyDescent="0.15">
      <c r="A1" s="104" t="s">
        <v>198</v>
      </c>
      <c r="I1" s="106"/>
    </row>
    <row r="2" spans="1:11" x14ac:dyDescent="0.15">
      <c r="J2" s="107"/>
    </row>
    <row r="3" spans="1:11" x14ac:dyDescent="0.15">
      <c r="A3" s="106" t="s">
        <v>199</v>
      </c>
      <c r="I3" s="104"/>
      <c r="J3" s="104"/>
    </row>
    <row r="4" spans="1:11" x14ac:dyDescent="0.15">
      <c r="A4" s="106"/>
      <c r="I4" s="107" t="s">
        <v>5</v>
      </c>
      <c r="J4" s="108" t="s">
        <v>288</v>
      </c>
    </row>
    <row r="5" spans="1:11" x14ac:dyDescent="0.15">
      <c r="J5" s="105" t="s">
        <v>1</v>
      </c>
    </row>
    <row r="6" spans="1:11" ht="30" x14ac:dyDescent="0.15">
      <c r="A6" s="109" t="s">
        <v>6</v>
      </c>
      <c r="B6" s="109" t="s">
        <v>7</v>
      </c>
      <c r="C6" s="109" t="s">
        <v>8</v>
      </c>
      <c r="D6" s="109" t="s">
        <v>9</v>
      </c>
      <c r="E6" s="109" t="s">
        <v>10</v>
      </c>
      <c r="F6" s="109" t="s">
        <v>11</v>
      </c>
      <c r="G6" s="110" t="s">
        <v>12</v>
      </c>
      <c r="H6" s="110" t="s">
        <v>3</v>
      </c>
      <c r="I6" s="110" t="s">
        <v>13</v>
      </c>
      <c r="J6" s="111"/>
      <c r="K6" s="109" t="s">
        <v>14</v>
      </c>
    </row>
    <row r="7" spans="1:11" ht="30" x14ac:dyDescent="0.15">
      <c r="A7" s="110"/>
      <c r="B7" s="112"/>
      <c r="C7" s="109"/>
      <c r="D7" s="109" t="s">
        <v>4</v>
      </c>
      <c r="E7" s="109" t="s">
        <v>15</v>
      </c>
      <c r="F7" s="113" t="s">
        <v>0</v>
      </c>
      <c r="G7" s="113" t="s">
        <v>15</v>
      </c>
      <c r="H7" s="113" t="s">
        <v>171</v>
      </c>
      <c r="I7" s="109" t="s">
        <v>16</v>
      </c>
      <c r="J7" s="113" t="s">
        <v>17</v>
      </c>
      <c r="K7" s="113"/>
    </row>
    <row r="8" spans="1:11" ht="16" x14ac:dyDescent="0.2">
      <c r="A8" s="160"/>
      <c r="B8" s="144"/>
      <c r="C8" s="146"/>
      <c r="D8" s="144"/>
      <c r="E8" s="144"/>
      <c r="F8" s="160"/>
      <c r="G8" s="160"/>
      <c r="H8" s="160"/>
      <c r="I8" s="160"/>
      <c r="J8" s="165"/>
      <c r="K8" s="160"/>
    </row>
    <row r="9" spans="1:11" ht="17" x14ac:dyDescent="0.15">
      <c r="A9" s="166">
        <v>1</v>
      </c>
      <c r="B9" s="167" t="s">
        <v>236</v>
      </c>
      <c r="C9" s="168">
        <v>17</v>
      </c>
      <c r="D9" s="144">
        <v>2.85</v>
      </c>
      <c r="E9" s="159">
        <v>1343</v>
      </c>
      <c r="F9" s="169">
        <v>7</v>
      </c>
      <c r="G9" s="145">
        <f>E9*F9</f>
        <v>9401</v>
      </c>
      <c r="H9" s="146">
        <f>F9*C9</f>
        <v>119</v>
      </c>
      <c r="I9" s="148" t="s">
        <v>204</v>
      </c>
      <c r="J9" s="172">
        <v>6.9444444444444441E-3</v>
      </c>
      <c r="K9" s="173" t="s">
        <v>215</v>
      </c>
    </row>
    <row r="10" spans="1:11" ht="17" x14ac:dyDescent="0.15">
      <c r="A10" s="147">
        <v>2</v>
      </c>
      <c r="B10" s="170" t="s">
        <v>218</v>
      </c>
      <c r="C10" s="158">
        <v>20</v>
      </c>
      <c r="D10" s="144">
        <v>2.85</v>
      </c>
      <c r="E10" s="150">
        <v>1215</v>
      </c>
      <c r="F10" s="171">
        <v>4</v>
      </c>
      <c r="G10" s="145">
        <f t="shared" ref="G10" si="0">E10*F10</f>
        <v>4860</v>
      </c>
      <c r="H10" s="146">
        <f t="shared" ref="H10" si="1">F10*C10</f>
        <v>80</v>
      </c>
      <c r="I10" s="148" t="s">
        <v>27</v>
      </c>
      <c r="J10" s="172">
        <v>6.9444444444444441E-3</v>
      </c>
      <c r="K10" s="173" t="s">
        <v>27</v>
      </c>
    </row>
    <row r="11" spans="1:11" ht="16" x14ac:dyDescent="0.15">
      <c r="A11" s="147"/>
      <c r="B11" s="170"/>
      <c r="C11" s="158"/>
      <c r="D11" s="144"/>
      <c r="E11" s="150"/>
      <c r="F11" s="174"/>
      <c r="G11" s="145"/>
      <c r="H11" s="146"/>
      <c r="I11" s="153" t="s">
        <v>273</v>
      </c>
      <c r="J11" s="176">
        <v>0.84027777777777779</v>
      </c>
      <c r="K11" s="177" t="s">
        <v>274</v>
      </c>
    </row>
    <row r="12" spans="1:11" ht="19.25" customHeight="1" x14ac:dyDescent="0.15">
      <c r="A12" s="147"/>
      <c r="B12" s="148"/>
      <c r="C12" s="175"/>
      <c r="D12" s="144"/>
      <c r="E12" s="159"/>
      <c r="F12" s="169"/>
      <c r="G12" s="145"/>
      <c r="H12" s="146"/>
      <c r="I12" s="153"/>
      <c r="J12" s="176"/>
      <c r="K12" s="177"/>
    </row>
    <row r="13" spans="1:11" ht="16" x14ac:dyDescent="0.15">
      <c r="A13" s="147"/>
      <c r="B13" s="148"/>
      <c r="C13" s="149"/>
      <c r="D13" s="144"/>
      <c r="E13" s="150"/>
      <c r="F13" s="151"/>
      <c r="G13" s="145"/>
      <c r="H13" s="146"/>
      <c r="I13" s="153"/>
      <c r="J13" s="176"/>
      <c r="K13" s="177"/>
    </row>
    <row r="14" spans="1:11" ht="16" x14ac:dyDescent="0.15">
      <c r="A14" s="152"/>
      <c r="B14" s="153"/>
      <c r="C14" s="154"/>
      <c r="D14" s="144"/>
      <c r="E14" s="150"/>
      <c r="F14" s="155"/>
      <c r="G14" s="145"/>
      <c r="H14" s="146"/>
      <c r="I14" s="153"/>
      <c r="J14" s="179"/>
      <c r="K14" s="177"/>
    </row>
    <row r="15" spans="1:11" ht="16" x14ac:dyDescent="0.2">
      <c r="A15" s="156"/>
      <c r="B15" s="157"/>
      <c r="C15" s="158"/>
      <c r="D15" s="144"/>
      <c r="E15" s="159"/>
      <c r="F15" s="158"/>
      <c r="G15" s="145"/>
      <c r="H15" s="146"/>
      <c r="I15" s="178"/>
      <c r="J15" s="179"/>
      <c r="K15" s="177"/>
    </row>
    <row r="16" spans="1:11" ht="16" x14ac:dyDescent="0.2">
      <c r="A16" s="156"/>
      <c r="B16" s="157"/>
      <c r="C16" s="158"/>
      <c r="D16" s="144"/>
      <c r="E16" s="150"/>
      <c r="F16" s="158"/>
      <c r="G16" s="145"/>
      <c r="H16" s="146"/>
      <c r="I16" s="178"/>
      <c r="J16" s="179"/>
      <c r="K16" s="180"/>
    </row>
    <row r="17" spans="1:11" ht="16" x14ac:dyDescent="0.2">
      <c r="A17" s="156"/>
      <c r="B17" s="157"/>
      <c r="C17" s="158"/>
      <c r="D17" s="144"/>
      <c r="E17" s="150"/>
      <c r="F17" s="158"/>
      <c r="G17" s="145"/>
      <c r="H17" s="146"/>
      <c r="I17" s="178"/>
      <c r="J17" s="179"/>
      <c r="K17" s="180"/>
    </row>
    <row r="18" spans="1:11" ht="16" x14ac:dyDescent="0.2">
      <c r="A18" s="161"/>
      <c r="B18" s="162"/>
      <c r="C18" s="158"/>
      <c r="D18" s="144"/>
      <c r="E18" s="163"/>
      <c r="F18" s="164"/>
      <c r="G18" s="145"/>
      <c r="H18" s="146"/>
      <c r="I18" s="160"/>
      <c r="J18" s="165"/>
      <c r="K18" s="160"/>
    </row>
    <row r="19" spans="1:11" x14ac:dyDescent="0.15">
      <c r="A19" s="115"/>
      <c r="B19" s="114"/>
      <c r="C19" s="116"/>
      <c r="D19" s="119"/>
      <c r="E19" s="115"/>
      <c r="F19" s="116"/>
      <c r="G19" s="118"/>
      <c r="H19" s="116"/>
      <c r="I19" s="114"/>
      <c r="J19" s="117"/>
      <c r="K19" s="114"/>
    </row>
    <row r="20" spans="1:11" x14ac:dyDescent="0.15">
      <c r="A20" s="115"/>
      <c r="B20" s="114"/>
      <c r="C20" s="116"/>
      <c r="D20" s="119"/>
      <c r="E20" s="115"/>
      <c r="F20" s="116"/>
      <c r="G20" s="118"/>
      <c r="H20" s="116"/>
      <c r="I20" s="114"/>
      <c r="J20" s="117"/>
      <c r="K20" s="114"/>
    </row>
    <row r="21" spans="1:11" x14ac:dyDescent="0.15">
      <c r="A21" s="115"/>
      <c r="B21" s="114"/>
      <c r="C21" s="120"/>
      <c r="D21" s="115"/>
      <c r="E21" s="117"/>
      <c r="F21" s="120"/>
      <c r="G21" s="118"/>
      <c r="H21" s="116"/>
      <c r="I21" s="114"/>
      <c r="J21" s="117"/>
      <c r="K21" s="114"/>
    </row>
    <row r="22" spans="1:11" x14ac:dyDescent="0.15">
      <c r="A22" s="121"/>
      <c r="B22" s="122"/>
      <c r="C22" s="123"/>
      <c r="D22" s="123"/>
      <c r="E22" s="124" t="s">
        <v>18</v>
      </c>
      <c r="F22" s="125">
        <f>SUM(F9:F21)</f>
        <v>11</v>
      </c>
      <c r="G22" s="126">
        <f>SUM(G9:G21)/F22</f>
        <v>1296.4545454545455</v>
      </c>
      <c r="H22" s="127">
        <f>SUM(H9:H21)/F22</f>
        <v>18.09090909090909</v>
      </c>
      <c r="I22" s="128" t="s">
        <v>19</v>
      </c>
      <c r="J22" s="129">
        <v>20.3</v>
      </c>
      <c r="K22" s="122"/>
    </row>
    <row r="23" spans="1:11" x14ac:dyDescent="0.15">
      <c r="E23" s="130"/>
      <c r="F23" s="131"/>
      <c r="I23" s="132" t="s">
        <v>20</v>
      </c>
      <c r="J23" s="133">
        <v>20.5</v>
      </c>
    </row>
    <row r="24" spans="1:11" x14ac:dyDescent="0.15">
      <c r="A24" s="104"/>
      <c r="I24" s="134"/>
      <c r="J24" s="135"/>
    </row>
    <row r="25" spans="1:11" x14ac:dyDescent="0.15">
      <c r="A25" s="136" t="s">
        <v>21</v>
      </c>
      <c r="B25" s="136"/>
      <c r="C25" s="136"/>
      <c r="D25" s="120"/>
      <c r="H25" s="107" t="s">
        <v>22</v>
      </c>
      <c r="I25" s="107"/>
      <c r="J25" s="130">
        <v>11</v>
      </c>
      <c r="K25" s="104" t="s">
        <v>0</v>
      </c>
    </row>
    <row r="26" spans="1:11" x14ac:dyDescent="0.15">
      <c r="A26" s="136" t="s">
        <v>23</v>
      </c>
      <c r="B26" s="136"/>
      <c r="C26" s="136"/>
      <c r="D26" s="120"/>
      <c r="H26" s="107" t="s">
        <v>24</v>
      </c>
      <c r="I26" s="107"/>
      <c r="J26" s="130">
        <f>1663+11</f>
        <v>1674</v>
      </c>
      <c r="K26" s="104" t="s">
        <v>0</v>
      </c>
    </row>
    <row r="27" spans="1:11" ht="15" thickBot="1" x14ac:dyDescent="0.2">
      <c r="A27" s="137"/>
      <c r="B27" s="137"/>
      <c r="C27" s="137"/>
      <c r="D27" s="137"/>
      <c r="E27" s="138"/>
      <c r="F27" s="138"/>
      <c r="G27" s="137"/>
      <c r="H27" s="139" t="s">
        <v>25</v>
      </c>
      <c r="I27" s="139"/>
      <c r="J27" s="140">
        <v>181.92</v>
      </c>
      <c r="K27" s="141" t="s">
        <v>2</v>
      </c>
    </row>
    <row r="28" spans="1:11" x14ac:dyDescent="0.15">
      <c r="J28" s="105" t="s">
        <v>1</v>
      </c>
    </row>
    <row r="29" spans="1:11" hidden="1" x14ac:dyDescent="0.15">
      <c r="K29" s="105" t="s">
        <v>172</v>
      </c>
    </row>
    <row r="30" spans="1:11" hidden="1" x14ac:dyDescent="0.15">
      <c r="K30" s="105" t="s">
        <v>146</v>
      </c>
    </row>
    <row r="31" spans="1:11" hidden="1" x14ac:dyDescent="0.15">
      <c r="K31" s="105" t="s">
        <v>150</v>
      </c>
    </row>
    <row r="32" spans="1:11" hidden="1" x14ac:dyDescent="0.15">
      <c r="K32" s="105" t="s">
        <v>154</v>
      </c>
    </row>
    <row r="33" spans="9:11" hidden="1" x14ac:dyDescent="0.15">
      <c r="K33" s="105" t="s">
        <v>153</v>
      </c>
    </row>
    <row r="34" spans="9:11" hidden="1" x14ac:dyDescent="0.15">
      <c r="K34" s="105" t="s">
        <v>161</v>
      </c>
    </row>
    <row r="35" spans="9:11" hidden="1" x14ac:dyDescent="0.15">
      <c r="K35" s="105" t="s">
        <v>151</v>
      </c>
    </row>
    <row r="36" spans="9:11" hidden="1" x14ac:dyDescent="0.15">
      <c r="K36" s="105" t="s">
        <v>155</v>
      </c>
    </row>
    <row r="37" spans="9:11" hidden="1" x14ac:dyDescent="0.15">
      <c r="K37" s="105" t="s">
        <v>149</v>
      </c>
    </row>
    <row r="38" spans="9:11" hidden="1" x14ac:dyDescent="0.15">
      <c r="K38" s="105" t="s">
        <v>156</v>
      </c>
    </row>
    <row r="39" spans="9:11" hidden="1" x14ac:dyDescent="0.15">
      <c r="K39" s="105" t="s">
        <v>134</v>
      </c>
    </row>
    <row r="40" spans="9:11" hidden="1" x14ac:dyDescent="0.15">
      <c r="K40" s="105" t="s">
        <v>158</v>
      </c>
    </row>
    <row r="41" spans="9:11" ht="30" hidden="1" x14ac:dyDescent="0.15">
      <c r="I41" s="142" t="s">
        <v>26</v>
      </c>
      <c r="K41" s="105" t="s">
        <v>159</v>
      </c>
    </row>
    <row r="42" spans="9:11" ht="15" hidden="1" x14ac:dyDescent="0.15">
      <c r="I42" s="142" t="s">
        <v>27</v>
      </c>
      <c r="K42" s="105" t="s">
        <v>162</v>
      </c>
    </row>
    <row r="43" spans="9:11" hidden="1" x14ac:dyDescent="0.15">
      <c r="I43" s="143" t="s">
        <v>28</v>
      </c>
      <c r="K43" s="105" t="s">
        <v>173</v>
      </c>
    </row>
    <row r="44" spans="9:11" hidden="1" x14ac:dyDescent="0.15">
      <c r="I44" s="105" t="s">
        <v>29</v>
      </c>
      <c r="K44" s="105" t="s">
        <v>163</v>
      </c>
    </row>
    <row r="45" spans="9:11" hidden="1" x14ac:dyDescent="0.15">
      <c r="I45" s="105" t="s">
        <v>30</v>
      </c>
      <c r="K45" s="105" t="s">
        <v>164</v>
      </c>
    </row>
    <row r="46" spans="9:11" hidden="1" x14ac:dyDescent="0.15">
      <c r="I46" s="105" t="s">
        <v>34</v>
      </c>
      <c r="K46" s="105" t="s">
        <v>147</v>
      </c>
    </row>
    <row r="47" spans="9:11" hidden="1" x14ac:dyDescent="0.15">
      <c r="I47" s="105" t="s">
        <v>35</v>
      </c>
      <c r="K47" s="105" t="s">
        <v>152</v>
      </c>
    </row>
    <row r="48" spans="9:11" hidden="1" x14ac:dyDescent="0.15">
      <c r="I48" s="105" t="s">
        <v>31</v>
      </c>
      <c r="K48" s="105" t="s">
        <v>126</v>
      </c>
    </row>
    <row r="49" spans="9:11" hidden="1" x14ac:dyDescent="0.15">
      <c r="I49" s="105" t="s">
        <v>32</v>
      </c>
      <c r="K49" s="105" t="s">
        <v>136</v>
      </c>
    </row>
    <row r="50" spans="9:11" hidden="1" x14ac:dyDescent="0.15">
      <c r="I50" s="105" t="s">
        <v>33</v>
      </c>
      <c r="K50" s="105" t="s">
        <v>142</v>
      </c>
    </row>
    <row r="51" spans="9:11" hidden="1" x14ac:dyDescent="0.15">
      <c r="K51" s="105" t="s">
        <v>137</v>
      </c>
    </row>
    <row r="52" spans="9:11" hidden="1" x14ac:dyDescent="0.15">
      <c r="K52" s="105" t="s">
        <v>125</v>
      </c>
    </row>
    <row r="53" spans="9:11" hidden="1" x14ac:dyDescent="0.15">
      <c r="K53" s="105" t="s">
        <v>121</v>
      </c>
    </row>
    <row r="54" spans="9:11" hidden="1" x14ac:dyDescent="0.15">
      <c r="K54" s="105" t="s">
        <v>160</v>
      </c>
    </row>
    <row r="55" spans="9:11" hidden="1" x14ac:dyDescent="0.15">
      <c r="K55" s="105" t="s">
        <v>165</v>
      </c>
    </row>
    <row r="56" spans="9:11" hidden="1" x14ac:dyDescent="0.15">
      <c r="K56" s="105" t="s">
        <v>174</v>
      </c>
    </row>
    <row r="57" spans="9:11" hidden="1" x14ac:dyDescent="0.15">
      <c r="K57" s="105" t="s">
        <v>124</v>
      </c>
    </row>
    <row r="58" spans="9:11" hidden="1" x14ac:dyDescent="0.15">
      <c r="K58" s="105" t="s">
        <v>122</v>
      </c>
    </row>
    <row r="59" spans="9:11" hidden="1" x14ac:dyDescent="0.15">
      <c r="K59" s="105" t="s">
        <v>123</v>
      </c>
    </row>
    <row r="60" spans="9:11" hidden="1" x14ac:dyDescent="0.15">
      <c r="K60" s="105" t="s">
        <v>135</v>
      </c>
    </row>
    <row r="61" spans="9:11" hidden="1" x14ac:dyDescent="0.15">
      <c r="K61" s="105" t="s">
        <v>139</v>
      </c>
    </row>
    <row r="62" spans="9:11" hidden="1" x14ac:dyDescent="0.15">
      <c r="K62" s="105" t="s">
        <v>140</v>
      </c>
    </row>
    <row r="63" spans="9:11" hidden="1" x14ac:dyDescent="0.15">
      <c r="K63" s="105" t="s">
        <v>174</v>
      </c>
    </row>
    <row r="64" spans="9:11" hidden="1" x14ac:dyDescent="0.15">
      <c r="K64" s="105" t="s">
        <v>133</v>
      </c>
    </row>
    <row r="65" spans="11:11" hidden="1" x14ac:dyDescent="0.15">
      <c r="K65" s="105" t="s">
        <v>132</v>
      </c>
    </row>
    <row r="66" spans="11:11" hidden="1" x14ac:dyDescent="0.15">
      <c r="K66" s="105" t="s">
        <v>131</v>
      </c>
    </row>
    <row r="67" spans="11:11" hidden="1" x14ac:dyDescent="0.15">
      <c r="K67" s="105" t="s">
        <v>120</v>
      </c>
    </row>
    <row r="68" spans="11:11" hidden="1" x14ac:dyDescent="0.15">
      <c r="K68" s="105" t="s">
        <v>130</v>
      </c>
    </row>
    <row r="69" spans="11:11" hidden="1" x14ac:dyDescent="0.15">
      <c r="K69" s="105" t="s">
        <v>141</v>
      </c>
    </row>
    <row r="70" spans="11:11" hidden="1" x14ac:dyDescent="0.15">
      <c r="K70" s="105" t="s">
        <v>138</v>
      </c>
    </row>
    <row r="71" spans="11:11" hidden="1" x14ac:dyDescent="0.15">
      <c r="K71" s="105" t="s">
        <v>175</v>
      </c>
    </row>
    <row r="72" spans="11:11" hidden="1" x14ac:dyDescent="0.15">
      <c r="K72" s="105" t="s">
        <v>143</v>
      </c>
    </row>
    <row r="73" spans="11:11" hidden="1" x14ac:dyDescent="0.15">
      <c r="K73" s="105" t="s">
        <v>166</v>
      </c>
    </row>
    <row r="74" spans="11:11" hidden="1" x14ac:dyDescent="0.15">
      <c r="K74" s="105" t="s">
        <v>167</v>
      </c>
    </row>
    <row r="75" spans="11:11" hidden="1" x14ac:dyDescent="0.15">
      <c r="K75" s="105" t="s">
        <v>168</v>
      </c>
    </row>
    <row r="76" spans="11:11" hidden="1" x14ac:dyDescent="0.15">
      <c r="K76" s="105" t="s">
        <v>148</v>
      </c>
    </row>
    <row r="77" spans="11:11" hidden="1" x14ac:dyDescent="0.15">
      <c r="K77" s="105" t="s">
        <v>169</v>
      </c>
    </row>
    <row r="78" spans="11:11" hidden="1" x14ac:dyDescent="0.15">
      <c r="K78" s="105" t="s">
        <v>157</v>
      </c>
    </row>
    <row r="79" spans="11:11" hidden="1" x14ac:dyDescent="0.15">
      <c r="K79" s="105" t="s">
        <v>129</v>
      </c>
    </row>
    <row r="80" spans="11:11" hidden="1" x14ac:dyDescent="0.15">
      <c r="K80" s="105" t="s">
        <v>144</v>
      </c>
    </row>
    <row r="81" spans="11:11" hidden="1" x14ac:dyDescent="0.15">
      <c r="K81" s="105" t="s">
        <v>145</v>
      </c>
    </row>
    <row r="82" spans="11:11" hidden="1" x14ac:dyDescent="0.15">
      <c r="K82" s="105" t="s">
        <v>170</v>
      </c>
    </row>
    <row r="83" spans="11:11" hidden="1" x14ac:dyDescent="0.15">
      <c r="K83" s="105" t="s">
        <v>128</v>
      </c>
    </row>
    <row r="84" spans="11:11" hidden="1" x14ac:dyDescent="0.15">
      <c r="K84" s="105" t="s">
        <v>127</v>
      </c>
    </row>
    <row r="85" spans="11:11" hidden="1" x14ac:dyDescent="0.15">
      <c r="K85" s="105" t="s">
        <v>173</v>
      </c>
    </row>
  </sheetData>
  <dataValidations count="3">
    <dataValidation type="list" allowBlank="1" showInputMessage="1" showErrorMessage="1" sqref="I50 K15:K21" xr:uid="{AB944925-91BF-4FC6-A715-553E22E01F40}">
      <formula1>$I$41:$I$50</formula1>
    </dataValidation>
    <dataValidation type="list" allowBlank="1" showInputMessage="1" showErrorMessage="1" sqref="B20:B21" xr:uid="{A2F22BDD-7040-4640-84E5-86C6A4D5C445}">
      <formula1>$K$29:$K$40</formula1>
    </dataValidation>
    <dataValidation type="list" allowBlank="1" showInputMessage="1" showErrorMessage="1" sqref="B16:B19" xr:uid="{B145C064-80D3-466A-B30E-585B8C889F6B}">
      <formula1>$K$29:$K$85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">
    <pageSetUpPr fitToPage="1"/>
  </sheetPr>
  <dimension ref="A1:AU127"/>
  <sheetViews>
    <sheetView tabSelected="1" zoomScale="93" zoomScaleNormal="93" zoomScaleSheetLayoutView="41" workbookViewId="0">
      <pane xSplit="7" ySplit="2" topLeftCell="K115" activePane="bottomRight" state="frozen"/>
      <selection activeCell="K28" sqref="K28"/>
      <selection pane="topRight" activeCell="K28" sqref="K28"/>
      <selection pane="bottomLeft" activeCell="K28" sqref="K28"/>
      <selection pane="bottomRight" activeCell="AJ8" sqref="AJ8"/>
    </sheetView>
  </sheetViews>
  <sheetFormatPr baseColWidth="10" defaultColWidth="9.1640625" defaultRowHeight="20" x14ac:dyDescent="0.2"/>
  <cols>
    <col min="1" max="1" width="4.5" style="26" customWidth="1"/>
    <col min="2" max="2" width="67.33203125" style="1" bestFit="1" customWidth="1"/>
    <col min="3" max="3" width="14.83203125" style="8" hidden="1" customWidth="1"/>
    <col min="4" max="4" width="12.1640625" style="1" customWidth="1"/>
    <col min="5" max="5" width="12.6640625" style="1" hidden="1" customWidth="1"/>
    <col min="6" max="6" width="17.33203125" style="1" hidden="1" customWidth="1"/>
    <col min="7" max="10" width="10.1640625" style="1" customWidth="1"/>
    <col min="11" max="11" width="10.33203125" style="1" bestFit="1" customWidth="1"/>
    <col min="12" max="12" width="10.5" style="1" customWidth="1"/>
    <col min="13" max="13" width="10.1640625" style="1" customWidth="1"/>
    <col min="14" max="14" width="11.6640625" style="1" customWidth="1"/>
    <col min="15" max="15" width="12.5" style="1" customWidth="1"/>
    <col min="16" max="16" width="14.6640625" style="1" customWidth="1"/>
    <col min="17" max="17" width="12" style="1" customWidth="1"/>
    <col min="18" max="18" width="12.1640625" style="1" customWidth="1"/>
    <col min="19" max="19" width="11.83203125" style="1" customWidth="1"/>
    <col min="20" max="20" width="13.1640625" style="1" customWidth="1"/>
    <col min="21" max="21" width="13" style="1" customWidth="1"/>
    <col min="22" max="22" width="15" style="1" customWidth="1"/>
    <col min="23" max="25" width="11.33203125" style="1" customWidth="1"/>
    <col min="26" max="26" width="13.1640625" style="1" customWidth="1"/>
    <col min="27" max="27" width="12.83203125" style="1" customWidth="1"/>
    <col min="28" max="34" width="11.33203125" style="1" customWidth="1"/>
    <col min="35" max="35" width="34.33203125" style="9" customWidth="1"/>
    <col min="36" max="36" width="14.83203125" style="1" customWidth="1"/>
    <col min="37" max="37" width="13.5" style="1" customWidth="1"/>
    <col min="38" max="38" width="17" style="1" customWidth="1"/>
    <col min="39" max="39" width="10" style="1" customWidth="1"/>
    <col min="40" max="16384" width="9.1640625" style="1"/>
  </cols>
  <sheetData>
    <row r="1" spans="1:36" ht="23" x14ac:dyDescent="0.25">
      <c r="A1" s="27" t="s">
        <v>1</v>
      </c>
      <c r="B1" s="101" t="s">
        <v>217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3"/>
    </row>
    <row r="2" spans="1:36" ht="44.25" customHeight="1" x14ac:dyDescent="0.2">
      <c r="A2" s="23"/>
      <c r="B2" s="17" t="s">
        <v>36</v>
      </c>
      <c r="C2" s="17" t="s">
        <v>176</v>
      </c>
      <c r="D2" s="18" t="s">
        <v>37</v>
      </c>
      <c r="E2" s="18">
        <v>1</v>
      </c>
      <c r="F2" s="18">
        <v>2</v>
      </c>
      <c r="G2" s="18">
        <v>1</v>
      </c>
      <c r="H2" s="18">
        <v>2</v>
      </c>
      <c r="I2" s="18">
        <v>3</v>
      </c>
      <c r="J2" s="18">
        <v>4</v>
      </c>
      <c r="K2" s="18">
        <v>5</v>
      </c>
      <c r="L2" s="18">
        <v>6</v>
      </c>
      <c r="M2" s="18">
        <v>7</v>
      </c>
      <c r="N2" s="18">
        <v>8</v>
      </c>
      <c r="O2" s="18">
        <v>9</v>
      </c>
      <c r="P2" s="18">
        <v>10</v>
      </c>
      <c r="Q2" s="18">
        <v>11</v>
      </c>
      <c r="R2" s="18">
        <v>12</v>
      </c>
      <c r="S2" s="18">
        <v>13</v>
      </c>
      <c r="T2" s="18">
        <v>14</v>
      </c>
      <c r="U2" s="18">
        <v>15</v>
      </c>
      <c r="V2" s="18">
        <v>16</v>
      </c>
      <c r="W2" s="18">
        <v>17</v>
      </c>
      <c r="X2" s="18">
        <v>18</v>
      </c>
      <c r="Y2" s="18">
        <v>19</v>
      </c>
      <c r="Z2" s="18">
        <v>20</v>
      </c>
      <c r="AA2" s="18">
        <v>21</v>
      </c>
      <c r="AB2" s="18">
        <v>22</v>
      </c>
      <c r="AC2" s="18">
        <v>23</v>
      </c>
      <c r="AD2" s="18">
        <v>24</v>
      </c>
      <c r="AE2" s="18">
        <v>25</v>
      </c>
      <c r="AF2" s="18">
        <v>26</v>
      </c>
      <c r="AG2" s="18">
        <v>27</v>
      </c>
      <c r="AH2" s="18">
        <v>28</v>
      </c>
      <c r="AI2" s="19" t="s">
        <v>38</v>
      </c>
    </row>
    <row r="3" spans="1:36" s="3" customFormat="1" x14ac:dyDescent="0.2">
      <c r="A3" s="24" t="s">
        <v>39</v>
      </c>
      <c r="B3" s="20" t="s">
        <v>40</v>
      </c>
      <c r="C3" s="11"/>
      <c r="D3" s="5" t="s">
        <v>41</v>
      </c>
      <c r="E3" s="10"/>
      <c r="F3" s="12"/>
      <c r="G3" s="12"/>
      <c r="H3" s="12"/>
      <c r="I3" s="201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</row>
    <row r="4" spans="1:36" x14ac:dyDescent="0.2">
      <c r="A4" s="25">
        <v>1</v>
      </c>
      <c r="B4" s="21" t="s">
        <v>195</v>
      </c>
      <c r="C4" s="14"/>
      <c r="D4" s="13" t="s">
        <v>0</v>
      </c>
      <c r="E4" s="10">
        <v>0</v>
      </c>
      <c r="F4" s="10">
        <v>0</v>
      </c>
      <c r="G4" s="10">
        <v>3.528</v>
      </c>
      <c r="H4" s="10">
        <v>8.82</v>
      </c>
      <c r="I4" s="10">
        <v>8.82</v>
      </c>
      <c r="J4" s="10">
        <v>12.384</v>
      </c>
      <c r="K4" s="10">
        <v>14.112</v>
      </c>
      <c r="L4" s="10">
        <v>8.82</v>
      </c>
      <c r="M4" s="10">
        <v>17.64</v>
      </c>
      <c r="N4" s="10">
        <v>10.584</v>
      </c>
      <c r="O4" s="35">
        <v>12.348000000000001</v>
      </c>
      <c r="P4" s="35">
        <v>7.056</v>
      </c>
      <c r="Q4" s="35">
        <v>0</v>
      </c>
      <c r="R4" s="35">
        <v>0</v>
      </c>
      <c r="S4" s="35">
        <v>0</v>
      </c>
      <c r="T4" s="35">
        <v>8.82</v>
      </c>
      <c r="U4" s="35">
        <v>4.032</v>
      </c>
      <c r="V4" s="35">
        <v>5.2919999999999998</v>
      </c>
      <c r="W4" s="35">
        <v>3.78</v>
      </c>
      <c r="X4" s="35">
        <v>6.048</v>
      </c>
      <c r="Y4" s="35">
        <v>5.2919999999999998</v>
      </c>
      <c r="Z4" s="35">
        <v>8.3160000000000007</v>
      </c>
      <c r="AA4" s="35">
        <v>9.0719999999999992</v>
      </c>
      <c r="AB4" s="35">
        <v>4.5359999999999996</v>
      </c>
      <c r="AC4" s="35">
        <v>5.5439999999999996</v>
      </c>
      <c r="AD4" s="183">
        <v>5.2919999999999998</v>
      </c>
      <c r="AE4" s="183">
        <v>5.2919999999999998</v>
      </c>
      <c r="AF4" s="183">
        <v>3.78</v>
      </c>
      <c r="AG4" s="183">
        <v>2.2679999999999998</v>
      </c>
      <c r="AH4" s="183">
        <v>0.75600000000000001</v>
      </c>
      <c r="AI4" s="32">
        <f>SUM(G4:AH4)</f>
        <v>182.232</v>
      </c>
      <c r="AJ4" s="2"/>
    </row>
    <row r="5" spans="1:36" x14ac:dyDescent="0.2">
      <c r="A5" s="25">
        <v>2</v>
      </c>
      <c r="B5" s="21" t="s">
        <v>202</v>
      </c>
      <c r="C5" s="14"/>
      <c r="D5" s="13" t="s">
        <v>0</v>
      </c>
      <c r="E5" s="10"/>
      <c r="F5" s="10"/>
      <c r="G5" s="10">
        <v>18.899999999999999</v>
      </c>
      <c r="H5" s="10">
        <v>35.28</v>
      </c>
      <c r="I5" s="10">
        <v>42.335999999999999</v>
      </c>
      <c r="J5" s="10">
        <v>54.683999999999997</v>
      </c>
      <c r="K5" s="10">
        <v>45.863999999999997</v>
      </c>
      <c r="L5" s="10">
        <v>58.716000000000001</v>
      </c>
      <c r="M5" s="10">
        <v>31.751999999999999</v>
      </c>
      <c r="N5" s="10">
        <v>24.948</v>
      </c>
      <c r="O5" s="35">
        <v>26.46</v>
      </c>
      <c r="P5" s="35">
        <v>15.12</v>
      </c>
      <c r="Q5" s="35">
        <v>0</v>
      </c>
      <c r="R5" s="35">
        <v>0</v>
      </c>
      <c r="S5" s="35">
        <v>0</v>
      </c>
      <c r="T5" s="35">
        <v>37.799999999999997</v>
      </c>
      <c r="U5" s="35">
        <v>34.020000000000003</v>
      </c>
      <c r="V5" s="35">
        <v>44.1</v>
      </c>
      <c r="W5" s="35">
        <v>23.94</v>
      </c>
      <c r="X5" s="35">
        <v>39.06</v>
      </c>
      <c r="Y5" s="35">
        <v>39.564</v>
      </c>
      <c r="Z5" s="35">
        <v>39.311999999999998</v>
      </c>
      <c r="AA5" s="35">
        <v>37.043999999999997</v>
      </c>
      <c r="AB5" s="35">
        <v>50.904000000000003</v>
      </c>
      <c r="AC5" s="35">
        <v>54.18</v>
      </c>
      <c r="AD5" s="183">
        <v>61.74</v>
      </c>
      <c r="AE5" s="183">
        <v>54.683999999999997</v>
      </c>
      <c r="AF5" s="183">
        <v>58.212000000000003</v>
      </c>
      <c r="AG5" s="183">
        <v>68.796000000000006</v>
      </c>
      <c r="AH5" s="183">
        <v>7.056</v>
      </c>
      <c r="AI5" s="32">
        <f>SUM(G5:AH5)</f>
        <v>1004.472</v>
      </c>
      <c r="AJ5" s="2"/>
    </row>
    <row r="6" spans="1:36" x14ac:dyDescent="0.2">
      <c r="A6" s="25">
        <v>3</v>
      </c>
      <c r="B6" s="21" t="s">
        <v>203</v>
      </c>
      <c r="C6" s="14"/>
      <c r="D6" s="13" t="s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183">
        <v>0</v>
      </c>
      <c r="AE6" s="183">
        <v>0</v>
      </c>
      <c r="AF6" s="183">
        <v>0</v>
      </c>
      <c r="AG6" s="183">
        <v>0</v>
      </c>
      <c r="AH6" s="183">
        <v>0</v>
      </c>
      <c r="AI6" s="32">
        <f>SUM(G6:AH6)</f>
        <v>0</v>
      </c>
      <c r="AJ6" s="2"/>
    </row>
    <row r="7" spans="1:36" x14ac:dyDescent="0.2">
      <c r="A7" s="25">
        <v>4</v>
      </c>
      <c r="B7" s="21" t="s">
        <v>197</v>
      </c>
      <c r="C7" s="14"/>
      <c r="D7" s="13" t="s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183">
        <v>0</v>
      </c>
      <c r="AE7" s="183">
        <v>0</v>
      </c>
      <c r="AF7" s="183">
        <v>0</v>
      </c>
      <c r="AG7" s="183">
        <v>0</v>
      </c>
      <c r="AH7" s="183">
        <v>0</v>
      </c>
      <c r="AI7" s="32">
        <f>SUM(G7:AH7)</f>
        <v>0</v>
      </c>
      <c r="AJ7" s="2"/>
    </row>
    <row r="8" spans="1:36" x14ac:dyDescent="0.2">
      <c r="A8" s="25">
        <v>5</v>
      </c>
      <c r="B8" s="21" t="s">
        <v>210</v>
      </c>
      <c r="C8" s="14"/>
      <c r="D8" s="13" t="s">
        <v>0</v>
      </c>
      <c r="E8" s="10"/>
      <c r="F8" s="10"/>
      <c r="G8" s="10">
        <v>2.34</v>
      </c>
      <c r="H8" s="10">
        <v>0</v>
      </c>
      <c r="I8" s="10">
        <v>0</v>
      </c>
      <c r="J8" s="10">
        <v>0</v>
      </c>
      <c r="K8" s="10">
        <v>0</v>
      </c>
      <c r="L8" s="10">
        <v>3.12</v>
      </c>
      <c r="M8" s="10">
        <v>43.68</v>
      </c>
      <c r="N8" s="10">
        <v>34.32</v>
      </c>
      <c r="O8" s="35">
        <v>36.4</v>
      </c>
      <c r="P8" s="35">
        <v>20.8</v>
      </c>
      <c r="Q8" s="35">
        <v>0</v>
      </c>
      <c r="R8" s="35">
        <v>0</v>
      </c>
      <c r="S8" s="35">
        <v>0</v>
      </c>
      <c r="T8" s="35">
        <v>15.6</v>
      </c>
      <c r="U8" s="35">
        <v>14.04</v>
      </c>
      <c r="V8" s="35">
        <v>18.2</v>
      </c>
      <c r="W8" s="35">
        <v>9.8800000000000008</v>
      </c>
      <c r="X8" s="35">
        <v>16.244</v>
      </c>
      <c r="Y8" s="35">
        <v>17.420000000000002</v>
      </c>
      <c r="Z8" s="35">
        <v>30.42</v>
      </c>
      <c r="AA8" s="35">
        <v>41.86</v>
      </c>
      <c r="AB8" s="35">
        <v>11.18</v>
      </c>
      <c r="AC8" s="35">
        <v>4.032</v>
      </c>
      <c r="AD8" s="183">
        <v>0</v>
      </c>
      <c r="AE8" s="183">
        <v>0</v>
      </c>
      <c r="AF8" s="183">
        <v>0</v>
      </c>
      <c r="AG8" s="183">
        <v>0</v>
      </c>
      <c r="AH8" s="183">
        <v>0</v>
      </c>
      <c r="AI8" s="32">
        <f>SUM(G8:AH8)</f>
        <v>319.536</v>
      </c>
      <c r="AJ8" s="2"/>
    </row>
    <row r="9" spans="1:36" x14ac:dyDescent="0.2">
      <c r="A9" s="25">
        <v>6</v>
      </c>
      <c r="B9" s="21" t="s">
        <v>205</v>
      </c>
      <c r="C9" s="14"/>
      <c r="D9" s="13" t="s">
        <v>0</v>
      </c>
      <c r="E9" s="10"/>
      <c r="F9" s="10"/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183">
        <v>0</v>
      </c>
      <c r="AE9" s="183">
        <v>0</v>
      </c>
      <c r="AF9" s="183">
        <v>0</v>
      </c>
      <c r="AG9" s="183">
        <v>0</v>
      </c>
      <c r="AH9" s="183">
        <v>0</v>
      </c>
      <c r="AI9" s="32">
        <f>SUM(G9:AH9)</f>
        <v>0</v>
      </c>
      <c r="AJ9" s="2"/>
    </row>
    <row r="10" spans="1:36" x14ac:dyDescent="0.2">
      <c r="A10" s="25">
        <v>7</v>
      </c>
      <c r="B10" s="21" t="s">
        <v>206</v>
      </c>
      <c r="C10" s="14"/>
      <c r="D10" s="13" t="s">
        <v>0</v>
      </c>
      <c r="E10" s="10"/>
      <c r="F10" s="10"/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3.1440000000000001</v>
      </c>
      <c r="V10" s="10">
        <v>7.3360000000000003</v>
      </c>
      <c r="W10" s="10">
        <v>5.24</v>
      </c>
      <c r="X10" s="10">
        <v>8.3840000000000003</v>
      </c>
      <c r="Y10" s="10">
        <v>7.3360000000000003</v>
      </c>
      <c r="Z10" s="10">
        <v>11.528</v>
      </c>
      <c r="AA10" s="10">
        <v>12.576000000000001</v>
      </c>
      <c r="AB10" s="10">
        <v>6.2880000000000003</v>
      </c>
      <c r="AC10" s="10">
        <v>7.3360000000000003</v>
      </c>
      <c r="AD10" s="184">
        <v>7.3360000000000003</v>
      </c>
      <c r="AE10" s="184">
        <v>7.3360000000000003</v>
      </c>
      <c r="AF10" s="184">
        <v>5.24</v>
      </c>
      <c r="AG10" s="184">
        <v>3.1440000000000001</v>
      </c>
      <c r="AH10" s="184">
        <v>1.048</v>
      </c>
      <c r="AI10" s="32">
        <f>SUM(G10:AH10)</f>
        <v>93.271999999999991</v>
      </c>
      <c r="AJ10" s="2"/>
    </row>
    <row r="11" spans="1:36" x14ac:dyDescent="0.2">
      <c r="A11" s="25">
        <v>8</v>
      </c>
      <c r="B11" s="21" t="s">
        <v>212</v>
      </c>
      <c r="C11" s="14"/>
      <c r="D11" s="13" t="s">
        <v>0</v>
      </c>
      <c r="E11" s="10"/>
      <c r="F11" s="10"/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84">
        <v>0</v>
      </c>
      <c r="AE11" s="184">
        <v>0</v>
      </c>
      <c r="AF11" s="184">
        <v>0</v>
      </c>
      <c r="AG11" s="184">
        <v>0</v>
      </c>
      <c r="AH11" s="184">
        <v>0</v>
      </c>
      <c r="AI11" s="32">
        <f>SUM(G11:AH11)</f>
        <v>0</v>
      </c>
      <c r="AJ11" s="2"/>
    </row>
    <row r="12" spans="1:36" x14ac:dyDescent="0.2">
      <c r="A12" s="25">
        <v>9</v>
      </c>
      <c r="B12" s="21" t="s">
        <v>209</v>
      </c>
      <c r="C12" s="14"/>
      <c r="D12" s="13" t="s">
        <v>0</v>
      </c>
      <c r="E12" s="10"/>
      <c r="F12" s="10"/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1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84">
        <v>0</v>
      </c>
      <c r="AE12" s="184">
        <v>0</v>
      </c>
      <c r="AF12" s="184">
        <v>0</v>
      </c>
      <c r="AG12" s="184">
        <v>0</v>
      </c>
      <c r="AH12" s="184">
        <v>0</v>
      </c>
      <c r="AI12" s="32">
        <f>SUM(G12:AH12)</f>
        <v>2</v>
      </c>
      <c r="AJ12" s="2"/>
    </row>
    <row r="13" spans="1:36" x14ac:dyDescent="0.2">
      <c r="A13" s="25"/>
      <c r="B13" s="28" t="s">
        <v>43</v>
      </c>
      <c r="C13" s="29"/>
      <c r="D13" s="30" t="s">
        <v>0</v>
      </c>
      <c r="E13" s="31">
        <f>SUM(E4:E7)</f>
        <v>0</v>
      </c>
      <c r="F13" s="31">
        <f>SUM(F4:F7)</f>
        <v>0</v>
      </c>
      <c r="G13" s="31">
        <f t="shared" ref="G13:L13" si="0">SUM(G4:G12)</f>
        <v>24.767999999999997</v>
      </c>
      <c r="H13" s="31">
        <f t="shared" si="0"/>
        <v>44.1</v>
      </c>
      <c r="I13" s="31">
        <f t="shared" si="0"/>
        <v>51.155999999999999</v>
      </c>
      <c r="J13" s="31">
        <f t="shared" si="0"/>
        <v>67.067999999999998</v>
      </c>
      <c r="K13" s="31">
        <f t="shared" si="0"/>
        <v>59.975999999999999</v>
      </c>
      <c r="L13" s="31">
        <f t="shared" si="0"/>
        <v>70.656000000000006</v>
      </c>
      <c r="M13" s="31">
        <f t="shared" ref="M13:R13" si="1">SUM(M4:M12)</f>
        <v>93.072000000000003</v>
      </c>
      <c r="N13" s="31">
        <f t="shared" si="1"/>
        <v>70.852000000000004</v>
      </c>
      <c r="O13" s="31">
        <f t="shared" si="1"/>
        <v>76.207999999999998</v>
      </c>
      <c r="P13" s="31">
        <f t="shared" si="1"/>
        <v>42.975999999999999</v>
      </c>
      <c r="Q13" s="31">
        <f t="shared" si="1"/>
        <v>0</v>
      </c>
      <c r="R13" s="31">
        <f t="shared" si="1"/>
        <v>0</v>
      </c>
      <c r="S13" s="31">
        <f t="shared" ref="S13:X13" si="2">SUM(S4:S12)</f>
        <v>0</v>
      </c>
      <c r="T13" s="31">
        <f t="shared" si="2"/>
        <v>62.22</v>
      </c>
      <c r="U13" s="31">
        <f t="shared" si="2"/>
        <v>55.236000000000004</v>
      </c>
      <c r="V13" s="31">
        <f t="shared" si="2"/>
        <v>74.927999999999997</v>
      </c>
      <c r="W13" s="31">
        <f t="shared" si="2"/>
        <v>42.84</v>
      </c>
      <c r="X13" s="31">
        <f t="shared" si="2"/>
        <v>69.736000000000004</v>
      </c>
      <c r="Y13" s="31">
        <f t="shared" ref="Y13:AD13" si="3">SUM(Y4:Y12)</f>
        <v>69.612000000000009</v>
      </c>
      <c r="Z13" s="31">
        <f t="shared" si="3"/>
        <v>89.576000000000008</v>
      </c>
      <c r="AA13" s="31">
        <f t="shared" si="3"/>
        <v>100.55199999999999</v>
      </c>
      <c r="AB13" s="31">
        <f t="shared" si="3"/>
        <v>72.908000000000001</v>
      </c>
      <c r="AC13" s="31">
        <f t="shared" si="3"/>
        <v>71.091999999999999</v>
      </c>
      <c r="AD13" s="31">
        <f t="shared" si="3"/>
        <v>74.367999999999995</v>
      </c>
      <c r="AE13" s="31">
        <f>SUM(AE4:AE12)</f>
        <v>67.311999999999998</v>
      </c>
      <c r="AF13" s="31">
        <f t="shared" ref="AF13:AH13" si="4">SUM(AF4:AF12)</f>
        <v>67.231999999999999</v>
      </c>
      <c r="AG13" s="31">
        <f t="shared" si="4"/>
        <v>74.208000000000013</v>
      </c>
      <c r="AH13" s="31">
        <f t="shared" si="4"/>
        <v>8.86</v>
      </c>
      <c r="AI13" s="32">
        <f>SUM(G13:AH13)</f>
        <v>1601.5119999999997</v>
      </c>
      <c r="AJ13" s="2"/>
    </row>
    <row r="14" spans="1:36" ht="25" x14ac:dyDescent="0.25">
      <c r="A14" s="24" t="s">
        <v>44</v>
      </c>
      <c r="B14" s="34" t="s">
        <v>201</v>
      </c>
      <c r="C14" s="37"/>
      <c r="D14" s="37"/>
      <c r="E14" s="37"/>
      <c r="F14" s="37"/>
      <c r="G14" s="37"/>
      <c r="H14" s="213"/>
      <c r="I14" s="214"/>
      <c r="J14" s="214"/>
      <c r="K14" s="214"/>
      <c r="L14" s="214"/>
      <c r="M14" s="214"/>
      <c r="N14" s="214"/>
      <c r="O14" s="214"/>
      <c r="P14" s="215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2">
        <f>SUM(G14:AH14)</f>
        <v>0</v>
      </c>
      <c r="AJ14" s="2"/>
    </row>
    <row r="15" spans="1:36" x14ac:dyDescent="0.2">
      <c r="A15" s="25">
        <v>1</v>
      </c>
      <c r="B15" s="22" t="s">
        <v>184</v>
      </c>
      <c r="C15" s="14"/>
      <c r="D15" s="13" t="s">
        <v>45</v>
      </c>
      <c r="E15" s="10"/>
      <c r="F15" s="10"/>
      <c r="G15" s="10">
        <v>0</v>
      </c>
      <c r="H15" s="10">
        <v>0</v>
      </c>
      <c r="I15" s="10">
        <v>0</v>
      </c>
      <c r="J15" s="16">
        <v>0</v>
      </c>
      <c r="K15" s="16">
        <v>0</v>
      </c>
      <c r="L15" s="10">
        <v>0</v>
      </c>
      <c r="M15" s="10">
        <v>100</v>
      </c>
      <c r="N15" s="10">
        <v>110</v>
      </c>
      <c r="O15" s="35">
        <v>90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2">
        <f>SUM(G15:AH15)</f>
        <v>300</v>
      </c>
      <c r="AJ15" s="2"/>
    </row>
    <row r="16" spans="1:36" x14ac:dyDescent="0.2">
      <c r="A16" s="25">
        <v>2</v>
      </c>
      <c r="B16" s="22" t="s">
        <v>183</v>
      </c>
      <c r="C16" s="14"/>
      <c r="D16" s="13" t="s">
        <v>45</v>
      </c>
      <c r="E16" s="10"/>
      <c r="F16" s="10"/>
      <c r="G16" s="10">
        <v>9</v>
      </c>
      <c r="H16" s="10">
        <v>22</v>
      </c>
      <c r="I16" s="10">
        <v>25</v>
      </c>
      <c r="J16" s="10">
        <v>36</v>
      </c>
      <c r="K16" s="10">
        <v>36</v>
      </c>
      <c r="L16" s="10">
        <v>25</v>
      </c>
      <c r="M16" s="39">
        <v>23</v>
      </c>
      <c r="N16" s="10">
        <v>43</v>
      </c>
      <c r="O16" s="35">
        <v>37</v>
      </c>
      <c r="P16" s="40">
        <v>24</v>
      </c>
      <c r="Q16" s="35">
        <v>3</v>
      </c>
      <c r="R16" s="35">
        <v>0</v>
      </c>
      <c r="S16" s="35">
        <v>0</v>
      </c>
      <c r="T16" s="35">
        <v>45</v>
      </c>
      <c r="U16" s="35">
        <v>15</v>
      </c>
      <c r="V16" s="35">
        <v>20</v>
      </c>
      <c r="W16" s="35">
        <v>24</v>
      </c>
      <c r="X16" s="35">
        <v>23</v>
      </c>
      <c r="Y16" s="35">
        <v>25</v>
      </c>
      <c r="Z16" s="35">
        <v>33</v>
      </c>
      <c r="AA16" s="35">
        <v>23</v>
      </c>
      <c r="AB16" s="35">
        <v>20</v>
      </c>
      <c r="AC16" s="35">
        <v>24</v>
      </c>
      <c r="AD16" s="35">
        <v>25</v>
      </c>
      <c r="AE16" s="35">
        <v>24</v>
      </c>
      <c r="AF16" s="35">
        <v>25</v>
      </c>
      <c r="AG16" s="35">
        <v>21</v>
      </c>
      <c r="AH16" s="35">
        <v>4</v>
      </c>
      <c r="AI16" s="32">
        <f>SUM(G16:AH16)</f>
        <v>634</v>
      </c>
      <c r="AJ16" s="2"/>
    </row>
    <row r="17" spans="1:38" x14ac:dyDescent="0.2">
      <c r="A17" s="25">
        <v>3</v>
      </c>
      <c r="B17" s="22" t="s">
        <v>179</v>
      </c>
      <c r="C17" s="14"/>
      <c r="D17" s="13" t="s">
        <v>45</v>
      </c>
      <c r="E17" s="10"/>
      <c r="F17" s="10"/>
      <c r="G17" s="10">
        <v>430</v>
      </c>
      <c r="H17" s="10">
        <v>470</v>
      </c>
      <c r="I17" s="10">
        <v>100</v>
      </c>
      <c r="J17" s="10">
        <v>650</v>
      </c>
      <c r="K17" s="10">
        <v>660</v>
      </c>
      <c r="L17" s="10">
        <v>630</v>
      </c>
      <c r="M17" s="10">
        <v>1550</v>
      </c>
      <c r="N17" s="10">
        <v>750</v>
      </c>
      <c r="O17" s="35">
        <v>820</v>
      </c>
      <c r="P17" s="35">
        <v>510</v>
      </c>
      <c r="Q17" s="35">
        <v>20</v>
      </c>
      <c r="R17" s="35">
        <v>0</v>
      </c>
      <c r="S17" s="35">
        <v>0</v>
      </c>
      <c r="T17" s="35">
        <v>0</v>
      </c>
      <c r="U17" s="35">
        <v>50</v>
      </c>
      <c r="V17" s="35">
        <v>890</v>
      </c>
      <c r="W17" s="35">
        <v>460</v>
      </c>
      <c r="X17" s="35">
        <v>870</v>
      </c>
      <c r="Y17" s="35">
        <v>660</v>
      </c>
      <c r="Z17" s="35">
        <v>1280</v>
      </c>
      <c r="AA17" s="35">
        <v>1600</v>
      </c>
      <c r="AB17" s="35">
        <v>580</v>
      </c>
      <c r="AC17" s="35">
        <v>370</v>
      </c>
      <c r="AD17" s="35">
        <v>640</v>
      </c>
      <c r="AE17" s="35">
        <v>530</v>
      </c>
      <c r="AF17" s="35">
        <v>440</v>
      </c>
      <c r="AG17" s="35">
        <v>30</v>
      </c>
      <c r="AH17" s="35">
        <v>220</v>
      </c>
      <c r="AI17" s="32">
        <f>SUM(G17:AH17)</f>
        <v>15210</v>
      </c>
      <c r="AJ17" s="2"/>
    </row>
    <row r="18" spans="1:38" x14ac:dyDescent="0.2">
      <c r="A18" s="25">
        <v>4</v>
      </c>
      <c r="B18" s="22" t="s">
        <v>180</v>
      </c>
      <c r="C18" s="14"/>
      <c r="D18" s="13" t="s">
        <v>45</v>
      </c>
      <c r="E18" s="10"/>
      <c r="F18" s="10"/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  <c r="AI18" s="32">
        <f>SUM(G18:AH18)</f>
        <v>0</v>
      </c>
      <c r="AJ18" s="2"/>
    </row>
    <row r="19" spans="1:38" x14ac:dyDescent="0.2">
      <c r="A19" s="25">
        <v>5</v>
      </c>
      <c r="B19" s="22" t="s">
        <v>182</v>
      </c>
      <c r="C19" s="14"/>
      <c r="D19" s="13" t="s">
        <v>45</v>
      </c>
      <c r="E19" s="10"/>
      <c r="F19" s="10"/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10">
        <v>0</v>
      </c>
      <c r="Z19" s="10">
        <v>0</v>
      </c>
      <c r="AA19" s="10">
        <v>0</v>
      </c>
      <c r="AB19" s="10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2">
        <f>SUM(G19:AH19)</f>
        <v>0</v>
      </c>
      <c r="AJ19" s="2"/>
    </row>
    <row r="20" spans="1:38" x14ac:dyDescent="0.2">
      <c r="A20" s="25">
        <v>6</v>
      </c>
      <c r="B20" s="22" t="s">
        <v>213</v>
      </c>
      <c r="C20" s="14"/>
      <c r="D20" s="13" t="s">
        <v>45</v>
      </c>
      <c r="E20" s="10"/>
      <c r="F20" s="10"/>
      <c r="G20" s="10">
        <v>27</v>
      </c>
      <c r="H20" s="10">
        <v>39</v>
      </c>
      <c r="I20" s="10">
        <v>42</v>
      </c>
      <c r="J20" s="10">
        <v>54</v>
      </c>
      <c r="K20" s="10">
        <v>53</v>
      </c>
      <c r="L20" s="10">
        <v>50</v>
      </c>
      <c r="M20" s="10">
        <v>95</v>
      </c>
      <c r="N20" s="10">
        <v>47</v>
      </c>
      <c r="O20" s="10">
        <v>45</v>
      </c>
      <c r="P20" s="10">
        <v>35</v>
      </c>
      <c r="Q20" s="10">
        <v>5</v>
      </c>
      <c r="R20" s="10">
        <v>0</v>
      </c>
      <c r="S20" s="10">
        <v>0</v>
      </c>
      <c r="T20" s="10">
        <v>45</v>
      </c>
      <c r="U20" s="10">
        <v>47</v>
      </c>
      <c r="V20" s="10">
        <v>55</v>
      </c>
      <c r="W20" s="10">
        <v>33</v>
      </c>
      <c r="X20" s="35">
        <v>48</v>
      </c>
      <c r="Y20" s="10">
        <v>54</v>
      </c>
      <c r="Z20" s="10">
        <v>78</v>
      </c>
      <c r="AA20" s="10">
        <v>85</v>
      </c>
      <c r="AB20" s="10">
        <v>45</v>
      </c>
      <c r="AC20" s="35">
        <v>45</v>
      </c>
      <c r="AD20" s="35">
        <v>44</v>
      </c>
      <c r="AE20" s="35">
        <v>40</v>
      </c>
      <c r="AF20" s="35">
        <v>40</v>
      </c>
      <c r="AG20" s="35">
        <v>47</v>
      </c>
      <c r="AH20" s="35">
        <v>10</v>
      </c>
      <c r="AI20" s="32">
        <f>SUM(G20:AH20)</f>
        <v>1208</v>
      </c>
      <c r="AJ20" s="2"/>
    </row>
    <row r="21" spans="1:38" x14ac:dyDescent="0.2">
      <c r="A21" s="25">
        <v>7</v>
      </c>
      <c r="B21" s="22" t="s">
        <v>181</v>
      </c>
      <c r="C21" s="14"/>
      <c r="D21" s="13" t="s">
        <v>45</v>
      </c>
      <c r="E21" s="10"/>
      <c r="F21" s="10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10">
        <v>0</v>
      </c>
      <c r="Z21" s="10">
        <v>0</v>
      </c>
      <c r="AA21" s="10">
        <v>0</v>
      </c>
      <c r="AB21" s="10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2">
        <f>SUM(G21:AH21)</f>
        <v>0</v>
      </c>
      <c r="AJ21" s="2"/>
    </row>
    <row r="22" spans="1:38" x14ac:dyDescent="0.2">
      <c r="A22" s="25">
        <v>8</v>
      </c>
      <c r="B22" s="22" t="s">
        <v>214</v>
      </c>
      <c r="C22" s="14"/>
      <c r="D22" s="13" t="s">
        <v>45</v>
      </c>
      <c r="E22" s="10"/>
      <c r="F22" s="10"/>
      <c r="G22" s="10">
        <v>12</v>
      </c>
      <c r="H22" s="10">
        <v>36</v>
      </c>
      <c r="I22" s="10">
        <v>30</v>
      </c>
      <c r="J22" s="10">
        <v>61</v>
      </c>
      <c r="K22" s="10">
        <v>53</v>
      </c>
      <c r="L22" s="10">
        <v>58</v>
      </c>
      <c r="M22" s="10">
        <v>20</v>
      </c>
      <c r="N22" s="10">
        <v>48</v>
      </c>
      <c r="O22" s="10">
        <v>53</v>
      </c>
      <c r="P22" s="10">
        <v>30</v>
      </c>
      <c r="Q22" s="10">
        <v>4</v>
      </c>
      <c r="R22" s="10">
        <v>0</v>
      </c>
      <c r="S22" s="10">
        <v>0</v>
      </c>
      <c r="T22" s="10">
        <v>35</v>
      </c>
      <c r="U22" s="10">
        <v>44</v>
      </c>
      <c r="V22" s="10">
        <v>66</v>
      </c>
      <c r="W22" s="10">
        <v>53</v>
      </c>
      <c r="X22" s="35">
        <v>48</v>
      </c>
      <c r="Y22" s="35">
        <v>74</v>
      </c>
      <c r="Z22" s="35">
        <v>69</v>
      </c>
      <c r="AA22" s="35">
        <v>49</v>
      </c>
      <c r="AB22" s="35">
        <v>73</v>
      </c>
      <c r="AC22" s="35">
        <v>60</v>
      </c>
      <c r="AD22" s="35">
        <v>77</v>
      </c>
      <c r="AE22" s="35">
        <v>66</v>
      </c>
      <c r="AF22" s="35">
        <v>68</v>
      </c>
      <c r="AG22" s="35">
        <v>74</v>
      </c>
      <c r="AH22" s="35">
        <v>4</v>
      </c>
      <c r="AI22" s="32">
        <f>SUM(G22:AH22)</f>
        <v>1265</v>
      </c>
      <c r="AJ22" s="2"/>
    </row>
    <row r="23" spans="1:38" x14ac:dyDescent="0.2">
      <c r="A23" s="25">
        <v>9</v>
      </c>
      <c r="B23" s="22" t="s">
        <v>185</v>
      </c>
      <c r="C23" s="15"/>
      <c r="D23" s="13" t="s">
        <v>45</v>
      </c>
      <c r="E23" s="10"/>
      <c r="F23" s="10"/>
      <c r="G23" s="10">
        <v>0</v>
      </c>
      <c r="H23" s="10">
        <v>0</v>
      </c>
      <c r="I23" s="10">
        <v>0</v>
      </c>
      <c r="J23" s="10">
        <v>4</v>
      </c>
      <c r="K23" s="10">
        <v>8</v>
      </c>
      <c r="L23" s="10">
        <v>4</v>
      </c>
      <c r="M23" s="10">
        <v>8</v>
      </c>
      <c r="N23" s="10">
        <v>10</v>
      </c>
      <c r="O23" s="35">
        <v>10</v>
      </c>
      <c r="P23" s="35">
        <v>5</v>
      </c>
      <c r="Q23" s="35">
        <v>2</v>
      </c>
      <c r="R23" s="35">
        <v>0</v>
      </c>
      <c r="S23" s="35">
        <v>0</v>
      </c>
      <c r="T23" s="35">
        <v>0</v>
      </c>
      <c r="U23" s="35">
        <v>0</v>
      </c>
      <c r="V23" s="35">
        <v>5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8</v>
      </c>
      <c r="AH23" s="35">
        <v>1</v>
      </c>
      <c r="AI23" s="32">
        <f>SUM(G23:AH23)</f>
        <v>65</v>
      </c>
      <c r="AJ23" s="2"/>
    </row>
    <row r="24" spans="1:38" x14ac:dyDescent="0.2">
      <c r="A24" s="25">
        <v>10</v>
      </c>
      <c r="B24" s="22" t="s">
        <v>186</v>
      </c>
      <c r="C24" s="14"/>
      <c r="D24" s="13" t="s">
        <v>45</v>
      </c>
      <c r="E24" s="10"/>
      <c r="F24" s="10"/>
      <c r="G24" s="10">
        <v>4</v>
      </c>
      <c r="H24" s="10">
        <v>10</v>
      </c>
      <c r="I24" s="10">
        <v>13</v>
      </c>
      <c r="J24" s="10">
        <v>5</v>
      </c>
      <c r="K24" s="10">
        <v>5</v>
      </c>
      <c r="L24" s="10">
        <v>5</v>
      </c>
      <c r="M24" s="10">
        <v>5</v>
      </c>
      <c r="N24" s="10">
        <v>15</v>
      </c>
      <c r="O24" s="35">
        <v>15</v>
      </c>
      <c r="P24" s="35">
        <v>10</v>
      </c>
      <c r="Q24" s="35">
        <v>4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5</v>
      </c>
      <c r="X24" s="35">
        <v>10</v>
      </c>
      <c r="Y24" s="35">
        <v>10</v>
      </c>
      <c r="Z24" s="35">
        <v>18</v>
      </c>
      <c r="AA24" s="35">
        <v>18</v>
      </c>
      <c r="AB24" s="35">
        <v>18</v>
      </c>
      <c r="AC24" s="35">
        <v>30</v>
      </c>
      <c r="AD24" s="35">
        <v>18</v>
      </c>
      <c r="AE24" s="35">
        <v>15</v>
      </c>
      <c r="AF24" s="35">
        <v>15</v>
      </c>
      <c r="AG24" s="35">
        <v>15</v>
      </c>
      <c r="AH24" s="35">
        <v>1</v>
      </c>
      <c r="AI24" s="32">
        <f>SUM(G24:AH24)</f>
        <v>264</v>
      </c>
      <c r="AJ24" s="2"/>
    </row>
    <row r="25" spans="1:38" x14ac:dyDescent="0.2">
      <c r="A25" s="25">
        <v>11</v>
      </c>
      <c r="B25" s="22" t="s">
        <v>187</v>
      </c>
      <c r="C25" s="14"/>
      <c r="D25" s="13" t="s">
        <v>45</v>
      </c>
      <c r="E25" s="10"/>
      <c r="F25" s="10"/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6</v>
      </c>
      <c r="V25" s="35">
        <v>6</v>
      </c>
      <c r="W25" s="35">
        <v>6</v>
      </c>
      <c r="X25" s="35">
        <v>6</v>
      </c>
      <c r="Y25" s="35">
        <v>4</v>
      </c>
      <c r="Z25" s="35">
        <v>4</v>
      </c>
      <c r="AA25" s="35">
        <v>3</v>
      </c>
      <c r="AB25" s="35">
        <v>3</v>
      </c>
      <c r="AC25" s="35">
        <v>3</v>
      </c>
      <c r="AD25" s="35">
        <v>3</v>
      </c>
      <c r="AE25" s="35">
        <v>6</v>
      </c>
      <c r="AF25" s="35">
        <v>6</v>
      </c>
      <c r="AG25" s="35">
        <v>6</v>
      </c>
      <c r="AH25" s="35">
        <v>0</v>
      </c>
      <c r="AI25" s="32">
        <f>SUM(G25:AH25)</f>
        <v>62</v>
      </c>
      <c r="AJ25" s="2"/>
    </row>
    <row r="26" spans="1:38" x14ac:dyDescent="0.2">
      <c r="A26" s="25">
        <v>12</v>
      </c>
      <c r="B26" s="22" t="s">
        <v>188</v>
      </c>
      <c r="C26" s="14"/>
      <c r="D26" s="13" t="s">
        <v>45</v>
      </c>
      <c r="E26" s="10"/>
      <c r="F26" s="10"/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6</v>
      </c>
      <c r="V26" s="35">
        <v>6</v>
      </c>
      <c r="W26" s="35">
        <v>6</v>
      </c>
      <c r="X26" s="35">
        <v>6</v>
      </c>
      <c r="Y26" s="35">
        <v>4</v>
      </c>
      <c r="Z26" s="35">
        <v>4</v>
      </c>
      <c r="AA26" s="35">
        <v>3</v>
      </c>
      <c r="AB26" s="35">
        <v>3</v>
      </c>
      <c r="AC26" s="35">
        <v>3</v>
      </c>
      <c r="AD26" s="35">
        <v>3</v>
      </c>
      <c r="AE26" s="35">
        <v>6</v>
      </c>
      <c r="AF26" s="35">
        <v>6</v>
      </c>
      <c r="AG26" s="35">
        <v>6</v>
      </c>
      <c r="AH26" s="35">
        <v>0</v>
      </c>
      <c r="AI26" s="32">
        <f>SUM(G26:AH26)</f>
        <v>62</v>
      </c>
      <c r="AJ26" s="2"/>
    </row>
    <row r="27" spans="1:38" x14ac:dyDescent="0.2">
      <c r="A27" s="25">
        <v>13</v>
      </c>
      <c r="B27" s="22" t="s">
        <v>189</v>
      </c>
      <c r="C27" s="14"/>
      <c r="D27" s="13" t="s">
        <v>45</v>
      </c>
      <c r="E27" s="10"/>
      <c r="F27" s="10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2">
        <f>SUM(G27:AH27)</f>
        <v>0</v>
      </c>
      <c r="AJ27" s="2"/>
    </row>
    <row r="28" spans="1:38" x14ac:dyDescent="0.2">
      <c r="A28" s="25">
        <v>14</v>
      </c>
      <c r="B28" s="22" t="s">
        <v>190</v>
      </c>
      <c r="C28" s="15"/>
      <c r="D28" s="13" t="s">
        <v>45</v>
      </c>
      <c r="E28" s="10"/>
      <c r="F28" s="10"/>
      <c r="G28" s="10">
        <v>54</v>
      </c>
      <c r="H28" s="10">
        <v>30</v>
      </c>
      <c r="I28" s="10">
        <v>32</v>
      </c>
      <c r="J28" s="10">
        <v>44</v>
      </c>
      <c r="K28" s="10">
        <v>60</v>
      </c>
      <c r="L28" s="10">
        <v>60</v>
      </c>
      <c r="M28" s="10">
        <v>60</v>
      </c>
      <c r="N28" s="10">
        <v>60</v>
      </c>
      <c r="O28" s="35">
        <v>60</v>
      </c>
      <c r="P28" s="35">
        <v>40</v>
      </c>
      <c r="Q28" s="35">
        <v>10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2">
        <f>SUM(G28:AH28)</f>
        <v>510</v>
      </c>
      <c r="AK28" s="3"/>
      <c r="AL28" s="2"/>
    </row>
    <row r="29" spans="1:38" x14ac:dyDescent="0.2">
      <c r="A29" s="25">
        <v>15</v>
      </c>
      <c r="B29" s="22" t="s">
        <v>191</v>
      </c>
      <c r="C29" s="14"/>
      <c r="D29" s="13" t="s">
        <v>45</v>
      </c>
      <c r="E29" s="10"/>
      <c r="F29" s="10"/>
      <c r="G29" s="10">
        <v>1</v>
      </c>
      <c r="H29" s="10">
        <v>3</v>
      </c>
      <c r="I29" s="10">
        <v>3</v>
      </c>
      <c r="J29" s="10">
        <v>4</v>
      </c>
      <c r="K29" s="10">
        <v>4</v>
      </c>
      <c r="L29" s="10">
        <v>4</v>
      </c>
      <c r="M29" s="10">
        <v>4</v>
      </c>
      <c r="N29" s="10">
        <v>4</v>
      </c>
      <c r="O29" s="35">
        <v>4</v>
      </c>
      <c r="P29" s="35">
        <v>4</v>
      </c>
      <c r="Q29" s="35">
        <v>1</v>
      </c>
      <c r="R29" s="35">
        <v>0</v>
      </c>
      <c r="S29" s="35">
        <v>0</v>
      </c>
      <c r="T29" s="35">
        <v>3</v>
      </c>
      <c r="U29" s="35">
        <v>4</v>
      </c>
      <c r="V29" s="35">
        <v>4</v>
      </c>
      <c r="W29" s="35">
        <v>3</v>
      </c>
      <c r="X29" s="35">
        <v>4</v>
      </c>
      <c r="Y29" s="35">
        <v>4</v>
      </c>
      <c r="Z29" s="35">
        <v>4</v>
      </c>
      <c r="AA29" s="35">
        <v>4</v>
      </c>
      <c r="AB29" s="35">
        <v>4</v>
      </c>
      <c r="AC29" s="35">
        <v>4</v>
      </c>
      <c r="AD29" s="35">
        <v>4</v>
      </c>
      <c r="AE29" s="35">
        <v>4</v>
      </c>
      <c r="AF29" s="35">
        <v>4</v>
      </c>
      <c r="AG29" s="35">
        <v>4</v>
      </c>
      <c r="AH29" s="35">
        <v>1</v>
      </c>
      <c r="AI29" s="32">
        <f>SUM(G29:AH29)</f>
        <v>91</v>
      </c>
      <c r="AK29" s="3"/>
      <c r="AL29" s="2"/>
    </row>
    <row r="30" spans="1:38" x14ac:dyDescent="0.2">
      <c r="A30" s="25">
        <v>16</v>
      </c>
      <c r="B30" s="22" t="s">
        <v>192</v>
      </c>
      <c r="C30" s="14"/>
      <c r="D30" s="13" t="s">
        <v>45</v>
      </c>
      <c r="E30" s="10"/>
      <c r="F30" s="10"/>
      <c r="G30" s="10">
        <v>50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35">
        <v>0</v>
      </c>
      <c r="P30" s="35">
        <v>0</v>
      </c>
      <c r="Q30" s="35">
        <v>90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2">
        <f>SUM(G30:AH30)</f>
        <v>140</v>
      </c>
      <c r="AK30" s="3"/>
      <c r="AL30" s="2"/>
    </row>
    <row r="31" spans="1:38" x14ac:dyDescent="0.2">
      <c r="A31" s="25">
        <v>17</v>
      </c>
      <c r="B31" s="22" t="s">
        <v>251</v>
      </c>
      <c r="C31" s="14"/>
      <c r="D31" s="13" t="s">
        <v>45</v>
      </c>
      <c r="E31" s="10"/>
      <c r="F31" s="10"/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35">
        <v>0</v>
      </c>
      <c r="P31" s="35">
        <v>0</v>
      </c>
      <c r="Q31" s="35">
        <v>30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2">
        <f>SUM(G31:AH31)</f>
        <v>30</v>
      </c>
      <c r="AK31" s="3"/>
      <c r="AL31" s="2"/>
    </row>
    <row r="32" spans="1:38" x14ac:dyDescent="0.2">
      <c r="A32" s="25">
        <v>17</v>
      </c>
      <c r="B32" s="22" t="s">
        <v>193</v>
      </c>
      <c r="C32" s="15"/>
      <c r="D32" s="13" t="s">
        <v>45</v>
      </c>
      <c r="E32" s="10"/>
      <c r="F32" s="10"/>
      <c r="G32" s="10">
        <v>3</v>
      </c>
      <c r="H32" s="10">
        <v>2</v>
      </c>
      <c r="I32" s="10">
        <v>6</v>
      </c>
      <c r="J32" s="10">
        <v>6</v>
      </c>
      <c r="K32" s="10">
        <v>6</v>
      </c>
      <c r="L32" s="10">
        <v>9</v>
      </c>
      <c r="M32" s="10">
        <v>9</v>
      </c>
      <c r="N32" s="10">
        <v>8</v>
      </c>
      <c r="O32" s="35">
        <v>8</v>
      </c>
      <c r="P32" s="35">
        <v>7</v>
      </c>
      <c r="Q32" s="35">
        <v>1</v>
      </c>
      <c r="R32" s="35">
        <v>0</v>
      </c>
      <c r="S32" s="35">
        <v>0</v>
      </c>
      <c r="T32" s="35">
        <v>5</v>
      </c>
      <c r="U32" s="35">
        <v>8</v>
      </c>
      <c r="V32" s="35">
        <v>11</v>
      </c>
      <c r="W32" s="35">
        <v>7</v>
      </c>
      <c r="X32" s="35">
        <v>8</v>
      </c>
      <c r="Y32" s="35">
        <v>10</v>
      </c>
      <c r="Z32" s="35">
        <v>11</v>
      </c>
      <c r="AA32" s="35">
        <v>12</v>
      </c>
      <c r="AB32" s="35">
        <v>8</v>
      </c>
      <c r="AC32" s="35">
        <v>10</v>
      </c>
      <c r="AD32" s="35">
        <v>11</v>
      </c>
      <c r="AE32" s="35">
        <v>8</v>
      </c>
      <c r="AF32" s="35">
        <v>8</v>
      </c>
      <c r="AG32" s="35">
        <v>8</v>
      </c>
      <c r="AH32" s="35">
        <v>2</v>
      </c>
      <c r="AI32" s="32">
        <f>SUM(G32:AH32)</f>
        <v>192</v>
      </c>
      <c r="AK32" s="3"/>
      <c r="AL32" s="2"/>
    </row>
    <row r="33" spans="1:38" x14ac:dyDescent="0.2">
      <c r="A33" s="25">
        <v>18</v>
      </c>
      <c r="B33" s="22" t="s">
        <v>196</v>
      </c>
      <c r="C33" s="15"/>
      <c r="D33" s="13" t="s">
        <v>45</v>
      </c>
      <c r="E33" s="10"/>
      <c r="F33" s="10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2">
        <f>SUM(G33:AH33)</f>
        <v>0</v>
      </c>
      <c r="AK33" s="3"/>
      <c r="AL33" s="2"/>
    </row>
    <row r="34" spans="1:38" x14ac:dyDescent="0.2">
      <c r="A34" s="25">
        <v>19</v>
      </c>
      <c r="B34" s="22" t="s">
        <v>194</v>
      </c>
      <c r="C34" s="14"/>
      <c r="D34" s="13" t="s">
        <v>45</v>
      </c>
      <c r="E34" s="10"/>
      <c r="F34" s="10"/>
      <c r="G34" s="10">
        <v>4</v>
      </c>
      <c r="H34" s="10">
        <v>7</v>
      </c>
      <c r="I34" s="10">
        <v>9</v>
      </c>
      <c r="J34" s="10">
        <v>14</v>
      </c>
      <c r="K34" s="10">
        <v>14</v>
      </c>
      <c r="L34" s="10">
        <v>14</v>
      </c>
      <c r="M34" s="10">
        <v>14</v>
      </c>
      <c r="N34" s="10">
        <v>14</v>
      </c>
      <c r="O34" s="35">
        <v>14</v>
      </c>
      <c r="P34" s="35">
        <v>10</v>
      </c>
      <c r="Q34" s="35">
        <v>2</v>
      </c>
      <c r="R34" s="35">
        <v>0</v>
      </c>
      <c r="S34" s="35">
        <v>0</v>
      </c>
      <c r="T34" s="35">
        <v>10</v>
      </c>
      <c r="U34" s="35">
        <v>14</v>
      </c>
      <c r="V34" s="35">
        <v>19</v>
      </c>
      <c r="W34" s="35">
        <v>12</v>
      </c>
      <c r="X34" s="35">
        <v>14</v>
      </c>
      <c r="Y34" s="35">
        <v>14</v>
      </c>
      <c r="Z34" s="35">
        <v>14</v>
      </c>
      <c r="AA34" s="35">
        <v>14</v>
      </c>
      <c r="AB34" s="35">
        <v>14</v>
      </c>
      <c r="AC34" s="35">
        <v>15</v>
      </c>
      <c r="AD34" s="35">
        <v>14</v>
      </c>
      <c r="AE34" s="35">
        <v>14</v>
      </c>
      <c r="AF34" s="35">
        <v>14</v>
      </c>
      <c r="AG34" s="35">
        <v>14</v>
      </c>
      <c r="AH34" s="35">
        <v>2</v>
      </c>
      <c r="AI34" s="32">
        <f>SUM(G34:AH34)</f>
        <v>314</v>
      </c>
      <c r="AK34" s="4"/>
      <c r="AL34" s="2"/>
    </row>
    <row r="35" spans="1:38" x14ac:dyDescent="0.2">
      <c r="A35" s="25">
        <v>20</v>
      </c>
      <c r="B35" s="22" t="s">
        <v>254</v>
      </c>
      <c r="C35" s="14"/>
      <c r="D35" s="13" t="s">
        <v>45</v>
      </c>
      <c r="E35" s="10"/>
      <c r="F35" s="10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29</v>
      </c>
      <c r="U35" s="35">
        <v>30</v>
      </c>
      <c r="V35" s="35">
        <v>36</v>
      </c>
      <c r="W35" s="35">
        <v>23</v>
      </c>
      <c r="X35" s="35">
        <v>43</v>
      </c>
      <c r="Y35" s="35">
        <v>43</v>
      </c>
      <c r="Z35" s="35">
        <v>45</v>
      </c>
      <c r="AA35" s="35">
        <v>48</v>
      </c>
      <c r="AB35" s="35">
        <v>43</v>
      </c>
      <c r="AC35" s="35">
        <v>44</v>
      </c>
      <c r="AD35" s="35">
        <v>45</v>
      </c>
      <c r="AE35" s="35">
        <v>33</v>
      </c>
      <c r="AF35" s="35">
        <v>35</v>
      </c>
      <c r="AG35" s="35">
        <v>35</v>
      </c>
      <c r="AH35" s="35">
        <v>5</v>
      </c>
      <c r="AI35" s="32">
        <f>SUM(G35:AH35)</f>
        <v>537</v>
      </c>
      <c r="AK35" s="4"/>
      <c r="AL35" s="2"/>
    </row>
    <row r="36" spans="1:38" x14ac:dyDescent="0.2">
      <c r="A36" s="25">
        <v>21</v>
      </c>
      <c r="B36" s="22" t="s">
        <v>260</v>
      </c>
      <c r="C36" s="14"/>
      <c r="D36" s="13" t="s">
        <v>45</v>
      </c>
      <c r="E36" s="10"/>
      <c r="F36" s="10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5</v>
      </c>
      <c r="Y36" s="35">
        <v>5</v>
      </c>
      <c r="Z36" s="35">
        <v>5</v>
      </c>
      <c r="AA36" s="35">
        <v>5</v>
      </c>
      <c r="AB36" s="35">
        <v>8</v>
      </c>
      <c r="AC36" s="35">
        <v>5</v>
      </c>
      <c r="AD36" s="35">
        <v>5</v>
      </c>
      <c r="AE36" s="35">
        <v>5</v>
      </c>
      <c r="AF36" s="35">
        <v>8</v>
      </c>
      <c r="AG36" s="35">
        <v>5</v>
      </c>
      <c r="AH36" s="35">
        <v>2</v>
      </c>
      <c r="AI36" s="32">
        <f>SUM(G36:AH36)</f>
        <v>58</v>
      </c>
      <c r="AK36" s="4"/>
      <c r="AL36" s="2"/>
    </row>
    <row r="37" spans="1:38" x14ac:dyDescent="0.2">
      <c r="A37" s="25">
        <v>22</v>
      </c>
      <c r="B37" s="22" t="s">
        <v>261</v>
      </c>
      <c r="C37" s="14"/>
      <c r="D37" s="13" t="s">
        <v>45</v>
      </c>
      <c r="E37" s="10"/>
      <c r="F37" s="10"/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2">
        <f>SUM(G37:AH37)</f>
        <v>0</v>
      </c>
      <c r="AK37" s="4"/>
      <c r="AL37" s="2"/>
    </row>
    <row r="38" spans="1:38" x14ac:dyDescent="0.2">
      <c r="A38" s="25">
        <v>23</v>
      </c>
      <c r="B38" s="22" t="s">
        <v>262</v>
      </c>
      <c r="C38" s="14"/>
      <c r="D38" s="13" t="s">
        <v>45</v>
      </c>
      <c r="E38" s="10"/>
      <c r="F38" s="10"/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2">
        <f>SUM(G38:AH38)</f>
        <v>0</v>
      </c>
      <c r="AK38" s="4"/>
      <c r="AL38" s="2"/>
    </row>
    <row r="39" spans="1:38" x14ac:dyDescent="0.2">
      <c r="A39" s="25">
        <v>24</v>
      </c>
      <c r="B39" s="22" t="s">
        <v>259</v>
      </c>
      <c r="C39" s="14"/>
      <c r="D39" s="13" t="s">
        <v>45</v>
      </c>
      <c r="E39" s="10"/>
      <c r="F39" s="10"/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  <c r="X39" s="35">
        <v>10</v>
      </c>
      <c r="Y39" s="35">
        <v>10</v>
      </c>
      <c r="Z39" s="35">
        <v>10</v>
      </c>
      <c r="AA39" s="35">
        <v>10</v>
      </c>
      <c r="AB39" s="35">
        <v>15</v>
      </c>
      <c r="AC39" s="35">
        <v>10</v>
      </c>
      <c r="AD39" s="35">
        <v>10</v>
      </c>
      <c r="AE39" s="35">
        <v>10</v>
      </c>
      <c r="AF39" s="35">
        <v>20</v>
      </c>
      <c r="AG39" s="35">
        <v>10</v>
      </c>
      <c r="AH39" s="35">
        <v>5</v>
      </c>
      <c r="AI39" s="32">
        <f>SUM(G39:AH39)</f>
        <v>120</v>
      </c>
      <c r="AK39" s="4"/>
      <c r="AL39" s="2"/>
    </row>
    <row r="40" spans="1:38" x14ac:dyDescent="0.2">
      <c r="A40" s="25">
        <v>25</v>
      </c>
      <c r="B40" s="22" t="s">
        <v>263</v>
      </c>
      <c r="C40" s="14"/>
      <c r="D40" s="13" t="s">
        <v>45</v>
      </c>
      <c r="E40" s="10"/>
      <c r="F40" s="10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10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2">
        <f>SUM(G40:AH40)</f>
        <v>10</v>
      </c>
      <c r="AK40" s="4"/>
      <c r="AL40" s="2"/>
    </row>
    <row r="41" spans="1:38" x14ac:dyDescent="0.2">
      <c r="A41" s="189"/>
      <c r="B41" s="190"/>
      <c r="C41" s="190"/>
      <c r="D41" s="12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191"/>
      <c r="AK41" s="4"/>
      <c r="AL41" s="2"/>
    </row>
    <row r="42" spans="1:38" x14ac:dyDescent="0.2">
      <c r="A42" s="25" t="s">
        <v>46</v>
      </c>
      <c r="B42" s="28" t="s">
        <v>49</v>
      </c>
      <c r="C42" s="29"/>
      <c r="D42" s="30" t="s">
        <v>0</v>
      </c>
      <c r="E42" s="33">
        <v>0</v>
      </c>
      <c r="F42" s="33">
        <v>0</v>
      </c>
      <c r="G42" s="33">
        <v>28</v>
      </c>
      <c r="H42" s="33">
        <v>48</v>
      </c>
      <c r="I42" s="33">
        <v>53</v>
      </c>
      <c r="J42" s="33">
        <v>69</v>
      </c>
      <c r="K42" s="33">
        <v>67</v>
      </c>
      <c r="L42" s="33">
        <v>77</v>
      </c>
      <c r="M42" s="33">
        <v>94</v>
      </c>
      <c r="N42" s="33">
        <v>75</v>
      </c>
      <c r="O42" s="36">
        <v>83</v>
      </c>
      <c r="P42" s="36">
        <v>43</v>
      </c>
      <c r="Q42" s="36">
        <v>3</v>
      </c>
      <c r="R42" s="36">
        <v>0</v>
      </c>
      <c r="S42" s="36">
        <v>0</v>
      </c>
      <c r="T42" s="36">
        <v>49</v>
      </c>
      <c r="U42" s="36">
        <v>57</v>
      </c>
      <c r="V42" s="36">
        <v>77</v>
      </c>
      <c r="W42" s="36">
        <v>47</v>
      </c>
      <c r="X42" s="36">
        <v>77</v>
      </c>
      <c r="Y42" s="36">
        <v>78</v>
      </c>
      <c r="Z42" s="36">
        <v>105</v>
      </c>
      <c r="AA42" s="36">
        <v>101</v>
      </c>
      <c r="AB42" s="36">
        <v>75</v>
      </c>
      <c r="AC42" s="36">
        <v>73</v>
      </c>
      <c r="AD42" s="36">
        <v>75</v>
      </c>
      <c r="AE42" s="36">
        <v>71</v>
      </c>
      <c r="AF42" s="36">
        <v>70</v>
      </c>
      <c r="AG42" s="36">
        <v>68</v>
      </c>
      <c r="AH42" s="36">
        <v>11</v>
      </c>
      <c r="AI42" s="32">
        <f>SUM(G42:AH42)</f>
        <v>1674</v>
      </c>
      <c r="AK42" s="3"/>
      <c r="AL42" s="2"/>
    </row>
    <row r="43" spans="1:38" ht="21" thickBot="1" x14ac:dyDescent="0.25">
      <c r="A43" s="25" t="s">
        <v>47</v>
      </c>
      <c r="B43" s="192" t="s">
        <v>257</v>
      </c>
      <c r="C43" s="29"/>
      <c r="D43" s="30" t="s">
        <v>0</v>
      </c>
      <c r="E43" s="33">
        <f>E42*0.935</f>
        <v>0</v>
      </c>
      <c r="F43" s="33">
        <f t="shared" ref="F43" si="5">F42*0.935</f>
        <v>0</v>
      </c>
      <c r="G43" s="182">
        <v>8.3520000000000003</v>
      </c>
      <c r="H43" s="182">
        <v>47.332000000000001</v>
      </c>
      <c r="I43" s="182">
        <v>38.944000000000003</v>
      </c>
      <c r="J43" s="182">
        <v>50.264000000000003</v>
      </c>
      <c r="K43" s="182">
        <v>59.531999999999996</v>
      </c>
      <c r="L43" s="182">
        <v>70.789000000000001</v>
      </c>
      <c r="M43" s="182">
        <v>65.736999999999995</v>
      </c>
      <c r="N43" s="182">
        <v>81.513000000000005</v>
      </c>
      <c r="O43" s="182">
        <v>75.64</v>
      </c>
      <c r="P43" s="182">
        <v>40.601999999999997</v>
      </c>
      <c r="Q43" s="182">
        <v>12.589</v>
      </c>
      <c r="R43" s="182">
        <f t="shared" ref="R43:S43" si="6">R42*0.94</f>
        <v>0</v>
      </c>
      <c r="S43" s="182">
        <f t="shared" si="6"/>
        <v>0</v>
      </c>
      <c r="T43" s="182">
        <v>33.540999999999997</v>
      </c>
      <c r="U43" s="182">
        <v>51.552999999999997</v>
      </c>
      <c r="V43" s="182">
        <v>66.046999999999997</v>
      </c>
      <c r="W43" s="182">
        <v>44.31</v>
      </c>
      <c r="X43" s="182">
        <v>65.959000000000003</v>
      </c>
      <c r="Y43" s="182">
        <v>59.991</v>
      </c>
      <c r="Z43" s="182">
        <v>106.04600000000001</v>
      </c>
      <c r="AA43" s="182">
        <v>82.778999999999996</v>
      </c>
      <c r="AB43" s="182">
        <v>70.427999999999997</v>
      </c>
      <c r="AC43" s="182">
        <v>69.018000000000001</v>
      </c>
      <c r="AD43" s="182">
        <v>63.863</v>
      </c>
      <c r="AE43" s="182">
        <v>63.265000000000001</v>
      </c>
      <c r="AF43" s="182">
        <v>49.411000000000001</v>
      </c>
      <c r="AG43" s="182">
        <v>77.983000000000004</v>
      </c>
      <c r="AH43" s="182">
        <v>34.506</v>
      </c>
      <c r="AI43" s="32">
        <f>SUM(G43:AH43)</f>
        <v>1489.9940000000006</v>
      </c>
      <c r="AK43" s="3"/>
      <c r="AL43" s="2"/>
    </row>
    <row r="44" spans="1:38" hidden="1" x14ac:dyDescent="0.2">
      <c r="A44" s="41"/>
      <c r="B44" s="42"/>
      <c r="C44" s="204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6"/>
      <c r="AK44" s="3"/>
      <c r="AL44" s="2"/>
    </row>
    <row r="45" spans="1:38" ht="23.25" hidden="1" customHeight="1" x14ac:dyDescent="0.25">
      <c r="A45" s="43" t="s">
        <v>48</v>
      </c>
      <c r="B45" s="44" t="s">
        <v>200</v>
      </c>
      <c r="C45" s="207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  <c r="AI45" s="209"/>
    </row>
    <row r="46" spans="1:38" hidden="1" x14ac:dyDescent="0.2">
      <c r="A46" s="43">
        <v>1</v>
      </c>
      <c r="B46" s="42" t="s">
        <v>51</v>
      </c>
      <c r="C46" s="45"/>
      <c r="D46" s="46" t="s">
        <v>0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7">
        <f>SUM(E46:M46)</f>
        <v>0</v>
      </c>
      <c r="AK46" s="3"/>
      <c r="AL46" s="2"/>
    </row>
    <row r="47" spans="1:38" ht="15.75" hidden="1" customHeight="1" x14ac:dyDescent="0.2">
      <c r="A47" s="43">
        <v>2</v>
      </c>
      <c r="B47" s="42" t="s">
        <v>52</v>
      </c>
      <c r="C47" s="45"/>
      <c r="D47" s="46" t="s">
        <v>0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7">
        <f>SUM(E47:M47)</f>
        <v>0</v>
      </c>
      <c r="AK47" s="6"/>
      <c r="AL47" s="2"/>
    </row>
    <row r="48" spans="1:38" ht="17.25" hidden="1" customHeight="1" x14ac:dyDescent="0.2">
      <c r="A48" s="43">
        <v>3</v>
      </c>
      <c r="B48" s="42" t="s">
        <v>53</v>
      </c>
      <c r="C48" s="45"/>
      <c r="D48" s="46" t="s">
        <v>54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7">
        <f>SUM(E48:M48)</f>
        <v>0</v>
      </c>
      <c r="AL48" s="7"/>
    </row>
    <row r="49" spans="1:38" ht="19.5" hidden="1" customHeight="1" x14ac:dyDescent="0.2">
      <c r="A49" s="41">
        <v>4</v>
      </c>
      <c r="B49" s="48" t="s">
        <v>55</v>
      </c>
      <c r="C49" s="49"/>
      <c r="D49" s="50" t="s">
        <v>2</v>
      </c>
      <c r="E49" s="51"/>
      <c r="F49" s="51"/>
      <c r="G49" s="51"/>
      <c r="H49" s="51"/>
      <c r="I49" s="51" t="e">
        <f>#REF!</f>
        <v>#REF!</v>
      </c>
      <c r="J49" s="51" t="e">
        <f>#REF!</f>
        <v>#REF!</v>
      </c>
      <c r="K49" s="51" t="e">
        <f>#REF!</f>
        <v>#REF!</v>
      </c>
      <c r="L49" s="51" t="e">
        <f>#REF!</f>
        <v>#REF!</v>
      </c>
      <c r="M49" s="51" t="e">
        <f>#REF!</f>
        <v>#REF!</v>
      </c>
      <c r="N49" s="51" t="e">
        <f>#REF!</f>
        <v>#REF!</v>
      </c>
      <c r="O49" s="52" t="e">
        <f>#REF!</f>
        <v>#REF!</v>
      </c>
      <c r="P49" s="52" t="e">
        <f>#REF!</f>
        <v>#REF!</v>
      </c>
      <c r="Q49" s="52" t="e">
        <f>#REF!</f>
        <v>#REF!</v>
      </c>
      <c r="R49" s="52" t="e">
        <f>#REF!</f>
        <v>#REF!</v>
      </c>
      <c r="S49" s="52" t="e">
        <f>#REF!</f>
        <v>#REF!</v>
      </c>
      <c r="T49" s="52" t="e">
        <f>#REF!</f>
        <v>#REF!</v>
      </c>
      <c r="U49" s="52" t="e">
        <f>#REF!</f>
        <v>#REF!</v>
      </c>
      <c r="V49" s="52" t="e">
        <f>#REF!</f>
        <v>#REF!</v>
      </c>
      <c r="W49" s="52" t="e">
        <f>#REF!</f>
        <v>#REF!</v>
      </c>
      <c r="X49" s="52" t="e">
        <f>#REF!</f>
        <v>#REF!</v>
      </c>
      <c r="Y49" s="52" t="e">
        <f>#REF!</f>
        <v>#REF!</v>
      </c>
      <c r="Z49" s="52" t="e">
        <f>#REF!</f>
        <v>#REF!</v>
      </c>
      <c r="AA49" s="52" t="e">
        <f>#REF!</f>
        <v>#REF!</v>
      </c>
      <c r="AB49" s="52" t="e">
        <f>#REF!</f>
        <v>#REF!</v>
      </c>
      <c r="AC49" s="52" t="e">
        <f>#REF!</f>
        <v>#REF!</v>
      </c>
      <c r="AD49" s="52" t="e">
        <f>#REF!</f>
        <v>#REF!</v>
      </c>
      <c r="AE49" s="52" t="e">
        <f>#REF!</f>
        <v>#REF!</v>
      </c>
      <c r="AF49" s="52" t="e">
        <f>#REF!</f>
        <v>#REF!</v>
      </c>
      <c r="AG49" s="52" t="e">
        <f>#REF!</f>
        <v>#REF!</v>
      </c>
      <c r="AH49" s="52" t="e">
        <f>#REF!</f>
        <v>#REF!</v>
      </c>
      <c r="AI49" s="47" t="e">
        <f>SUM(I49:AH49)</f>
        <v>#REF!</v>
      </c>
      <c r="AL49" s="7"/>
    </row>
    <row r="50" spans="1:38" ht="23.25" hidden="1" customHeight="1" x14ac:dyDescent="0.2">
      <c r="A50" s="43">
        <v>5</v>
      </c>
      <c r="B50" s="42" t="s">
        <v>57</v>
      </c>
      <c r="C50" s="45"/>
      <c r="D50" s="42" t="s">
        <v>58</v>
      </c>
      <c r="E50" s="53"/>
      <c r="F50" s="53"/>
      <c r="G50" s="53"/>
      <c r="H50" s="53"/>
      <c r="I50" s="53">
        <f t="shared" ref="I50:AH50" si="7">I13/I43</f>
        <v>1.3135784716516021</v>
      </c>
      <c r="J50" s="53">
        <f t="shared" si="7"/>
        <v>1.3343148177622153</v>
      </c>
      <c r="K50" s="53">
        <f t="shared" si="7"/>
        <v>1.0074581737552912</v>
      </c>
      <c r="L50" s="53">
        <f t="shared" si="7"/>
        <v>0.99812117701902847</v>
      </c>
      <c r="M50" s="53">
        <f t="shared" si="7"/>
        <v>1.4158236609519754</v>
      </c>
      <c r="N50" s="53">
        <f t="shared" si="7"/>
        <v>0.86921104609080757</v>
      </c>
      <c r="O50" s="53">
        <f t="shared" si="7"/>
        <v>1.0075092543627711</v>
      </c>
      <c r="P50" s="53">
        <f t="shared" si="7"/>
        <v>1.0584700261070883</v>
      </c>
      <c r="Q50" s="53">
        <f t="shared" si="7"/>
        <v>0</v>
      </c>
      <c r="R50" s="53" t="e">
        <f t="shared" si="7"/>
        <v>#DIV/0!</v>
      </c>
      <c r="S50" s="53" t="e">
        <f t="shared" si="7"/>
        <v>#DIV/0!</v>
      </c>
      <c r="T50" s="53">
        <f t="shared" si="7"/>
        <v>1.8550430816016221</v>
      </c>
      <c r="U50" s="53">
        <f t="shared" si="7"/>
        <v>1.0714410412585107</v>
      </c>
      <c r="V50" s="53">
        <f t="shared" si="7"/>
        <v>1.1344648507880752</v>
      </c>
      <c r="W50" s="53">
        <f t="shared" si="7"/>
        <v>0.96682464454976302</v>
      </c>
      <c r="X50" s="53">
        <f t="shared" si="7"/>
        <v>1.0572628451007444</v>
      </c>
      <c r="Y50" s="53">
        <f t="shared" si="7"/>
        <v>1.1603740561084164</v>
      </c>
      <c r="Z50" s="53">
        <f t="shared" si="7"/>
        <v>0.84469004017124649</v>
      </c>
      <c r="AA50" s="53">
        <f t="shared" si="7"/>
        <v>1.2147042124210246</v>
      </c>
      <c r="AB50" s="53">
        <f t="shared" si="7"/>
        <v>1.035213267450446</v>
      </c>
      <c r="AC50" s="53">
        <f t="shared" si="7"/>
        <v>1.0300501318496624</v>
      </c>
      <c r="AD50" s="53">
        <f t="shared" si="7"/>
        <v>1.1644927422764355</v>
      </c>
      <c r="AE50" s="53">
        <f t="shared" si="7"/>
        <v>1.0639690192049316</v>
      </c>
      <c r="AF50" s="53">
        <f t="shared" si="7"/>
        <v>1.3606686770152394</v>
      </c>
      <c r="AG50" s="53">
        <f t="shared" si="7"/>
        <v>0.95159201364399948</v>
      </c>
      <c r="AH50" s="53">
        <f t="shared" si="7"/>
        <v>0.25676693908305798</v>
      </c>
      <c r="AI50" s="54" t="e">
        <f xml:space="preserve"> AVERAGE(E50:AH50)</f>
        <v>#DIV/0!</v>
      </c>
    </row>
    <row r="51" spans="1:38" ht="23.25" hidden="1" customHeight="1" x14ac:dyDescent="0.2">
      <c r="A51" s="43"/>
      <c r="B51" s="42"/>
      <c r="C51" s="210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2"/>
    </row>
    <row r="52" spans="1:38" hidden="1" x14ac:dyDescent="0.2">
      <c r="A52" s="43" t="s">
        <v>56</v>
      </c>
      <c r="B52" s="42" t="s">
        <v>60</v>
      </c>
      <c r="C52" s="45"/>
      <c r="D52" s="46" t="s">
        <v>61</v>
      </c>
      <c r="E52" s="51" t="e">
        <f>E46/E43</f>
        <v>#DIV/0!</v>
      </c>
      <c r="F52" s="51" t="e">
        <f>F46/F43</f>
        <v>#DIV/0!</v>
      </c>
      <c r="G52" s="51">
        <f>G46/G43</f>
        <v>0</v>
      </c>
      <c r="H52" s="51"/>
      <c r="I52" s="51">
        <f t="shared" ref="I52:R52" si="8">I46/I43</f>
        <v>0</v>
      </c>
      <c r="J52" s="51">
        <f t="shared" si="8"/>
        <v>0</v>
      </c>
      <c r="K52" s="51">
        <f t="shared" si="8"/>
        <v>0</v>
      </c>
      <c r="L52" s="51">
        <f t="shared" si="8"/>
        <v>0</v>
      </c>
      <c r="M52" s="51">
        <f t="shared" si="8"/>
        <v>0</v>
      </c>
      <c r="N52" s="51">
        <f t="shared" si="8"/>
        <v>0</v>
      </c>
      <c r="O52" s="51">
        <f t="shared" si="8"/>
        <v>0</v>
      </c>
      <c r="P52" s="51">
        <f t="shared" si="8"/>
        <v>0</v>
      </c>
      <c r="Q52" s="51">
        <f t="shared" si="8"/>
        <v>0</v>
      </c>
      <c r="R52" s="51" t="e">
        <f t="shared" si="8"/>
        <v>#DIV/0!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2">
        <v>0</v>
      </c>
      <c r="AG52" s="52">
        <v>0</v>
      </c>
      <c r="AH52" s="52">
        <v>0</v>
      </c>
      <c r="AI52" s="47">
        <f>AI46/AI43</f>
        <v>0</v>
      </c>
      <c r="AL52" s="7"/>
    </row>
    <row r="53" spans="1:38" hidden="1" x14ac:dyDescent="0.2">
      <c r="A53" s="43" t="s">
        <v>59</v>
      </c>
      <c r="B53" s="42" t="s">
        <v>63</v>
      </c>
      <c r="C53" s="45"/>
      <c r="D53" s="46" t="s">
        <v>64</v>
      </c>
      <c r="E53" s="39" t="e">
        <f>E47*1000/E43</f>
        <v>#DIV/0!</v>
      </c>
      <c r="F53" s="39" t="e">
        <f>F47*1000/F43</f>
        <v>#DIV/0!</v>
      </c>
      <c r="G53" s="39">
        <f>G47*1000/G43</f>
        <v>0</v>
      </c>
      <c r="H53" s="39"/>
      <c r="I53" s="39">
        <f t="shared" ref="I53:R53" si="9">I47*1000/I43</f>
        <v>0</v>
      </c>
      <c r="J53" s="39">
        <f t="shared" si="9"/>
        <v>0</v>
      </c>
      <c r="K53" s="39">
        <f t="shared" si="9"/>
        <v>0</v>
      </c>
      <c r="L53" s="39">
        <f t="shared" si="9"/>
        <v>0</v>
      </c>
      <c r="M53" s="39">
        <f t="shared" si="9"/>
        <v>0</v>
      </c>
      <c r="N53" s="39">
        <f t="shared" si="9"/>
        <v>0</v>
      </c>
      <c r="O53" s="39">
        <f t="shared" si="9"/>
        <v>0</v>
      </c>
      <c r="P53" s="39">
        <f t="shared" si="9"/>
        <v>0</v>
      </c>
      <c r="Q53" s="39">
        <f t="shared" si="9"/>
        <v>0</v>
      </c>
      <c r="R53" s="39" t="e">
        <f t="shared" si="9"/>
        <v>#DIV/0!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47">
        <f>AI47*1000/AI43</f>
        <v>0</v>
      </c>
      <c r="AL53" s="7"/>
    </row>
    <row r="54" spans="1:38" hidden="1" x14ac:dyDescent="0.2">
      <c r="A54" s="43" t="s">
        <v>62</v>
      </c>
      <c r="B54" s="42" t="s">
        <v>67</v>
      </c>
      <c r="C54" s="45"/>
      <c r="D54" s="46" t="s">
        <v>68</v>
      </c>
      <c r="E54" s="51" t="e">
        <f>E48/E43</f>
        <v>#DIV/0!</v>
      </c>
      <c r="F54" s="51" t="e">
        <f>F48/F43</f>
        <v>#DIV/0!</v>
      </c>
      <c r="G54" s="51">
        <f>G48/G43</f>
        <v>0</v>
      </c>
      <c r="H54" s="51"/>
      <c r="I54" s="51">
        <f t="shared" ref="I54:R54" si="10">I48/I43</f>
        <v>0</v>
      </c>
      <c r="J54" s="51">
        <f t="shared" si="10"/>
        <v>0</v>
      </c>
      <c r="K54" s="51">
        <f t="shared" si="10"/>
        <v>0</v>
      </c>
      <c r="L54" s="51">
        <f t="shared" si="10"/>
        <v>0</v>
      </c>
      <c r="M54" s="51">
        <f t="shared" si="10"/>
        <v>0</v>
      </c>
      <c r="N54" s="51">
        <f t="shared" si="10"/>
        <v>0</v>
      </c>
      <c r="O54" s="51">
        <f t="shared" si="10"/>
        <v>0</v>
      </c>
      <c r="P54" s="51">
        <f t="shared" si="10"/>
        <v>0</v>
      </c>
      <c r="Q54" s="51">
        <f t="shared" si="10"/>
        <v>0</v>
      </c>
      <c r="R54" s="51" t="e">
        <f t="shared" si="10"/>
        <v>#DIV/0!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2">
        <v>0</v>
      </c>
      <c r="AG54" s="52">
        <v>0</v>
      </c>
      <c r="AH54" s="52">
        <v>0</v>
      </c>
      <c r="AI54" s="47">
        <f>AI48/AI43</f>
        <v>0</v>
      </c>
      <c r="AL54" s="7"/>
    </row>
    <row r="55" spans="1:38" hidden="1" x14ac:dyDescent="0.2">
      <c r="A55" s="43" t="s">
        <v>65</v>
      </c>
      <c r="B55" s="42" t="s">
        <v>70</v>
      </c>
      <c r="C55" s="45"/>
      <c r="D55" s="46" t="s">
        <v>71</v>
      </c>
      <c r="E55" s="56"/>
      <c r="F55" s="56"/>
      <c r="G55" s="56"/>
      <c r="H55" s="56"/>
      <c r="I55" s="56">
        <v>0</v>
      </c>
      <c r="J55" s="56">
        <v>0</v>
      </c>
      <c r="K55" s="56"/>
      <c r="L55" s="56"/>
      <c r="M55" s="56"/>
      <c r="N55" s="56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8" t="e">
        <f>+#REF!</f>
        <v>#REF!</v>
      </c>
      <c r="AJ55" s="7"/>
    </row>
    <row r="56" spans="1:38" hidden="1" x14ac:dyDescent="0.2">
      <c r="A56" s="43" t="s">
        <v>50</v>
      </c>
      <c r="B56" s="42" t="s">
        <v>74</v>
      </c>
      <c r="C56" s="45"/>
      <c r="D56" s="46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59" t="s">
        <v>75</v>
      </c>
      <c r="AJ56" s="7"/>
    </row>
    <row r="57" spans="1:38" hidden="1" x14ac:dyDescent="0.2">
      <c r="A57" s="43" t="s">
        <v>56</v>
      </c>
      <c r="B57" s="42" t="s">
        <v>76</v>
      </c>
      <c r="C57" s="45"/>
      <c r="D57" s="46" t="s">
        <v>42</v>
      </c>
      <c r="E57" s="39" t="e">
        <f>E43*100/#REF!</f>
        <v>#REF!</v>
      </c>
      <c r="F57" s="39" t="e">
        <f>F43*100/#REF!</f>
        <v>#REF!</v>
      </c>
      <c r="G57" s="39" t="e">
        <f>G43*100/#REF!</f>
        <v>#REF!</v>
      </c>
      <c r="H57" s="39" t="e">
        <f>H43*100/#REF!</f>
        <v>#REF!</v>
      </c>
      <c r="I57" s="39" t="e">
        <f>I43*100/#REF!</f>
        <v>#REF!</v>
      </c>
      <c r="J57" s="39" t="e">
        <f>J43*100/#REF!</f>
        <v>#REF!</v>
      </c>
      <c r="K57" s="39" t="e">
        <f>K43*100/#REF!</f>
        <v>#REF!</v>
      </c>
      <c r="L57" s="39" t="e">
        <f>L43*100/#REF!</f>
        <v>#REF!</v>
      </c>
      <c r="M57" s="39" t="e">
        <f>M43*100/#REF!</f>
        <v>#REF!</v>
      </c>
      <c r="N57" s="39" t="e">
        <f>N43*100/#REF!</f>
        <v>#REF!</v>
      </c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59" t="s">
        <v>77</v>
      </c>
      <c r="AJ57" s="7"/>
    </row>
    <row r="58" spans="1:38" hidden="1" x14ac:dyDescent="0.2">
      <c r="A58" s="43" t="s">
        <v>59</v>
      </c>
      <c r="B58" s="42" t="s">
        <v>78</v>
      </c>
      <c r="C58" s="45"/>
      <c r="D58" s="46" t="s">
        <v>79</v>
      </c>
      <c r="E58" s="39" t="e">
        <f>#REF!*E52</f>
        <v>#REF!</v>
      </c>
      <c r="F58" s="56" t="e">
        <f>#REF!*F52</f>
        <v>#REF!</v>
      </c>
      <c r="G58" s="56" t="e">
        <f>#REF!*G52</f>
        <v>#REF!</v>
      </c>
      <c r="H58" s="56" t="e">
        <f>#REF!*H52</f>
        <v>#REF!</v>
      </c>
      <c r="I58" s="56" t="e">
        <f>#REF!*I52</f>
        <v>#REF!</v>
      </c>
      <c r="J58" s="56" t="e">
        <f>#REF!*J52</f>
        <v>#REF!</v>
      </c>
      <c r="K58" s="56" t="e">
        <f>#REF!*K52</f>
        <v>#REF!</v>
      </c>
      <c r="L58" s="56" t="e">
        <f>#REF!*L52</f>
        <v>#REF!</v>
      </c>
      <c r="M58" s="56" t="e">
        <f>#REF!*M52</f>
        <v>#REF!</v>
      </c>
      <c r="N58" s="56" t="e">
        <f>#REF!*N52</f>
        <v>#REF!</v>
      </c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60" t="e">
        <f>AI52*#REF!</f>
        <v>#REF!</v>
      </c>
      <c r="AJ58" s="7"/>
    </row>
    <row r="59" spans="1:38" hidden="1" x14ac:dyDescent="0.2">
      <c r="A59" s="43" t="s">
        <v>62</v>
      </c>
      <c r="B59" s="42" t="s">
        <v>80</v>
      </c>
      <c r="C59" s="45"/>
      <c r="D59" s="46" t="s">
        <v>79</v>
      </c>
      <c r="E59" s="39" t="e">
        <f>#REF!*E53</f>
        <v>#REF!</v>
      </c>
      <c r="F59" s="56" t="e">
        <f>#REF!*F53</f>
        <v>#REF!</v>
      </c>
      <c r="G59" s="56" t="e">
        <f>#REF!*G53</f>
        <v>#REF!</v>
      </c>
      <c r="H59" s="56" t="e">
        <f>#REF!*H53</f>
        <v>#REF!</v>
      </c>
      <c r="I59" s="56" t="e">
        <f>#REF!*I53</f>
        <v>#REF!</v>
      </c>
      <c r="J59" s="56" t="e">
        <f>#REF!*J53</f>
        <v>#REF!</v>
      </c>
      <c r="K59" s="56" t="e">
        <f>#REF!*K53</f>
        <v>#REF!</v>
      </c>
      <c r="L59" s="56" t="e">
        <f>#REF!*L53</f>
        <v>#REF!</v>
      </c>
      <c r="M59" s="56" t="e">
        <f>#REF!*M53</f>
        <v>#REF!</v>
      </c>
      <c r="N59" s="56" t="e">
        <f>#REF!*N53</f>
        <v>#REF!</v>
      </c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60" t="e">
        <f>AI53*#REF!</f>
        <v>#REF!</v>
      </c>
      <c r="AJ59" s="7"/>
    </row>
    <row r="60" spans="1:38" hidden="1" x14ac:dyDescent="0.2">
      <c r="A60" s="43" t="s">
        <v>65</v>
      </c>
      <c r="B60" s="42" t="s">
        <v>81</v>
      </c>
      <c r="C60" s="45"/>
      <c r="D60" s="46" t="s">
        <v>79</v>
      </c>
      <c r="E60" s="39" t="e">
        <f>#REF!*E54</f>
        <v>#REF!</v>
      </c>
      <c r="F60" s="56" t="e">
        <f>#REF!*F54</f>
        <v>#REF!</v>
      </c>
      <c r="G60" s="56" t="e">
        <f>#REF!*G54</f>
        <v>#REF!</v>
      </c>
      <c r="H60" s="56" t="e">
        <f>#REF!*H54</f>
        <v>#REF!</v>
      </c>
      <c r="I60" s="56" t="e">
        <f>#REF!*I54</f>
        <v>#REF!</v>
      </c>
      <c r="J60" s="56" t="e">
        <f>#REF!*J54</f>
        <v>#REF!</v>
      </c>
      <c r="K60" s="56" t="e">
        <f>#REF!*K54</f>
        <v>#REF!</v>
      </c>
      <c r="L60" s="56" t="e">
        <f>#REF!*L54</f>
        <v>#REF!</v>
      </c>
      <c r="M60" s="56" t="e">
        <f>#REF!*M54</f>
        <v>#REF!</v>
      </c>
      <c r="N60" s="56" t="e">
        <f>#REF!*N54</f>
        <v>#REF!</v>
      </c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60" t="e">
        <f>AI54*#REF!</f>
        <v>#REF!</v>
      </c>
      <c r="AJ60" s="7"/>
    </row>
    <row r="61" spans="1:38" hidden="1" x14ac:dyDescent="0.2">
      <c r="A61" s="43" t="s">
        <v>66</v>
      </c>
      <c r="B61" s="42" t="s">
        <v>82</v>
      </c>
      <c r="C61" s="45"/>
      <c r="D61" s="46" t="s">
        <v>79</v>
      </c>
      <c r="E61" s="39" t="e">
        <f>#REF!*E55</f>
        <v>#REF!</v>
      </c>
      <c r="F61" s="56" t="e">
        <f>#REF!*F55</f>
        <v>#REF!</v>
      </c>
      <c r="G61" s="56" t="e">
        <f>#REF!*G55</f>
        <v>#REF!</v>
      </c>
      <c r="H61" s="56" t="e">
        <f>#REF!*H55</f>
        <v>#REF!</v>
      </c>
      <c r="I61" s="56" t="e">
        <f>#REF!*I55</f>
        <v>#REF!</v>
      </c>
      <c r="J61" s="56" t="e">
        <f>#REF!*J55</f>
        <v>#REF!</v>
      </c>
      <c r="K61" s="56" t="e">
        <f>#REF!*K55</f>
        <v>#REF!</v>
      </c>
      <c r="L61" s="56" t="e">
        <f>#REF!*L55</f>
        <v>#REF!</v>
      </c>
      <c r="M61" s="56" t="e">
        <f>#REF!*M55</f>
        <v>#REF!</v>
      </c>
      <c r="N61" s="56" t="e">
        <f>#REF!*N55</f>
        <v>#REF!</v>
      </c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60" t="e">
        <f>AI55*#REF!</f>
        <v>#REF!</v>
      </c>
      <c r="AJ61" s="7"/>
    </row>
    <row r="62" spans="1:38" hidden="1" x14ac:dyDescent="0.2">
      <c r="A62" s="43" t="s">
        <v>69</v>
      </c>
      <c r="B62" s="42" t="s">
        <v>83</v>
      </c>
      <c r="C62" s="45"/>
      <c r="D62" s="46" t="s">
        <v>79</v>
      </c>
      <c r="E62" s="39" t="e">
        <f>#REF!/E43</f>
        <v>#REF!</v>
      </c>
      <c r="F62" s="56" t="e">
        <f>#REF!/F43</f>
        <v>#REF!</v>
      </c>
      <c r="G62" s="56" t="e">
        <f>#REF!/G43</f>
        <v>#REF!</v>
      </c>
      <c r="H62" s="56" t="e">
        <f>#REF!/H43</f>
        <v>#REF!</v>
      </c>
      <c r="I62" s="56" t="e">
        <f>#REF!/I43</f>
        <v>#REF!</v>
      </c>
      <c r="J62" s="56" t="e">
        <f>#REF!/J43</f>
        <v>#REF!</v>
      </c>
      <c r="K62" s="56" t="e">
        <f>#REF!/K43</f>
        <v>#REF!</v>
      </c>
      <c r="L62" s="56" t="e">
        <f>#REF!/L43</f>
        <v>#REF!</v>
      </c>
      <c r="M62" s="56" t="e">
        <f>#REF!/M43</f>
        <v>#REF!</v>
      </c>
      <c r="N62" s="56" t="e">
        <f>#REF!/N43</f>
        <v>#REF!</v>
      </c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60" t="e">
        <f>#REF!/AI43</f>
        <v>#REF!</v>
      </c>
      <c r="AJ62" s="7"/>
    </row>
    <row r="63" spans="1:38" hidden="1" x14ac:dyDescent="0.2">
      <c r="A63" s="43" t="s">
        <v>72</v>
      </c>
      <c r="B63" s="42" t="s">
        <v>84</v>
      </c>
      <c r="C63" s="45"/>
      <c r="D63" s="46" t="s">
        <v>79</v>
      </c>
      <c r="E63" s="56">
        <v>291</v>
      </c>
      <c r="F63" s="56">
        <v>291</v>
      </c>
      <c r="G63" s="56">
        <v>291</v>
      </c>
      <c r="H63" s="56">
        <v>291</v>
      </c>
      <c r="I63" s="56">
        <v>291</v>
      </c>
      <c r="J63" s="56">
        <v>291</v>
      </c>
      <c r="K63" s="56">
        <v>291</v>
      </c>
      <c r="L63" s="56">
        <v>291</v>
      </c>
      <c r="M63" s="56">
        <v>291</v>
      </c>
      <c r="N63" s="56">
        <v>291</v>
      </c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60">
        <f>AVERAGE(E63:M63)</f>
        <v>291</v>
      </c>
      <c r="AJ63" s="7"/>
    </row>
    <row r="64" spans="1:38" ht="20.25" hidden="1" customHeight="1" x14ac:dyDescent="0.2">
      <c r="A64" s="43"/>
      <c r="B64" s="42"/>
      <c r="C64" s="45"/>
      <c r="D64" s="210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11"/>
      <c r="AG64" s="211"/>
      <c r="AH64" s="211"/>
      <c r="AI64" s="212"/>
      <c r="AJ64" s="7"/>
    </row>
    <row r="65" spans="1:36" hidden="1" x14ac:dyDescent="0.2">
      <c r="A65" s="43" t="s">
        <v>66</v>
      </c>
      <c r="B65" s="42" t="s">
        <v>85</v>
      </c>
      <c r="C65" s="45"/>
      <c r="D65" s="46"/>
      <c r="E65" s="61"/>
      <c r="F65" s="62"/>
      <c r="G65" s="62"/>
      <c r="H65" s="62"/>
      <c r="I65" s="63"/>
      <c r="J65" s="63"/>
      <c r="K65" s="63"/>
      <c r="L65" s="63"/>
      <c r="M65" s="63"/>
      <c r="N65" s="63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47" t="s">
        <v>86</v>
      </c>
      <c r="AJ65" s="7"/>
    </row>
    <row r="66" spans="1:36" hidden="1" x14ac:dyDescent="0.2">
      <c r="A66" s="43"/>
      <c r="B66" s="65" t="s">
        <v>87</v>
      </c>
      <c r="C66" s="66"/>
      <c r="D66" s="46"/>
      <c r="E66" s="61"/>
      <c r="F66" s="62"/>
      <c r="G66" s="62"/>
      <c r="H66" s="67"/>
      <c r="I66" s="198"/>
      <c r="J66" s="199"/>
      <c r="K66" s="199"/>
      <c r="L66" s="199"/>
      <c r="M66" s="200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9" t="s">
        <v>87</v>
      </c>
      <c r="AJ66" s="7"/>
    </row>
    <row r="67" spans="1:36" hidden="1" x14ac:dyDescent="0.2">
      <c r="A67" s="70" t="s">
        <v>56</v>
      </c>
      <c r="B67" s="42" t="s">
        <v>89</v>
      </c>
      <c r="C67" s="45"/>
      <c r="D67" s="46" t="s">
        <v>0</v>
      </c>
      <c r="E67" s="39"/>
      <c r="F67" s="39"/>
      <c r="G67" s="39"/>
      <c r="H67" s="39"/>
      <c r="I67" s="71">
        <v>1.6</v>
      </c>
      <c r="J67" s="71">
        <v>3.5</v>
      </c>
      <c r="K67" s="71">
        <v>12</v>
      </c>
      <c r="L67" s="71">
        <v>26.5</v>
      </c>
      <c r="M67" s="71">
        <v>12</v>
      </c>
      <c r="N67" s="71">
        <v>17.5</v>
      </c>
      <c r="O67" s="72">
        <v>26</v>
      </c>
      <c r="P67" s="72">
        <v>2.5</v>
      </c>
      <c r="Q67" s="72">
        <v>0</v>
      </c>
      <c r="R67" s="72">
        <v>0</v>
      </c>
      <c r="S67" s="72">
        <v>23.5</v>
      </c>
      <c r="T67" s="72">
        <v>2.5</v>
      </c>
      <c r="U67" s="72">
        <v>2.5</v>
      </c>
      <c r="V67" s="72">
        <v>2.5</v>
      </c>
      <c r="W67" s="72">
        <v>2.5</v>
      </c>
      <c r="X67" s="72">
        <v>2.5</v>
      </c>
      <c r="Y67" s="72">
        <v>2.5</v>
      </c>
      <c r="Z67" s="72">
        <v>2.5</v>
      </c>
      <c r="AA67" s="72">
        <v>2.5</v>
      </c>
      <c r="AB67" s="72">
        <v>2.5</v>
      </c>
      <c r="AC67" s="72">
        <v>2.5</v>
      </c>
      <c r="AD67" s="72">
        <v>2.5</v>
      </c>
      <c r="AE67" s="72">
        <v>2.5</v>
      </c>
      <c r="AF67" s="72">
        <v>2.5</v>
      </c>
      <c r="AG67" s="72">
        <v>2.5</v>
      </c>
      <c r="AH67" s="72">
        <v>2.5</v>
      </c>
      <c r="AI67" s="47">
        <f>SUM(I67:AH67)</f>
        <v>162.6</v>
      </c>
      <c r="AJ67" s="7"/>
    </row>
    <row r="68" spans="1:36" hidden="1" x14ac:dyDescent="0.2">
      <c r="A68" s="70" t="s">
        <v>59</v>
      </c>
      <c r="B68" s="42" t="s">
        <v>90</v>
      </c>
      <c r="C68" s="45"/>
      <c r="D68" s="46" t="s">
        <v>0</v>
      </c>
      <c r="E68" s="39"/>
      <c r="F68" s="39"/>
      <c r="G68" s="39"/>
      <c r="H68" s="39"/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40">
        <v>0</v>
      </c>
      <c r="P68" s="40">
        <v>0</v>
      </c>
      <c r="Q68" s="40">
        <v>15</v>
      </c>
      <c r="R68" s="40">
        <v>0</v>
      </c>
      <c r="S68" s="40">
        <v>0</v>
      </c>
      <c r="T68" s="40">
        <v>12.5</v>
      </c>
      <c r="U68" s="40">
        <v>12.5</v>
      </c>
      <c r="V68" s="40">
        <v>12.5</v>
      </c>
      <c r="W68" s="40">
        <v>12.5</v>
      </c>
      <c r="X68" s="40">
        <v>12.5</v>
      </c>
      <c r="Y68" s="40">
        <v>12.5</v>
      </c>
      <c r="Z68" s="40">
        <v>12.5</v>
      </c>
      <c r="AA68" s="40">
        <v>12.5</v>
      </c>
      <c r="AB68" s="40">
        <v>12.5</v>
      </c>
      <c r="AC68" s="40">
        <v>12.5</v>
      </c>
      <c r="AD68" s="40">
        <v>12.5</v>
      </c>
      <c r="AE68" s="40">
        <v>12.5</v>
      </c>
      <c r="AF68" s="40">
        <v>12.5</v>
      </c>
      <c r="AG68" s="40">
        <v>12.5</v>
      </c>
      <c r="AH68" s="40">
        <v>12.5</v>
      </c>
      <c r="AI68" s="47">
        <f>SUM(I68:AH68)</f>
        <v>202.5</v>
      </c>
      <c r="AJ68" s="7"/>
    </row>
    <row r="69" spans="1:36" hidden="1" x14ac:dyDescent="0.2">
      <c r="A69" s="70" t="s">
        <v>62</v>
      </c>
      <c r="B69" s="42" t="s">
        <v>91</v>
      </c>
      <c r="C69" s="45"/>
      <c r="D69" s="46" t="s">
        <v>0</v>
      </c>
      <c r="E69" s="39"/>
      <c r="F69" s="39"/>
      <c r="G69" s="39"/>
      <c r="H69" s="39"/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40">
        <v>0</v>
      </c>
      <c r="P69" s="40">
        <v>32.5</v>
      </c>
      <c r="Q69" s="40">
        <v>5.5</v>
      </c>
      <c r="R69" s="40">
        <v>32.5</v>
      </c>
      <c r="S69" s="40">
        <v>23.5</v>
      </c>
      <c r="T69" s="40">
        <v>38</v>
      </c>
      <c r="U69" s="40">
        <v>38</v>
      </c>
      <c r="V69" s="40">
        <v>38</v>
      </c>
      <c r="W69" s="40">
        <v>38</v>
      </c>
      <c r="X69" s="40">
        <v>38</v>
      </c>
      <c r="Y69" s="40">
        <v>38</v>
      </c>
      <c r="Z69" s="40">
        <v>38</v>
      </c>
      <c r="AA69" s="40">
        <v>38</v>
      </c>
      <c r="AB69" s="40">
        <v>38</v>
      </c>
      <c r="AC69" s="40">
        <v>38</v>
      </c>
      <c r="AD69" s="40">
        <v>38</v>
      </c>
      <c r="AE69" s="40">
        <v>38</v>
      </c>
      <c r="AF69" s="40">
        <v>38</v>
      </c>
      <c r="AG69" s="40">
        <v>38</v>
      </c>
      <c r="AH69" s="40">
        <v>38</v>
      </c>
      <c r="AI69" s="47">
        <f>SUM(I69:AH69)</f>
        <v>664</v>
      </c>
      <c r="AJ69" s="7"/>
    </row>
    <row r="70" spans="1:36" hidden="1" x14ac:dyDescent="0.2">
      <c r="A70" s="70" t="s">
        <v>65</v>
      </c>
      <c r="B70" s="42" t="s">
        <v>92</v>
      </c>
      <c r="C70" s="45"/>
      <c r="D70" s="46" t="s">
        <v>0</v>
      </c>
      <c r="E70" s="39"/>
      <c r="F70" s="39"/>
      <c r="G70" s="39"/>
      <c r="H70" s="39"/>
      <c r="I70" s="39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7">
        <f>SUM(I70:AH70)</f>
        <v>0</v>
      </c>
      <c r="AJ70" s="7"/>
    </row>
    <row r="71" spans="1:36" hidden="1" x14ac:dyDescent="0.2">
      <c r="A71" s="73"/>
      <c r="B71" s="42" t="s">
        <v>94</v>
      </c>
      <c r="C71" s="45"/>
      <c r="D71" s="46" t="s">
        <v>0</v>
      </c>
      <c r="E71" s="74">
        <f t="shared" ref="E71:AI71" si="11">SUM(E67:E70)</f>
        <v>0</v>
      </c>
      <c r="F71" s="74">
        <f t="shared" si="11"/>
        <v>0</v>
      </c>
      <c r="G71" s="74">
        <f t="shared" si="11"/>
        <v>0</v>
      </c>
      <c r="H71" s="74">
        <f t="shared" si="11"/>
        <v>0</v>
      </c>
      <c r="I71" s="74">
        <f t="shared" si="11"/>
        <v>1.6</v>
      </c>
      <c r="J71" s="74">
        <f t="shared" si="11"/>
        <v>3.5</v>
      </c>
      <c r="K71" s="74">
        <f t="shared" si="11"/>
        <v>12</v>
      </c>
      <c r="L71" s="74">
        <f t="shared" ref="L71" si="12">SUM(L67:L70)</f>
        <v>26.5</v>
      </c>
      <c r="M71" s="74">
        <f t="shared" si="11"/>
        <v>12</v>
      </c>
      <c r="N71" s="74">
        <f t="shared" ref="N71:T71" si="13">SUM(N67:N70)</f>
        <v>17.5</v>
      </c>
      <c r="O71" s="74">
        <f t="shared" si="13"/>
        <v>26</v>
      </c>
      <c r="P71" s="74">
        <f t="shared" si="13"/>
        <v>35</v>
      </c>
      <c r="Q71" s="74">
        <f t="shared" ref="Q71" si="14">SUM(Q67:Q70)</f>
        <v>20.5</v>
      </c>
      <c r="R71" s="74">
        <f t="shared" si="13"/>
        <v>32.5</v>
      </c>
      <c r="S71" s="74">
        <f t="shared" si="13"/>
        <v>47</v>
      </c>
      <c r="T71" s="74">
        <f t="shared" si="13"/>
        <v>53</v>
      </c>
      <c r="U71" s="74">
        <f t="shared" ref="U71:V71" si="15">SUM(U67:U70)</f>
        <v>53</v>
      </c>
      <c r="V71" s="74">
        <f t="shared" si="15"/>
        <v>53</v>
      </c>
      <c r="W71" s="74">
        <f t="shared" ref="W71" si="16">SUM(W67:W70)</f>
        <v>53</v>
      </c>
      <c r="X71" s="74">
        <f t="shared" ref="X71" si="17">SUM(X67:X70)</f>
        <v>53</v>
      </c>
      <c r="Y71" s="74">
        <f t="shared" ref="Y71" si="18">SUM(Y67:Y70)</f>
        <v>53</v>
      </c>
      <c r="Z71" s="74">
        <f t="shared" ref="Z71" si="19">SUM(Z67:Z70)</f>
        <v>53</v>
      </c>
      <c r="AA71" s="74">
        <f t="shared" ref="AA71" si="20">SUM(AA67:AA70)</f>
        <v>53</v>
      </c>
      <c r="AB71" s="74">
        <f t="shared" ref="AB71" si="21">SUM(AB67:AB70)</f>
        <v>53</v>
      </c>
      <c r="AC71" s="74">
        <f t="shared" ref="AC71" si="22">SUM(AC67:AC70)</f>
        <v>53</v>
      </c>
      <c r="AD71" s="74">
        <f t="shared" ref="AD71" si="23">SUM(AD67:AD70)</f>
        <v>53</v>
      </c>
      <c r="AE71" s="74">
        <f t="shared" ref="AE71" si="24">SUM(AE67:AE70)</f>
        <v>53</v>
      </c>
      <c r="AF71" s="74">
        <f t="shared" ref="AF71" si="25">SUM(AF67:AF70)</f>
        <v>53</v>
      </c>
      <c r="AG71" s="74">
        <f t="shared" ref="AG71" si="26">SUM(AG67:AG70)</f>
        <v>53</v>
      </c>
      <c r="AH71" s="74">
        <f t="shared" ref="AH71" si="27">SUM(AH67:AH70)</f>
        <v>53</v>
      </c>
      <c r="AI71" s="59">
        <f t="shared" si="11"/>
        <v>1029.0999999999999</v>
      </c>
      <c r="AJ71" s="7"/>
    </row>
    <row r="72" spans="1:36" hidden="1" x14ac:dyDescent="0.2">
      <c r="A72" s="73"/>
      <c r="B72" s="65" t="s">
        <v>88</v>
      </c>
      <c r="C72" s="66"/>
      <c r="D72" s="62"/>
      <c r="E72" s="62"/>
      <c r="F72" s="62"/>
      <c r="G72" s="62"/>
      <c r="H72" s="62"/>
      <c r="I72" s="198"/>
      <c r="J72" s="199"/>
      <c r="K72" s="199"/>
      <c r="L72" s="199"/>
      <c r="M72" s="200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75" t="s">
        <v>88</v>
      </c>
      <c r="AJ72" s="7"/>
    </row>
    <row r="73" spans="1:36" hidden="1" x14ac:dyDescent="0.2">
      <c r="A73" s="70" t="s">
        <v>56</v>
      </c>
      <c r="B73" s="42" t="s">
        <v>89</v>
      </c>
      <c r="C73" s="45"/>
      <c r="D73" s="46" t="s">
        <v>0</v>
      </c>
      <c r="E73" s="39"/>
      <c r="F73" s="39"/>
      <c r="G73" s="39"/>
      <c r="H73" s="39"/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47">
        <f>SUM(E73:M73)</f>
        <v>0</v>
      </c>
      <c r="AJ73" s="7"/>
    </row>
    <row r="74" spans="1:36" hidden="1" x14ac:dyDescent="0.2">
      <c r="A74" s="70" t="s">
        <v>59</v>
      </c>
      <c r="B74" s="42" t="s">
        <v>90</v>
      </c>
      <c r="C74" s="45"/>
      <c r="D74" s="46" t="s">
        <v>0</v>
      </c>
      <c r="E74" s="39"/>
      <c r="F74" s="39"/>
      <c r="G74" s="39"/>
      <c r="H74" s="39"/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7">
        <f>SUM(E74:M74)</f>
        <v>0</v>
      </c>
      <c r="AJ74" s="7"/>
    </row>
    <row r="75" spans="1:36" hidden="1" x14ac:dyDescent="0.2">
      <c r="A75" s="70" t="s">
        <v>62</v>
      </c>
      <c r="B75" s="42" t="s">
        <v>91</v>
      </c>
      <c r="C75" s="45"/>
      <c r="D75" s="46" t="s">
        <v>0</v>
      </c>
      <c r="E75" s="39"/>
      <c r="F75" s="39"/>
      <c r="G75" s="39"/>
      <c r="H75" s="39"/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7">
        <f>SUM(E75:M75)</f>
        <v>0</v>
      </c>
      <c r="AJ75" s="7"/>
    </row>
    <row r="76" spans="1:36" hidden="1" x14ac:dyDescent="0.2">
      <c r="A76" s="70" t="s">
        <v>65</v>
      </c>
      <c r="B76" s="42" t="s">
        <v>92</v>
      </c>
      <c r="C76" s="45"/>
      <c r="D76" s="46" t="s">
        <v>0</v>
      </c>
      <c r="E76" s="39"/>
      <c r="F76" s="39"/>
      <c r="G76" s="39"/>
      <c r="H76" s="39"/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7">
        <f>SUM(E76:M76)</f>
        <v>0</v>
      </c>
      <c r="AJ76" s="7"/>
    </row>
    <row r="77" spans="1:36" hidden="1" x14ac:dyDescent="0.2">
      <c r="A77" s="70" t="s">
        <v>66</v>
      </c>
      <c r="B77" s="42" t="s">
        <v>178</v>
      </c>
      <c r="C77" s="45"/>
      <c r="D77" s="46" t="s">
        <v>0</v>
      </c>
      <c r="E77" s="39"/>
      <c r="F77" s="39"/>
      <c r="G77" s="39"/>
      <c r="H77" s="39"/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47">
        <f>SUM(E77:M77)</f>
        <v>0</v>
      </c>
      <c r="AJ77" s="7"/>
    </row>
    <row r="78" spans="1:36" hidden="1" x14ac:dyDescent="0.2">
      <c r="A78" s="73"/>
      <c r="B78" s="42" t="s">
        <v>94</v>
      </c>
      <c r="C78" s="45"/>
      <c r="D78" s="46" t="s">
        <v>0</v>
      </c>
      <c r="E78" s="74">
        <f t="shared" ref="E78:AI78" si="28">SUM(E73:E77)</f>
        <v>0</v>
      </c>
      <c r="F78" s="74">
        <f t="shared" si="28"/>
        <v>0</v>
      </c>
      <c r="G78" s="74">
        <f t="shared" si="28"/>
        <v>0</v>
      </c>
      <c r="H78" s="74">
        <f t="shared" si="28"/>
        <v>0</v>
      </c>
      <c r="I78" s="74">
        <f t="shared" si="28"/>
        <v>0</v>
      </c>
      <c r="J78" s="74">
        <f t="shared" si="28"/>
        <v>0</v>
      </c>
      <c r="K78" s="74">
        <f t="shared" si="28"/>
        <v>0</v>
      </c>
      <c r="L78" s="74">
        <f t="shared" ref="L78" si="29">SUM(L73:L77)</f>
        <v>0</v>
      </c>
      <c r="M78" s="74">
        <f t="shared" si="28"/>
        <v>0</v>
      </c>
      <c r="N78" s="74">
        <f t="shared" ref="N78:O78" si="30">SUM(N73:N77)</f>
        <v>0</v>
      </c>
      <c r="O78" s="74">
        <f t="shared" si="30"/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6">
        <v>0</v>
      </c>
      <c r="AH78" s="76">
        <v>0</v>
      </c>
      <c r="AI78" s="47">
        <f t="shared" si="28"/>
        <v>0</v>
      </c>
    </row>
    <row r="79" spans="1:36" hidden="1" x14ac:dyDescent="0.2">
      <c r="A79" s="73"/>
      <c r="B79" s="42" t="s">
        <v>95</v>
      </c>
      <c r="C79" s="45"/>
      <c r="D79" s="46" t="s">
        <v>0</v>
      </c>
      <c r="E79" s="74">
        <f t="shared" ref="E79:AI79" si="31">E71+E78</f>
        <v>0</v>
      </c>
      <c r="F79" s="74">
        <f t="shared" si="31"/>
        <v>0</v>
      </c>
      <c r="G79" s="74">
        <f t="shared" si="31"/>
        <v>0</v>
      </c>
      <c r="H79" s="74">
        <f t="shared" si="31"/>
        <v>0</v>
      </c>
      <c r="I79" s="74">
        <f t="shared" si="31"/>
        <v>1.6</v>
      </c>
      <c r="J79" s="74">
        <f t="shared" si="31"/>
        <v>3.5</v>
      </c>
      <c r="K79" s="74">
        <f t="shared" si="31"/>
        <v>12</v>
      </c>
      <c r="L79" s="74">
        <f t="shared" ref="L79" si="32">L71+L78</f>
        <v>26.5</v>
      </c>
      <c r="M79" s="74">
        <f t="shared" si="31"/>
        <v>12</v>
      </c>
      <c r="N79" s="74">
        <f t="shared" ref="N79:T79" si="33">N71+N78</f>
        <v>17.5</v>
      </c>
      <c r="O79" s="74">
        <f t="shared" si="33"/>
        <v>26</v>
      </c>
      <c r="P79" s="74">
        <f t="shared" si="33"/>
        <v>35</v>
      </c>
      <c r="Q79" s="74">
        <f t="shared" ref="Q79" si="34">Q71+Q78</f>
        <v>20.5</v>
      </c>
      <c r="R79" s="74">
        <f t="shared" si="33"/>
        <v>32.5</v>
      </c>
      <c r="S79" s="74">
        <f t="shared" si="33"/>
        <v>47</v>
      </c>
      <c r="T79" s="74">
        <f t="shared" si="33"/>
        <v>53</v>
      </c>
      <c r="U79" s="74">
        <f t="shared" ref="U79:V79" si="35">U71+U78</f>
        <v>53</v>
      </c>
      <c r="V79" s="74">
        <f t="shared" si="35"/>
        <v>53</v>
      </c>
      <c r="W79" s="74">
        <f t="shared" ref="W79" si="36">W71+W78</f>
        <v>53</v>
      </c>
      <c r="X79" s="74">
        <f t="shared" ref="X79" si="37">X71+X78</f>
        <v>53</v>
      </c>
      <c r="Y79" s="74">
        <f t="shared" ref="Y79" si="38">Y71+Y78</f>
        <v>53</v>
      </c>
      <c r="Z79" s="74">
        <f t="shared" ref="Z79" si="39">Z71+Z78</f>
        <v>53</v>
      </c>
      <c r="AA79" s="74">
        <f t="shared" ref="AA79" si="40">AA71+AA78</f>
        <v>53</v>
      </c>
      <c r="AB79" s="74">
        <f t="shared" ref="AB79" si="41">AB71+AB78</f>
        <v>53</v>
      </c>
      <c r="AC79" s="74">
        <f t="shared" ref="AC79" si="42">AC71+AC78</f>
        <v>53</v>
      </c>
      <c r="AD79" s="74">
        <f t="shared" ref="AD79" si="43">AD71+AD78</f>
        <v>53</v>
      </c>
      <c r="AE79" s="74">
        <f t="shared" ref="AE79" si="44">AE71+AE78</f>
        <v>53</v>
      </c>
      <c r="AF79" s="74">
        <f t="shared" ref="AF79" si="45">AF71+AF78</f>
        <v>53</v>
      </c>
      <c r="AG79" s="74">
        <f t="shared" ref="AG79" si="46">AG71+AG78</f>
        <v>53</v>
      </c>
      <c r="AH79" s="74">
        <f t="shared" ref="AH79" si="47">AH71+AH78</f>
        <v>53</v>
      </c>
      <c r="AI79" s="47">
        <f t="shared" si="31"/>
        <v>1029.0999999999999</v>
      </c>
    </row>
    <row r="80" spans="1:36" ht="21" hidden="1" thickBot="1" x14ac:dyDescent="0.25">
      <c r="A80" s="77"/>
      <c r="B80" s="78" t="s">
        <v>3</v>
      </c>
      <c r="C80" s="79"/>
      <c r="D80" s="80" t="s">
        <v>96</v>
      </c>
      <c r="E80" s="81">
        <f>E84</f>
        <v>0</v>
      </c>
      <c r="F80" s="81">
        <f t="shared" ref="F80:M80" si="48">F84</f>
        <v>0</v>
      </c>
      <c r="G80" s="81">
        <v>12.5</v>
      </c>
      <c r="H80" s="81">
        <f t="shared" si="48"/>
        <v>0</v>
      </c>
      <c r="I80" s="81">
        <f t="shared" si="48"/>
        <v>26</v>
      </c>
      <c r="J80" s="81">
        <f t="shared" si="48"/>
        <v>17</v>
      </c>
      <c r="K80" s="81">
        <f t="shared" si="48"/>
        <v>17</v>
      </c>
      <c r="L80" s="81">
        <f t="shared" ref="L80" si="49">L84</f>
        <v>17</v>
      </c>
      <c r="M80" s="81">
        <f t="shared" si="48"/>
        <v>17</v>
      </c>
      <c r="N80" s="81">
        <f t="shared" ref="N80:R80" si="50">N84</f>
        <v>15</v>
      </c>
      <c r="O80" s="81">
        <f t="shared" si="50"/>
        <v>15</v>
      </c>
      <c r="P80" s="81">
        <f t="shared" si="50"/>
        <v>15</v>
      </c>
      <c r="Q80" s="81">
        <f t="shared" si="50"/>
        <v>13.2</v>
      </c>
      <c r="R80" s="81" t="e">
        <f t="shared" si="50"/>
        <v>#REF!</v>
      </c>
      <c r="S80" s="81" t="e">
        <f t="shared" ref="S80:T80" si="51">S84</f>
        <v>#REF!</v>
      </c>
      <c r="T80" s="81" t="e">
        <f t="shared" si="51"/>
        <v>#REF!</v>
      </c>
      <c r="U80" s="81" t="e">
        <f t="shared" ref="U80:V80" si="52">U84</f>
        <v>#REF!</v>
      </c>
      <c r="V80" s="81" t="e">
        <f t="shared" si="52"/>
        <v>#REF!</v>
      </c>
      <c r="W80" s="81" t="e">
        <f t="shared" ref="W80" si="53">W84</f>
        <v>#REF!</v>
      </c>
      <c r="X80" s="81" t="e">
        <f t="shared" ref="X80" si="54">X84</f>
        <v>#REF!</v>
      </c>
      <c r="Y80" s="81" t="e">
        <f t="shared" ref="Y80" si="55">Y84</f>
        <v>#REF!</v>
      </c>
      <c r="Z80" s="81" t="e">
        <f t="shared" ref="Z80" si="56">Z84</f>
        <v>#REF!</v>
      </c>
      <c r="AA80" s="81" t="e">
        <f t="shared" ref="AA80" si="57">AA84</f>
        <v>#REF!</v>
      </c>
      <c r="AB80" s="81" t="e">
        <f t="shared" ref="AB80" si="58">AB84</f>
        <v>#REF!</v>
      </c>
      <c r="AC80" s="81" t="e">
        <f t="shared" ref="AC80" si="59">AC84</f>
        <v>#REF!</v>
      </c>
      <c r="AD80" s="81" t="e">
        <f t="shared" ref="AD80" si="60">AD84</f>
        <v>#REF!</v>
      </c>
      <c r="AE80" s="81" t="e">
        <f t="shared" ref="AE80" si="61">AE84</f>
        <v>#REF!</v>
      </c>
      <c r="AF80" s="81" t="e">
        <f t="shared" ref="AF80" si="62">AF84</f>
        <v>#REF!</v>
      </c>
      <c r="AG80" s="81" t="e">
        <f t="shared" ref="AG80" si="63">AG84</f>
        <v>#REF!</v>
      </c>
      <c r="AH80" s="81" t="e">
        <f t="shared" ref="AH80" si="64">AH84</f>
        <v>#REF!</v>
      </c>
      <c r="AI80" s="82">
        <f>+AI84</f>
        <v>16.911111111111111</v>
      </c>
    </row>
    <row r="81" spans="1:35" ht="21" hidden="1" thickBot="1" x14ac:dyDescent="0.25">
      <c r="A81" s="83"/>
      <c r="B81" s="84"/>
      <c r="C81" s="85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6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7"/>
    </row>
    <row r="82" spans="1:35" hidden="1" x14ac:dyDescent="0.2">
      <c r="A82" s="88" t="s">
        <v>97</v>
      </c>
      <c r="B82" s="89" t="s">
        <v>98</v>
      </c>
      <c r="C82" s="89"/>
      <c r="D82" s="90"/>
      <c r="E82" s="90"/>
      <c r="F82" s="91" t="s">
        <v>177</v>
      </c>
      <c r="G82" s="90"/>
      <c r="H82" s="90"/>
      <c r="I82" s="90"/>
      <c r="J82" s="90"/>
      <c r="K82" s="90"/>
      <c r="L82" s="90"/>
      <c r="M82" s="90"/>
      <c r="N82" s="90"/>
      <c r="O82" s="92"/>
      <c r="P82" s="92"/>
      <c r="Q82" s="92"/>
      <c r="R82" s="92"/>
      <c r="S82" s="92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84"/>
    </row>
    <row r="83" spans="1:35" hidden="1" x14ac:dyDescent="0.2">
      <c r="A83" s="43"/>
      <c r="B83" s="62"/>
      <c r="C83" s="94"/>
      <c r="D83" s="46" t="s">
        <v>41</v>
      </c>
      <c r="E83" s="46">
        <v>1</v>
      </c>
      <c r="F83" s="46">
        <v>2</v>
      </c>
      <c r="G83" s="46">
        <v>3</v>
      </c>
      <c r="H83" s="46">
        <v>4</v>
      </c>
      <c r="I83" s="46">
        <v>5</v>
      </c>
      <c r="J83" s="46">
        <v>6</v>
      </c>
      <c r="K83" s="46">
        <v>7</v>
      </c>
      <c r="L83" s="46">
        <v>8</v>
      </c>
      <c r="M83" s="46">
        <v>9</v>
      </c>
      <c r="N83" s="46">
        <v>10</v>
      </c>
      <c r="O83" s="55">
        <v>11</v>
      </c>
      <c r="P83" s="55">
        <v>12</v>
      </c>
      <c r="Q83" s="55">
        <v>13</v>
      </c>
      <c r="R83" s="55">
        <v>14</v>
      </c>
      <c r="S83" s="55">
        <v>15</v>
      </c>
      <c r="T83" s="55">
        <v>16</v>
      </c>
      <c r="U83" s="55">
        <v>16</v>
      </c>
      <c r="V83" s="55">
        <v>16</v>
      </c>
      <c r="W83" s="55">
        <v>16</v>
      </c>
      <c r="X83" s="55">
        <v>16</v>
      </c>
      <c r="Y83" s="55">
        <v>16</v>
      </c>
      <c r="Z83" s="55">
        <v>16</v>
      </c>
      <c r="AA83" s="55">
        <v>16</v>
      </c>
      <c r="AB83" s="55">
        <v>16</v>
      </c>
      <c r="AC83" s="55">
        <v>16</v>
      </c>
      <c r="AD83" s="55">
        <v>16</v>
      </c>
      <c r="AE83" s="55">
        <v>16</v>
      </c>
      <c r="AF83" s="55">
        <v>16</v>
      </c>
      <c r="AG83" s="55">
        <v>16</v>
      </c>
      <c r="AH83" s="55">
        <v>16</v>
      </c>
      <c r="AI83" s="95" t="s">
        <v>94</v>
      </c>
    </row>
    <row r="84" spans="1:35" hidden="1" x14ac:dyDescent="0.2">
      <c r="A84" s="70" t="s">
        <v>56</v>
      </c>
      <c r="B84" s="62" t="s">
        <v>99</v>
      </c>
      <c r="C84" s="94"/>
      <c r="D84" s="96" t="s">
        <v>96</v>
      </c>
      <c r="E84" s="51"/>
      <c r="F84" s="51"/>
      <c r="G84" s="51"/>
      <c r="H84" s="51"/>
      <c r="I84" s="51">
        <v>26</v>
      </c>
      <c r="J84" s="51">
        <v>17</v>
      </c>
      <c r="K84" s="51">
        <v>17</v>
      </c>
      <c r="L84" s="51">
        <v>17</v>
      </c>
      <c r="M84" s="51">
        <v>17</v>
      </c>
      <c r="N84" s="51">
        <v>15</v>
      </c>
      <c r="O84" s="52">
        <v>15</v>
      </c>
      <c r="P84" s="52">
        <v>15</v>
      </c>
      <c r="Q84" s="52">
        <v>13.2</v>
      </c>
      <c r="R84" s="52" t="e">
        <f>#REF!</f>
        <v>#REF!</v>
      </c>
      <c r="S84" s="52" t="e">
        <f>#REF!</f>
        <v>#REF!</v>
      </c>
      <c r="T84" s="52" t="e">
        <f>#REF!</f>
        <v>#REF!</v>
      </c>
      <c r="U84" s="52" t="e">
        <f>#REF!</f>
        <v>#REF!</v>
      </c>
      <c r="V84" s="52" t="e">
        <f>#REF!</f>
        <v>#REF!</v>
      </c>
      <c r="W84" s="52" t="e">
        <f>#REF!</f>
        <v>#REF!</v>
      </c>
      <c r="X84" s="52" t="e">
        <f>#REF!</f>
        <v>#REF!</v>
      </c>
      <c r="Y84" s="52" t="e">
        <f>#REF!</f>
        <v>#REF!</v>
      </c>
      <c r="Z84" s="52" t="e">
        <f>#REF!</f>
        <v>#REF!</v>
      </c>
      <c r="AA84" s="52" t="e">
        <f>#REF!</f>
        <v>#REF!</v>
      </c>
      <c r="AB84" s="52" t="e">
        <f>#REF!</f>
        <v>#REF!</v>
      </c>
      <c r="AC84" s="52" t="e">
        <f>#REF!</f>
        <v>#REF!</v>
      </c>
      <c r="AD84" s="52" t="e">
        <f>#REF!</f>
        <v>#REF!</v>
      </c>
      <c r="AE84" s="52" t="e">
        <f>#REF!</f>
        <v>#REF!</v>
      </c>
      <c r="AF84" s="52" t="e">
        <f>#REF!</f>
        <v>#REF!</v>
      </c>
      <c r="AG84" s="52" t="e">
        <f>#REF!</f>
        <v>#REF!</v>
      </c>
      <c r="AH84" s="52" t="e">
        <f>#REF!</f>
        <v>#REF!</v>
      </c>
      <c r="AI84" s="97">
        <f>AVERAGE(E84:Q84)</f>
        <v>16.911111111111111</v>
      </c>
    </row>
    <row r="85" spans="1:35" hidden="1" x14ac:dyDescent="0.2">
      <c r="A85" s="70" t="s">
        <v>59</v>
      </c>
      <c r="B85" s="62" t="s">
        <v>100</v>
      </c>
      <c r="C85" s="94"/>
      <c r="D85" s="96" t="s">
        <v>4</v>
      </c>
      <c r="E85" s="51"/>
      <c r="F85" s="51"/>
      <c r="G85" s="51"/>
      <c r="H85" s="51"/>
      <c r="I85" s="51">
        <v>2.85</v>
      </c>
      <c r="J85" s="51">
        <v>2.85</v>
      </c>
      <c r="K85" s="51">
        <v>2.85</v>
      </c>
      <c r="L85" s="51">
        <v>2.85</v>
      </c>
      <c r="M85" s="51">
        <v>2.85</v>
      </c>
      <c r="N85" s="51">
        <v>2.85</v>
      </c>
      <c r="O85" s="52">
        <v>2.85</v>
      </c>
      <c r="P85" s="52">
        <v>2.85</v>
      </c>
      <c r="Q85" s="52">
        <v>2.85</v>
      </c>
      <c r="R85" s="52">
        <v>2.85</v>
      </c>
      <c r="S85" s="52">
        <v>2.85</v>
      </c>
      <c r="T85" s="52">
        <v>2.85</v>
      </c>
      <c r="U85" s="52">
        <v>2.85</v>
      </c>
      <c r="V85" s="52">
        <v>2.85</v>
      </c>
      <c r="W85" s="52">
        <v>2.85</v>
      </c>
      <c r="X85" s="52">
        <v>2.85</v>
      </c>
      <c r="Y85" s="52">
        <v>2.85</v>
      </c>
      <c r="Z85" s="52">
        <v>2.85</v>
      </c>
      <c r="AA85" s="52">
        <v>2.85</v>
      </c>
      <c r="AB85" s="52">
        <v>2.85</v>
      </c>
      <c r="AC85" s="52">
        <v>2.85</v>
      </c>
      <c r="AD85" s="52">
        <v>2.85</v>
      </c>
      <c r="AE85" s="52">
        <v>2.85</v>
      </c>
      <c r="AF85" s="52">
        <v>2.85</v>
      </c>
      <c r="AG85" s="52">
        <v>2.85</v>
      </c>
      <c r="AH85" s="52">
        <v>2.85</v>
      </c>
      <c r="AI85" s="97">
        <f>AVERAGE(E85:M85)</f>
        <v>2.85</v>
      </c>
    </row>
    <row r="86" spans="1:35" hidden="1" x14ac:dyDescent="0.2">
      <c r="A86" s="70" t="s">
        <v>62</v>
      </c>
      <c r="B86" s="62" t="s">
        <v>101</v>
      </c>
      <c r="C86" s="94"/>
      <c r="D86" s="96" t="s">
        <v>102</v>
      </c>
      <c r="E86" s="39"/>
      <c r="F86" s="39"/>
      <c r="G86" s="39"/>
      <c r="H86" s="39"/>
      <c r="I86" s="39" t="e">
        <f>#REF!</f>
        <v>#REF!</v>
      </c>
      <c r="J86" s="39" t="e">
        <f>#REF!</f>
        <v>#REF!</v>
      </c>
      <c r="K86" s="39" t="e">
        <f>#REF!</f>
        <v>#REF!</v>
      </c>
      <c r="L86" s="39" t="e">
        <f>#REF!</f>
        <v>#REF!</v>
      </c>
      <c r="M86" s="39" t="e">
        <f>#REF!</f>
        <v>#REF!</v>
      </c>
      <c r="N86" s="39" t="e">
        <f>#REF!</f>
        <v>#REF!</v>
      </c>
      <c r="O86" s="39" t="e">
        <f>#REF!</f>
        <v>#REF!</v>
      </c>
      <c r="P86" s="40" t="e">
        <f>#REF!</f>
        <v>#REF!</v>
      </c>
      <c r="Q86" s="40" t="e">
        <f>#REF!</f>
        <v>#REF!</v>
      </c>
      <c r="R86" s="40" t="e">
        <f>#REF!</f>
        <v>#REF!</v>
      </c>
      <c r="S86" s="40" t="e">
        <f>#REF!</f>
        <v>#REF!</v>
      </c>
      <c r="T86" s="40" t="e">
        <f>#REF!</f>
        <v>#REF!</v>
      </c>
      <c r="U86" s="40" t="e">
        <f>#REF!</f>
        <v>#REF!</v>
      </c>
      <c r="V86" s="40" t="e">
        <f>#REF!</f>
        <v>#REF!</v>
      </c>
      <c r="W86" s="40" t="e">
        <f>#REF!</f>
        <v>#REF!</v>
      </c>
      <c r="X86" s="40" t="e">
        <f>#REF!</f>
        <v>#REF!</v>
      </c>
      <c r="Y86" s="40" t="e">
        <f>#REF!</f>
        <v>#REF!</v>
      </c>
      <c r="Z86" s="40" t="e">
        <f>#REF!</f>
        <v>#REF!</v>
      </c>
      <c r="AA86" s="40" t="e">
        <f>#REF!</f>
        <v>#REF!</v>
      </c>
      <c r="AB86" s="40" t="e">
        <f>#REF!</f>
        <v>#REF!</v>
      </c>
      <c r="AC86" s="40" t="e">
        <f>#REF!</f>
        <v>#REF!</v>
      </c>
      <c r="AD86" s="40" t="e">
        <f>#REF!</f>
        <v>#REF!</v>
      </c>
      <c r="AE86" s="40" t="e">
        <f>#REF!</f>
        <v>#REF!</v>
      </c>
      <c r="AF86" s="40" t="e">
        <f>#REF!</f>
        <v>#REF!</v>
      </c>
      <c r="AG86" s="40" t="e">
        <f>#REF!</f>
        <v>#REF!</v>
      </c>
      <c r="AH86" s="40" t="e">
        <f>#REF!</f>
        <v>#REF!</v>
      </c>
      <c r="AI86" s="97" t="e">
        <f>AVERAGE(E86:Q86)</f>
        <v>#REF!</v>
      </c>
    </row>
    <row r="87" spans="1:35" hidden="1" x14ac:dyDescent="0.2">
      <c r="A87" s="70" t="s">
        <v>65</v>
      </c>
      <c r="B87" s="62" t="s">
        <v>103</v>
      </c>
      <c r="C87" s="94"/>
      <c r="D87" s="96" t="s">
        <v>0</v>
      </c>
      <c r="E87" s="51"/>
      <c r="F87" s="51"/>
      <c r="G87" s="51"/>
      <c r="H87" s="51"/>
      <c r="I87" s="51">
        <f t="shared" ref="I87:R87" si="65">+I79</f>
        <v>1.6</v>
      </c>
      <c r="J87" s="51">
        <f t="shared" si="65"/>
        <v>3.5</v>
      </c>
      <c r="K87" s="51">
        <f t="shared" si="65"/>
        <v>12</v>
      </c>
      <c r="L87" s="51">
        <f t="shared" ref="L87" si="66">+L79</f>
        <v>26.5</v>
      </c>
      <c r="M87" s="51">
        <f t="shared" si="65"/>
        <v>12</v>
      </c>
      <c r="N87" s="51">
        <f t="shared" si="65"/>
        <v>17.5</v>
      </c>
      <c r="O87" s="51">
        <f t="shared" si="65"/>
        <v>26</v>
      </c>
      <c r="P87" s="51">
        <f t="shared" si="65"/>
        <v>35</v>
      </c>
      <c r="Q87" s="51">
        <f t="shared" si="65"/>
        <v>20.5</v>
      </c>
      <c r="R87" s="51">
        <f t="shared" si="65"/>
        <v>32.5</v>
      </c>
      <c r="S87" s="51">
        <f t="shared" ref="S87:T87" si="67">+S79</f>
        <v>47</v>
      </c>
      <c r="T87" s="51">
        <f t="shared" si="67"/>
        <v>53</v>
      </c>
      <c r="U87" s="51">
        <f t="shared" ref="U87:V87" si="68">+U79</f>
        <v>53</v>
      </c>
      <c r="V87" s="51">
        <f t="shared" si="68"/>
        <v>53</v>
      </c>
      <c r="W87" s="51">
        <f t="shared" ref="W87" si="69">+W79</f>
        <v>53</v>
      </c>
      <c r="X87" s="51">
        <f t="shared" ref="X87" si="70">+X79</f>
        <v>53</v>
      </c>
      <c r="Y87" s="51">
        <f t="shared" ref="Y87" si="71">+Y79</f>
        <v>53</v>
      </c>
      <c r="Z87" s="51">
        <f t="shared" ref="Z87" si="72">+Z79</f>
        <v>53</v>
      </c>
      <c r="AA87" s="51">
        <f t="shared" ref="AA87" si="73">+AA79</f>
        <v>53</v>
      </c>
      <c r="AB87" s="51">
        <f t="shared" ref="AB87" si="74">+AB79</f>
        <v>53</v>
      </c>
      <c r="AC87" s="51">
        <f t="shared" ref="AC87" si="75">+AC79</f>
        <v>53</v>
      </c>
      <c r="AD87" s="51">
        <f t="shared" ref="AD87" si="76">+AD79</f>
        <v>53</v>
      </c>
      <c r="AE87" s="51">
        <f t="shared" ref="AE87" si="77">+AE79</f>
        <v>53</v>
      </c>
      <c r="AF87" s="51">
        <f t="shared" ref="AF87" si="78">+AF79</f>
        <v>53</v>
      </c>
      <c r="AG87" s="51">
        <f t="shared" ref="AG87" si="79">+AG79</f>
        <v>53</v>
      </c>
      <c r="AH87" s="51">
        <f t="shared" ref="AH87" si="80">+AH79</f>
        <v>53</v>
      </c>
      <c r="AI87" s="97">
        <f>SUM(E87:Q87)</f>
        <v>154.6</v>
      </c>
    </row>
    <row r="88" spans="1:35" hidden="1" x14ac:dyDescent="0.2">
      <c r="A88" s="70" t="s">
        <v>66</v>
      </c>
      <c r="B88" s="62" t="s">
        <v>104</v>
      </c>
      <c r="C88" s="94"/>
      <c r="D88" s="96" t="s">
        <v>105</v>
      </c>
      <c r="E88" s="39">
        <v>24</v>
      </c>
      <c r="F88" s="39">
        <v>24</v>
      </c>
      <c r="G88" s="39">
        <v>24</v>
      </c>
      <c r="H88" s="39"/>
      <c r="I88" s="39">
        <v>24</v>
      </c>
      <c r="J88" s="39">
        <v>24</v>
      </c>
      <c r="K88" s="39">
        <v>24</v>
      </c>
      <c r="L88" s="39">
        <v>24</v>
      </c>
      <c r="M88" s="39">
        <v>24</v>
      </c>
      <c r="N88" s="39">
        <v>24</v>
      </c>
      <c r="O88" s="39">
        <v>24</v>
      </c>
      <c r="P88" s="39">
        <v>24</v>
      </c>
      <c r="Q88" s="39">
        <v>24</v>
      </c>
      <c r="R88" s="39">
        <v>24</v>
      </c>
      <c r="S88" s="39">
        <v>24</v>
      </c>
      <c r="T88" s="39">
        <v>24</v>
      </c>
      <c r="U88" s="39">
        <v>24</v>
      </c>
      <c r="V88" s="39">
        <v>24</v>
      </c>
      <c r="W88" s="39">
        <v>24</v>
      </c>
      <c r="X88" s="39">
        <v>24</v>
      </c>
      <c r="Y88" s="39">
        <v>24</v>
      </c>
      <c r="Z88" s="39">
        <v>24</v>
      </c>
      <c r="AA88" s="39">
        <v>24</v>
      </c>
      <c r="AB88" s="39">
        <v>24</v>
      </c>
      <c r="AC88" s="39">
        <v>24</v>
      </c>
      <c r="AD88" s="39">
        <v>24</v>
      </c>
      <c r="AE88" s="39">
        <v>24</v>
      </c>
      <c r="AF88" s="39">
        <v>24</v>
      </c>
      <c r="AG88" s="39">
        <v>24</v>
      </c>
      <c r="AH88" s="39">
        <v>24</v>
      </c>
      <c r="AI88" s="97">
        <f>SUM(E88:Q88)</f>
        <v>288</v>
      </c>
    </row>
    <row r="89" spans="1:35" hidden="1" x14ac:dyDescent="0.2">
      <c r="A89" s="70" t="s">
        <v>69</v>
      </c>
      <c r="B89" s="62" t="s">
        <v>106</v>
      </c>
      <c r="C89" s="94"/>
      <c r="D89" s="96" t="s">
        <v>105</v>
      </c>
      <c r="E89" s="51">
        <f t="shared" ref="E89:M89" si="81">E49</f>
        <v>0</v>
      </c>
      <c r="F89" s="39">
        <f t="shared" si="81"/>
        <v>0</v>
      </c>
      <c r="G89" s="39">
        <f t="shared" si="81"/>
        <v>0</v>
      </c>
      <c r="H89" s="39"/>
      <c r="I89" s="51" t="e">
        <f t="shared" si="81"/>
        <v>#REF!</v>
      </c>
      <c r="J89" s="51" t="e">
        <f t="shared" si="81"/>
        <v>#REF!</v>
      </c>
      <c r="K89" s="51" t="e">
        <f t="shared" si="81"/>
        <v>#REF!</v>
      </c>
      <c r="L89" s="51" t="e">
        <f t="shared" ref="L89" si="82">L49</f>
        <v>#REF!</v>
      </c>
      <c r="M89" s="51" t="e">
        <f t="shared" si="81"/>
        <v>#REF!</v>
      </c>
      <c r="N89" s="51" t="e">
        <f t="shared" ref="N89:R89" si="83">N49</f>
        <v>#REF!</v>
      </c>
      <c r="O89" s="51" t="e">
        <f t="shared" si="83"/>
        <v>#REF!</v>
      </c>
      <c r="P89" s="51" t="e">
        <f t="shared" si="83"/>
        <v>#REF!</v>
      </c>
      <c r="Q89" s="51" t="e">
        <f t="shared" si="83"/>
        <v>#REF!</v>
      </c>
      <c r="R89" s="51" t="e">
        <f t="shared" si="83"/>
        <v>#REF!</v>
      </c>
      <c r="S89" s="51" t="e">
        <f t="shared" ref="S89:T89" si="84">S49</f>
        <v>#REF!</v>
      </c>
      <c r="T89" s="51" t="e">
        <f t="shared" si="84"/>
        <v>#REF!</v>
      </c>
      <c r="U89" s="51" t="e">
        <f t="shared" ref="U89:V89" si="85">U49</f>
        <v>#REF!</v>
      </c>
      <c r="V89" s="51" t="e">
        <f t="shared" si="85"/>
        <v>#REF!</v>
      </c>
      <c r="W89" s="51" t="e">
        <f t="shared" ref="W89" si="86">W49</f>
        <v>#REF!</v>
      </c>
      <c r="X89" s="51" t="e">
        <f t="shared" ref="X89" si="87">X49</f>
        <v>#REF!</v>
      </c>
      <c r="Y89" s="51" t="e">
        <f t="shared" ref="Y89" si="88">Y49</f>
        <v>#REF!</v>
      </c>
      <c r="Z89" s="51" t="e">
        <f t="shared" ref="Z89" si="89">Z49</f>
        <v>#REF!</v>
      </c>
      <c r="AA89" s="51" t="e">
        <f t="shared" ref="AA89" si="90">AA49</f>
        <v>#REF!</v>
      </c>
      <c r="AB89" s="51" t="e">
        <f t="shared" ref="AB89" si="91">AB49</f>
        <v>#REF!</v>
      </c>
      <c r="AC89" s="51" t="e">
        <f t="shared" ref="AC89" si="92">AC49</f>
        <v>#REF!</v>
      </c>
      <c r="AD89" s="51" t="e">
        <f t="shared" ref="AD89" si="93">AD49</f>
        <v>#REF!</v>
      </c>
      <c r="AE89" s="51" t="e">
        <f t="shared" ref="AE89" si="94">AE49</f>
        <v>#REF!</v>
      </c>
      <c r="AF89" s="51" t="e">
        <f t="shared" ref="AF89" si="95">AF49</f>
        <v>#REF!</v>
      </c>
      <c r="AG89" s="51" t="e">
        <f t="shared" ref="AG89" si="96">AG49</f>
        <v>#REF!</v>
      </c>
      <c r="AH89" s="51" t="e">
        <f t="shared" ref="AH89" si="97">AH49</f>
        <v>#REF!</v>
      </c>
      <c r="AI89" s="97" t="e">
        <f>SUM(E89:Q89)</f>
        <v>#REF!</v>
      </c>
    </row>
    <row r="90" spans="1:35" hidden="1" x14ac:dyDescent="0.2">
      <c r="A90" s="70" t="s">
        <v>72</v>
      </c>
      <c r="B90" s="62" t="s">
        <v>107</v>
      </c>
      <c r="C90" s="94"/>
      <c r="D90" s="96" t="s">
        <v>105</v>
      </c>
      <c r="E90" s="39">
        <v>0</v>
      </c>
      <c r="F90" s="39">
        <v>0</v>
      </c>
      <c r="G90" s="39">
        <v>0</v>
      </c>
      <c r="H90" s="39"/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40">
        <v>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97">
        <f>SUM(E90:Q90)</f>
        <v>0</v>
      </c>
    </row>
    <row r="91" spans="1:35" hidden="1" x14ac:dyDescent="0.2">
      <c r="A91" s="70"/>
      <c r="B91" s="62"/>
      <c r="C91" s="94"/>
      <c r="D91" s="96"/>
      <c r="E91" s="51"/>
      <c r="F91" s="96"/>
      <c r="G91" s="51"/>
      <c r="H91" s="62"/>
      <c r="I91" s="62"/>
      <c r="J91" s="62"/>
      <c r="K91" s="62"/>
      <c r="L91" s="62"/>
      <c r="M91" s="62"/>
      <c r="N91" s="62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97"/>
    </row>
    <row r="92" spans="1:35" hidden="1" x14ac:dyDescent="0.2">
      <c r="A92" s="70" t="s">
        <v>73</v>
      </c>
      <c r="B92" s="62" t="s">
        <v>108</v>
      </c>
      <c r="C92" s="94"/>
      <c r="D92" s="96" t="s">
        <v>109</v>
      </c>
      <c r="E92" s="39">
        <f>E84*E85*E86*60/1000000</f>
        <v>0</v>
      </c>
      <c r="F92" s="39">
        <f>F84*F85*F86*60/1000000</f>
        <v>0</v>
      </c>
      <c r="G92" s="39">
        <f>G84*G85*G86*60/1000000</f>
        <v>0</v>
      </c>
      <c r="H92" s="39"/>
      <c r="I92" s="39" t="e">
        <f>I84*I85*I86*60/1000000</f>
        <v>#REF!</v>
      </c>
      <c r="J92" s="39" t="e">
        <f t="shared" ref="J92:M92" si="98">J84*J85*J86*60/1000000</f>
        <v>#REF!</v>
      </c>
      <c r="K92" s="39" t="e">
        <f t="shared" si="98"/>
        <v>#REF!</v>
      </c>
      <c r="L92" s="39" t="e">
        <f t="shared" si="98"/>
        <v>#REF!</v>
      </c>
      <c r="M92" s="39" t="e">
        <f t="shared" si="98"/>
        <v>#REF!</v>
      </c>
      <c r="N92" s="39" t="e">
        <f t="shared" ref="N92:P92" si="99">N84*N85*N86*60/1000000</f>
        <v>#REF!</v>
      </c>
      <c r="O92" s="39" t="e">
        <f t="shared" si="99"/>
        <v>#REF!</v>
      </c>
      <c r="P92" s="39" t="e">
        <f t="shared" si="99"/>
        <v>#REF!</v>
      </c>
      <c r="Q92" s="39" t="e">
        <f t="shared" ref="Q92:R92" si="100">Q84*Q85*Q86*60/1000000</f>
        <v>#REF!</v>
      </c>
      <c r="R92" s="39" t="e">
        <f t="shared" si="100"/>
        <v>#REF!</v>
      </c>
      <c r="S92" s="39" t="e">
        <f t="shared" ref="S92:T92" si="101">S84*S85*S86*60/1000000</f>
        <v>#REF!</v>
      </c>
      <c r="T92" s="39" t="e">
        <f t="shared" si="101"/>
        <v>#REF!</v>
      </c>
      <c r="U92" s="39" t="e">
        <f t="shared" ref="U92:V92" si="102">U84*U85*U86*60/1000000</f>
        <v>#REF!</v>
      </c>
      <c r="V92" s="39" t="e">
        <f t="shared" si="102"/>
        <v>#REF!</v>
      </c>
      <c r="W92" s="39" t="e">
        <f t="shared" ref="W92" si="103">W84*W85*W86*60/1000000</f>
        <v>#REF!</v>
      </c>
      <c r="X92" s="39" t="e">
        <f t="shared" ref="X92" si="104">X84*X85*X86*60/1000000</f>
        <v>#REF!</v>
      </c>
      <c r="Y92" s="39" t="e">
        <f t="shared" ref="Y92" si="105">Y84*Y85*Y86*60/1000000</f>
        <v>#REF!</v>
      </c>
      <c r="Z92" s="39" t="e">
        <f t="shared" ref="Z92" si="106">Z84*Z85*Z86*60/1000000</f>
        <v>#REF!</v>
      </c>
      <c r="AA92" s="39" t="e">
        <f t="shared" ref="AA92" si="107">AA84*AA85*AA86*60/1000000</f>
        <v>#REF!</v>
      </c>
      <c r="AB92" s="39" t="e">
        <f t="shared" ref="AB92" si="108">AB84*AB85*AB86*60/1000000</f>
        <v>#REF!</v>
      </c>
      <c r="AC92" s="39" t="e">
        <f t="shared" ref="AC92" si="109">AC84*AC85*AC86*60/1000000</f>
        <v>#REF!</v>
      </c>
      <c r="AD92" s="39" t="e">
        <f t="shared" ref="AD92" si="110">AD84*AD85*AD86*60/1000000</f>
        <v>#REF!</v>
      </c>
      <c r="AE92" s="39" t="e">
        <f t="shared" ref="AE92" si="111">AE84*AE85*AE86*60/1000000</f>
        <v>#REF!</v>
      </c>
      <c r="AF92" s="39" t="e">
        <f t="shared" ref="AF92" si="112">AF84*AF85*AF86*60/1000000</f>
        <v>#REF!</v>
      </c>
      <c r="AG92" s="39" t="e">
        <f t="shared" ref="AG92" si="113">AG84*AG85*AG86*60/1000000</f>
        <v>#REF!</v>
      </c>
      <c r="AH92" s="39" t="e">
        <f t="shared" ref="AH92" si="114">AH84*AH85*AH86*60/1000000</f>
        <v>#REF!</v>
      </c>
      <c r="AI92" s="97" t="e">
        <f>AI84*AI85*AI86*60/1000000</f>
        <v>#REF!</v>
      </c>
    </row>
    <row r="93" spans="1:35" hidden="1" x14ac:dyDescent="0.2">
      <c r="A93" s="70" t="s">
        <v>93</v>
      </c>
      <c r="B93" s="62" t="s">
        <v>110</v>
      </c>
      <c r="C93" s="94"/>
      <c r="D93" s="96" t="s">
        <v>111</v>
      </c>
      <c r="E93" s="39" t="e">
        <f t="shared" ref="E93:AI93" si="115">1/E92</f>
        <v>#DIV/0!</v>
      </c>
      <c r="F93" s="39" t="e">
        <f t="shared" si="115"/>
        <v>#DIV/0!</v>
      </c>
      <c r="G93" s="39" t="e">
        <f t="shared" si="115"/>
        <v>#DIV/0!</v>
      </c>
      <c r="H93" s="39"/>
      <c r="I93" s="39" t="e">
        <f t="shared" si="115"/>
        <v>#REF!</v>
      </c>
      <c r="J93" s="39" t="e">
        <f t="shared" si="115"/>
        <v>#REF!</v>
      </c>
      <c r="K93" s="39" t="e">
        <f t="shared" si="115"/>
        <v>#REF!</v>
      </c>
      <c r="L93" s="39" t="e">
        <f t="shared" ref="L93" si="116">1/L92</f>
        <v>#REF!</v>
      </c>
      <c r="M93" s="39" t="e">
        <f t="shared" si="115"/>
        <v>#REF!</v>
      </c>
      <c r="N93" s="39" t="e">
        <f t="shared" ref="N93:P93" si="117">1/N92</f>
        <v>#REF!</v>
      </c>
      <c r="O93" s="39" t="e">
        <f t="shared" si="117"/>
        <v>#REF!</v>
      </c>
      <c r="P93" s="39" t="e">
        <f t="shared" si="117"/>
        <v>#REF!</v>
      </c>
      <c r="Q93" s="39" t="e">
        <f t="shared" ref="Q93:R93" si="118">1/Q92</f>
        <v>#REF!</v>
      </c>
      <c r="R93" s="39" t="e">
        <f t="shared" si="118"/>
        <v>#REF!</v>
      </c>
      <c r="S93" s="39" t="e">
        <f t="shared" ref="S93:T93" si="119">1/S92</f>
        <v>#REF!</v>
      </c>
      <c r="T93" s="39" t="e">
        <f t="shared" si="119"/>
        <v>#REF!</v>
      </c>
      <c r="U93" s="39" t="e">
        <f t="shared" ref="U93:V93" si="120">1/U92</f>
        <v>#REF!</v>
      </c>
      <c r="V93" s="39" t="e">
        <f t="shared" si="120"/>
        <v>#REF!</v>
      </c>
      <c r="W93" s="39" t="e">
        <f t="shared" ref="W93" si="121">1/W92</f>
        <v>#REF!</v>
      </c>
      <c r="X93" s="39" t="e">
        <f t="shared" ref="X93" si="122">1/X92</f>
        <v>#REF!</v>
      </c>
      <c r="Y93" s="39" t="e">
        <f t="shared" ref="Y93" si="123">1/Y92</f>
        <v>#REF!</v>
      </c>
      <c r="Z93" s="39" t="e">
        <f t="shared" ref="Z93" si="124">1/Z92</f>
        <v>#REF!</v>
      </c>
      <c r="AA93" s="39" t="e">
        <f t="shared" ref="AA93" si="125">1/AA92</f>
        <v>#REF!</v>
      </c>
      <c r="AB93" s="39" t="e">
        <f t="shared" ref="AB93" si="126">1/AB92</f>
        <v>#REF!</v>
      </c>
      <c r="AC93" s="39" t="e">
        <f t="shared" ref="AC93" si="127">1/AC92</f>
        <v>#REF!</v>
      </c>
      <c r="AD93" s="39" t="e">
        <f t="shared" ref="AD93" si="128">1/AD92</f>
        <v>#REF!</v>
      </c>
      <c r="AE93" s="39" t="e">
        <f t="shared" ref="AE93" si="129">1/AE92</f>
        <v>#REF!</v>
      </c>
      <c r="AF93" s="39" t="e">
        <f t="shared" ref="AF93" si="130">1/AF92</f>
        <v>#REF!</v>
      </c>
      <c r="AG93" s="39" t="e">
        <f t="shared" ref="AG93" si="131">1/AG92</f>
        <v>#REF!</v>
      </c>
      <c r="AH93" s="39" t="e">
        <f t="shared" ref="AH93" si="132">1/AH92</f>
        <v>#REF!</v>
      </c>
      <c r="AI93" s="97" t="e">
        <f t="shared" si="115"/>
        <v>#REF!</v>
      </c>
    </row>
    <row r="94" spans="1:35" hidden="1" x14ac:dyDescent="0.2">
      <c r="A94" s="70" t="s">
        <v>112</v>
      </c>
      <c r="B94" s="62" t="s">
        <v>113</v>
      </c>
      <c r="C94" s="94"/>
      <c r="D94" s="96" t="s">
        <v>105</v>
      </c>
      <c r="E94" s="39">
        <f t="shared" ref="E94:AI94" si="133">E88-E90</f>
        <v>24</v>
      </c>
      <c r="F94" s="39">
        <f t="shared" si="133"/>
        <v>24</v>
      </c>
      <c r="G94" s="39">
        <f t="shared" si="133"/>
        <v>24</v>
      </c>
      <c r="H94" s="39"/>
      <c r="I94" s="39">
        <f t="shared" si="133"/>
        <v>24</v>
      </c>
      <c r="J94" s="39">
        <f t="shared" si="133"/>
        <v>24</v>
      </c>
      <c r="K94" s="39">
        <f t="shared" si="133"/>
        <v>24</v>
      </c>
      <c r="L94" s="39">
        <f t="shared" ref="L94" si="134">L88-L90</f>
        <v>24</v>
      </c>
      <c r="M94" s="39">
        <f t="shared" si="133"/>
        <v>24</v>
      </c>
      <c r="N94" s="39">
        <f t="shared" ref="N94:P94" si="135">N88-N90</f>
        <v>24</v>
      </c>
      <c r="O94" s="39">
        <f t="shared" si="135"/>
        <v>24</v>
      </c>
      <c r="P94" s="39">
        <f t="shared" si="135"/>
        <v>24</v>
      </c>
      <c r="Q94" s="39">
        <f t="shared" ref="Q94:R94" si="136">Q88-Q90</f>
        <v>24</v>
      </c>
      <c r="R94" s="39">
        <f t="shared" si="136"/>
        <v>24</v>
      </c>
      <c r="S94" s="39">
        <f t="shared" ref="S94:T94" si="137">S88-S90</f>
        <v>24</v>
      </c>
      <c r="T94" s="39">
        <f t="shared" si="137"/>
        <v>24</v>
      </c>
      <c r="U94" s="39">
        <f t="shared" ref="U94:V94" si="138">U88-U90</f>
        <v>24</v>
      </c>
      <c r="V94" s="39">
        <f t="shared" si="138"/>
        <v>24</v>
      </c>
      <c r="W94" s="39">
        <f t="shared" ref="W94" si="139">W88-W90</f>
        <v>24</v>
      </c>
      <c r="X94" s="39">
        <f t="shared" ref="X94" si="140">X88-X90</f>
        <v>24</v>
      </c>
      <c r="Y94" s="39">
        <f t="shared" ref="Y94" si="141">Y88-Y90</f>
        <v>24</v>
      </c>
      <c r="Z94" s="39">
        <f t="shared" ref="Z94" si="142">Z88-Z90</f>
        <v>24</v>
      </c>
      <c r="AA94" s="39">
        <f t="shared" ref="AA94" si="143">AA88-AA90</f>
        <v>24</v>
      </c>
      <c r="AB94" s="39">
        <f t="shared" ref="AB94" si="144">AB88-AB90</f>
        <v>24</v>
      </c>
      <c r="AC94" s="39">
        <f t="shared" ref="AC94" si="145">AC88-AC90</f>
        <v>24</v>
      </c>
      <c r="AD94" s="39">
        <f t="shared" ref="AD94" si="146">AD88-AD90</f>
        <v>24</v>
      </c>
      <c r="AE94" s="39">
        <f t="shared" ref="AE94" si="147">AE88-AE90</f>
        <v>24</v>
      </c>
      <c r="AF94" s="39">
        <f t="shared" ref="AF94" si="148">AF88-AF90</f>
        <v>24</v>
      </c>
      <c r="AG94" s="39">
        <f t="shared" ref="AG94" si="149">AG88-AG90</f>
        <v>24</v>
      </c>
      <c r="AH94" s="39">
        <f t="shared" ref="AH94" si="150">AH88-AH90</f>
        <v>24</v>
      </c>
      <c r="AI94" s="97">
        <f t="shared" si="133"/>
        <v>288</v>
      </c>
    </row>
    <row r="95" spans="1:35" hidden="1" x14ac:dyDescent="0.2">
      <c r="A95" s="70" t="s">
        <v>114</v>
      </c>
      <c r="B95" s="62" t="s">
        <v>115</v>
      </c>
      <c r="C95" s="94"/>
      <c r="D95" s="96" t="s">
        <v>105</v>
      </c>
      <c r="E95" s="39">
        <f t="shared" ref="E95:AI95" si="151">E88-E89</f>
        <v>24</v>
      </c>
      <c r="F95" s="39">
        <f t="shared" si="151"/>
        <v>24</v>
      </c>
      <c r="G95" s="39">
        <f t="shared" si="151"/>
        <v>24</v>
      </c>
      <c r="H95" s="39"/>
      <c r="I95" s="39" t="e">
        <f t="shared" si="151"/>
        <v>#REF!</v>
      </c>
      <c r="J95" s="39" t="e">
        <f t="shared" si="151"/>
        <v>#REF!</v>
      </c>
      <c r="K95" s="39" t="e">
        <f t="shared" si="151"/>
        <v>#REF!</v>
      </c>
      <c r="L95" s="39" t="e">
        <f t="shared" ref="L95" si="152">L88-L89</f>
        <v>#REF!</v>
      </c>
      <c r="M95" s="39" t="e">
        <f t="shared" si="151"/>
        <v>#REF!</v>
      </c>
      <c r="N95" s="39" t="e">
        <f t="shared" ref="N95:P95" si="153">N88-N89</f>
        <v>#REF!</v>
      </c>
      <c r="O95" s="39" t="e">
        <f t="shared" si="153"/>
        <v>#REF!</v>
      </c>
      <c r="P95" s="39" t="e">
        <f t="shared" si="153"/>
        <v>#REF!</v>
      </c>
      <c r="Q95" s="39" t="e">
        <f t="shared" ref="Q95:R95" si="154">Q88-Q89</f>
        <v>#REF!</v>
      </c>
      <c r="R95" s="39" t="e">
        <f t="shared" si="154"/>
        <v>#REF!</v>
      </c>
      <c r="S95" s="39" t="e">
        <f t="shared" ref="S95:T95" si="155">S88-S89</f>
        <v>#REF!</v>
      </c>
      <c r="T95" s="39" t="e">
        <f t="shared" si="155"/>
        <v>#REF!</v>
      </c>
      <c r="U95" s="39" t="e">
        <f t="shared" ref="U95:V95" si="156">U88-U89</f>
        <v>#REF!</v>
      </c>
      <c r="V95" s="39" t="e">
        <f t="shared" si="156"/>
        <v>#REF!</v>
      </c>
      <c r="W95" s="39" t="e">
        <f t="shared" ref="W95" si="157">W88-W89</f>
        <v>#REF!</v>
      </c>
      <c r="X95" s="39" t="e">
        <f t="shared" ref="X95" si="158">X88-X89</f>
        <v>#REF!</v>
      </c>
      <c r="Y95" s="39" t="e">
        <f t="shared" ref="Y95" si="159">Y88-Y89</f>
        <v>#REF!</v>
      </c>
      <c r="Z95" s="39" t="e">
        <f t="shared" ref="Z95" si="160">Z88-Z89</f>
        <v>#REF!</v>
      </c>
      <c r="AA95" s="39" t="e">
        <f t="shared" ref="AA95" si="161">AA88-AA89</f>
        <v>#REF!</v>
      </c>
      <c r="AB95" s="39" t="e">
        <f t="shared" ref="AB95" si="162">AB88-AB89</f>
        <v>#REF!</v>
      </c>
      <c r="AC95" s="39" t="e">
        <f t="shared" ref="AC95" si="163">AC88-AC89</f>
        <v>#REF!</v>
      </c>
      <c r="AD95" s="39" t="e">
        <f t="shared" ref="AD95" si="164">AD88-AD89</f>
        <v>#REF!</v>
      </c>
      <c r="AE95" s="39" t="e">
        <f t="shared" ref="AE95" si="165">AE88-AE89</f>
        <v>#REF!</v>
      </c>
      <c r="AF95" s="39" t="e">
        <f t="shared" ref="AF95" si="166">AF88-AF89</f>
        <v>#REF!</v>
      </c>
      <c r="AG95" s="39" t="e">
        <f t="shared" ref="AG95" si="167">AG88-AG89</f>
        <v>#REF!</v>
      </c>
      <c r="AH95" s="39" t="e">
        <f t="shared" ref="AH95" si="168">AH88-AH89</f>
        <v>#REF!</v>
      </c>
      <c r="AI95" s="97" t="e">
        <f t="shared" si="151"/>
        <v>#REF!</v>
      </c>
    </row>
    <row r="96" spans="1:35" hidden="1" x14ac:dyDescent="0.2">
      <c r="A96" s="70" t="s">
        <v>116</v>
      </c>
      <c r="B96" s="62" t="s">
        <v>117</v>
      </c>
      <c r="C96" s="94"/>
      <c r="D96" s="96"/>
      <c r="E96" s="39">
        <f t="shared" ref="E96:AI96" si="169">E95/E94</f>
        <v>1</v>
      </c>
      <c r="F96" s="39">
        <f t="shared" si="169"/>
        <v>1</v>
      </c>
      <c r="G96" s="39">
        <f t="shared" si="169"/>
        <v>1</v>
      </c>
      <c r="H96" s="39"/>
      <c r="I96" s="39" t="e">
        <f t="shared" si="169"/>
        <v>#REF!</v>
      </c>
      <c r="J96" s="39" t="e">
        <f t="shared" si="169"/>
        <v>#REF!</v>
      </c>
      <c r="K96" s="39" t="e">
        <f t="shared" si="169"/>
        <v>#REF!</v>
      </c>
      <c r="L96" s="39" t="e">
        <f t="shared" ref="L96" si="170">L95/L94</f>
        <v>#REF!</v>
      </c>
      <c r="M96" s="39" t="e">
        <f t="shared" si="169"/>
        <v>#REF!</v>
      </c>
      <c r="N96" s="39" t="e">
        <f t="shared" ref="N96:P96" si="171">N95/N94</f>
        <v>#REF!</v>
      </c>
      <c r="O96" s="39" t="e">
        <f t="shared" si="171"/>
        <v>#REF!</v>
      </c>
      <c r="P96" s="39" t="e">
        <f t="shared" si="171"/>
        <v>#REF!</v>
      </c>
      <c r="Q96" s="39" t="e">
        <f t="shared" ref="Q96:R96" si="172">Q95/Q94</f>
        <v>#REF!</v>
      </c>
      <c r="R96" s="39" t="e">
        <f t="shared" si="172"/>
        <v>#REF!</v>
      </c>
      <c r="S96" s="39" t="e">
        <f t="shared" ref="S96:T96" si="173">S95/S94</f>
        <v>#REF!</v>
      </c>
      <c r="T96" s="39" t="e">
        <f t="shared" si="173"/>
        <v>#REF!</v>
      </c>
      <c r="U96" s="39" t="e">
        <f t="shared" ref="U96:V96" si="174">U95/U94</f>
        <v>#REF!</v>
      </c>
      <c r="V96" s="39" t="e">
        <f t="shared" si="174"/>
        <v>#REF!</v>
      </c>
      <c r="W96" s="39" t="e">
        <f t="shared" ref="W96" si="175">W95/W94</f>
        <v>#REF!</v>
      </c>
      <c r="X96" s="39" t="e">
        <f t="shared" ref="X96" si="176">X95/X94</f>
        <v>#REF!</v>
      </c>
      <c r="Y96" s="39" t="e">
        <f t="shared" ref="Y96" si="177">Y95/Y94</f>
        <v>#REF!</v>
      </c>
      <c r="Z96" s="39" t="e">
        <f t="shared" ref="Z96" si="178">Z95/Z94</f>
        <v>#REF!</v>
      </c>
      <c r="AA96" s="39" t="e">
        <f t="shared" ref="AA96" si="179">AA95/AA94</f>
        <v>#REF!</v>
      </c>
      <c r="AB96" s="39" t="e">
        <f t="shared" ref="AB96" si="180">AB95/AB94</f>
        <v>#REF!</v>
      </c>
      <c r="AC96" s="39" t="e">
        <f t="shared" ref="AC96" si="181">AC95/AC94</f>
        <v>#REF!</v>
      </c>
      <c r="AD96" s="39" t="e">
        <f t="shared" ref="AD96" si="182">AD95/AD94</f>
        <v>#REF!</v>
      </c>
      <c r="AE96" s="39" t="e">
        <f t="shared" ref="AE96" si="183">AE95/AE94</f>
        <v>#REF!</v>
      </c>
      <c r="AF96" s="39" t="e">
        <f t="shared" ref="AF96" si="184">AF95/AF94</f>
        <v>#REF!</v>
      </c>
      <c r="AG96" s="39" t="e">
        <f t="shared" ref="AG96" si="185">AG95/AG94</f>
        <v>#REF!</v>
      </c>
      <c r="AH96" s="39" t="e">
        <f t="shared" ref="AH96" si="186">AH95/AH94</f>
        <v>#REF!</v>
      </c>
      <c r="AI96" s="97" t="e">
        <f t="shared" si="169"/>
        <v>#REF!</v>
      </c>
    </row>
    <row r="97" spans="1:35" hidden="1" x14ac:dyDescent="0.2">
      <c r="A97" s="70" t="s">
        <v>4</v>
      </c>
      <c r="B97" s="62" t="s">
        <v>118</v>
      </c>
      <c r="C97" s="94"/>
      <c r="D97" s="96"/>
      <c r="E97" s="39" t="e">
        <f t="shared" ref="E97:AI97" si="187">E93*E87/E95</f>
        <v>#DIV/0!</v>
      </c>
      <c r="F97" s="39" t="e">
        <f t="shared" si="187"/>
        <v>#DIV/0!</v>
      </c>
      <c r="G97" s="39" t="e">
        <f t="shared" si="187"/>
        <v>#DIV/0!</v>
      </c>
      <c r="H97" s="39"/>
      <c r="I97" s="39" t="e">
        <f t="shared" si="187"/>
        <v>#REF!</v>
      </c>
      <c r="J97" s="39" t="e">
        <f t="shared" si="187"/>
        <v>#REF!</v>
      </c>
      <c r="K97" s="39" t="e">
        <f t="shared" si="187"/>
        <v>#REF!</v>
      </c>
      <c r="L97" s="39" t="e">
        <f t="shared" ref="L97" si="188">L93*L87/L95</f>
        <v>#REF!</v>
      </c>
      <c r="M97" s="39" t="e">
        <f t="shared" si="187"/>
        <v>#REF!</v>
      </c>
      <c r="N97" s="39" t="e">
        <f t="shared" ref="N97:P97" si="189">N93*N87/N95</f>
        <v>#REF!</v>
      </c>
      <c r="O97" s="39" t="e">
        <f t="shared" si="189"/>
        <v>#REF!</v>
      </c>
      <c r="P97" s="39" t="e">
        <f t="shared" si="189"/>
        <v>#REF!</v>
      </c>
      <c r="Q97" s="39" t="e">
        <f t="shared" ref="Q97:R97" si="190">Q93*Q87/Q95</f>
        <v>#REF!</v>
      </c>
      <c r="R97" s="39" t="e">
        <f t="shared" si="190"/>
        <v>#REF!</v>
      </c>
      <c r="S97" s="39" t="e">
        <f t="shared" ref="S97:T97" si="191">S93*S87/S95</f>
        <v>#REF!</v>
      </c>
      <c r="T97" s="39" t="e">
        <f t="shared" si="191"/>
        <v>#REF!</v>
      </c>
      <c r="U97" s="39" t="e">
        <f t="shared" ref="U97:V97" si="192">U93*U87/U95</f>
        <v>#REF!</v>
      </c>
      <c r="V97" s="39" t="e">
        <f t="shared" si="192"/>
        <v>#REF!</v>
      </c>
      <c r="W97" s="39" t="e">
        <f t="shared" ref="W97" si="193">W93*W87/W95</f>
        <v>#REF!</v>
      </c>
      <c r="X97" s="39" t="e">
        <f t="shared" ref="X97" si="194">X93*X87/X95</f>
        <v>#REF!</v>
      </c>
      <c r="Y97" s="39" t="e">
        <f t="shared" ref="Y97" si="195">Y93*Y87/Y95</f>
        <v>#REF!</v>
      </c>
      <c r="Z97" s="39" t="e">
        <f t="shared" ref="Z97" si="196">Z93*Z87/Z95</f>
        <v>#REF!</v>
      </c>
      <c r="AA97" s="39" t="e">
        <f t="shared" ref="AA97" si="197">AA93*AA87/AA95</f>
        <v>#REF!</v>
      </c>
      <c r="AB97" s="39" t="e">
        <f t="shared" ref="AB97" si="198">AB93*AB87/AB95</f>
        <v>#REF!</v>
      </c>
      <c r="AC97" s="39" t="e">
        <f t="shared" ref="AC97" si="199">AC93*AC87/AC95</f>
        <v>#REF!</v>
      </c>
      <c r="AD97" s="39" t="e">
        <f t="shared" ref="AD97" si="200">AD93*AD87/AD95</f>
        <v>#REF!</v>
      </c>
      <c r="AE97" s="39" t="e">
        <f t="shared" ref="AE97" si="201">AE93*AE87/AE95</f>
        <v>#REF!</v>
      </c>
      <c r="AF97" s="39" t="e">
        <f t="shared" ref="AF97" si="202">AF93*AF87/AF95</f>
        <v>#REF!</v>
      </c>
      <c r="AG97" s="39" t="e">
        <f t="shared" ref="AG97" si="203">AG93*AG87/AG95</f>
        <v>#REF!</v>
      </c>
      <c r="AH97" s="39" t="e">
        <f t="shared" ref="AH97" si="204">AH93*AH87/AH95</f>
        <v>#REF!</v>
      </c>
      <c r="AI97" s="97" t="e">
        <f t="shared" si="187"/>
        <v>#REF!</v>
      </c>
    </row>
    <row r="98" spans="1:35" ht="21" hidden="1" thickBot="1" x14ac:dyDescent="0.25">
      <c r="A98" s="98"/>
      <c r="B98" s="78" t="s">
        <v>119</v>
      </c>
      <c r="C98" s="79"/>
      <c r="D98" s="80" t="s">
        <v>42</v>
      </c>
      <c r="E98" s="99" t="e">
        <f t="shared" ref="E98:AI98" si="205">E97*E96*100</f>
        <v>#DIV/0!</v>
      </c>
      <c r="F98" s="99" t="e">
        <f t="shared" si="205"/>
        <v>#DIV/0!</v>
      </c>
      <c r="G98" s="99" t="e">
        <f t="shared" si="205"/>
        <v>#DIV/0!</v>
      </c>
      <c r="H98" s="99">
        <f t="shared" si="205"/>
        <v>0</v>
      </c>
      <c r="I98" s="99" t="e">
        <f t="shared" si="205"/>
        <v>#REF!</v>
      </c>
      <c r="J98" s="99" t="e">
        <f t="shared" si="205"/>
        <v>#REF!</v>
      </c>
      <c r="K98" s="99" t="e">
        <f t="shared" si="205"/>
        <v>#REF!</v>
      </c>
      <c r="L98" s="99" t="e">
        <f t="shared" ref="L98" si="206">L97*L96*100</f>
        <v>#REF!</v>
      </c>
      <c r="M98" s="99" t="e">
        <f t="shared" si="205"/>
        <v>#REF!</v>
      </c>
      <c r="N98" s="99" t="e">
        <f t="shared" ref="N98:P98" si="207">N97*N96*100</f>
        <v>#REF!</v>
      </c>
      <c r="O98" s="99" t="e">
        <f t="shared" si="207"/>
        <v>#REF!</v>
      </c>
      <c r="P98" s="99" t="e">
        <f t="shared" si="207"/>
        <v>#REF!</v>
      </c>
      <c r="Q98" s="99" t="e">
        <f t="shared" ref="Q98:R98" si="208">Q97*Q96*100</f>
        <v>#REF!</v>
      </c>
      <c r="R98" s="99" t="e">
        <f t="shared" si="208"/>
        <v>#REF!</v>
      </c>
      <c r="S98" s="99" t="e">
        <f t="shared" ref="S98:T98" si="209">S97*S96*100</f>
        <v>#REF!</v>
      </c>
      <c r="T98" s="99" t="e">
        <f t="shared" si="209"/>
        <v>#REF!</v>
      </c>
      <c r="U98" s="99" t="e">
        <f t="shared" ref="U98:V98" si="210">U97*U96*100</f>
        <v>#REF!</v>
      </c>
      <c r="V98" s="99" t="e">
        <f t="shared" si="210"/>
        <v>#REF!</v>
      </c>
      <c r="W98" s="99" t="e">
        <f t="shared" ref="W98" si="211">W97*W96*100</f>
        <v>#REF!</v>
      </c>
      <c r="X98" s="99" t="e">
        <f t="shared" ref="X98" si="212">X97*X96*100</f>
        <v>#REF!</v>
      </c>
      <c r="Y98" s="99" t="e">
        <f t="shared" ref="Y98" si="213">Y97*Y96*100</f>
        <v>#REF!</v>
      </c>
      <c r="Z98" s="99" t="e">
        <f t="shared" ref="Z98" si="214">Z97*Z96*100</f>
        <v>#REF!</v>
      </c>
      <c r="AA98" s="99" t="e">
        <f t="shared" ref="AA98" si="215">AA97*AA96*100</f>
        <v>#REF!</v>
      </c>
      <c r="AB98" s="99" t="e">
        <f t="shared" ref="AB98" si="216">AB97*AB96*100</f>
        <v>#REF!</v>
      </c>
      <c r="AC98" s="99" t="e">
        <f t="shared" ref="AC98" si="217">AC97*AC96*100</f>
        <v>#REF!</v>
      </c>
      <c r="AD98" s="99" t="e">
        <f t="shared" ref="AD98" si="218">AD97*AD96*100</f>
        <v>#REF!</v>
      </c>
      <c r="AE98" s="99" t="e">
        <f t="shared" ref="AE98" si="219">AE97*AE96*100</f>
        <v>#REF!</v>
      </c>
      <c r="AF98" s="99" t="e">
        <f t="shared" ref="AF98" si="220">AF97*AF96*100</f>
        <v>#REF!</v>
      </c>
      <c r="AG98" s="99" t="e">
        <f t="shared" ref="AG98" si="221">AG97*AG96*100</f>
        <v>#REF!</v>
      </c>
      <c r="AH98" s="99" t="e">
        <f t="shared" ref="AH98" si="222">AH97*AH96*100</f>
        <v>#REF!</v>
      </c>
      <c r="AI98" s="82" t="e">
        <f t="shared" si="205"/>
        <v>#REF!</v>
      </c>
    </row>
    <row r="99" spans="1:35" hidden="1" x14ac:dyDescent="0.2">
      <c r="A99" s="84"/>
      <c r="B99" s="84"/>
      <c r="C99" s="85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84"/>
    </row>
    <row r="100" spans="1:35" hidden="1" x14ac:dyDescent="0.2">
      <c r="A100" s="84"/>
      <c r="B100" s="84"/>
      <c r="C100" s="85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84"/>
    </row>
    <row r="101" spans="1:35" hidden="1" x14ac:dyDescent="0.2">
      <c r="A101" s="84"/>
      <c r="B101" s="84"/>
      <c r="C101" s="85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84"/>
    </row>
    <row r="102" spans="1:35" hidden="1" x14ac:dyDescent="0.2">
      <c r="A102" s="84"/>
      <c r="B102" s="84"/>
      <c r="C102" s="85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84"/>
    </row>
    <row r="103" spans="1:35" hidden="1" x14ac:dyDescent="0.2">
      <c r="A103" s="84"/>
      <c r="B103" s="84"/>
      <c r="C103" s="85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84"/>
    </row>
    <row r="104" spans="1:35" hidden="1" x14ac:dyDescent="0.2">
      <c r="A104" s="84"/>
      <c r="B104" s="84"/>
      <c r="C104" s="85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84"/>
    </row>
    <row r="105" spans="1:35" hidden="1" x14ac:dyDescent="0.2">
      <c r="A105" s="84"/>
      <c r="B105" s="84"/>
      <c r="C105" s="85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84"/>
    </row>
    <row r="106" spans="1:35" hidden="1" x14ac:dyDescent="0.2">
      <c r="A106" s="84"/>
      <c r="B106" s="84"/>
      <c r="C106" s="85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84"/>
    </row>
    <row r="107" spans="1:35" hidden="1" x14ac:dyDescent="0.2">
      <c r="A107" s="84"/>
      <c r="B107" s="84"/>
      <c r="C107" s="85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84"/>
    </row>
    <row r="108" spans="1:35" hidden="1" x14ac:dyDescent="0.2">
      <c r="A108" s="84"/>
      <c r="B108" s="84"/>
      <c r="C108" s="85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84"/>
    </row>
    <row r="109" spans="1:35" hidden="1" x14ac:dyDescent="0.2">
      <c r="A109" s="84"/>
      <c r="B109" s="84"/>
      <c r="C109" s="85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84"/>
    </row>
    <row r="110" spans="1:35" hidden="1" x14ac:dyDescent="0.2">
      <c r="A110" s="84"/>
      <c r="B110" s="84"/>
      <c r="C110" s="85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84"/>
    </row>
    <row r="111" spans="1:35" hidden="1" x14ac:dyDescent="0.2">
      <c r="A111" s="84"/>
      <c r="B111" s="84"/>
      <c r="C111" s="85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84"/>
    </row>
    <row r="112" spans="1:35" hidden="1" x14ac:dyDescent="0.2">
      <c r="A112" s="84"/>
      <c r="B112" s="84"/>
      <c r="C112" s="85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84"/>
    </row>
    <row r="113" spans="1:35" hidden="1" x14ac:dyDescent="0.2">
      <c r="A113" s="84"/>
      <c r="B113" s="84"/>
      <c r="C113" s="85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84"/>
    </row>
    <row r="114" spans="1:35" hidden="1" x14ac:dyDescent="0.2">
      <c r="A114" s="84"/>
      <c r="B114" s="84"/>
      <c r="C114" s="85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84"/>
    </row>
    <row r="115" spans="1:35" x14ac:dyDescent="0.2">
      <c r="A115" s="84"/>
      <c r="B115" s="84"/>
      <c r="C115" s="85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84"/>
    </row>
    <row r="116" spans="1:35" x14ac:dyDescent="0.2">
      <c r="A116" s="84"/>
      <c r="B116" s="84"/>
      <c r="C116" s="85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84"/>
    </row>
    <row r="117" spans="1:35" ht="17" customHeight="1" x14ac:dyDescent="0.2">
      <c r="A117" s="84"/>
      <c r="B117" s="84"/>
      <c r="C117" s="85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100"/>
    </row>
    <row r="118" spans="1:35" ht="24" customHeight="1" x14ac:dyDescent="0.25">
      <c r="A118" s="84"/>
      <c r="B118" s="194" t="s">
        <v>279</v>
      </c>
      <c r="C118" s="195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100"/>
    </row>
    <row r="119" spans="1:35" ht="24" customHeight="1" x14ac:dyDescent="0.2">
      <c r="A119" s="84"/>
      <c r="B119" s="62" t="s">
        <v>51</v>
      </c>
      <c r="C119" s="94"/>
      <c r="D119" s="196" t="s">
        <v>0</v>
      </c>
      <c r="E119" s="62"/>
      <c r="F119" s="62"/>
      <c r="G119" s="62">
        <v>52.9</v>
      </c>
      <c r="H119" s="62">
        <v>80.5</v>
      </c>
      <c r="I119" s="62">
        <v>78.400000000000006</v>
      </c>
      <c r="J119" s="62">
        <v>101</v>
      </c>
      <c r="K119" s="62">
        <v>99.4</v>
      </c>
      <c r="L119" s="62">
        <v>104.7</v>
      </c>
      <c r="M119" s="62">
        <v>110.6</v>
      </c>
      <c r="N119" s="62">
        <v>102.1</v>
      </c>
      <c r="O119" s="186">
        <v>105.4</v>
      </c>
      <c r="P119" s="39">
        <v>71.7</v>
      </c>
      <c r="Q119" s="62">
        <v>17.100000000000001</v>
      </c>
      <c r="R119" s="62">
        <v>0</v>
      </c>
      <c r="S119" s="62">
        <v>2</v>
      </c>
      <c r="T119" s="39">
        <v>93</v>
      </c>
      <c r="U119" s="39">
        <v>89.8</v>
      </c>
      <c r="V119" s="62">
        <v>102</v>
      </c>
      <c r="W119" s="62">
        <v>68.5</v>
      </c>
      <c r="X119" s="62">
        <v>99.399999999999949</v>
      </c>
      <c r="Y119" s="62">
        <v>112.9</v>
      </c>
      <c r="Z119" s="187">
        <v>128.5</v>
      </c>
      <c r="AA119" s="62">
        <v>119</v>
      </c>
      <c r="AB119" s="62">
        <v>107.7</v>
      </c>
      <c r="AC119" s="62">
        <v>106.5</v>
      </c>
      <c r="AD119" s="62">
        <v>112.59999999999982</v>
      </c>
      <c r="AE119" s="62">
        <v>102.1</v>
      </c>
      <c r="AF119" s="62">
        <v>104.1</v>
      </c>
      <c r="AG119" s="62">
        <v>102</v>
      </c>
      <c r="AH119" s="62">
        <v>16.5</v>
      </c>
      <c r="AI119" s="185"/>
    </row>
    <row r="120" spans="1:35" x14ac:dyDescent="0.2">
      <c r="A120" s="84"/>
      <c r="B120" s="62" t="s">
        <v>275</v>
      </c>
      <c r="C120" s="94"/>
      <c r="D120" s="196" t="s">
        <v>277</v>
      </c>
      <c r="E120" s="62"/>
      <c r="F120" s="62"/>
      <c r="G120" s="62">
        <v>2731.1</v>
      </c>
      <c r="H120" s="62">
        <v>3191.1</v>
      </c>
      <c r="I120" s="62">
        <v>3861.8999999999996</v>
      </c>
      <c r="J120" s="62">
        <v>5166.6000000000004</v>
      </c>
      <c r="K120" s="62">
        <v>4913.5</v>
      </c>
      <c r="L120" s="62">
        <v>5695.9</v>
      </c>
      <c r="M120" s="62">
        <v>8008</v>
      </c>
      <c r="N120" s="62">
        <v>6427.3</v>
      </c>
      <c r="O120" s="186">
        <v>7388</v>
      </c>
      <c r="P120" s="39">
        <v>4473</v>
      </c>
      <c r="Q120" s="62">
        <v>705.8</v>
      </c>
      <c r="R120" s="187">
        <v>0</v>
      </c>
      <c r="S120" s="62">
        <v>0</v>
      </c>
      <c r="T120" s="39">
        <v>3771.4</v>
      </c>
      <c r="U120" s="39">
        <v>5269.6</v>
      </c>
      <c r="V120" s="186">
        <v>7311.3</v>
      </c>
      <c r="W120" s="62">
        <v>3843.9</v>
      </c>
      <c r="X120" s="62">
        <v>6490.6000000000085</v>
      </c>
      <c r="Y120" s="62">
        <v>5688.8</v>
      </c>
      <c r="Z120" s="187">
        <v>8756</v>
      </c>
      <c r="AA120" s="62">
        <v>8898</v>
      </c>
      <c r="AB120" s="62">
        <v>5994</v>
      </c>
      <c r="AC120" s="62">
        <v>5988.8</v>
      </c>
      <c r="AD120" s="62">
        <v>6042.8999999999942</v>
      </c>
      <c r="AE120" s="62">
        <v>6263</v>
      </c>
      <c r="AF120" s="62">
        <v>5957</v>
      </c>
      <c r="AG120" s="62">
        <v>7030.8</v>
      </c>
      <c r="AH120" s="62">
        <v>1453.2</v>
      </c>
      <c r="AI120" s="185"/>
    </row>
    <row r="121" spans="1:35" x14ac:dyDescent="0.2">
      <c r="A121" s="84"/>
      <c r="B121" s="62" t="s">
        <v>276</v>
      </c>
      <c r="C121" s="94"/>
      <c r="D121" s="196" t="s">
        <v>277</v>
      </c>
      <c r="E121" s="62"/>
      <c r="F121" s="62"/>
      <c r="G121" s="62">
        <v>106.4</v>
      </c>
      <c r="H121" s="62">
        <v>7.8</v>
      </c>
      <c r="I121" s="62">
        <v>17.600000000000009</v>
      </c>
      <c r="J121" s="62">
        <v>0</v>
      </c>
      <c r="K121" s="62">
        <v>0</v>
      </c>
      <c r="L121" s="62">
        <v>0</v>
      </c>
      <c r="M121" s="62">
        <v>77.900000000000006</v>
      </c>
      <c r="N121" s="62">
        <v>94.5</v>
      </c>
      <c r="O121" s="186">
        <v>0</v>
      </c>
      <c r="P121" s="39">
        <v>16</v>
      </c>
      <c r="Q121" s="62">
        <v>14.9</v>
      </c>
      <c r="R121" s="187">
        <v>0</v>
      </c>
      <c r="S121" s="62">
        <v>0</v>
      </c>
      <c r="T121" s="39">
        <v>0</v>
      </c>
      <c r="U121" s="39">
        <v>9.1999999999999993</v>
      </c>
      <c r="V121" s="186">
        <v>0</v>
      </c>
      <c r="W121" s="62">
        <v>4.8</v>
      </c>
      <c r="X121" s="62">
        <v>0</v>
      </c>
      <c r="Y121" s="62">
        <v>0</v>
      </c>
      <c r="Z121" s="187">
        <v>0</v>
      </c>
      <c r="AA121" s="62">
        <v>0</v>
      </c>
      <c r="AB121" s="62">
        <v>0</v>
      </c>
      <c r="AC121" s="62">
        <v>0</v>
      </c>
      <c r="AD121" s="62">
        <v>0</v>
      </c>
      <c r="AE121" s="62">
        <v>0</v>
      </c>
      <c r="AF121" s="62">
        <v>95.4</v>
      </c>
      <c r="AG121" s="62">
        <v>87.5</v>
      </c>
      <c r="AH121" s="62">
        <v>0</v>
      </c>
      <c r="AI121" s="185"/>
    </row>
    <row r="122" spans="1:35" x14ac:dyDescent="0.2">
      <c r="A122" s="84"/>
      <c r="B122" s="62" t="s">
        <v>53</v>
      </c>
      <c r="C122" s="94"/>
      <c r="D122" s="196" t="s">
        <v>54</v>
      </c>
      <c r="E122" s="62"/>
      <c r="F122" s="62"/>
      <c r="G122" s="62">
        <v>526</v>
      </c>
      <c r="H122" s="62">
        <v>924</v>
      </c>
      <c r="I122" s="62">
        <v>1128</v>
      </c>
      <c r="J122" s="62">
        <v>1035</v>
      </c>
      <c r="K122" s="62">
        <v>977</v>
      </c>
      <c r="L122" s="62">
        <v>893</v>
      </c>
      <c r="M122" s="62">
        <v>784</v>
      </c>
      <c r="N122" s="62">
        <v>611.4</v>
      </c>
      <c r="O122" s="186">
        <v>625</v>
      </c>
      <c r="P122" s="39">
        <v>728.8</v>
      </c>
      <c r="Q122" s="62">
        <v>805.3</v>
      </c>
      <c r="R122" s="187">
        <v>274</v>
      </c>
      <c r="S122" s="62">
        <v>651</v>
      </c>
      <c r="T122" s="39">
        <v>662</v>
      </c>
      <c r="U122" s="39">
        <v>700.8</v>
      </c>
      <c r="V122" s="186">
        <v>849.5</v>
      </c>
      <c r="W122" s="62">
        <v>749</v>
      </c>
      <c r="X122" s="62">
        <v>843.00000000000148</v>
      </c>
      <c r="Y122" s="62">
        <v>849.4</v>
      </c>
      <c r="Z122" s="187">
        <v>886</v>
      </c>
      <c r="AA122" s="62">
        <v>896.4</v>
      </c>
      <c r="AB122" s="62">
        <v>940.2</v>
      </c>
      <c r="AC122" s="62">
        <v>898.8</v>
      </c>
      <c r="AD122" s="62">
        <v>886.60000000000218</v>
      </c>
      <c r="AE122" s="62">
        <v>902</v>
      </c>
      <c r="AF122" s="62">
        <v>865.1</v>
      </c>
      <c r="AG122" s="62">
        <v>874.9</v>
      </c>
      <c r="AH122" s="62">
        <v>220</v>
      </c>
      <c r="AI122" s="185"/>
    </row>
    <row r="123" spans="1:35" x14ac:dyDescent="0.2">
      <c r="A123" s="84"/>
      <c r="B123" s="62" t="s">
        <v>230</v>
      </c>
      <c r="C123" s="94"/>
      <c r="D123" s="196" t="s">
        <v>41</v>
      </c>
      <c r="E123" s="62"/>
      <c r="F123" s="62"/>
      <c r="G123" s="62">
        <v>40023</v>
      </c>
      <c r="H123" s="62">
        <v>65679</v>
      </c>
      <c r="I123" s="62">
        <v>63720</v>
      </c>
      <c r="J123" s="62">
        <v>84459</v>
      </c>
      <c r="K123" s="62">
        <v>86334</v>
      </c>
      <c r="L123" s="62">
        <v>85231</v>
      </c>
      <c r="M123" s="62">
        <v>87305</v>
      </c>
      <c r="N123" s="62">
        <v>89653</v>
      </c>
      <c r="O123" s="186">
        <v>90786</v>
      </c>
      <c r="P123" s="51">
        <v>60363</v>
      </c>
      <c r="Q123" s="62">
        <v>26009</v>
      </c>
      <c r="R123" s="187">
        <v>5632</v>
      </c>
      <c r="S123" s="62">
        <v>8381</v>
      </c>
      <c r="T123" s="51">
        <v>66730</v>
      </c>
      <c r="U123" s="51">
        <v>75854</v>
      </c>
      <c r="V123" s="186">
        <v>83526</v>
      </c>
      <c r="W123" s="62">
        <v>65637</v>
      </c>
      <c r="X123" s="62">
        <v>90237</v>
      </c>
      <c r="Y123" s="62">
        <v>91033</v>
      </c>
      <c r="Z123" s="187">
        <v>95512</v>
      </c>
      <c r="AA123" s="62">
        <v>90374</v>
      </c>
      <c r="AB123" s="62">
        <v>85759</v>
      </c>
      <c r="AC123" s="62">
        <v>84347</v>
      </c>
      <c r="AD123" s="62">
        <v>90909</v>
      </c>
      <c r="AE123" s="62">
        <v>89976</v>
      </c>
      <c r="AF123" s="62">
        <v>86563</v>
      </c>
      <c r="AG123" s="62">
        <v>89207</v>
      </c>
      <c r="AH123" s="62">
        <v>22742</v>
      </c>
      <c r="AI123" s="185"/>
    </row>
    <row r="124" spans="1:35" ht="21" x14ac:dyDescent="0.2">
      <c r="A124" s="84"/>
      <c r="B124" s="62" t="s">
        <v>278</v>
      </c>
      <c r="C124" s="94"/>
      <c r="D124" s="197" t="s">
        <v>41</v>
      </c>
      <c r="E124" s="62"/>
      <c r="F124" s="62"/>
      <c r="G124" s="62">
        <v>7227</v>
      </c>
      <c r="H124" s="62">
        <v>8121</v>
      </c>
      <c r="I124" s="62">
        <v>7375</v>
      </c>
      <c r="J124" s="62">
        <v>7791</v>
      </c>
      <c r="K124" s="62">
        <v>8166</v>
      </c>
      <c r="L124" s="62">
        <v>6569</v>
      </c>
      <c r="M124" s="62">
        <v>7645</v>
      </c>
      <c r="N124" s="62">
        <v>7547</v>
      </c>
      <c r="O124" s="62">
        <v>7764</v>
      </c>
      <c r="P124" s="62">
        <v>7137</v>
      </c>
      <c r="Q124" s="62">
        <v>5491</v>
      </c>
      <c r="R124" s="187">
        <v>2468</v>
      </c>
      <c r="S124" s="62">
        <v>2419</v>
      </c>
      <c r="T124" s="62">
        <v>7520</v>
      </c>
      <c r="U124" s="62">
        <v>7396</v>
      </c>
      <c r="V124" s="186">
        <v>7824</v>
      </c>
      <c r="W124" s="62">
        <v>8613</v>
      </c>
      <c r="X124" s="62">
        <v>7861</v>
      </c>
      <c r="Y124" s="62">
        <v>7967</v>
      </c>
      <c r="Z124" s="187">
        <v>7988</v>
      </c>
      <c r="AA124" s="62">
        <v>8176</v>
      </c>
      <c r="AB124" s="62">
        <v>8291</v>
      </c>
      <c r="AC124" s="62">
        <v>7903</v>
      </c>
      <c r="AD124" s="62">
        <v>7641</v>
      </c>
      <c r="AE124" s="62">
        <v>7674</v>
      </c>
      <c r="AF124" s="62">
        <v>8387</v>
      </c>
      <c r="AG124" s="62">
        <v>7993</v>
      </c>
      <c r="AH124" s="62">
        <v>7858</v>
      </c>
      <c r="AI124" s="185"/>
    </row>
    <row r="125" spans="1:35" x14ac:dyDescent="0.2">
      <c r="A125" s="84"/>
      <c r="B125" s="84"/>
      <c r="C125" s="85"/>
      <c r="D125" s="193"/>
      <c r="E125" s="84"/>
      <c r="F125" s="84"/>
      <c r="G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100"/>
    </row>
    <row r="126" spans="1:35" ht="20.25" customHeight="1" x14ac:dyDescent="0.2">
      <c r="A126" s="84"/>
      <c r="B126" s="84"/>
      <c r="C126" s="85"/>
      <c r="D126" s="84"/>
      <c r="E126" s="84"/>
      <c r="F126" s="84"/>
      <c r="G126" s="84"/>
      <c r="H126" s="84"/>
      <c r="I126" s="84"/>
      <c r="J126" s="84"/>
      <c r="K126" s="188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100"/>
    </row>
    <row r="127" spans="1:35" x14ac:dyDescent="0.2">
      <c r="H127" s="84"/>
    </row>
  </sheetData>
  <mergeCells count="7">
    <mergeCell ref="I66:M66"/>
    <mergeCell ref="I72:M72"/>
    <mergeCell ref="I3:AI3"/>
    <mergeCell ref="C44:AI45"/>
    <mergeCell ref="C51:AI51"/>
    <mergeCell ref="D64:AI64"/>
    <mergeCell ref="H14:P14"/>
  </mergeCells>
  <pageMargins left="0.7" right="0.7" top="0.75" bottom="0.75" header="0.3" footer="0.3"/>
  <pageSetup paperSize="9" scale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</vt:i4>
      </vt:variant>
    </vt:vector>
  </HeadingPairs>
  <TitlesOfParts>
    <vt:vector size="30" baseType="lpstr">
      <vt:lpstr>01-02-2025</vt:lpstr>
      <vt:lpstr>02-02-2025</vt:lpstr>
      <vt:lpstr>03-02-2025</vt:lpstr>
      <vt:lpstr>04-02-2025</vt:lpstr>
      <vt:lpstr>05-02-2025</vt:lpstr>
      <vt:lpstr>06-02-2025</vt:lpstr>
      <vt:lpstr>07-02-2025</vt:lpstr>
      <vt:lpstr>08-02-2025</vt:lpstr>
      <vt:lpstr>09-02-2025</vt:lpstr>
      <vt:lpstr>10-02-2025</vt:lpstr>
      <vt:lpstr>11-02-2025</vt:lpstr>
      <vt:lpstr>12-02-2025</vt:lpstr>
      <vt:lpstr>13-02-2025</vt:lpstr>
      <vt:lpstr>14-02-2025</vt:lpstr>
      <vt:lpstr>15-02-2025</vt:lpstr>
      <vt:lpstr>16-02-2025</vt:lpstr>
      <vt:lpstr>17-02-205</vt:lpstr>
      <vt:lpstr>18-02-2025</vt:lpstr>
      <vt:lpstr>19-02-2025</vt:lpstr>
      <vt:lpstr>20-02-2025</vt:lpstr>
      <vt:lpstr>21-02-2025</vt:lpstr>
      <vt:lpstr>22-02-2025</vt:lpstr>
      <vt:lpstr>23-02-2025</vt:lpstr>
      <vt:lpstr>24-02-2025</vt:lpstr>
      <vt:lpstr>25-02-2025</vt:lpstr>
      <vt:lpstr>26-02-2025</vt:lpstr>
      <vt:lpstr>27-02-2025</vt:lpstr>
      <vt:lpstr>28-02-2025</vt:lpstr>
      <vt:lpstr>PULP &amp; CHEMICAL REPORT</vt:lpstr>
      <vt:lpstr>'PULP &amp; CHEMICAL REPORT'!Print_Area</vt:lpstr>
    </vt:vector>
  </TitlesOfParts>
  <Company>century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Ravi Arora</cp:lastModifiedBy>
  <cp:lastPrinted>2025-01-02T05:05:00Z</cp:lastPrinted>
  <dcterms:created xsi:type="dcterms:W3CDTF">2015-05-31T05:53:49Z</dcterms:created>
  <dcterms:modified xsi:type="dcterms:W3CDTF">2026-04-02T05:10:29Z</dcterms:modified>
</cp:coreProperties>
</file>