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avindra/Desktop/untitled folder/"/>
    </mc:Choice>
  </mc:AlternateContent>
  <xr:revisionPtr revIDLastSave="0" documentId="13_ncr:1_{4DCC0CF9-9A9F-0640-BA5A-3457ACAAFEBC}" xr6:coauthVersionLast="47" xr6:coauthVersionMax="47" xr10:uidLastSave="{00000000-0000-0000-0000-000000000000}"/>
  <bookViews>
    <workbookView xWindow="0" yWindow="520" windowWidth="20480" windowHeight="12800" firstSheet="26" activeTab="31" xr2:uid="{8BD961F5-04F6-4B67-8686-8A054A27E604}"/>
  </bookViews>
  <sheets>
    <sheet name="01-05-2025" sheetId="31" r:id="rId1"/>
    <sheet name="02-05-2025" sheetId="32" r:id="rId2"/>
    <sheet name="03-05-2025" sheetId="33" r:id="rId3"/>
    <sheet name="04-05-2025" sheetId="34" r:id="rId4"/>
    <sheet name="05-05-2025" sheetId="35" r:id="rId5"/>
    <sheet name="06-05-2025" sheetId="36" r:id="rId6"/>
    <sheet name="07-05-2025" sheetId="37" r:id="rId7"/>
    <sheet name="08-05-2025" sheetId="38" r:id="rId8"/>
    <sheet name="09-05-2025" sheetId="39" r:id="rId9"/>
    <sheet name="10-05-2025" sheetId="40" r:id="rId10"/>
    <sheet name="11-05-2025" sheetId="41" r:id="rId11"/>
    <sheet name="12-05-2025" sheetId="42" r:id="rId12"/>
    <sheet name="13-05-2025" sheetId="43" r:id="rId13"/>
    <sheet name="14-05-2024" sheetId="44" r:id="rId14"/>
    <sheet name="15-05-2025" sheetId="45" r:id="rId15"/>
    <sheet name="16-05-2025" sheetId="46" r:id="rId16"/>
    <sheet name="17-05-2025" sheetId="47" r:id="rId17"/>
    <sheet name="18-05-2025" sheetId="48" r:id="rId18"/>
    <sheet name="19-05-2025" sheetId="49" r:id="rId19"/>
    <sheet name="20-05-2025" sheetId="50" r:id="rId20"/>
    <sheet name="21-05-2025" sheetId="51" r:id="rId21"/>
    <sheet name="22-05-2025" sheetId="52" r:id="rId22"/>
    <sheet name="23-05-2025" sheetId="53" r:id="rId23"/>
    <sheet name="24-05-2025" sheetId="54" r:id="rId24"/>
    <sheet name="25-05-2025" sheetId="55" r:id="rId25"/>
    <sheet name="26-05-2025" sheetId="56" r:id="rId26"/>
    <sheet name="27-05-2025" sheetId="57" r:id="rId27"/>
    <sheet name="28-05-2025" sheetId="58" r:id="rId28"/>
    <sheet name="29-05-2025" sheetId="59" r:id="rId29"/>
    <sheet name="30-05-2025" sheetId="60" r:id="rId30"/>
    <sheet name="31-05-2025" sheetId="61" r:id="rId31"/>
    <sheet name="Pulp &amp; Chemical consumption" sheetId="2" r:id="rId3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6" i="61" l="1"/>
  <c r="H12" i="61"/>
  <c r="H13" i="61"/>
  <c r="H14" i="61"/>
  <c r="H15" i="61"/>
  <c r="H16" i="61"/>
  <c r="G12" i="61"/>
  <c r="G13" i="61"/>
  <c r="G14" i="61"/>
  <c r="G15" i="61"/>
  <c r="G16" i="61"/>
  <c r="F22" i="61"/>
  <c r="H11" i="61"/>
  <c r="G11" i="61"/>
  <c r="H10" i="61"/>
  <c r="G10" i="61"/>
  <c r="H9" i="61"/>
  <c r="H22" i="61" s="1"/>
  <c r="G9" i="61"/>
  <c r="G22" i="61" l="1"/>
  <c r="J25" i="61"/>
  <c r="AJ103" i="2"/>
  <c r="AJ95" i="2"/>
  <c r="AJ101" i="2" s="1"/>
  <c r="AJ102" i="2" s="1"/>
  <c r="AJ89" i="2"/>
  <c r="AJ87" i="2"/>
  <c r="AJ88" i="2" s="1"/>
  <c r="AJ96" i="2" s="1"/>
  <c r="AJ80" i="2"/>
  <c r="AJ71" i="2"/>
  <c r="AJ70" i="2"/>
  <c r="AJ66" i="2"/>
  <c r="AJ63" i="2"/>
  <c r="AJ69" i="2" s="1"/>
  <c r="AJ62" i="2"/>
  <c r="AJ68" i="2" s="1"/>
  <c r="AJ61" i="2"/>
  <c r="AJ67" i="2" s="1"/>
  <c r="AJ59" i="2"/>
  <c r="AJ58" i="2"/>
  <c r="AJ98" i="2" s="1"/>
  <c r="AJ104" i="2" s="1"/>
  <c r="AJ105" i="2" s="1"/>
  <c r="AJ17" i="2"/>
  <c r="J26" i="60"/>
  <c r="F22" i="60"/>
  <c r="J25" i="60" s="1"/>
  <c r="H11" i="60"/>
  <c r="G11" i="60"/>
  <c r="H10" i="60"/>
  <c r="G10" i="60"/>
  <c r="H9" i="60"/>
  <c r="G9" i="60"/>
  <c r="J26" i="59"/>
  <c r="F22" i="59"/>
  <c r="J25" i="59" s="1"/>
  <c r="H11" i="59"/>
  <c r="G11" i="59"/>
  <c r="H10" i="59"/>
  <c r="G10" i="59"/>
  <c r="H9" i="59"/>
  <c r="G9" i="59"/>
  <c r="J26" i="58"/>
  <c r="F22" i="58"/>
  <c r="J25" i="58" s="1"/>
  <c r="H11" i="58"/>
  <c r="G11" i="58"/>
  <c r="H10" i="58"/>
  <c r="G10" i="58"/>
  <c r="H9" i="58"/>
  <c r="G9" i="58"/>
  <c r="G22" i="58" s="1"/>
  <c r="J26" i="57"/>
  <c r="F22" i="57"/>
  <c r="H13" i="57"/>
  <c r="G13" i="57"/>
  <c r="H12" i="57"/>
  <c r="G12" i="57"/>
  <c r="H11" i="57"/>
  <c r="G11" i="57"/>
  <c r="H10" i="57"/>
  <c r="G10" i="57"/>
  <c r="H9" i="57"/>
  <c r="G9" i="57"/>
  <c r="AG17" i="2"/>
  <c r="J26" i="56"/>
  <c r="H12" i="56"/>
  <c r="H13" i="56"/>
  <c r="G12" i="56"/>
  <c r="G13" i="56"/>
  <c r="F22" i="56"/>
  <c r="H11" i="56"/>
  <c r="G11" i="56"/>
  <c r="H10" i="56"/>
  <c r="G10" i="56"/>
  <c r="H9" i="56"/>
  <c r="G9" i="56"/>
  <c r="J26" i="55"/>
  <c r="F22" i="55"/>
  <c r="H11" i="55"/>
  <c r="G11" i="55"/>
  <c r="H10" i="55"/>
  <c r="G10" i="55"/>
  <c r="H9" i="55"/>
  <c r="G9" i="55"/>
  <c r="J26" i="54"/>
  <c r="J25" i="54"/>
  <c r="H22" i="54"/>
  <c r="F22" i="54"/>
  <c r="H11" i="54"/>
  <c r="G11" i="54"/>
  <c r="H10" i="54"/>
  <c r="G10" i="54"/>
  <c r="H9" i="54"/>
  <c r="G9" i="54"/>
  <c r="J26" i="53"/>
  <c r="F22" i="53"/>
  <c r="J25" i="53" s="1"/>
  <c r="H11" i="53"/>
  <c r="G11" i="53"/>
  <c r="H10" i="53"/>
  <c r="G10" i="53"/>
  <c r="H9" i="53"/>
  <c r="H22" i="53" s="1"/>
  <c r="G9" i="53"/>
  <c r="J26" i="52"/>
  <c r="H10" i="52"/>
  <c r="H11" i="52"/>
  <c r="G10" i="52"/>
  <c r="G11" i="52"/>
  <c r="F22" i="52"/>
  <c r="J25" i="52" s="1"/>
  <c r="H9" i="52"/>
  <c r="G9" i="52"/>
  <c r="J26" i="51"/>
  <c r="F22" i="51"/>
  <c r="G22" i="51" s="1"/>
  <c r="H9" i="51"/>
  <c r="G9" i="51"/>
  <c r="J26" i="50"/>
  <c r="F22" i="50"/>
  <c r="J25" i="50" s="1"/>
  <c r="H11" i="50"/>
  <c r="G11" i="50"/>
  <c r="H10" i="50"/>
  <c r="G10" i="50"/>
  <c r="H9" i="50"/>
  <c r="G9" i="50"/>
  <c r="J26" i="49"/>
  <c r="H11" i="49"/>
  <c r="H12" i="49"/>
  <c r="H13" i="49"/>
  <c r="H14" i="49"/>
  <c r="G11" i="49"/>
  <c r="G12" i="49"/>
  <c r="G13" i="49"/>
  <c r="G14" i="49"/>
  <c r="F22" i="49"/>
  <c r="J25" i="49" s="1"/>
  <c r="H10" i="49"/>
  <c r="G10" i="49"/>
  <c r="H9" i="49"/>
  <c r="G9" i="49"/>
  <c r="J26" i="48"/>
  <c r="F22" i="48"/>
  <c r="H10" i="48"/>
  <c r="G10" i="48"/>
  <c r="H9" i="48"/>
  <c r="G9" i="48"/>
  <c r="J26" i="47"/>
  <c r="F22" i="47"/>
  <c r="J25" i="47" s="1"/>
  <c r="H12" i="47"/>
  <c r="G12" i="47"/>
  <c r="H11" i="47"/>
  <c r="G11" i="47"/>
  <c r="H10" i="47"/>
  <c r="G10" i="47"/>
  <c r="H9" i="47"/>
  <c r="G9" i="47"/>
  <c r="J26" i="46"/>
  <c r="F22" i="46"/>
  <c r="J25" i="46" s="1"/>
  <c r="H13" i="46"/>
  <c r="G13" i="46"/>
  <c r="H12" i="46"/>
  <c r="G12" i="46"/>
  <c r="H11" i="46"/>
  <c r="G11" i="46"/>
  <c r="H10" i="46"/>
  <c r="G10" i="46"/>
  <c r="H9" i="46"/>
  <c r="G9" i="46"/>
  <c r="J26" i="45"/>
  <c r="F22" i="45"/>
  <c r="H13" i="45"/>
  <c r="G13" i="45"/>
  <c r="H12" i="45"/>
  <c r="G12" i="45"/>
  <c r="H11" i="45"/>
  <c r="G11" i="45"/>
  <c r="H10" i="45"/>
  <c r="G10" i="45"/>
  <c r="H9" i="45"/>
  <c r="G9" i="45"/>
  <c r="J26" i="44"/>
  <c r="H14" i="44"/>
  <c r="G14" i="44"/>
  <c r="F22" i="44"/>
  <c r="J25" i="44" s="1"/>
  <c r="H13" i="44"/>
  <c r="G13" i="44"/>
  <c r="H12" i="44"/>
  <c r="G12" i="44"/>
  <c r="H11" i="44"/>
  <c r="G11" i="44"/>
  <c r="H10" i="44"/>
  <c r="G10" i="44"/>
  <c r="H9" i="44"/>
  <c r="G9" i="44"/>
  <c r="J26" i="43"/>
  <c r="F22" i="43"/>
  <c r="J25" i="43" s="1"/>
  <c r="H13" i="43"/>
  <c r="G13" i="43"/>
  <c r="H12" i="43"/>
  <c r="G12" i="43"/>
  <c r="H11" i="43"/>
  <c r="G11" i="43"/>
  <c r="H10" i="43"/>
  <c r="G10" i="43"/>
  <c r="H9" i="43"/>
  <c r="H22" i="43" s="1"/>
  <c r="G9" i="43"/>
  <c r="J26" i="42"/>
  <c r="H12" i="42"/>
  <c r="H13" i="42"/>
  <c r="G12" i="42"/>
  <c r="G13" i="42"/>
  <c r="H11" i="42"/>
  <c r="G11" i="42"/>
  <c r="F22" i="42"/>
  <c r="J25" i="42" s="1"/>
  <c r="H10" i="42"/>
  <c r="G10" i="42"/>
  <c r="H9" i="42"/>
  <c r="G9" i="42"/>
  <c r="G22" i="42" s="1"/>
  <c r="J26" i="41"/>
  <c r="H10" i="41"/>
  <c r="G10" i="41"/>
  <c r="F22" i="41"/>
  <c r="J25" i="41" s="1"/>
  <c r="H9" i="41"/>
  <c r="H22" i="41" s="1"/>
  <c r="G9" i="41"/>
  <c r="G22" i="41" s="1"/>
  <c r="J26" i="40"/>
  <c r="F22" i="40"/>
  <c r="J25" i="40" s="1"/>
  <c r="H9" i="40"/>
  <c r="H22" i="40" s="1"/>
  <c r="G9" i="40"/>
  <c r="G22" i="40" s="1"/>
  <c r="AJ106" i="2" l="1"/>
  <c r="AJ107" i="2" s="1"/>
  <c r="G22" i="60"/>
  <c r="H22" i="60"/>
  <c r="G22" i="59"/>
  <c r="H22" i="59"/>
  <c r="H22" i="58"/>
  <c r="H22" i="57"/>
  <c r="G22" i="57"/>
  <c r="J25" i="57"/>
  <c r="H22" i="56"/>
  <c r="G22" i="56"/>
  <c r="J25" i="56"/>
  <c r="H22" i="55"/>
  <c r="G22" i="55"/>
  <c r="J25" i="55"/>
  <c r="G22" i="54"/>
  <c r="G22" i="53"/>
  <c r="H22" i="52"/>
  <c r="G22" i="52"/>
  <c r="H22" i="51"/>
  <c r="J25" i="51"/>
  <c r="H22" i="50"/>
  <c r="G22" i="50"/>
  <c r="H22" i="49"/>
  <c r="G22" i="49"/>
  <c r="G22" i="48"/>
  <c r="H22" i="48"/>
  <c r="J25" i="48"/>
  <c r="G22" i="47"/>
  <c r="H22" i="47"/>
  <c r="G22" i="46"/>
  <c r="H22" i="46"/>
  <c r="G22" i="45"/>
  <c r="H22" i="45"/>
  <c r="J25" i="45"/>
  <c r="G22" i="44"/>
  <c r="H22" i="44"/>
  <c r="G22" i="43"/>
  <c r="H22" i="42"/>
  <c r="J26" i="39"/>
  <c r="F22" i="39"/>
  <c r="J25" i="39" s="1"/>
  <c r="H9" i="39"/>
  <c r="G9" i="39"/>
  <c r="J26" i="38"/>
  <c r="F22" i="38"/>
  <c r="H22" i="38" s="1"/>
  <c r="J26" i="37"/>
  <c r="H12" i="37"/>
  <c r="G12" i="37"/>
  <c r="F22" i="37"/>
  <c r="J25" i="37" s="1"/>
  <c r="H11" i="37"/>
  <c r="G11" i="37"/>
  <c r="H10" i="37"/>
  <c r="G10" i="37"/>
  <c r="H9" i="37"/>
  <c r="H22" i="37" s="1"/>
  <c r="G9" i="37"/>
  <c r="G22" i="37" s="1"/>
  <c r="J26" i="36"/>
  <c r="H11" i="36"/>
  <c r="G11" i="36"/>
  <c r="F22" i="36"/>
  <c r="J25" i="36" s="1"/>
  <c r="H10" i="36"/>
  <c r="G10" i="36"/>
  <c r="H9" i="36"/>
  <c r="G9" i="36"/>
  <c r="J26" i="35"/>
  <c r="J25" i="35"/>
  <c r="F22" i="35"/>
  <c r="H10" i="35"/>
  <c r="G10" i="35"/>
  <c r="H9" i="35"/>
  <c r="G9" i="35"/>
  <c r="G22" i="35" s="1"/>
  <c r="J26" i="34"/>
  <c r="F22" i="34"/>
  <c r="H10" i="34"/>
  <c r="G10" i="34"/>
  <c r="H9" i="34"/>
  <c r="G9" i="34"/>
  <c r="J26" i="33"/>
  <c r="H12" i="33"/>
  <c r="G12" i="33"/>
  <c r="F22" i="33"/>
  <c r="J25" i="33" s="1"/>
  <c r="H11" i="33"/>
  <c r="G11" i="33"/>
  <c r="H10" i="33"/>
  <c r="G10" i="33"/>
  <c r="H9" i="33"/>
  <c r="H22" i="33" s="1"/>
  <c r="G9" i="33"/>
  <c r="J26" i="32"/>
  <c r="H11" i="32"/>
  <c r="G11" i="32"/>
  <c r="F22" i="32"/>
  <c r="J25" i="32" s="1"/>
  <c r="H10" i="32"/>
  <c r="G10" i="32"/>
  <c r="H9" i="32"/>
  <c r="G9" i="32"/>
  <c r="G22" i="32" s="1"/>
  <c r="F22" i="31"/>
  <c r="J25" i="31" s="1"/>
  <c r="H10" i="31"/>
  <c r="G10" i="31"/>
  <c r="H9" i="31"/>
  <c r="G9" i="31"/>
  <c r="BU48" i="2"/>
  <c r="AI103" i="2"/>
  <c r="AI95" i="2"/>
  <c r="AI101" i="2" s="1"/>
  <c r="AI102" i="2" s="1"/>
  <c r="AI89" i="2"/>
  <c r="AI87" i="2"/>
  <c r="AI80" i="2"/>
  <c r="AI88" i="2" s="1"/>
  <c r="AI96" i="2" s="1"/>
  <c r="AI71" i="2"/>
  <c r="AI70" i="2"/>
  <c r="AI66" i="2"/>
  <c r="AI63" i="2"/>
  <c r="AI69" i="2" s="1"/>
  <c r="AI62" i="2"/>
  <c r="AI68" i="2" s="1"/>
  <c r="AI61" i="2"/>
  <c r="AI67" i="2" s="1"/>
  <c r="AI58" i="2"/>
  <c r="AI98" i="2" s="1"/>
  <c r="AI104" i="2" s="1"/>
  <c r="AI105" i="2" s="1"/>
  <c r="AI17" i="2"/>
  <c r="AI59" i="2" s="1"/>
  <c r="AH103" i="2"/>
  <c r="AH95" i="2"/>
  <c r="AH101" i="2" s="1"/>
  <c r="AH102" i="2" s="1"/>
  <c r="AH89" i="2"/>
  <c r="AH87" i="2"/>
  <c r="AH80" i="2"/>
  <c r="AH88" i="2" s="1"/>
  <c r="AH96" i="2" s="1"/>
  <c r="AH71" i="2"/>
  <c r="AH70" i="2"/>
  <c r="AH66" i="2"/>
  <c r="AH63" i="2"/>
  <c r="AH69" i="2" s="1"/>
  <c r="AH62" i="2"/>
  <c r="AH68" i="2" s="1"/>
  <c r="AH61" i="2"/>
  <c r="AH67" i="2" s="1"/>
  <c r="AH58" i="2"/>
  <c r="AH98" i="2" s="1"/>
  <c r="AH104" i="2" s="1"/>
  <c r="AH17" i="2"/>
  <c r="AH59" i="2" s="1"/>
  <c r="AG103" i="2"/>
  <c r="AG95" i="2"/>
  <c r="AG101" i="2" s="1"/>
  <c r="AG102" i="2" s="1"/>
  <c r="AG89" i="2"/>
  <c r="AG87" i="2"/>
  <c r="AG80" i="2"/>
  <c r="AG71" i="2"/>
  <c r="AG70" i="2"/>
  <c r="AG66" i="2"/>
  <c r="AG63" i="2"/>
  <c r="AG69" i="2" s="1"/>
  <c r="AG62" i="2"/>
  <c r="AG68" i="2" s="1"/>
  <c r="AG61" i="2"/>
  <c r="AG67" i="2" s="1"/>
  <c r="AG58" i="2"/>
  <c r="AG98" i="2" s="1"/>
  <c r="AG104" i="2" s="1"/>
  <c r="AG59" i="2"/>
  <c r="AF103" i="2"/>
  <c r="AF95" i="2"/>
  <c r="AF101" i="2" s="1"/>
  <c r="AF102" i="2" s="1"/>
  <c r="AF89" i="2"/>
  <c r="AF87" i="2"/>
  <c r="AF80" i="2"/>
  <c r="AF71" i="2"/>
  <c r="AF70" i="2"/>
  <c r="AF66" i="2"/>
  <c r="AF63" i="2"/>
  <c r="AF69" i="2" s="1"/>
  <c r="AF62" i="2"/>
  <c r="AF68" i="2" s="1"/>
  <c r="AF61" i="2"/>
  <c r="AF67" i="2" s="1"/>
  <c r="AF58" i="2"/>
  <c r="AF98" i="2" s="1"/>
  <c r="AF104" i="2" s="1"/>
  <c r="AF17" i="2"/>
  <c r="AF59" i="2" s="1"/>
  <c r="AE103" i="2"/>
  <c r="AE95" i="2"/>
  <c r="AE101" i="2" s="1"/>
  <c r="AE102" i="2" s="1"/>
  <c r="AE89" i="2"/>
  <c r="AE87" i="2"/>
  <c r="AE80" i="2"/>
  <c r="AE71" i="2"/>
  <c r="AE70" i="2"/>
  <c r="AE66" i="2"/>
  <c r="AE63" i="2"/>
  <c r="AE69" i="2" s="1"/>
  <c r="AE62" i="2"/>
  <c r="AE68" i="2" s="1"/>
  <c r="AE61" i="2"/>
  <c r="AE67" i="2" s="1"/>
  <c r="AE58" i="2"/>
  <c r="AE98" i="2" s="1"/>
  <c r="AE104" i="2" s="1"/>
  <c r="AE17" i="2"/>
  <c r="AE59" i="2" s="1"/>
  <c r="AD103" i="2"/>
  <c r="AD95" i="2"/>
  <c r="AD101" i="2" s="1"/>
  <c r="AD102" i="2" s="1"/>
  <c r="AD89" i="2"/>
  <c r="AD87" i="2"/>
  <c r="AD80" i="2"/>
  <c r="AD71" i="2"/>
  <c r="AD70" i="2"/>
  <c r="AD66" i="2"/>
  <c r="AD63" i="2"/>
  <c r="AD69" i="2" s="1"/>
  <c r="AD62" i="2"/>
  <c r="AD68" i="2" s="1"/>
  <c r="AD61" i="2"/>
  <c r="AD67" i="2" s="1"/>
  <c r="AD58" i="2"/>
  <c r="AD98" i="2" s="1"/>
  <c r="AD104" i="2" s="1"/>
  <c r="AD17" i="2"/>
  <c r="AD59" i="2" s="1"/>
  <c r="AC103" i="2"/>
  <c r="AC95" i="2"/>
  <c r="AC101" i="2" s="1"/>
  <c r="AC102" i="2" s="1"/>
  <c r="AC89" i="2"/>
  <c r="AC87" i="2"/>
  <c r="AC80" i="2"/>
  <c r="AC88" i="2" s="1"/>
  <c r="AC96" i="2" s="1"/>
  <c r="AC71" i="2"/>
  <c r="AC70" i="2"/>
  <c r="AC66" i="2"/>
  <c r="AC63" i="2"/>
  <c r="AC69" i="2" s="1"/>
  <c r="AC62" i="2"/>
  <c r="AC68" i="2" s="1"/>
  <c r="AC61" i="2"/>
  <c r="AC67" i="2" s="1"/>
  <c r="AC58" i="2"/>
  <c r="AC98" i="2" s="1"/>
  <c r="AC104" i="2" s="1"/>
  <c r="AC17" i="2"/>
  <c r="AC59" i="2" s="1"/>
  <c r="AB103" i="2"/>
  <c r="AB95" i="2"/>
  <c r="AB101" i="2" s="1"/>
  <c r="AB102" i="2" s="1"/>
  <c r="AB89" i="2"/>
  <c r="AB87" i="2"/>
  <c r="AB80" i="2"/>
  <c r="AB71" i="2"/>
  <c r="AB70" i="2"/>
  <c r="AB66" i="2"/>
  <c r="AB63" i="2"/>
  <c r="AB69" i="2" s="1"/>
  <c r="AB62" i="2"/>
  <c r="AB68" i="2" s="1"/>
  <c r="AB61" i="2"/>
  <c r="AB67" i="2" s="1"/>
  <c r="AB58" i="2"/>
  <c r="AB98" i="2" s="1"/>
  <c r="AB104" i="2" s="1"/>
  <c r="AB17" i="2"/>
  <c r="AB59" i="2" s="1"/>
  <c r="AA103" i="2"/>
  <c r="AA95" i="2"/>
  <c r="AA101" i="2" s="1"/>
  <c r="AA102" i="2" s="1"/>
  <c r="AA89" i="2"/>
  <c r="AA87" i="2"/>
  <c r="AA80" i="2"/>
  <c r="AA71" i="2"/>
  <c r="AA70" i="2"/>
  <c r="AA66" i="2"/>
  <c r="AA63" i="2"/>
  <c r="AA69" i="2" s="1"/>
  <c r="AA62" i="2"/>
  <c r="AA68" i="2" s="1"/>
  <c r="AA61" i="2"/>
  <c r="AA67" i="2" s="1"/>
  <c r="AA58" i="2"/>
  <c r="AA98" i="2" s="1"/>
  <c r="AA104" i="2" s="1"/>
  <c r="AA17" i="2"/>
  <c r="AA59" i="2" s="1"/>
  <c r="AH105" i="2" l="1"/>
  <c r="AF88" i="2"/>
  <c r="AF96" i="2" s="1"/>
  <c r="H22" i="39"/>
  <c r="G22" i="39"/>
  <c r="G22" i="38"/>
  <c r="J25" i="38"/>
  <c r="G22" i="36"/>
  <c r="H22" i="36"/>
  <c r="H22" i="35"/>
  <c r="G22" i="34"/>
  <c r="J25" i="34"/>
  <c r="H22" i="34"/>
  <c r="G22" i="33"/>
  <c r="H22" i="32"/>
  <c r="G22" i="31"/>
  <c r="H22" i="31"/>
  <c r="AI106" i="2"/>
  <c r="AI107" i="2" s="1"/>
  <c r="AG88" i="2"/>
  <c r="AG96" i="2" s="1"/>
  <c r="AG105" i="2"/>
  <c r="AH106" i="2"/>
  <c r="AE105" i="2"/>
  <c r="AD88" i="2"/>
  <c r="AD96" i="2" s="1"/>
  <c r="AD106" i="2" s="1"/>
  <c r="AG106" i="2"/>
  <c r="AG107" i="2" s="1"/>
  <c r="AF105" i="2"/>
  <c r="AF106" i="2"/>
  <c r="AE88" i="2"/>
  <c r="AE96" i="2" s="1"/>
  <c r="AE106" i="2" s="1"/>
  <c r="AD105" i="2"/>
  <c r="AB105" i="2"/>
  <c r="AC105" i="2"/>
  <c r="AC106" i="2"/>
  <c r="AB88" i="2"/>
  <c r="AB96" i="2" s="1"/>
  <c r="AB106" i="2" s="1"/>
  <c r="AA88" i="2"/>
  <c r="AA96" i="2" s="1"/>
  <c r="AA105" i="2"/>
  <c r="AA106" i="2"/>
  <c r="AA107" i="2" s="1"/>
  <c r="AH107" i="2" l="1"/>
  <c r="AE107" i="2"/>
  <c r="AC107" i="2"/>
  <c r="AF107" i="2"/>
  <c r="AD107" i="2"/>
  <c r="AB107" i="2"/>
  <c r="Z103" i="2"/>
  <c r="Z95" i="2"/>
  <c r="Z101" i="2" s="1"/>
  <c r="Z102" i="2" s="1"/>
  <c r="Z89" i="2"/>
  <c r="Z87" i="2"/>
  <c r="Z80" i="2"/>
  <c r="Z71" i="2"/>
  <c r="Z70" i="2"/>
  <c r="Z66" i="2"/>
  <c r="Z63" i="2"/>
  <c r="Z69" i="2" s="1"/>
  <c r="Z62" i="2"/>
  <c r="Z68" i="2" s="1"/>
  <c r="Z61" i="2"/>
  <c r="Z67" i="2" s="1"/>
  <c r="Z58" i="2"/>
  <c r="Z98" i="2" s="1"/>
  <c r="Z104" i="2" s="1"/>
  <c r="Z17" i="2"/>
  <c r="Z59" i="2" s="1"/>
  <c r="Z105" i="2" l="1"/>
  <c r="Z88" i="2"/>
  <c r="Z96" i="2" s="1"/>
  <c r="Z106" i="2"/>
  <c r="Z107" i="2" s="1"/>
  <c r="AK17" i="2"/>
  <c r="BU16" i="2"/>
  <c r="Y17" i="2"/>
  <c r="Y59" i="2" s="1"/>
  <c r="X17" i="2"/>
  <c r="X59" i="2" s="1"/>
  <c r="W17" i="2"/>
  <c r="W59" i="2" s="1"/>
  <c r="V17" i="2"/>
  <c r="V59" i="2" s="1"/>
  <c r="U17" i="2"/>
  <c r="U59" i="2" s="1"/>
  <c r="T17" i="2"/>
  <c r="T59" i="2" s="1"/>
  <c r="S17" i="2"/>
  <c r="S59" i="2" s="1"/>
  <c r="R17" i="2"/>
  <c r="R59" i="2" s="1"/>
  <c r="Q17" i="2"/>
  <c r="Q59" i="2" s="1"/>
  <c r="P17" i="2"/>
  <c r="P59" i="2" s="1"/>
  <c r="O17" i="2"/>
  <c r="O59" i="2" s="1"/>
  <c r="N17" i="2"/>
  <c r="M17" i="2"/>
  <c r="L17" i="2"/>
  <c r="K17" i="2"/>
  <c r="J17" i="2"/>
  <c r="I17" i="2"/>
  <c r="H17" i="2"/>
  <c r="G17" i="2"/>
  <c r="Y103" i="2"/>
  <c r="Y95" i="2"/>
  <c r="Y101" i="2" s="1"/>
  <c r="Y102" i="2" s="1"/>
  <c r="Y89" i="2"/>
  <c r="Y87" i="2"/>
  <c r="Y80" i="2"/>
  <c r="Y71" i="2"/>
  <c r="Y70" i="2"/>
  <c r="Y66" i="2"/>
  <c r="Y63" i="2"/>
  <c r="Y69" i="2" s="1"/>
  <c r="Y62" i="2"/>
  <c r="Y68" i="2" s="1"/>
  <c r="Y61" i="2"/>
  <c r="Y67" i="2" s="1"/>
  <c r="Y58" i="2"/>
  <c r="Y98" i="2" s="1"/>
  <c r="Y104" i="2" s="1"/>
  <c r="X103" i="2"/>
  <c r="X95" i="2"/>
  <c r="X101" i="2" s="1"/>
  <c r="X102" i="2" s="1"/>
  <c r="X89" i="2"/>
  <c r="X87" i="2"/>
  <c r="X80" i="2"/>
  <c r="X71" i="2"/>
  <c r="X70" i="2"/>
  <c r="X66" i="2"/>
  <c r="X63" i="2"/>
  <c r="X69" i="2" s="1"/>
  <c r="X62" i="2"/>
  <c r="X68" i="2" s="1"/>
  <c r="X61" i="2"/>
  <c r="X67" i="2" s="1"/>
  <c r="X58" i="2"/>
  <c r="X98" i="2" s="1"/>
  <c r="X104" i="2" s="1"/>
  <c r="W103" i="2"/>
  <c r="W95" i="2"/>
  <c r="W101" i="2" s="1"/>
  <c r="W102" i="2" s="1"/>
  <c r="W89" i="2"/>
  <c r="W87" i="2"/>
  <c r="W80" i="2"/>
  <c r="W88" i="2" s="1"/>
  <c r="W96" i="2" s="1"/>
  <c r="W71" i="2"/>
  <c r="W70" i="2"/>
  <c r="W66" i="2"/>
  <c r="W63" i="2"/>
  <c r="W69" i="2" s="1"/>
  <c r="W62" i="2"/>
  <c r="W68" i="2" s="1"/>
  <c r="W61" i="2"/>
  <c r="W67" i="2" s="1"/>
  <c r="W58" i="2"/>
  <c r="W98" i="2" s="1"/>
  <c r="W104" i="2" s="1"/>
  <c r="V103" i="2"/>
  <c r="V95" i="2"/>
  <c r="V101" i="2" s="1"/>
  <c r="V102" i="2" s="1"/>
  <c r="V89" i="2"/>
  <c r="V87" i="2"/>
  <c r="V80" i="2"/>
  <c r="V88" i="2" s="1"/>
  <c r="V96" i="2" s="1"/>
  <c r="V71" i="2"/>
  <c r="V70" i="2"/>
  <c r="V66" i="2"/>
  <c r="V63" i="2"/>
  <c r="V69" i="2" s="1"/>
  <c r="V62" i="2"/>
  <c r="V68" i="2" s="1"/>
  <c r="V61" i="2"/>
  <c r="V67" i="2" s="1"/>
  <c r="V58" i="2"/>
  <c r="V98" i="2" s="1"/>
  <c r="V104" i="2" s="1"/>
  <c r="U103" i="2"/>
  <c r="U95" i="2"/>
  <c r="U101" i="2" s="1"/>
  <c r="U102" i="2" s="1"/>
  <c r="U89" i="2"/>
  <c r="U87" i="2"/>
  <c r="U80" i="2"/>
  <c r="U88" i="2" s="1"/>
  <c r="U96" i="2" s="1"/>
  <c r="U71" i="2"/>
  <c r="U70" i="2"/>
  <c r="U66" i="2"/>
  <c r="U63" i="2"/>
  <c r="U69" i="2" s="1"/>
  <c r="U62" i="2"/>
  <c r="U68" i="2" s="1"/>
  <c r="U61" i="2"/>
  <c r="U67" i="2" s="1"/>
  <c r="U58" i="2"/>
  <c r="U98" i="2" s="1"/>
  <c r="U104" i="2" s="1"/>
  <c r="T103" i="2"/>
  <c r="T95" i="2"/>
  <c r="T101" i="2" s="1"/>
  <c r="T102" i="2" s="1"/>
  <c r="T89" i="2"/>
  <c r="T87" i="2"/>
  <c r="T80" i="2"/>
  <c r="T71" i="2"/>
  <c r="T70" i="2"/>
  <c r="T66" i="2"/>
  <c r="T63" i="2"/>
  <c r="T69" i="2" s="1"/>
  <c r="T62" i="2"/>
  <c r="T68" i="2" s="1"/>
  <c r="T61" i="2"/>
  <c r="T67" i="2" s="1"/>
  <c r="T58" i="2"/>
  <c r="T98" i="2" s="1"/>
  <c r="T104" i="2" s="1"/>
  <c r="S103" i="2"/>
  <c r="S95" i="2"/>
  <c r="S101" i="2" s="1"/>
  <c r="S102" i="2" s="1"/>
  <c r="S89" i="2"/>
  <c r="S87" i="2"/>
  <c r="S80" i="2"/>
  <c r="S71" i="2"/>
  <c r="S70" i="2"/>
  <c r="S66" i="2"/>
  <c r="S63" i="2"/>
  <c r="S69" i="2" s="1"/>
  <c r="S62" i="2"/>
  <c r="S68" i="2" s="1"/>
  <c r="S61" i="2"/>
  <c r="S67" i="2" s="1"/>
  <c r="S58" i="2"/>
  <c r="S98" i="2" s="1"/>
  <c r="S104" i="2" s="1"/>
  <c r="S105" i="2" s="1"/>
  <c r="R103" i="2"/>
  <c r="R95" i="2"/>
  <c r="R101" i="2" s="1"/>
  <c r="R102" i="2" s="1"/>
  <c r="R89" i="2"/>
  <c r="R87" i="2"/>
  <c r="R80" i="2"/>
  <c r="R71" i="2"/>
  <c r="R70" i="2"/>
  <c r="R66" i="2"/>
  <c r="R63" i="2"/>
  <c r="R69" i="2" s="1"/>
  <c r="R62" i="2"/>
  <c r="R68" i="2" s="1"/>
  <c r="R61" i="2"/>
  <c r="R67" i="2" s="1"/>
  <c r="R58" i="2"/>
  <c r="R98" i="2" s="1"/>
  <c r="R104" i="2" s="1"/>
  <c r="Q103" i="2"/>
  <c r="Q95" i="2"/>
  <c r="Q101" i="2" s="1"/>
  <c r="Q102" i="2" s="1"/>
  <c r="Q89" i="2"/>
  <c r="Q87" i="2"/>
  <c r="Q80" i="2"/>
  <c r="Q71" i="2"/>
  <c r="Q70" i="2"/>
  <c r="Q66" i="2"/>
  <c r="Q63" i="2"/>
  <c r="Q69" i="2" s="1"/>
  <c r="Q62" i="2"/>
  <c r="Q68" i="2" s="1"/>
  <c r="Q61" i="2"/>
  <c r="Q67" i="2" s="1"/>
  <c r="Q58" i="2"/>
  <c r="Q98" i="2" s="1"/>
  <c r="Q104" i="2" s="1"/>
  <c r="P103" i="2"/>
  <c r="P95" i="2"/>
  <c r="P101" i="2" s="1"/>
  <c r="P102" i="2" s="1"/>
  <c r="P89" i="2"/>
  <c r="P87" i="2"/>
  <c r="P80" i="2"/>
  <c r="P71" i="2"/>
  <c r="P70" i="2"/>
  <c r="P66" i="2"/>
  <c r="P63" i="2"/>
  <c r="P69" i="2" s="1"/>
  <c r="P62" i="2"/>
  <c r="P68" i="2" s="1"/>
  <c r="P61" i="2"/>
  <c r="P67" i="2" s="1"/>
  <c r="P58" i="2"/>
  <c r="P98" i="2" s="1"/>
  <c r="P104" i="2" s="1"/>
  <c r="O103" i="2"/>
  <c r="O95" i="2"/>
  <c r="O101" i="2" s="1"/>
  <c r="O102" i="2" s="1"/>
  <c r="O89" i="2"/>
  <c r="O87" i="2"/>
  <c r="O80" i="2"/>
  <c r="O71" i="2"/>
  <c r="O70" i="2"/>
  <c r="O66" i="2"/>
  <c r="O63" i="2"/>
  <c r="O69" i="2" s="1"/>
  <c r="O62" i="2"/>
  <c r="O68" i="2" s="1"/>
  <c r="O61" i="2"/>
  <c r="O67" i="2" s="1"/>
  <c r="O58" i="2"/>
  <c r="O98" i="2" s="1"/>
  <c r="O104" i="2" s="1"/>
  <c r="X88" i="2" l="1"/>
  <c r="X96" i="2" s="1"/>
  <c r="X106" i="2" s="1"/>
  <c r="X105" i="2"/>
  <c r="Q88" i="2"/>
  <c r="Q96" i="2" s="1"/>
  <c r="Q106" i="2" s="1"/>
  <c r="S88" i="2"/>
  <c r="S96" i="2" s="1"/>
  <c r="S106" i="2" s="1"/>
  <c r="S107" i="2" s="1"/>
  <c r="V105" i="2"/>
  <c r="Y105" i="2"/>
  <c r="Y88" i="2"/>
  <c r="Y96" i="2" s="1"/>
  <c r="Y106" i="2" s="1"/>
  <c r="Y107" i="2" s="1"/>
  <c r="O105" i="2"/>
  <c r="W105" i="2"/>
  <c r="W106" i="2"/>
  <c r="T88" i="2"/>
  <c r="T96" i="2" s="1"/>
  <c r="T106" i="2" s="1"/>
  <c r="U105" i="2"/>
  <c r="V106" i="2"/>
  <c r="V107" i="2" s="1"/>
  <c r="U106" i="2"/>
  <c r="T105" i="2"/>
  <c r="R88" i="2"/>
  <c r="R96" i="2" s="1"/>
  <c r="R106" i="2" s="1"/>
  <c r="Q105" i="2"/>
  <c r="R105" i="2"/>
  <c r="P105" i="2"/>
  <c r="P88" i="2"/>
  <c r="P96" i="2" s="1"/>
  <c r="P106" i="2" s="1"/>
  <c r="P107" i="2" s="1"/>
  <c r="O88" i="2"/>
  <c r="O96" i="2" s="1"/>
  <c r="O106" i="2" s="1"/>
  <c r="O107" i="2" s="1"/>
  <c r="N103" i="2"/>
  <c r="N95" i="2"/>
  <c r="N101" i="2" s="1"/>
  <c r="N102" i="2" s="1"/>
  <c r="N89" i="2"/>
  <c r="N87" i="2"/>
  <c r="N80" i="2"/>
  <c r="N71" i="2"/>
  <c r="N70" i="2"/>
  <c r="N66" i="2"/>
  <c r="N63" i="2"/>
  <c r="N69" i="2" s="1"/>
  <c r="N62" i="2"/>
  <c r="N68" i="2" s="1"/>
  <c r="N61" i="2"/>
  <c r="N67" i="2" s="1"/>
  <c r="N58" i="2"/>
  <c r="N98" i="2" s="1"/>
  <c r="N104" i="2" s="1"/>
  <c r="N59" i="2"/>
  <c r="M103" i="2"/>
  <c r="M95" i="2"/>
  <c r="M101" i="2" s="1"/>
  <c r="M102" i="2" s="1"/>
  <c r="M89" i="2"/>
  <c r="M87" i="2"/>
  <c r="M80" i="2"/>
  <c r="M71" i="2"/>
  <c r="M70" i="2"/>
  <c r="M66" i="2"/>
  <c r="M63" i="2"/>
  <c r="M69" i="2" s="1"/>
  <c r="M62" i="2"/>
  <c r="M68" i="2" s="1"/>
  <c r="M61" i="2"/>
  <c r="M67" i="2" s="1"/>
  <c r="M58" i="2"/>
  <c r="M98" i="2" s="1"/>
  <c r="M104" i="2" s="1"/>
  <c r="M59" i="2"/>
  <c r="L103" i="2"/>
  <c r="L95" i="2"/>
  <c r="L101" i="2" s="1"/>
  <c r="L102" i="2" s="1"/>
  <c r="L89" i="2"/>
  <c r="L87" i="2"/>
  <c r="L80" i="2"/>
  <c r="L71" i="2"/>
  <c r="L70" i="2"/>
  <c r="L66" i="2"/>
  <c r="L63" i="2"/>
  <c r="L69" i="2" s="1"/>
  <c r="L62" i="2"/>
  <c r="L68" i="2" s="1"/>
  <c r="L61" i="2"/>
  <c r="L67" i="2" s="1"/>
  <c r="L58" i="2"/>
  <c r="L98" i="2" s="1"/>
  <c r="L104" i="2" s="1"/>
  <c r="L59" i="2"/>
  <c r="BU49" i="2"/>
  <c r="BU47" i="2"/>
  <c r="X107" i="2" l="1"/>
  <c r="R107" i="2"/>
  <c r="W107" i="2"/>
  <c r="T107" i="2"/>
  <c r="U107" i="2"/>
  <c r="Q107" i="2"/>
  <c r="M105" i="2"/>
  <c r="N105" i="2"/>
  <c r="L105" i="2"/>
  <c r="N88" i="2"/>
  <c r="N96" i="2" s="1"/>
  <c r="N106" i="2" s="1"/>
  <c r="M88" i="2"/>
  <c r="M96" i="2" s="1"/>
  <c r="M106" i="2" s="1"/>
  <c r="L88" i="2"/>
  <c r="L96" i="2" s="1"/>
  <c r="L106" i="2" s="1"/>
  <c r="N107" i="2" l="1"/>
  <c r="M107" i="2"/>
  <c r="L107" i="2"/>
  <c r="BU22" i="2"/>
  <c r="H107" i="2" l="1"/>
  <c r="BR103" i="2"/>
  <c r="BQ103" i="2"/>
  <c r="BP103" i="2"/>
  <c r="BO103" i="2"/>
  <c r="BN103" i="2"/>
  <c r="BM103" i="2"/>
  <c r="BL103" i="2"/>
  <c r="BK103" i="2"/>
  <c r="BJ103" i="2"/>
  <c r="BI103" i="2"/>
  <c r="BH103" i="2"/>
  <c r="BG103" i="2"/>
  <c r="BF103" i="2"/>
  <c r="BE103" i="2"/>
  <c r="BD103" i="2"/>
  <c r="BC103" i="2"/>
  <c r="BB103" i="2"/>
  <c r="BA103" i="2"/>
  <c r="AZ103" i="2"/>
  <c r="AY103" i="2"/>
  <c r="AX103" i="2"/>
  <c r="AW103" i="2"/>
  <c r="AV103" i="2"/>
  <c r="AU103" i="2"/>
  <c r="AT103" i="2"/>
  <c r="AS103" i="2"/>
  <c r="AR103" i="2"/>
  <c r="AQ103" i="2"/>
  <c r="AP103" i="2"/>
  <c r="AO103" i="2"/>
  <c r="AN103" i="2"/>
  <c r="AM103" i="2"/>
  <c r="AL103" i="2"/>
  <c r="AK103" i="2"/>
  <c r="K103" i="2"/>
  <c r="J103" i="2"/>
  <c r="I103" i="2"/>
  <c r="G103" i="2"/>
  <c r="F103" i="2"/>
  <c r="E103" i="2"/>
  <c r="G101" i="2"/>
  <c r="G102" i="2" s="1"/>
  <c r="F101" i="2"/>
  <c r="F102" i="2" s="1"/>
  <c r="E101" i="2"/>
  <c r="E102" i="2" s="1"/>
  <c r="BU99" i="2"/>
  <c r="BR98" i="2"/>
  <c r="BR104" i="2" s="1"/>
  <c r="BQ98" i="2"/>
  <c r="BQ104" i="2" s="1"/>
  <c r="BP98" i="2"/>
  <c r="BP104" i="2" s="1"/>
  <c r="BO98" i="2"/>
  <c r="BO104" i="2" s="1"/>
  <c r="BN98" i="2"/>
  <c r="BN104" i="2" s="1"/>
  <c r="BM98" i="2"/>
  <c r="BM104" i="2" s="1"/>
  <c r="BL98" i="2"/>
  <c r="BL104" i="2" s="1"/>
  <c r="BK98" i="2"/>
  <c r="BK104" i="2" s="1"/>
  <c r="BJ98" i="2"/>
  <c r="BJ104" i="2" s="1"/>
  <c r="G98" i="2"/>
  <c r="G104" i="2" s="1"/>
  <c r="F98" i="2"/>
  <c r="F104" i="2" s="1"/>
  <c r="E98" i="2"/>
  <c r="E104" i="2" s="1"/>
  <c r="BU97" i="2"/>
  <c r="BR95" i="2"/>
  <c r="BQ95" i="2"/>
  <c r="BP95" i="2"/>
  <c r="BO95" i="2"/>
  <c r="BN95" i="2"/>
  <c r="BM95" i="2"/>
  <c r="BL95" i="2"/>
  <c r="BK95" i="2"/>
  <c r="BJ95" i="2"/>
  <c r="BI95" i="2"/>
  <c r="BH95" i="2"/>
  <c r="BG95" i="2"/>
  <c r="BF95" i="2"/>
  <c r="BE95" i="2"/>
  <c r="BD95" i="2"/>
  <c r="BC95" i="2"/>
  <c r="BB95" i="2"/>
  <c r="BA95" i="2"/>
  <c r="AZ95" i="2"/>
  <c r="AY95" i="2"/>
  <c r="AX95" i="2"/>
  <c r="AW95" i="2"/>
  <c r="AV95" i="2"/>
  <c r="AU95" i="2"/>
  <c r="AT95" i="2"/>
  <c r="AS95" i="2"/>
  <c r="AR95" i="2"/>
  <c r="AQ95" i="2"/>
  <c r="AP95" i="2"/>
  <c r="AP101" i="2" s="1"/>
  <c r="AP102" i="2" s="1"/>
  <c r="AO95" i="2"/>
  <c r="AO101" i="2" s="1"/>
  <c r="AO102" i="2" s="1"/>
  <c r="AN95" i="2"/>
  <c r="AN101" i="2" s="1"/>
  <c r="AN102" i="2" s="1"/>
  <c r="AM95" i="2"/>
  <c r="AM101" i="2" s="1"/>
  <c r="AM102" i="2" s="1"/>
  <c r="AL95" i="2"/>
  <c r="AL101" i="2" s="1"/>
  <c r="AL102" i="2" s="1"/>
  <c r="AK95" i="2"/>
  <c r="AK101" i="2" s="1"/>
  <c r="AK102" i="2" s="1"/>
  <c r="K95" i="2"/>
  <c r="K101" i="2" s="1"/>
  <c r="K102" i="2" s="1"/>
  <c r="J95" i="2"/>
  <c r="J101" i="2" s="1"/>
  <c r="J102" i="2" s="1"/>
  <c r="I95" i="2"/>
  <c r="I101" i="2" s="1"/>
  <c r="I102" i="2" s="1"/>
  <c r="BU94" i="2"/>
  <c r="BU93" i="2"/>
  <c r="BU89" i="2" s="1"/>
  <c r="BR93" i="2"/>
  <c r="BQ93" i="2"/>
  <c r="BP93" i="2"/>
  <c r="BO93" i="2"/>
  <c r="BO89" i="2" s="1"/>
  <c r="BN93" i="2"/>
  <c r="BN89" i="2" s="1"/>
  <c r="BM93" i="2"/>
  <c r="BM89" i="2" s="1"/>
  <c r="BL93" i="2"/>
  <c r="BL89" i="2" s="1"/>
  <c r="BK93" i="2"/>
  <c r="BK89" i="2" s="1"/>
  <c r="BJ93" i="2"/>
  <c r="BI93" i="2"/>
  <c r="BI89" i="2" s="1"/>
  <c r="BH93" i="2"/>
  <c r="BG93" i="2"/>
  <c r="BG89" i="2" s="1"/>
  <c r="BF93" i="2"/>
  <c r="BE93" i="2"/>
  <c r="BE89" i="2" s="1"/>
  <c r="BD93" i="2"/>
  <c r="BC93" i="2"/>
  <c r="BC89" i="2" s="1"/>
  <c r="BB93" i="2"/>
  <c r="BA93" i="2"/>
  <c r="BA89" i="2" s="1"/>
  <c r="AZ93" i="2"/>
  <c r="AZ89" i="2" s="1"/>
  <c r="AY93" i="2"/>
  <c r="AY89" i="2" s="1"/>
  <c r="AX93" i="2"/>
  <c r="AX89" i="2" s="1"/>
  <c r="AW93" i="2"/>
  <c r="AW89" i="2" s="1"/>
  <c r="AV93" i="2"/>
  <c r="AU93" i="2"/>
  <c r="AU89" i="2" s="1"/>
  <c r="AT93" i="2"/>
  <c r="AS93" i="2"/>
  <c r="AS89" i="2" s="1"/>
  <c r="AR93" i="2"/>
  <c r="AQ93" i="2"/>
  <c r="AQ89" i="2" s="1"/>
  <c r="AP89" i="2"/>
  <c r="AO89" i="2"/>
  <c r="AN89" i="2"/>
  <c r="AM89" i="2"/>
  <c r="AL89" i="2"/>
  <c r="AK89" i="2"/>
  <c r="K89" i="2"/>
  <c r="J89" i="2"/>
  <c r="I89" i="2"/>
  <c r="H89" i="2"/>
  <c r="F89" i="2"/>
  <c r="E89" i="2"/>
  <c r="AN87" i="2"/>
  <c r="AM87" i="2"/>
  <c r="AL87" i="2"/>
  <c r="AK87" i="2"/>
  <c r="K87" i="2"/>
  <c r="J87" i="2"/>
  <c r="I87" i="2"/>
  <c r="H87" i="2"/>
  <c r="G87" i="2"/>
  <c r="F87" i="2"/>
  <c r="E87" i="2"/>
  <c r="BU86" i="2"/>
  <c r="BU85" i="2"/>
  <c r="BU84" i="2"/>
  <c r="BU83" i="2"/>
  <c r="BU82" i="2"/>
  <c r="BR80" i="2"/>
  <c r="BR88" i="2" s="1"/>
  <c r="BR96" i="2" s="1"/>
  <c r="BQ80" i="2"/>
  <c r="BQ88" i="2" s="1"/>
  <c r="BQ96" i="2" s="1"/>
  <c r="BP80" i="2"/>
  <c r="BP88" i="2" s="1"/>
  <c r="BP96" i="2" s="1"/>
  <c r="BO80" i="2"/>
  <c r="BO88" i="2" s="1"/>
  <c r="BO96" i="2" s="1"/>
  <c r="BN80" i="2"/>
  <c r="BN88" i="2" s="1"/>
  <c r="BN96" i="2" s="1"/>
  <c r="BM80" i="2"/>
  <c r="BM88" i="2" s="1"/>
  <c r="BM96" i="2" s="1"/>
  <c r="BL80" i="2"/>
  <c r="BL88" i="2" s="1"/>
  <c r="BL96" i="2" s="1"/>
  <c r="BK80" i="2"/>
  <c r="BK88" i="2" s="1"/>
  <c r="BK96" i="2" s="1"/>
  <c r="BJ80" i="2"/>
  <c r="BJ88" i="2" s="1"/>
  <c r="BJ96" i="2" s="1"/>
  <c r="BI80" i="2"/>
  <c r="BI88" i="2" s="1"/>
  <c r="BI96" i="2" s="1"/>
  <c r="BH80" i="2"/>
  <c r="BH88" i="2" s="1"/>
  <c r="BH96" i="2" s="1"/>
  <c r="BG80" i="2"/>
  <c r="BG88" i="2" s="1"/>
  <c r="BG96" i="2" s="1"/>
  <c r="BF80" i="2"/>
  <c r="BF88" i="2" s="1"/>
  <c r="BF96" i="2" s="1"/>
  <c r="BE80" i="2"/>
  <c r="BE88" i="2" s="1"/>
  <c r="BE96" i="2" s="1"/>
  <c r="BD80" i="2"/>
  <c r="BD88" i="2" s="1"/>
  <c r="BD96" i="2" s="1"/>
  <c r="BC80" i="2"/>
  <c r="BC88" i="2" s="1"/>
  <c r="BC96" i="2" s="1"/>
  <c r="BB80" i="2"/>
  <c r="BB88" i="2" s="1"/>
  <c r="BB96" i="2" s="1"/>
  <c r="BA80" i="2"/>
  <c r="BA88" i="2" s="1"/>
  <c r="BA96" i="2" s="1"/>
  <c r="AZ80" i="2"/>
  <c r="AZ88" i="2" s="1"/>
  <c r="AZ96" i="2" s="1"/>
  <c r="AY80" i="2"/>
  <c r="AY88" i="2" s="1"/>
  <c r="AY96" i="2" s="1"/>
  <c r="AX80" i="2"/>
  <c r="AX88" i="2" s="1"/>
  <c r="AX96" i="2" s="1"/>
  <c r="AW80" i="2"/>
  <c r="AW88" i="2" s="1"/>
  <c r="AW96" i="2" s="1"/>
  <c r="AV80" i="2"/>
  <c r="AV88" i="2" s="1"/>
  <c r="AV96" i="2" s="1"/>
  <c r="AU80" i="2"/>
  <c r="AU88" i="2" s="1"/>
  <c r="AU96" i="2" s="1"/>
  <c r="AT80" i="2"/>
  <c r="AT88" i="2" s="1"/>
  <c r="AT96" i="2" s="1"/>
  <c r="AS80" i="2"/>
  <c r="AS88" i="2" s="1"/>
  <c r="AS96" i="2" s="1"/>
  <c r="AR80" i="2"/>
  <c r="AR88" i="2" s="1"/>
  <c r="AR96" i="2" s="1"/>
  <c r="AQ80" i="2"/>
  <c r="AQ88" i="2" s="1"/>
  <c r="AQ96" i="2" s="1"/>
  <c r="AP80" i="2"/>
  <c r="AP88" i="2" s="1"/>
  <c r="AP96" i="2" s="1"/>
  <c r="AO80" i="2"/>
  <c r="AO88" i="2" s="1"/>
  <c r="AO96" i="2" s="1"/>
  <c r="AN80" i="2"/>
  <c r="AM80" i="2"/>
  <c r="AL80" i="2"/>
  <c r="AK80" i="2"/>
  <c r="K80" i="2"/>
  <c r="J80" i="2"/>
  <c r="I80" i="2"/>
  <c r="H80" i="2"/>
  <c r="G80" i="2"/>
  <c r="F80" i="2"/>
  <c r="E80" i="2"/>
  <c r="BU79" i="2"/>
  <c r="BU78" i="2"/>
  <c r="BU77" i="2"/>
  <c r="BU76" i="2"/>
  <c r="BU72" i="2"/>
  <c r="AM71" i="2"/>
  <c r="AL71" i="2"/>
  <c r="AK71" i="2"/>
  <c r="K71" i="2"/>
  <c r="J71" i="2"/>
  <c r="I71" i="2"/>
  <c r="H71" i="2"/>
  <c r="G71" i="2"/>
  <c r="AM70" i="2"/>
  <c r="AL70" i="2"/>
  <c r="AK70" i="2"/>
  <c r="K70" i="2"/>
  <c r="J70" i="2"/>
  <c r="I70" i="2"/>
  <c r="H70" i="2"/>
  <c r="G70" i="2"/>
  <c r="F70" i="2"/>
  <c r="E70" i="2"/>
  <c r="H69" i="2"/>
  <c r="H68" i="2"/>
  <c r="H67" i="2"/>
  <c r="AM66" i="2"/>
  <c r="AL66" i="2"/>
  <c r="AK66" i="2"/>
  <c r="K66" i="2"/>
  <c r="J66" i="2"/>
  <c r="I66" i="2"/>
  <c r="H66" i="2"/>
  <c r="G66" i="2"/>
  <c r="BU64" i="2"/>
  <c r="BU70" i="2" s="1"/>
  <c r="AQ63" i="2"/>
  <c r="AP63" i="2"/>
  <c r="AO63" i="2"/>
  <c r="AN63" i="2"/>
  <c r="AM63" i="2"/>
  <c r="AM69" i="2" s="1"/>
  <c r="AL63" i="2"/>
  <c r="AL69" i="2" s="1"/>
  <c r="AK63" i="2"/>
  <c r="AK69" i="2" s="1"/>
  <c r="K63" i="2"/>
  <c r="K69" i="2" s="1"/>
  <c r="J63" i="2"/>
  <c r="J69" i="2" s="1"/>
  <c r="I63" i="2"/>
  <c r="I69" i="2" s="1"/>
  <c r="G63" i="2"/>
  <c r="G69" i="2" s="1"/>
  <c r="AQ62" i="2"/>
  <c r="AP62" i="2"/>
  <c r="AO62" i="2"/>
  <c r="AN62" i="2"/>
  <c r="AM62" i="2"/>
  <c r="AM68" i="2" s="1"/>
  <c r="AL62" i="2"/>
  <c r="AL68" i="2" s="1"/>
  <c r="AK62" i="2"/>
  <c r="AK68" i="2" s="1"/>
  <c r="K62" i="2"/>
  <c r="K68" i="2" s="1"/>
  <c r="J62" i="2"/>
  <c r="J68" i="2" s="1"/>
  <c r="I62" i="2"/>
  <c r="I68" i="2" s="1"/>
  <c r="G62" i="2"/>
  <c r="G68" i="2" s="1"/>
  <c r="AQ61" i="2"/>
  <c r="AP61" i="2"/>
  <c r="AO61" i="2"/>
  <c r="AN61" i="2"/>
  <c r="AM61" i="2"/>
  <c r="AM67" i="2" s="1"/>
  <c r="AL61" i="2"/>
  <c r="AL67" i="2" s="1"/>
  <c r="AK61" i="2"/>
  <c r="AK67" i="2" s="1"/>
  <c r="K61" i="2"/>
  <c r="K67" i="2" s="1"/>
  <c r="J61" i="2"/>
  <c r="J67" i="2" s="1"/>
  <c r="I61" i="2"/>
  <c r="I67" i="2" s="1"/>
  <c r="G61" i="2"/>
  <c r="G67" i="2" s="1"/>
  <c r="BI58" i="2"/>
  <c r="BI98" i="2" s="1"/>
  <c r="BI104" i="2" s="1"/>
  <c r="BH58" i="2"/>
  <c r="BH98" i="2" s="1"/>
  <c r="BH104" i="2" s="1"/>
  <c r="BG58" i="2"/>
  <c r="BG98" i="2" s="1"/>
  <c r="BG104" i="2" s="1"/>
  <c r="BF58" i="2"/>
  <c r="BF98" i="2" s="1"/>
  <c r="BF104" i="2" s="1"/>
  <c r="BE58" i="2"/>
  <c r="BE98" i="2" s="1"/>
  <c r="BE104" i="2" s="1"/>
  <c r="BD58" i="2"/>
  <c r="BD98" i="2" s="1"/>
  <c r="BD104" i="2" s="1"/>
  <c r="BC58" i="2"/>
  <c r="BC98" i="2" s="1"/>
  <c r="BC104" i="2" s="1"/>
  <c r="BC105" i="2" s="1"/>
  <c r="BB58" i="2"/>
  <c r="BB98" i="2" s="1"/>
  <c r="BB104" i="2" s="1"/>
  <c r="BA58" i="2"/>
  <c r="BA98" i="2" s="1"/>
  <c r="BA104" i="2" s="1"/>
  <c r="AZ58" i="2"/>
  <c r="AZ98" i="2" s="1"/>
  <c r="AZ104" i="2" s="1"/>
  <c r="AY58" i="2"/>
  <c r="AY98" i="2" s="1"/>
  <c r="AY104" i="2" s="1"/>
  <c r="AX58" i="2"/>
  <c r="AX98" i="2" s="1"/>
  <c r="AX104" i="2" s="1"/>
  <c r="AW58" i="2"/>
  <c r="AW98" i="2" s="1"/>
  <c r="AW104" i="2" s="1"/>
  <c r="AV58" i="2"/>
  <c r="AV98" i="2" s="1"/>
  <c r="AV104" i="2" s="1"/>
  <c r="AU58" i="2"/>
  <c r="AU98" i="2" s="1"/>
  <c r="AU104" i="2" s="1"/>
  <c r="AT58" i="2"/>
  <c r="AT98" i="2" s="1"/>
  <c r="AT104" i="2" s="1"/>
  <c r="AS58" i="2"/>
  <c r="AS98" i="2" s="1"/>
  <c r="AS104" i="2" s="1"/>
  <c r="AR58" i="2"/>
  <c r="AR98" i="2" s="1"/>
  <c r="AR104" i="2" s="1"/>
  <c r="AQ58" i="2"/>
  <c r="AQ98" i="2" s="1"/>
  <c r="AQ104" i="2" s="1"/>
  <c r="AQ105" i="2" s="1"/>
  <c r="AP58" i="2"/>
  <c r="AP98" i="2" s="1"/>
  <c r="AP104" i="2" s="1"/>
  <c r="AO58" i="2"/>
  <c r="AO98" i="2" s="1"/>
  <c r="AO104" i="2" s="1"/>
  <c r="AN58" i="2"/>
  <c r="AN98" i="2" s="1"/>
  <c r="AN104" i="2" s="1"/>
  <c r="AM58" i="2"/>
  <c r="AM98" i="2" s="1"/>
  <c r="AM104" i="2" s="1"/>
  <c r="AL58" i="2"/>
  <c r="AL98" i="2" s="1"/>
  <c r="AL104" i="2" s="1"/>
  <c r="AK58" i="2"/>
  <c r="AK98" i="2" s="1"/>
  <c r="AK104" i="2" s="1"/>
  <c r="K58" i="2"/>
  <c r="K98" i="2" s="1"/>
  <c r="K104" i="2" s="1"/>
  <c r="J58" i="2"/>
  <c r="J98" i="2" s="1"/>
  <c r="J104" i="2" s="1"/>
  <c r="I58" i="2"/>
  <c r="BU58" i="2" s="1"/>
  <c r="BU57" i="2"/>
  <c r="BU56" i="2"/>
  <c r="BU55" i="2"/>
  <c r="BU52" i="2"/>
  <c r="BU71" i="2" s="1"/>
  <c r="BR52" i="2"/>
  <c r="BQ52" i="2"/>
  <c r="BP52" i="2"/>
  <c r="BO52" i="2"/>
  <c r="BN52" i="2"/>
  <c r="BM52" i="2"/>
  <c r="BL52" i="2"/>
  <c r="BK52" i="2"/>
  <c r="BJ52" i="2"/>
  <c r="BI52" i="2"/>
  <c r="BH52" i="2"/>
  <c r="F52" i="2"/>
  <c r="F61" i="2" s="1"/>
  <c r="F67" i="2" s="1"/>
  <c r="E52" i="2"/>
  <c r="E66" i="2" s="1"/>
  <c r="BU51" i="2"/>
  <c r="BU45" i="2"/>
  <c r="BU44" i="2"/>
  <c r="BU43" i="2"/>
  <c r="BU42" i="2"/>
  <c r="BU41" i="2"/>
  <c r="BU40" i="2"/>
  <c r="BU39" i="2"/>
  <c r="BU38" i="2"/>
  <c r="BU37" i="2"/>
  <c r="BU36" i="2"/>
  <c r="BU35" i="2"/>
  <c r="BU34" i="2"/>
  <c r="BU33" i="2"/>
  <c r="BU32" i="2"/>
  <c r="BU31" i="2"/>
  <c r="BU30" i="2"/>
  <c r="BU29" i="2"/>
  <c r="BU28" i="2"/>
  <c r="BU27" i="2"/>
  <c r="BU26" i="2"/>
  <c r="BU25" i="2"/>
  <c r="BU24" i="2"/>
  <c r="BU23" i="2"/>
  <c r="BU21" i="2"/>
  <c r="BU20" i="2"/>
  <c r="BU19" i="2"/>
  <c r="BU18" i="2"/>
  <c r="BT17" i="2"/>
  <c r="BS17" i="2"/>
  <c r="BR17" i="2"/>
  <c r="BQ17" i="2"/>
  <c r="BP17" i="2"/>
  <c r="BO17" i="2"/>
  <c r="BN17" i="2"/>
  <c r="BM17" i="2"/>
  <c r="BL17" i="2"/>
  <c r="BK17" i="2"/>
  <c r="BJ17" i="2"/>
  <c r="BI17" i="2"/>
  <c r="BH17" i="2"/>
  <c r="BG17" i="2"/>
  <c r="BG59" i="2" s="1"/>
  <c r="BF17" i="2"/>
  <c r="BF59" i="2" s="1"/>
  <c r="BE17" i="2"/>
  <c r="BE59" i="2" s="1"/>
  <c r="BD17" i="2"/>
  <c r="BD59" i="2" s="1"/>
  <c r="BC17" i="2"/>
  <c r="BC59" i="2" s="1"/>
  <c r="BB17" i="2"/>
  <c r="BB59" i="2" s="1"/>
  <c r="BA17" i="2"/>
  <c r="BA59" i="2" s="1"/>
  <c r="AZ17" i="2"/>
  <c r="AZ59" i="2" s="1"/>
  <c r="AY17" i="2"/>
  <c r="AY59" i="2" s="1"/>
  <c r="AX17" i="2"/>
  <c r="AX59" i="2" s="1"/>
  <c r="AW17" i="2"/>
  <c r="AW59" i="2" s="1"/>
  <c r="AV17" i="2"/>
  <c r="AV59" i="2" s="1"/>
  <c r="AU17" i="2"/>
  <c r="AU59" i="2" s="1"/>
  <c r="AT17" i="2"/>
  <c r="AT59" i="2" s="1"/>
  <c r="AS17" i="2"/>
  <c r="AS59" i="2" s="1"/>
  <c r="AR17" i="2"/>
  <c r="AR59" i="2" s="1"/>
  <c r="AQ17" i="2"/>
  <c r="AQ59" i="2" s="1"/>
  <c r="AP17" i="2"/>
  <c r="AP59" i="2" s="1"/>
  <c r="AO17" i="2"/>
  <c r="AO59" i="2" s="1"/>
  <c r="AN17" i="2"/>
  <c r="AN59" i="2" s="1"/>
  <c r="AM17" i="2"/>
  <c r="AM59" i="2" s="1"/>
  <c r="AL17" i="2"/>
  <c r="AL59" i="2" s="1"/>
  <c r="AK59" i="2"/>
  <c r="K59" i="2"/>
  <c r="J59" i="2"/>
  <c r="I59" i="2"/>
  <c r="F17" i="2"/>
  <c r="E17" i="2"/>
  <c r="BU15" i="2"/>
  <c r="BU14" i="2"/>
  <c r="BU13" i="2"/>
  <c r="BU12" i="2"/>
  <c r="BU11" i="2"/>
  <c r="BU10" i="2"/>
  <c r="BU9" i="2"/>
  <c r="BU8" i="2"/>
  <c r="BU7" i="2"/>
  <c r="BU6" i="2"/>
  <c r="BU5" i="2"/>
  <c r="BU4" i="2"/>
  <c r="BQ105" i="2" l="1"/>
  <c r="AR101" i="2"/>
  <c r="AR102" i="2" s="1"/>
  <c r="AR106" i="2" s="1"/>
  <c r="BD101" i="2"/>
  <c r="BD102" i="2" s="1"/>
  <c r="BD106" i="2" s="1"/>
  <c r="BP101" i="2"/>
  <c r="BP102" i="2" s="1"/>
  <c r="BP106" i="2" s="1"/>
  <c r="E105" i="2"/>
  <c r="F105" i="2"/>
  <c r="G105" i="2"/>
  <c r="BQ101" i="2"/>
  <c r="BQ102" i="2" s="1"/>
  <c r="BQ106" i="2" s="1"/>
  <c r="BI101" i="2"/>
  <c r="BI102" i="2" s="1"/>
  <c r="BI106" i="2" s="1"/>
  <c r="BO105" i="2"/>
  <c r="F88" i="2"/>
  <c r="BK101" i="2"/>
  <c r="BK102" i="2" s="1"/>
  <c r="BK106" i="2" s="1"/>
  <c r="BM59" i="2"/>
  <c r="BN59" i="2"/>
  <c r="AO105" i="2"/>
  <c r="BA105" i="2"/>
  <c r="BA101" i="2"/>
  <c r="BA102" i="2" s="1"/>
  <c r="BA106" i="2" s="1"/>
  <c r="AX101" i="2"/>
  <c r="AX102" i="2" s="1"/>
  <c r="AX106" i="2" s="1"/>
  <c r="BH59" i="2"/>
  <c r="AP105" i="2"/>
  <c r="BB105" i="2"/>
  <c r="AK88" i="2"/>
  <c r="AK96" i="2" s="1"/>
  <c r="AK106" i="2" s="1"/>
  <c r="E88" i="2"/>
  <c r="BP59" i="2"/>
  <c r="AT101" i="2"/>
  <c r="AT102" i="2" s="1"/>
  <c r="AT106" i="2" s="1"/>
  <c r="BF101" i="2"/>
  <c r="BF102" i="2" s="1"/>
  <c r="BF106" i="2" s="1"/>
  <c r="BR101" i="2"/>
  <c r="BR102" i="2" s="1"/>
  <c r="BR106" i="2" s="1"/>
  <c r="BQ59" i="2"/>
  <c r="AR105" i="2"/>
  <c r="BD105" i="2"/>
  <c r="AS105" i="2"/>
  <c r="BE105" i="2"/>
  <c r="AV101" i="2"/>
  <c r="AV102" i="2" s="1"/>
  <c r="AV106" i="2" s="1"/>
  <c r="BH101" i="2"/>
  <c r="BH102" i="2" s="1"/>
  <c r="BH106" i="2" s="1"/>
  <c r="BP105" i="2"/>
  <c r="AS101" i="2"/>
  <c r="AS102" i="2" s="1"/>
  <c r="AS106" i="2" s="1"/>
  <c r="H88" i="2"/>
  <c r="BK59" i="2"/>
  <c r="BU87" i="2"/>
  <c r="K88" i="2"/>
  <c r="K96" i="2" s="1"/>
  <c r="K106" i="2" s="1"/>
  <c r="AV89" i="2"/>
  <c r="BJ101" i="2"/>
  <c r="BJ102" i="2" s="1"/>
  <c r="BJ106" i="2" s="1"/>
  <c r="AL88" i="2"/>
  <c r="AL96" i="2" s="1"/>
  <c r="AL106" i="2" s="1"/>
  <c r="BU103" i="2"/>
  <c r="G88" i="2"/>
  <c r="AN105" i="2"/>
  <c r="AZ105" i="2"/>
  <c r="BQ89" i="2"/>
  <c r="BB101" i="2"/>
  <c r="BB102" i="2" s="1"/>
  <c r="BB106" i="2" s="1"/>
  <c r="F106" i="2"/>
  <c r="BF105" i="2"/>
  <c r="AU101" i="2"/>
  <c r="AU102" i="2" s="1"/>
  <c r="AU106" i="2" s="1"/>
  <c r="BU95" i="2"/>
  <c r="BU101" i="2" s="1"/>
  <c r="BU102" i="2" s="1"/>
  <c r="BL105" i="2"/>
  <c r="BD89" i="2"/>
  <c r="BN101" i="2"/>
  <c r="BN102" i="2" s="1"/>
  <c r="BN106" i="2" s="1"/>
  <c r="BJ105" i="2"/>
  <c r="BG105" i="2"/>
  <c r="AV105" i="2"/>
  <c r="F62" i="2"/>
  <c r="F68" i="2" s="1"/>
  <c r="AM88" i="2"/>
  <c r="AM96" i="2" s="1"/>
  <c r="AM106" i="2" s="1"/>
  <c r="BO59" i="2"/>
  <c r="AK105" i="2"/>
  <c r="AW105" i="2"/>
  <c r="BI105" i="2"/>
  <c r="F71" i="2"/>
  <c r="BU80" i="2"/>
  <c r="AN88" i="2"/>
  <c r="AN96" i="2" s="1"/>
  <c r="AN106" i="2" s="1"/>
  <c r="BM105" i="2"/>
  <c r="BF89" i="2"/>
  <c r="J105" i="2"/>
  <c r="BH105" i="2"/>
  <c r="AL105" i="2"/>
  <c r="AX105" i="2"/>
  <c r="AZ101" i="2"/>
  <c r="AZ102" i="2" s="1"/>
  <c r="AZ106" i="2" s="1"/>
  <c r="BL101" i="2"/>
  <c r="BL102" i="2" s="1"/>
  <c r="BL106" i="2" s="1"/>
  <c r="BN105" i="2"/>
  <c r="J88" i="2"/>
  <c r="J96" i="2" s="1"/>
  <c r="J106" i="2" s="1"/>
  <c r="BR59" i="2"/>
  <c r="AT105" i="2"/>
  <c r="AU105" i="2"/>
  <c r="BH89" i="2"/>
  <c r="BI59" i="2"/>
  <c r="K105" i="2"/>
  <c r="BJ59" i="2"/>
  <c r="BL59" i="2"/>
  <c r="AM105" i="2"/>
  <c r="AY105" i="2"/>
  <c r="AR89" i="2"/>
  <c r="BP89" i="2"/>
  <c r="BR105" i="2"/>
  <c r="BK105" i="2"/>
  <c r="I88" i="2"/>
  <c r="I96" i="2" s="1"/>
  <c r="BC101" i="2"/>
  <c r="BC102" i="2" s="1"/>
  <c r="BC106" i="2" s="1"/>
  <c r="BC107" i="2" s="1"/>
  <c r="E106" i="2"/>
  <c r="E107" i="2" s="1"/>
  <c r="BU59" i="2"/>
  <c r="BU17" i="2"/>
  <c r="BU61" i="2"/>
  <c r="BU67" i="2" s="1"/>
  <c r="BU62" i="2"/>
  <c r="BU68" i="2" s="1"/>
  <c r="BU63" i="2"/>
  <c r="BU69" i="2" s="1"/>
  <c r="AO106" i="2"/>
  <c r="AP106" i="2"/>
  <c r="G106" i="2"/>
  <c r="E63" i="2"/>
  <c r="E69" i="2" s="1"/>
  <c r="F66" i="2"/>
  <c r="F63" i="2"/>
  <c r="F69" i="2" s="1"/>
  <c r="AT89" i="2"/>
  <c r="BB89" i="2"/>
  <c r="BJ89" i="2"/>
  <c r="BR89" i="2"/>
  <c r="I98" i="2"/>
  <c r="I104" i="2" s="1"/>
  <c r="I105" i="2" s="1"/>
  <c r="E62" i="2"/>
  <c r="E68" i="2" s="1"/>
  <c r="AW101" i="2"/>
  <c r="AW102" i="2" s="1"/>
  <c r="AW106" i="2" s="1"/>
  <c r="BE101" i="2"/>
  <c r="BE102" i="2" s="1"/>
  <c r="BE106" i="2" s="1"/>
  <c r="BM101" i="2"/>
  <c r="BM102" i="2" s="1"/>
  <c r="BM106" i="2" s="1"/>
  <c r="E61" i="2"/>
  <c r="E67" i="2" s="1"/>
  <c r="AQ101" i="2"/>
  <c r="AQ102" i="2" s="1"/>
  <c r="AQ106" i="2" s="1"/>
  <c r="AQ107" i="2" s="1"/>
  <c r="AY101" i="2"/>
  <c r="AY102" i="2" s="1"/>
  <c r="AY106" i="2" s="1"/>
  <c r="BG101" i="2"/>
  <c r="BG102" i="2" s="1"/>
  <c r="BG106" i="2" s="1"/>
  <c r="BO101" i="2"/>
  <c r="BO102" i="2" s="1"/>
  <c r="BO106" i="2" s="1"/>
  <c r="E71" i="2"/>
  <c r="BQ107" i="2" l="1"/>
  <c r="BP107" i="2"/>
  <c r="F107" i="2"/>
  <c r="J107" i="2"/>
  <c r="AT107" i="2"/>
  <c r="G107" i="2"/>
  <c r="BA107" i="2"/>
  <c r="BR107" i="2"/>
  <c r="BF107" i="2"/>
  <c r="BO107" i="2"/>
  <c r="AN107" i="2"/>
  <c r="AO107" i="2"/>
  <c r="BN107" i="2"/>
  <c r="BD107" i="2"/>
  <c r="BU88" i="2"/>
  <c r="AL107" i="2"/>
  <c r="BG107" i="2"/>
  <c r="BJ107" i="2"/>
  <c r="AR107" i="2"/>
  <c r="AM107" i="2"/>
  <c r="BB107" i="2"/>
  <c r="BI107" i="2"/>
  <c r="AP107" i="2"/>
  <c r="AS107" i="2"/>
  <c r="BE107" i="2"/>
  <c r="BU96" i="2"/>
  <c r="BM107" i="2"/>
  <c r="BL107" i="2"/>
  <c r="AU107" i="2"/>
  <c r="AZ107" i="2"/>
  <c r="AY107" i="2"/>
  <c r="BH107" i="2"/>
  <c r="AK107" i="2"/>
  <c r="BK107" i="2"/>
  <c r="AX107" i="2"/>
  <c r="AW107" i="2"/>
  <c r="AV107" i="2"/>
  <c r="K107" i="2"/>
  <c r="I106" i="2"/>
  <c r="I107" i="2" s="1"/>
  <c r="BU98" i="2"/>
  <c r="BU104" i="2" s="1"/>
  <c r="BU105" i="2" s="1"/>
  <c r="BU106" i="2" l="1"/>
  <c r="BU107" i="2" s="1"/>
</calcChain>
</file>

<file path=xl/sharedStrings.xml><?xml version="1.0" encoding="utf-8"?>
<sst xmlns="http://schemas.openxmlformats.org/spreadsheetml/2006/main" count="3654" uniqueCount="282">
  <si>
    <t>GAYATRISHALTI TISSUE PRIVATE LIMITED</t>
  </si>
  <si>
    <t>DAILY PRODUCTION REPORT OF TISSUE</t>
  </si>
  <si>
    <t>Date:</t>
  </si>
  <si>
    <t xml:space="preserve"> </t>
  </si>
  <si>
    <t>S.N.</t>
  </si>
  <si>
    <t>QUALITY</t>
  </si>
  <si>
    <t>GSM</t>
  </si>
  <si>
    <t>M/C DECKLE</t>
  </si>
  <si>
    <t>M/C Reel SPEED</t>
  </si>
  <si>
    <t>M/C PROD.</t>
  </si>
  <si>
    <t>Avg. speed</t>
  </si>
  <si>
    <t>Avg. Gsm</t>
  </si>
  <si>
    <t>Production Loss Details</t>
  </si>
  <si>
    <t>REMARKS</t>
  </si>
  <si>
    <t>m</t>
  </si>
  <si>
    <t>MPM</t>
  </si>
  <si>
    <t>MT</t>
  </si>
  <si>
    <t xml:space="preserve">  </t>
  </si>
  <si>
    <t>Dept.</t>
  </si>
  <si>
    <t>Time loss,    Hrs.   Min.</t>
  </si>
  <si>
    <t>Process</t>
  </si>
  <si>
    <t>Day total</t>
  </si>
  <si>
    <t>Day Total Hrs.: min.</t>
  </si>
  <si>
    <t>Day Total Hrs.</t>
  </si>
  <si>
    <t xml:space="preserve">Tissue Paper Moisture, % </t>
  </si>
  <si>
    <t>Today M/c Production</t>
  </si>
  <si>
    <t>Tissue Paper Brightness, %</t>
  </si>
  <si>
    <t>Todate M/c Production</t>
  </si>
  <si>
    <t>Todate Down Time</t>
  </si>
  <si>
    <t>HRS</t>
  </si>
  <si>
    <t>MR-20-J</t>
  </si>
  <si>
    <t>CT-16-J</t>
  </si>
  <si>
    <t>EN-15-J</t>
  </si>
  <si>
    <t>EN-16-J</t>
  </si>
  <si>
    <t>EN-17-J</t>
  </si>
  <si>
    <t>EN-18-J</t>
  </si>
  <si>
    <t>ET-15-J</t>
  </si>
  <si>
    <t>ET-16-J</t>
  </si>
  <si>
    <t>ET-17-J</t>
  </si>
  <si>
    <t>ET-18-J</t>
  </si>
  <si>
    <t>FT-12.5-J</t>
  </si>
  <si>
    <t>FT-13-J</t>
  </si>
  <si>
    <t>yankee doctor blade change</t>
  </si>
  <si>
    <t>FT-13.5-J</t>
  </si>
  <si>
    <t>Grade change</t>
  </si>
  <si>
    <t>FT-14-J</t>
  </si>
  <si>
    <t>Fan pump tripped</t>
  </si>
  <si>
    <t>TT-21-J</t>
  </si>
  <si>
    <t>Power fluctuation/tripped</t>
  </si>
  <si>
    <t>KT-17-J</t>
  </si>
  <si>
    <t>Wire &amp; felt cleaning</t>
  </si>
  <si>
    <t>KT-18-J</t>
  </si>
  <si>
    <t>paper feeding airshower nozzle jammed</t>
  </si>
  <si>
    <t>KT-19-J</t>
  </si>
  <si>
    <t>dcs communication failed</t>
  </si>
  <si>
    <t>KT-20-J</t>
  </si>
  <si>
    <t>Felt change</t>
  </si>
  <si>
    <t>KT-22-J</t>
  </si>
  <si>
    <t>Wire change</t>
  </si>
  <si>
    <t>KT-24-J</t>
  </si>
  <si>
    <t>CNG changwe over</t>
  </si>
  <si>
    <t>KT-26-J</t>
  </si>
  <si>
    <t>KT-30-J</t>
  </si>
  <si>
    <t>KT-32-J</t>
  </si>
  <si>
    <t>KT-34-J</t>
  </si>
  <si>
    <t>KT-35-J</t>
  </si>
  <si>
    <t>KT-36-J</t>
  </si>
  <si>
    <t>CSTT-23-J</t>
  </si>
  <si>
    <t>KT-38-J</t>
  </si>
  <si>
    <t>KT-40-J</t>
  </si>
  <si>
    <t>KT-42-J</t>
  </si>
  <si>
    <t>MR-17-J</t>
  </si>
  <si>
    <t>MR-18-J</t>
  </si>
  <si>
    <t>MR-19-J</t>
  </si>
  <si>
    <t>NT-14-J</t>
  </si>
  <si>
    <t>NT-15-J</t>
  </si>
  <si>
    <t>NT-16-J</t>
  </si>
  <si>
    <t>NT-17-J</t>
  </si>
  <si>
    <t>NT-18-J</t>
  </si>
  <si>
    <t>NT-19-J</t>
  </si>
  <si>
    <t>NT-20-J</t>
  </si>
  <si>
    <t>MR-15-J</t>
  </si>
  <si>
    <t>TC-32-J</t>
  </si>
  <si>
    <t>TC-35-J</t>
  </si>
  <si>
    <t>TC-37-J</t>
  </si>
  <si>
    <t>TC-38-J</t>
  </si>
  <si>
    <t>TC-40-J</t>
  </si>
  <si>
    <t>TC-42-J</t>
  </si>
  <si>
    <t>TT-14-J</t>
  </si>
  <si>
    <t>TT-15-J</t>
  </si>
  <si>
    <t>TT-15.5-J</t>
  </si>
  <si>
    <t>TT-16-J</t>
  </si>
  <si>
    <t>TT-16.5-J</t>
  </si>
  <si>
    <t>TT-17-J</t>
  </si>
  <si>
    <t>TT-18-J</t>
  </si>
  <si>
    <t>Particulars</t>
  </si>
  <si>
    <t>Item code</t>
  </si>
  <si>
    <t>Date</t>
  </si>
  <si>
    <t>Todate consumption</t>
  </si>
  <si>
    <t>A</t>
  </si>
  <si>
    <t>RAW MATERIAL</t>
  </si>
  <si>
    <t>Unit</t>
  </si>
  <si>
    <t>Imported Softwood Pulp SODRA (AD)</t>
  </si>
  <si>
    <t>Imported Hardwood Pulp Acacia (AD)April</t>
  </si>
  <si>
    <t>Imported Hardwood Pulp Acacia (AD)Exman</t>
  </si>
  <si>
    <t>Imported Hardwood Pulp CMPC (AD)Domestic</t>
  </si>
  <si>
    <t>Imported Hardwood Pulp Baycel</t>
  </si>
  <si>
    <t>Imported Softwood Pulp Mercer(AD)</t>
  </si>
  <si>
    <t>Imported Softwood Pulp Laja (AD)</t>
  </si>
  <si>
    <t>Imported Softwood Pulp Pacifico (AD)</t>
  </si>
  <si>
    <t>Imported Softwood Pulp KOMI (AD)</t>
  </si>
  <si>
    <t>Wet strength white Tissue</t>
  </si>
  <si>
    <t>Imported Hardwood Pulp Suzano (AD)</t>
  </si>
  <si>
    <t>Imported Softwood Pulp STORA (AD)</t>
  </si>
  <si>
    <t>Total Pulp</t>
  </si>
  <si>
    <t>B</t>
  </si>
  <si>
    <t>Solenise Chemicals</t>
  </si>
  <si>
    <t>Hercobond 2515AP (DSR)</t>
  </si>
  <si>
    <t>Kg.</t>
  </si>
  <si>
    <t>Rezosol M278 (MAP)</t>
  </si>
  <si>
    <t>Kyemene 777LX (WSR)</t>
  </si>
  <si>
    <t>SOFTING AGENT - PROSOFT TQ 218</t>
  </si>
  <si>
    <t>Creptrol A9915 (Yankee coating)</t>
  </si>
  <si>
    <t>Creptrol 3718 (Yankee coating)</t>
  </si>
  <si>
    <t>Rezosol 1400 ( Yankee Release)</t>
  </si>
  <si>
    <t>Rezosol 150 (Yankee Release)</t>
  </si>
  <si>
    <t xml:space="preserve">Afranil MTC( Defoamer) </t>
  </si>
  <si>
    <t>Prestige FP 7883 AP (Felt Cleaning)</t>
  </si>
  <si>
    <t>M B (Biocide) Spectrum RX 4700</t>
  </si>
  <si>
    <t>MB (Preservative) Spectrum RX 9098</t>
  </si>
  <si>
    <t>Hercobond 8922 AP (Refining Enzyme)</t>
  </si>
  <si>
    <t>Zenix FP 6313 (Wire Passivation)</t>
  </si>
  <si>
    <t>Infinity SL 4620 ( Vacuum scale Control)</t>
  </si>
  <si>
    <t>Renew SC 7450 ( Alkaline Boilout)</t>
  </si>
  <si>
    <t>Telofin OF (Boilout)</t>
  </si>
  <si>
    <t>Praestaret OMA 2520 (Anionic Flocculant)</t>
  </si>
  <si>
    <t>Kybreak 505 (Repulping Aid)</t>
  </si>
  <si>
    <t>Catiofast 160 (Coagulant)</t>
  </si>
  <si>
    <t>DeTac DC 779 F (Sticky control)</t>
  </si>
  <si>
    <t>Mix Xylene</t>
  </si>
  <si>
    <t>Retarder (Ethenol)</t>
  </si>
  <si>
    <t>Caustic soda flakes</t>
  </si>
  <si>
    <t>Sodium hypochlorite</t>
  </si>
  <si>
    <t>Anmosuper DIS (Liquid soap)</t>
  </si>
  <si>
    <t>C</t>
  </si>
  <si>
    <t>MACHINE PRODUCTION</t>
  </si>
  <si>
    <t>D</t>
  </si>
  <si>
    <t>FINISHED PRODUCTION TO WARE HOUSE</t>
  </si>
  <si>
    <t>F</t>
  </si>
  <si>
    <t>Utility</t>
  </si>
  <si>
    <t>Steam consumption</t>
  </si>
  <si>
    <t>LPG consumption</t>
  </si>
  <si>
    <t>Water consumption</t>
  </si>
  <si>
    <t>m3</t>
  </si>
  <si>
    <t>Down Time</t>
  </si>
  <si>
    <t>Pulp Ratio</t>
  </si>
  <si>
    <t>Ratio</t>
  </si>
  <si>
    <t>a</t>
  </si>
  <si>
    <t>Steam,T/T</t>
  </si>
  <si>
    <t>T/T</t>
  </si>
  <si>
    <t>b</t>
  </si>
  <si>
    <t>LPG, Kg/T</t>
  </si>
  <si>
    <t>Kg./T</t>
  </si>
  <si>
    <t>c</t>
  </si>
  <si>
    <t>Water, m3/T</t>
  </si>
  <si>
    <t>m3/T</t>
  </si>
  <si>
    <t>d</t>
  </si>
  <si>
    <t>Power, KWH/T</t>
  </si>
  <si>
    <t>U/T</t>
  </si>
  <si>
    <t>H</t>
  </si>
  <si>
    <t>KPI(Key performance indicators)</t>
  </si>
  <si>
    <t>Actual, Rs./T</t>
  </si>
  <si>
    <t>Production Compliance</t>
  </si>
  <si>
    <t>%</t>
  </si>
  <si>
    <t>Prod. Compl.</t>
  </si>
  <si>
    <t>Steam cost</t>
  </si>
  <si>
    <t>Rs./T</t>
  </si>
  <si>
    <t>LPG cost</t>
  </si>
  <si>
    <t>Water cost</t>
  </si>
  <si>
    <t>e</t>
  </si>
  <si>
    <t>Power cost</t>
  </si>
  <si>
    <t>f</t>
  </si>
  <si>
    <t>Variable Man power cost(VLC)</t>
  </si>
  <si>
    <t>g</t>
  </si>
  <si>
    <t>Fixed man power (per ton basis)cost</t>
  </si>
  <si>
    <t>Quality Manufactured</t>
  </si>
  <si>
    <t>M/c</t>
  </si>
  <si>
    <t>Domestic</t>
  </si>
  <si>
    <t>Toilet</t>
  </si>
  <si>
    <t>Facial</t>
  </si>
  <si>
    <t>Napkin</t>
  </si>
  <si>
    <t>k.Towel</t>
  </si>
  <si>
    <t>Total</t>
  </si>
  <si>
    <t xml:space="preserve">Export </t>
  </si>
  <si>
    <t>Kt  (Maxi roll)</t>
  </si>
  <si>
    <t>G.Total</t>
  </si>
  <si>
    <t>gsm</t>
  </si>
  <si>
    <t>J</t>
  </si>
  <si>
    <t>O.E.E. CALCULATION Tissue</t>
  </si>
  <si>
    <t>Month - july`2022</t>
  </si>
  <si>
    <t>AVERAGE GSM</t>
  </si>
  <si>
    <t>AVERAGE DECKLE</t>
  </si>
  <si>
    <t>AVERAGE SPEED</t>
  </si>
  <si>
    <t>mpm</t>
  </si>
  <si>
    <t>PRODUCTION</t>
  </si>
  <si>
    <t>TOTAL AVAILABLE TIME</t>
  </si>
  <si>
    <t>hrs.</t>
  </si>
  <si>
    <t>TOTAL DOWN TIME</t>
  </si>
  <si>
    <t>SCHEDULE SHUT</t>
  </si>
  <si>
    <t>h</t>
  </si>
  <si>
    <t>PRODUCTION RATE</t>
  </si>
  <si>
    <t>T/hr</t>
  </si>
  <si>
    <t>i</t>
  </si>
  <si>
    <t>STANDARD CYCLE</t>
  </si>
  <si>
    <t>hr/MT</t>
  </si>
  <si>
    <t>j</t>
  </si>
  <si>
    <t>CALANDER TIME</t>
  </si>
  <si>
    <t>k</t>
  </si>
  <si>
    <t>LOADING TIME</t>
  </si>
  <si>
    <t>l</t>
  </si>
  <si>
    <t>AVAILABILITY</t>
  </si>
  <si>
    <t>PERFORMANCE</t>
  </si>
  <si>
    <t>O.E.E.</t>
  </si>
  <si>
    <t>Kyemene 821 AP(WSR)</t>
  </si>
  <si>
    <t>PACKING MATERIALS</t>
  </si>
  <si>
    <t>Core pipes</t>
  </si>
  <si>
    <t>Core Plugs</t>
  </si>
  <si>
    <t>Stretch film</t>
  </si>
  <si>
    <t>Kg</t>
  </si>
  <si>
    <t>NOS</t>
  </si>
  <si>
    <t>Instruments</t>
  </si>
  <si>
    <t>NT</t>
  </si>
  <si>
    <t>Electrical</t>
  </si>
  <si>
    <t>Imported Softwood Pulp METSA (AD)</t>
  </si>
  <si>
    <t>Doctor blade change and roll cleaning</t>
  </si>
  <si>
    <t>DAILY REPORT  Month (May -2025)</t>
  </si>
  <si>
    <t>Machine stopped due to Yankee high Torque alarm</t>
  </si>
  <si>
    <t>Machine stopped due to both hood burner tripping</t>
  </si>
  <si>
    <t>System wash up</t>
  </si>
  <si>
    <t>Machine stopped for felt and wire cleaning</t>
  </si>
  <si>
    <t>FT</t>
  </si>
  <si>
    <t>Power</t>
  </si>
  <si>
    <t>Machine tripped due to power fluctuation</t>
  </si>
  <si>
    <t>Sheet break</t>
  </si>
  <si>
    <t>Pope reel sequence stucked and Pope reel load increase due to primary arm</t>
  </si>
  <si>
    <t>loading issue on spool roll.</t>
  </si>
  <si>
    <t>Machine tripped due to frequent power fluctuations</t>
  </si>
  <si>
    <t>Steam</t>
  </si>
  <si>
    <t>Machine speed loss due to steam pressure dropped</t>
  </si>
  <si>
    <t>Machine stopped for Boiler maintainance work</t>
  </si>
  <si>
    <t>.24:00</t>
  </si>
  <si>
    <t>NIL</t>
  </si>
  <si>
    <t>TT</t>
  </si>
  <si>
    <t>Machine stopped for Boiler maintenance work</t>
  </si>
  <si>
    <t>Yankee doctor blade change</t>
  </si>
  <si>
    <t>Mechanical</t>
  </si>
  <si>
    <t>Spool bearing jammed</t>
  </si>
  <si>
    <t>Others</t>
  </si>
  <si>
    <t>Sheet break due to blade passing</t>
  </si>
  <si>
    <t>TOWEL</t>
  </si>
  <si>
    <t>KT</t>
  </si>
  <si>
    <t>Machine stopped due to suction roll vibration</t>
  </si>
  <si>
    <t>Suction roll alighnment and Uhle box vacuum cover bleeding</t>
  </si>
  <si>
    <t>Other</t>
  </si>
  <si>
    <t>Machine stopped due to uhle box jamming</t>
  </si>
  <si>
    <t>Yankee doctor blade change &amp; roll cleaning</t>
  </si>
  <si>
    <t>Steam pressure dropped from boiler</t>
  </si>
  <si>
    <t>Yankee blow through flow control error</t>
  </si>
  <si>
    <t>Power failure</t>
  </si>
  <si>
    <t>Tail cutter not working</t>
  </si>
  <si>
    <t>Machine stopped due to power fluctuation</t>
  </si>
  <si>
    <t>Felt and wire cleaning</t>
  </si>
  <si>
    <t>QCS not working properly</t>
  </si>
  <si>
    <t>Felt &amp; wire cleaning</t>
  </si>
  <si>
    <t>UTILITY</t>
  </si>
  <si>
    <t>Natural Gas consumption (Tissue Machine)</t>
  </si>
  <si>
    <t>Natural Gas consumption (Boiler)</t>
  </si>
  <si>
    <t>Fresh Water consumption</t>
  </si>
  <si>
    <t>RO water consumption</t>
  </si>
  <si>
    <t>Power (MACHINE)</t>
  </si>
  <si>
    <t>Power (BOILER+ETP)</t>
  </si>
  <si>
    <t>SCM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</si>
</sst>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h:mm;@"/>
    <numFmt numFmtId="166" formatCode="[$-409]d\-mmm\-yy;@"/>
    <numFmt numFmtId="167" formatCode="0.000"/>
  </numFmts>
  <fonts count="16" x14ac:knownFonts="1">
    <font>
      <sz val="11"/>
      <color theme="1"/>
      <name val="Calibri"/>
      <family val="2"/>
      <scheme val="minor"/>
    </font>
    <font>
      <b/>
      <sz val="11"/>
      <name val="Times New Roman"/>
      <family val="1"/>
    </font>
    <font>
      <sz val="11"/>
      <name val="Times New Roman"/>
      <family val="1"/>
    </font>
    <font>
      <b/>
      <u/>
      <sz val="11"/>
      <name val="Times New Roman"/>
      <family val="1"/>
    </font>
    <font>
      <sz val="12"/>
      <name val="Times New Roman"/>
      <family val="1"/>
    </font>
    <font>
      <sz val="10"/>
      <name val="Arial"/>
      <family val="2"/>
    </font>
    <font>
      <sz val="12"/>
      <color theme="1"/>
      <name val="Times New Roman"/>
      <family val="1"/>
    </font>
    <font>
      <sz val="16"/>
      <name val="Times New Roman"/>
      <family val="1"/>
    </font>
    <font>
      <b/>
      <u/>
      <sz val="18"/>
      <name val="Times New Roman"/>
      <family val="1"/>
    </font>
    <font>
      <b/>
      <sz val="16"/>
      <name val="Times New Roman"/>
      <family val="1"/>
    </font>
    <font>
      <b/>
      <u/>
      <sz val="20"/>
      <name val="Times New Roman"/>
      <family val="1"/>
    </font>
    <font>
      <b/>
      <u/>
      <sz val="16"/>
      <name val="Times New Roman"/>
      <family val="1"/>
    </font>
    <font>
      <sz val="16"/>
      <color rgb="FFFF0000"/>
      <name val="Times New Roman"/>
      <family val="1"/>
    </font>
    <font>
      <b/>
      <sz val="18"/>
      <name val="Times New Roman"/>
      <family val="1"/>
    </font>
    <font>
      <b/>
      <sz val="12"/>
      <name val="Times New Roman"/>
      <family val="1"/>
    </font>
    <font>
      <sz val="14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 tint="0.59999389629810485"/>
        <bgColor indexed="64"/>
      </patternFill>
    </fill>
  </fills>
  <borders count="4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rgb="FF002060"/>
      </right>
      <top/>
      <bottom style="thin">
        <color rgb="FF002060"/>
      </bottom>
      <diagonal/>
    </border>
    <border>
      <left style="thin">
        <color rgb="FF002060"/>
      </left>
      <right/>
      <top/>
      <bottom style="thin">
        <color rgb="FF00206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rgb="FF002060"/>
      </right>
      <top/>
      <bottom style="thin">
        <color rgb="FF002060"/>
      </bottom>
      <diagonal/>
    </border>
    <border>
      <left style="thin">
        <color rgb="FF002060"/>
      </left>
      <right style="thin">
        <color rgb="FF002060"/>
      </right>
      <top style="thin">
        <color rgb="FF002060"/>
      </top>
      <bottom style="thin">
        <color rgb="FF002060"/>
      </bottom>
      <diagonal/>
    </border>
    <border>
      <left style="thin">
        <color rgb="FF002060"/>
      </left>
      <right style="medium">
        <color indexed="64"/>
      </right>
      <top style="thin">
        <color rgb="FF002060"/>
      </top>
      <bottom style="thin">
        <color rgb="FF002060"/>
      </bottom>
      <diagonal/>
    </border>
    <border>
      <left style="medium">
        <color indexed="64"/>
      </left>
      <right style="thin">
        <color rgb="FF002060"/>
      </right>
      <top style="thin">
        <color rgb="FF002060"/>
      </top>
      <bottom style="thin">
        <color rgb="FF002060"/>
      </bottom>
      <diagonal/>
    </border>
    <border>
      <left style="thin">
        <color rgb="FF002060"/>
      </left>
      <right/>
      <top style="thin">
        <color rgb="FF002060"/>
      </top>
      <bottom style="thin">
        <color rgb="FF002060"/>
      </bottom>
      <diagonal/>
    </border>
    <border>
      <left/>
      <right style="thin">
        <color rgb="FF002060"/>
      </right>
      <top style="thin">
        <color rgb="FF002060"/>
      </top>
      <bottom/>
      <diagonal/>
    </border>
    <border>
      <left style="thin">
        <color rgb="FF002060"/>
      </left>
      <right style="thin">
        <color rgb="FF002060"/>
      </right>
      <top style="thin">
        <color rgb="FF002060"/>
      </top>
      <bottom/>
      <diagonal/>
    </border>
    <border>
      <left style="thin">
        <color rgb="FF002060"/>
      </left>
      <right style="medium">
        <color indexed="64"/>
      </right>
      <top style="thin">
        <color rgb="FF002060"/>
      </top>
      <bottom/>
      <diagonal/>
    </border>
    <border>
      <left/>
      <right style="thin">
        <color rgb="FF002060"/>
      </right>
      <top style="thin">
        <color rgb="FF002060"/>
      </top>
      <bottom style="thin">
        <color rgb="FF002060"/>
      </bottom>
      <diagonal/>
    </border>
    <border>
      <left style="medium">
        <color indexed="64"/>
      </left>
      <right style="thin">
        <color rgb="FF002060"/>
      </right>
      <top style="thin">
        <color rgb="FF002060"/>
      </top>
      <bottom/>
      <diagonal/>
    </border>
    <border>
      <left style="thin">
        <color rgb="FF002060"/>
      </left>
      <right/>
      <top style="thin">
        <color rgb="FF002060"/>
      </top>
      <bottom/>
      <diagonal/>
    </border>
    <border>
      <left/>
      <right/>
      <top style="thin">
        <color rgb="FF002060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0" fontId="5" fillId="0" borderId="0"/>
    <xf numFmtId="0" fontId="5" fillId="0" borderId="0"/>
  </cellStyleXfs>
  <cellXfs count="25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1" fillId="0" borderId="0" xfId="0" applyFont="1" applyAlignment="1">
      <alignment horizontal="right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4" fillId="0" borderId="1" xfId="0" applyFont="1" applyBorder="1"/>
    <xf numFmtId="0" fontId="4" fillId="0" borderId="1" xfId="0" applyFont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6" fillId="0" borderId="6" xfId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1" fontId="6" fillId="0" borderId="1" xfId="0" applyNumberFormat="1" applyFont="1" applyBorder="1" applyAlignment="1">
      <alignment horizontal="center" vertical="center" wrapText="1"/>
    </xf>
    <xf numFmtId="164" fontId="6" fillId="0" borderId="1" xfId="0" applyNumberFormat="1" applyFont="1" applyBorder="1" applyAlignment="1">
      <alignment horizontal="center" vertical="center" wrapText="1"/>
    </xf>
    <xf numFmtId="0" fontId="6" fillId="0" borderId="12" xfId="1" applyFont="1" applyBorder="1" applyAlignment="1">
      <alignment horizontal="center" vertical="center" wrapText="1"/>
    </xf>
    <xf numFmtId="0" fontId="6" fillId="0" borderId="13" xfId="1" applyFont="1" applyBorder="1" applyAlignment="1">
      <alignment horizontal="center" vertical="center" wrapText="1"/>
    </xf>
    <xf numFmtId="164" fontId="6" fillId="0" borderId="1" xfId="1" applyNumberFormat="1" applyFont="1" applyBorder="1" applyAlignment="1">
      <alignment horizontal="center" vertical="center" wrapText="1"/>
    </xf>
    <xf numFmtId="0" fontId="6" fillId="0" borderId="1" xfId="1" applyFont="1" applyBorder="1" applyAlignment="1">
      <alignment horizontal="center" vertical="center" wrapText="1"/>
    </xf>
    <xf numFmtId="164" fontId="6" fillId="0" borderId="3" xfId="1" applyNumberFormat="1" applyFont="1" applyBorder="1" applyAlignment="1">
      <alignment horizontal="center" vertical="center" wrapText="1"/>
    </xf>
    <xf numFmtId="0" fontId="4" fillId="0" borderId="12" xfId="1" applyFont="1" applyBorder="1" applyAlignment="1">
      <alignment horizontal="center" vertical="center" wrapText="1"/>
    </xf>
    <xf numFmtId="164" fontId="4" fillId="0" borderId="7" xfId="1" applyNumberFormat="1" applyFont="1" applyBorder="1" applyAlignment="1">
      <alignment horizontal="center" vertical="center" wrapText="1"/>
    </xf>
    <xf numFmtId="0" fontId="4" fillId="0" borderId="8" xfId="1" applyFont="1" applyBorder="1" applyAlignment="1">
      <alignment horizontal="center" vertical="center" wrapText="1"/>
    </xf>
    <xf numFmtId="164" fontId="4" fillId="0" borderId="9" xfId="1" applyNumberFormat="1" applyFont="1" applyBorder="1" applyAlignment="1">
      <alignment horizontal="center" vertical="center" wrapText="1"/>
    </xf>
    <xf numFmtId="1" fontId="4" fillId="0" borderId="1" xfId="0" applyNumberFormat="1" applyFont="1" applyBorder="1" applyAlignment="1">
      <alignment horizontal="center" vertical="center" wrapText="1"/>
    </xf>
    <xf numFmtId="0" fontId="4" fillId="0" borderId="15" xfId="1" applyFont="1" applyBorder="1" applyAlignment="1">
      <alignment horizontal="center" vertical="center"/>
    </xf>
    <xf numFmtId="165" fontId="4" fillId="0" borderId="15" xfId="1" applyNumberFormat="1" applyFont="1" applyBorder="1" applyAlignment="1">
      <alignment horizontal="center" vertical="center"/>
    </xf>
    <xf numFmtId="0" fontId="4" fillId="0" borderId="16" xfId="1" applyFont="1" applyBorder="1" applyAlignment="1">
      <alignment vertical="center"/>
    </xf>
    <xf numFmtId="164" fontId="4" fillId="0" borderId="13" xfId="1" applyNumberFormat="1" applyFont="1" applyBorder="1" applyAlignment="1">
      <alignment horizontal="center" vertical="center" wrapText="1"/>
    </xf>
    <xf numFmtId="0" fontId="4" fillId="0" borderId="1" xfId="1" applyFont="1" applyBorder="1" applyAlignment="1">
      <alignment horizontal="center" vertical="center" wrapText="1"/>
    </xf>
    <xf numFmtId="164" fontId="4" fillId="0" borderId="17" xfId="1" applyNumberFormat="1" applyFont="1" applyBorder="1" applyAlignment="1">
      <alignment horizontal="center" vertical="center" wrapText="1"/>
    </xf>
    <xf numFmtId="0" fontId="4" fillId="0" borderId="18" xfId="1" applyFont="1" applyBorder="1" applyAlignment="1">
      <alignment horizontal="center" vertical="center" wrapText="1"/>
    </xf>
    <xf numFmtId="164" fontId="4" fillId="0" borderId="19" xfId="1" applyNumberFormat="1" applyFont="1" applyBorder="1" applyAlignment="1">
      <alignment horizontal="center" vertical="center" wrapText="1"/>
    </xf>
    <xf numFmtId="164" fontId="4" fillId="0" borderId="20" xfId="1" applyNumberFormat="1" applyFont="1" applyBorder="1" applyAlignment="1">
      <alignment horizontal="center" vertical="center" wrapText="1"/>
    </xf>
    <xf numFmtId="165" fontId="4" fillId="0" borderId="1" xfId="1" applyNumberFormat="1" applyFont="1" applyBorder="1" applyAlignment="1">
      <alignment horizontal="center" vertical="center"/>
    </xf>
    <xf numFmtId="0" fontId="4" fillId="0" borderId="21" xfId="1" applyFont="1" applyBorder="1" applyAlignment="1">
      <alignment horizontal="center" vertical="center" wrapText="1"/>
    </xf>
    <xf numFmtId="0" fontId="4" fillId="0" borderId="1" xfId="1" applyFont="1" applyBorder="1" applyAlignment="1">
      <alignment horizontal="center" vertical="center"/>
    </xf>
    <xf numFmtId="164" fontId="4" fillId="0" borderId="1" xfId="1" applyNumberFormat="1" applyFont="1" applyBorder="1" applyAlignment="1">
      <alignment horizontal="center" vertical="center" wrapText="1"/>
    </xf>
    <xf numFmtId="0" fontId="4" fillId="0" borderId="1" xfId="1" applyFont="1" applyBorder="1" applyAlignment="1">
      <alignment horizontal="center"/>
    </xf>
    <xf numFmtId="0" fontId="4" fillId="0" borderId="22" xfId="1" applyFont="1" applyBorder="1"/>
    <xf numFmtId="0" fontId="4" fillId="0" borderId="23" xfId="1" applyFont="1" applyBorder="1" applyAlignment="1">
      <alignment horizontal="center" vertical="center" wrapText="1"/>
    </xf>
    <xf numFmtId="0" fontId="4" fillId="0" borderId="5" xfId="1" applyFont="1" applyBorder="1" applyAlignment="1">
      <alignment horizontal="center" vertical="center"/>
    </xf>
    <xf numFmtId="0" fontId="4" fillId="0" borderId="5" xfId="1" applyFont="1" applyBorder="1" applyAlignment="1">
      <alignment horizontal="center" vertical="center" wrapText="1"/>
    </xf>
    <xf numFmtId="164" fontId="4" fillId="0" borderId="5" xfId="1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/>
    <xf numFmtId="164" fontId="2" fillId="0" borderId="1" xfId="0" applyNumberFormat="1" applyFont="1" applyBorder="1" applyAlignment="1">
      <alignment horizontal="center" vertical="center" wrapText="1"/>
    </xf>
    <xf numFmtId="2" fontId="2" fillId="0" borderId="1" xfId="0" applyNumberFormat="1" applyFont="1" applyBorder="1" applyAlignment="1">
      <alignment horizontal="center" vertical="center" wrapText="1"/>
    </xf>
    <xf numFmtId="1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0" fontId="2" fillId="0" borderId="24" xfId="0" applyFont="1" applyBorder="1"/>
    <xf numFmtId="0" fontId="2" fillId="0" borderId="8" xfId="0" applyFont="1" applyBorder="1"/>
    <xf numFmtId="2" fontId="2" fillId="0" borderId="8" xfId="0" applyNumberFormat="1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164" fontId="1" fillId="0" borderId="8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 vertical="center" wrapText="1"/>
    </xf>
    <xf numFmtId="2" fontId="1" fillId="0" borderId="8" xfId="0" applyNumberFormat="1" applyFont="1" applyBorder="1" applyAlignment="1">
      <alignment horizontal="center" vertical="center" wrapText="1"/>
    </xf>
    <xf numFmtId="0" fontId="2" fillId="0" borderId="8" xfId="0" applyFont="1" applyBorder="1" applyAlignment="1">
      <alignment horizontal="left"/>
    </xf>
    <xf numFmtId="164" fontId="2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left"/>
    </xf>
    <xf numFmtId="2" fontId="1" fillId="0" borderId="1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2" fontId="2" fillId="0" borderId="0" xfId="0" applyNumberFormat="1" applyFont="1" applyAlignment="1">
      <alignment horizontal="center"/>
    </xf>
    <xf numFmtId="0" fontId="1" fillId="0" borderId="1" xfId="0" applyFont="1" applyBorder="1"/>
    <xf numFmtId="0" fontId="2" fillId="0" borderId="25" xfId="0" applyFont="1" applyBorder="1"/>
    <xf numFmtId="0" fontId="2" fillId="0" borderId="26" xfId="0" applyFont="1" applyBorder="1"/>
    <xf numFmtId="0" fontId="1" fillId="0" borderId="25" xfId="0" applyFont="1" applyBorder="1" applyAlignment="1">
      <alignment horizontal="right"/>
    </xf>
    <xf numFmtId="2" fontId="2" fillId="0" borderId="25" xfId="0" applyNumberFormat="1" applyFont="1" applyBorder="1" applyAlignment="1">
      <alignment horizontal="center"/>
    </xf>
    <xf numFmtId="0" fontId="1" fillId="0" borderId="25" xfId="0" applyFont="1" applyBorder="1"/>
    <xf numFmtId="0" fontId="2" fillId="0" borderId="27" xfId="0" applyFont="1" applyBorder="1" applyAlignment="1">
      <alignment vertical="center" wrapText="1"/>
    </xf>
    <xf numFmtId="0" fontId="2" fillId="0" borderId="0" xfId="0" applyFont="1" applyAlignment="1">
      <alignment horizontal="left"/>
    </xf>
    <xf numFmtId="166" fontId="1" fillId="0" borderId="0" xfId="0" applyNumberFormat="1" applyFont="1" applyAlignment="1">
      <alignment horizontal="center"/>
    </xf>
    <xf numFmtId="0" fontId="7" fillId="2" borderId="28" xfId="0" applyFont="1" applyFill="1" applyBorder="1"/>
    <xf numFmtId="0" fontId="8" fillId="0" borderId="29" xfId="0" applyFont="1" applyBorder="1"/>
    <xf numFmtId="0" fontId="8" fillId="0" borderId="30" xfId="0" applyFont="1" applyBorder="1"/>
    <xf numFmtId="0" fontId="8" fillId="0" borderId="31" xfId="0" applyFont="1" applyBorder="1"/>
    <xf numFmtId="0" fontId="7" fillId="0" borderId="0" xfId="0" applyFont="1"/>
    <xf numFmtId="0" fontId="7" fillId="3" borderId="21" xfId="0" applyFont="1" applyFill="1" applyBorder="1"/>
    <xf numFmtId="0" fontId="9" fillId="3" borderId="1" xfId="0" applyFont="1" applyFill="1" applyBorder="1" applyAlignment="1">
      <alignment horizontal="left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9" fillId="3" borderId="22" xfId="0" applyFont="1" applyFill="1" applyBorder="1" applyAlignment="1">
      <alignment horizontal="center" vertical="center" wrapText="1"/>
    </xf>
    <xf numFmtId="0" fontId="9" fillId="3" borderId="21" xfId="0" applyFont="1" applyFill="1" applyBorder="1" applyAlignment="1">
      <alignment horizontal="center"/>
    </xf>
    <xf numFmtId="0" fontId="9" fillId="4" borderId="1" xfId="0" applyFont="1" applyFill="1" applyBorder="1" applyAlignment="1">
      <alignment horizontal="left"/>
    </xf>
    <xf numFmtId="0" fontId="9" fillId="5" borderId="1" xfId="0" applyFont="1" applyFill="1" applyBorder="1" applyAlignment="1">
      <alignment horizontal="left"/>
    </xf>
    <xf numFmtId="0" fontId="9" fillId="5" borderId="1" xfId="0" applyFont="1" applyFill="1" applyBorder="1" applyAlignment="1">
      <alignment horizontal="center"/>
    </xf>
    <xf numFmtId="164" fontId="7" fillId="0" borderId="1" xfId="0" applyNumberFormat="1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7" fillId="3" borderId="21" xfId="0" applyFont="1" applyFill="1" applyBorder="1" applyAlignment="1">
      <alignment horizontal="center"/>
    </xf>
    <xf numFmtId="0" fontId="7" fillId="4" borderId="1" xfId="0" applyFont="1" applyFill="1" applyBorder="1"/>
    <xf numFmtId="0" fontId="7" fillId="5" borderId="1" xfId="0" applyFont="1" applyFill="1" applyBorder="1" applyAlignment="1">
      <alignment horizontal="left"/>
    </xf>
    <xf numFmtId="0" fontId="7" fillId="5" borderId="1" xfId="0" applyFont="1" applyFill="1" applyBorder="1" applyAlignment="1">
      <alignment horizontal="center"/>
    </xf>
    <xf numFmtId="167" fontId="7" fillId="0" borderId="1" xfId="0" applyNumberFormat="1" applyFont="1" applyBorder="1" applyAlignment="1">
      <alignment horizontal="center"/>
    </xf>
    <xf numFmtId="167" fontId="7" fillId="0" borderId="2" xfId="0" applyNumberFormat="1" applyFont="1" applyBorder="1" applyAlignment="1">
      <alignment horizontal="center"/>
    </xf>
    <xf numFmtId="164" fontId="7" fillId="0" borderId="2" xfId="0" applyNumberFormat="1" applyFont="1" applyBorder="1" applyAlignment="1">
      <alignment horizontal="center"/>
    </xf>
    <xf numFmtId="167" fontId="9" fillId="6" borderId="22" xfId="0" applyNumberFormat="1" applyFont="1" applyFill="1" applyBorder="1" applyAlignment="1">
      <alignment horizontal="center" vertical="center"/>
    </xf>
    <xf numFmtId="164" fontId="7" fillId="0" borderId="0" xfId="0" applyNumberFormat="1" applyFont="1" applyAlignment="1">
      <alignment horizontal="center"/>
    </xf>
    <xf numFmtId="0" fontId="9" fillId="7" borderId="1" xfId="0" applyFont="1" applyFill="1" applyBorder="1"/>
    <xf numFmtId="0" fontId="9" fillId="7" borderId="1" xfId="0" applyFont="1" applyFill="1" applyBorder="1" applyAlignment="1">
      <alignment horizontal="left"/>
    </xf>
    <xf numFmtId="0" fontId="9" fillId="7" borderId="1" xfId="0" applyFont="1" applyFill="1" applyBorder="1" applyAlignment="1">
      <alignment horizontal="center"/>
    </xf>
    <xf numFmtId="167" fontId="9" fillId="7" borderId="1" xfId="0" applyNumberFormat="1" applyFont="1" applyFill="1" applyBorder="1" applyAlignment="1">
      <alignment horizontal="center" vertical="center"/>
    </xf>
    <xf numFmtId="0" fontId="10" fillId="4" borderId="2" xfId="0" applyFont="1" applyFill="1" applyBorder="1"/>
    <xf numFmtId="0" fontId="10" fillId="4" borderId="1" xfId="0" applyFont="1" applyFill="1" applyBorder="1"/>
    <xf numFmtId="0" fontId="10" fillId="4" borderId="32" xfId="0" applyFont="1" applyFill="1" applyBorder="1" applyAlignment="1">
      <alignment horizontal="center"/>
    </xf>
    <xf numFmtId="0" fontId="7" fillId="4" borderId="1" xfId="0" applyFont="1" applyFill="1" applyBorder="1" applyAlignment="1">
      <alignment horizontal="left"/>
    </xf>
    <xf numFmtId="164" fontId="7" fillId="0" borderId="1" xfId="0" applyNumberFormat="1" applyFont="1" applyBorder="1" applyAlignment="1">
      <alignment horizontal="center" vertical="center" wrapText="1"/>
    </xf>
    <xf numFmtId="164" fontId="7" fillId="2" borderId="1" xfId="0" applyNumberFormat="1" applyFont="1" applyFill="1" applyBorder="1" applyAlignment="1">
      <alignment horizontal="center"/>
    </xf>
    <xf numFmtId="164" fontId="7" fillId="2" borderId="2" xfId="0" applyNumberFormat="1" applyFont="1" applyFill="1" applyBorder="1" applyAlignment="1">
      <alignment horizontal="center"/>
    </xf>
    <xf numFmtId="0" fontId="11" fillId="5" borderId="1" xfId="0" applyFont="1" applyFill="1" applyBorder="1" applyAlignment="1">
      <alignment horizontal="left"/>
    </xf>
    <xf numFmtId="164" fontId="9" fillId="0" borderId="2" xfId="0" applyNumberFormat="1" applyFont="1" applyBorder="1" applyAlignment="1">
      <alignment horizontal="center"/>
    </xf>
    <xf numFmtId="0" fontId="12" fillId="0" borderId="0" xfId="0" applyFont="1" applyAlignment="1">
      <alignment horizontal="center"/>
    </xf>
    <xf numFmtId="2" fontId="9" fillId="7" borderId="1" xfId="0" applyNumberFormat="1" applyFont="1" applyFill="1" applyBorder="1" applyAlignment="1">
      <alignment horizontal="center"/>
    </xf>
    <xf numFmtId="2" fontId="9" fillId="7" borderId="2" xfId="0" applyNumberFormat="1" applyFont="1" applyFill="1" applyBorder="1" applyAlignment="1">
      <alignment horizontal="center"/>
    </xf>
    <xf numFmtId="0" fontId="7" fillId="2" borderId="21" xfId="0" applyFont="1" applyFill="1" applyBorder="1" applyAlignment="1">
      <alignment horizontal="center" vertical="center" wrapText="1"/>
    </xf>
    <xf numFmtId="0" fontId="9" fillId="2" borderId="1" xfId="0" applyFont="1" applyFill="1" applyBorder="1"/>
    <xf numFmtId="0" fontId="7" fillId="2" borderId="21" xfId="0" applyFont="1" applyFill="1" applyBorder="1" applyAlignment="1">
      <alignment horizontal="center"/>
    </xf>
    <xf numFmtId="0" fontId="13" fillId="2" borderId="1" xfId="0" applyFont="1" applyFill="1" applyBorder="1"/>
    <xf numFmtId="0" fontId="9" fillId="2" borderId="1" xfId="0" applyFont="1" applyFill="1" applyBorder="1" applyAlignment="1">
      <alignment horizontal="left"/>
    </xf>
    <xf numFmtId="0" fontId="9" fillId="2" borderId="1" xfId="0" applyFont="1" applyFill="1" applyBorder="1" applyAlignment="1">
      <alignment horizontal="center"/>
    </xf>
    <xf numFmtId="2" fontId="9" fillId="2" borderId="22" xfId="0" applyNumberFormat="1" applyFont="1" applyFill="1" applyBorder="1" applyAlignment="1">
      <alignment horizontal="center" vertical="center"/>
    </xf>
    <xf numFmtId="167" fontId="12" fillId="0" borderId="0" xfId="0" applyNumberFormat="1" applyFont="1" applyAlignment="1">
      <alignment horizontal="center"/>
    </xf>
    <xf numFmtId="167" fontId="7" fillId="0" borderId="0" xfId="0" applyNumberFormat="1" applyFont="1"/>
    <xf numFmtId="0" fontId="9" fillId="2" borderId="1" xfId="0" applyFont="1" applyFill="1" applyBorder="1" applyAlignment="1">
      <alignment vertical="center" wrapText="1"/>
    </xf>
    <xf numFmtId="0" fontId="9" fillId="2" borderId="1" xfId="0" applyFont="1" applyFill="1" applyBorder="1" applyAlignment="1">
      <alignment horizontal="left" vertical="center" wrapText="1"/>
    </xf>
    <xf numFmtId="0" fontId="9" fillId="2" borderId="1" xfId="0" applyFont="1" applyFill="1" applyBorder="1" applyAlignment="1">
      <alignment horizontal="center" vertical="center" wrapText="1"/>
    </xf>
    <xf numFmtId="2" fontId="7" fillId="2" borderId="1" xfId="0" applyNumberFormat="1" applyFont="1" applyFill="1" applyBorder="1" applyAlignment="1">
      <alignment horizontal="center"/>
    </xf>
    <xf numFmtId="2" fontId="7" fillId="2" borderId="2" xfId="0" applyNumberFormat="1" applyFont="1" applyFill="1" applyBorder="1" applyAlignment="1">
      <alignment horizontal="center"/>
    </xf>
    <xf numFmtId="167" fontId="7" fillId="2" borderId="1" xfId="0" applyNumberFormat="1" applyFont="1" applyFill="1" applyBorder="1" applyAlignment="1">
      <alignment horizontal="center"/>
    </xf>
    <xf numFmtId="167" fontId="7" fillId="2" borderId="2" xfId="0" applyNumberFormat="1" applyFont="1" applyFill="1" applyBorder="1" applyAlignment="1">
      <alignment horizontal="center"/>
    </xf>
    <xf numFmtId="167" fontId="9" fillId="2" borderId="22" xfId="0" applyNumberFormat="1" applyFont="1" applyFill="1" applyBorder="1" applyAlignment="1">
      <alignment horizontal="center" vertical="center"/>
    </xf>
    <xf numFmtId="1" fontId="7" fillId="2" borderId="1" xfId="0" applyNumberFormat="1" applyFont="1" applyFill="1" applyBorder="1" applyAlignment="1">
      <alignment horizontal="center"/>
    </xf>
    <xf numFmtId="1" fontId="7" fillId="2" borderId="2" xfId="0" applyNumberFormat="1" applyFont="1" applyFill="1" applyBorder="1" applyAlignment="1">
      <alignment horizontal="center"/>
    </xf>
    <xf numFmtId="1" fontId="7" fillId="2" borderId="22" xfId="0" applyNumberFormat="1" applyFont="1" applyFill="1" applyBorder="1" applyAlignment="1">
      <alignment horizontal="center"/>
    </xf>
    <xf numFmtId="164" fontId="9" fillId="2" borderId="22" xfId="0" applyNumberFormat="1" applyFont="1" applyFill="1" applyBorder="1" applyAlignment="1">
      <alignment horizontal="center" vertical="center"/>
    </xf>
    <xf numFmtId="1" fontId="9" fillId="2" borderId="22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2" borderId="1" xfId="0" applyFont="1" applyFill="1" applyBorder="1"/>
    <xf numFmtId="0" fontId="7" fillId="2" borderId="5" xfId="0" applyFont="1" applyFill="1" applyBorder="1"/>
    <xf numFmtId="0" fontId="7" fillId="2" borderId="4" xfId="0" applyFont="1" applyFill="1" applyBorder="1"/>
    <xf numFmtId="0" fontId="11" fillId="2" borderId="1" xfId="0" applyFont="1" applyFill="1" applyBorder="1"/>
    <xf numFmtId="0" fontId="11" fillId="2" borderId="1" xfId="0" applyFont="1" applyFill="1" applyBorder="1" applyAlignment="1">
      <alignment horizontal="left"/>
    </xf>
    <xf numFmtId="0" fontId="7" fillId="2" borderId="2" xfId="0" applyFont="1" applyFill="1" applyBorder="1"/>
    <xf numFmtId="0" fontId="7" fillId="2" borderId="32" xfId="0" applyFont="1" applyFill="1" applyBorder="1" applyAlignment="1">
      <alignment horizontal="center"/>
    </xf>
    <xf numFmtId="0" fontId="11" fillId="2" borderId="33" xfId="0" applyFont="1" applyFill="1" applyBorder="1" applyAlignment="1">
      <alignment horizontal="center" vertical="center"/>
    </xf>
    <xf numFmtId="0" fontId="7" fillId="2" borderId="21" xfId="0" applyFont="1" applyFill="1" applyBorder="1" applyAlignment="1">
      <alignment horizontal="right"/>
    </xf>
    <xf numFmtId="164" fontId="7" fillId="2" borderId="8" xfId="0" applyNumberFormat="1" applyFont="1" applyFill="1" applyBorder="1" applyAlignment="1">
      <alignment horizontal="center"/>
    </xf>
    <xf numFmtId="164" fontId="7" fillId="2" borderId="24" xfId="0" applyNumberFormat="1" applyFont="1" applyFill="1" applyBorder="1" applyAlignment="1">
      <alignment horizontal="center"/>
    </xf>
    <xf numFmtId="0" fontId="7" fillId="2" borderId="21" xfId="0" applyFont="1" applyFill="1" applyBorder="1"/>
    <xf numFmtId="164" fontId="9" fillId="2" borderId="1" xfId="0" applyNumberFormat="1" applyFont="1" applyFill="1" applyBorder="1" applyAlignment="1">
      <alignment horizontal="center"/>
    </xf>
    <xf numFmtId="164" fontId="9" fillId="2" borderId="2" xfId="0" applyNumberFormat="1" applyFont="1" applyFill="1" applyBorder="1" applyAlignment="1">
      <alignment horizontal="center"/>
    </xf>
    <xf numFmtId="0" fontId="11" fillId="2" borderId="22" xfId="0" applyFont="1" applyFill="1" applyBorder="1" applyAlignment="1">
      <alignment horizontal="center" vertical="center"/>
    </xf>
    <xf numFmtId="0" fontId="7" fillId="2" borderId="35" xfId="0" applyFont="1" applyFill="1" applyBorder="1"/>
    <xf numFmtId="0" fontId="9" fillId="2" borderId="36" xfId="0" applyFont="1" applyFill="1" applyBorder="1"/>
    <xf numFmtId="0" fontId="9" fillId="2" borderId="36" xfId="0" applyFont="1" applyFill="1" applyBorder="1" applyAlignment="1">
      <alignment horizontal="left"/>
    </xf>
    <xf numFmtId="0" fontId="9" fillId="2" borderId="36" xfId="0" applyFont="1" applyFill="1" applyBorder="1" applyAlignment="1">
      <alignment horizontal="center"/>
    </xf>
    <xf numFmtId="2" fontId="7" fillId="2" borderId="36" xfId="0" applyNumberFormat="1" applyFont="1" applyFill="1" applyBorder="1" applyAlignment="1">
      <alignment horizontal="center"/>
    </xf>
    <xf numFmtId="2" fontId="7" fillId="2" borderId="37" xfId="0" applyNumberFormat="1" applyFont="1" applyFill="1" applyBorder="1" applyAlignment="1">
      <alignment horizontal="center"/>
    </xf>
    <xf numFmtId="2" fontId="9" fillId="2" borderId="38" xfId="0" applyNumberFormat="1" applyFont="1" applyFill="1" applyBorder="1" applyAlignment="1">
      <alignment horizontal="center" vertical="center"/>
    </xf>
    <xf numFmtId="0" fontId="7" fillId="2" borderId="39" xfId="0" applyFont="1" applyFill="1" applyBorder="1"/>
    <xf numFmtId="0" fontId="7" fillId="2" borderId="0" xfId="0" applyFont="1" applyFill="1"/>
    <xf numFmtId="0" fontId="7" fillId="2" borderId="0" xfId="0" applyFont="1" applyFill="1" applyAlignment="1">
      <alignment horizontal="left"/>
    </xf>
    <xf numFmtId="0" fontId="7" fillId="2" borderId="40" xfId="0" applyFont="1" applyFill="1" applyBorder="1" applyAlignment="1">
      <alignment vertical="center"/>
    </xf>
    <xf numFmtId="0" fontId="7" fillId="2" borderId="28" xfId="0" applyFont="1" applyFill="1" applyBorder="1" applyAlignment="1">
      <alignment horizontal="center"/>
    </xf>
    <xf numFmtId="0" fontId="11" fillId="2" borderId="41" xfId="0" applyFont="1" applyFill="1" applyBorder="1" applyAlignment="1">
      <alignment horizontal="left"/>
    </xf>
    <xf numFmtId="0" fontId="7" fillId="2" borderId="41" xfId="0" applyFont="1" applyFill="1" applyBorder="1"/>
    <xf numFmtId="0" fontId="9" fillId="2" borderId="41" xfId="0" applyFont="1" applyFill="1" applyBorder="1" applyAlignment="1">
      <alignment horizontal="left"/>
    </xf>
    <xf numFmtId="0" fontId="7" fillId="2" borderId="29" xfId="0" applyFont="1" applyFill="1" applyBorder="1"/>
    <xf numFmtId="0" fontId="9" fillId="2" borderId="42" xfId="0" applyFont="1" applyFill="1" applyBorder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7" fillId="2" borderId="1" xfId="0" applyFont="1" applyFill="1" applyBorder="1" applyAlignment="1">
      <alignment horizontal="left"/>
    </xf>
    <xf numFmtId="0" fontId="9" fillId="2" borderId="2" xfId="0" applyFont="1" applyFill="1" applyBorder="1" applyAlignment="1">
      <alignment horizontal="center"/>
    </xf>
    <xf numFmtId="0" fontId="9" fillId="2" borderId="22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/>
    </xf>
    <xf numFmtId="2" fontId="7" fillId="2" borderId="22" xfId="0" applyNumberFormat="1" applyFont="1" applyFill="1" applyBorder="1" applyAlignment="1">
      <alignment horizontal="center" vertical="center"/>
    </xf>
    <xf numFmtId="0" fontId="7" fillId="2" borderId="35" xfId="0" applyFont="1" applyFill="1" applyBorder="1" applyAlignment="1">
      <alignment horizontal="center"/>
    </xf>
    <xf numFmtId="164" fontId="9" fillId="2" borderId="36" xfId="0" applyNumberFormat="1" applyFont="1" applyFill="1" applyBorder="1" applyAlignment="1">
      <alignment horizontal="center"/>
    </xf>
    <xf numFmtId="164" fontId="9" fillId="2" borderId="37" xfId="0" applyNumberFormat="1" applyFont="1" applyFill="1" applyBorder="1" applyAlignment="1">
      <alignment horizontal="center"/>
    </xf>
    <xf numFmtId="0" fontId="7" fillId="2" borderId="0" xfId="0" applyFont="1" applyFill="1" applyAlignment="1">
      <alignment vertical="center"/>
    </xf>
    <xf numFmtId="0" fontId="7" fillId="3" borderId="0" xfId="0" applyFont="1" applyFill="1"/>
    <xf numFmtId="0" fontId="7" fillId="0" borderId="0" xfId="0" applyFont="1" applyAlignment="1">
      <alignment horizontal="left"/>
    </xf>
    <xf numFmtId="0" fontId="7" fillId="0" borderId="0" xfId="0" applyFont="1" applyAlignment="1">
      <alignment vertical="center"/>
    </xf>
    <xf numFmtId="165" fontId="2" fillId="0" borderId="24" xfId="0" applyNumberFormat="1" applyFont="1" applyBorder="1" applyAlignment="1">
      <alignment horizontal="center"/>
    </xf>
    <xf numFmtId="0" fontId="4" fillId="0" borderId="7" xfId="1" applyFont="1" applyBorder="1" applyAlignment="1">
      <alignment horizontal="center" vertical="center" wrapText="1"/>
    </xf>
    <xf numFmtId="164" fontId="4" fillId="0" borderId="1" xfId="2" applyNumberFormat="1" applyFont="1" applyBorder="1" applyAlignment="1">
      <alignment horizontal="center" vertical="center" wrapText="1"/>
    </xf>
    <xf numFmtId="164" fontId="6" fillId="0" borderId="14" xfId="2" applyNumberFormat="1" applyFont="1" applyBorder="1" applyAlignment="1">
      <alignment horizontal="center" vertical="center" wrapText="1"/>
    </xf>
    <xf numFmtId="165" fontId="4" fillId="0" borderId="10" xfId="2" applyNumberFormat="1" applyFont="1" applyBorder="1" applyAlignment="1">
      <alignment horizontal="center" vertical="center"/>
    </xf>
    <xf numFmtId="0" fontId="4" fillId="0" borderId="11" xfId="2" applyFont="1" applyBorder="1" applyAlignment="1">
      <alignment vertical="center"/>
    </xf>
    <xf numFmtId="0" fontId="4" fillId="0" borderId="6" xfId="1" applyFont="1" applyBorder="1" applyAlignment="1">
      <alignment horizontal="center" vertical="center"/>
    </xf>
    <xf numFmtId="0" fontId="6" fillId="0" borderId="1" xfId="2" applyFont="1" applyBorder="1" applyAlignment="1">
      <alignment horizontal="center" vertical="center" wrapText="1"/>
    </xf>
    <xf numFmtId="0" fontId="4" fillId="0" borderId="10" xfId="2" applyFont="1" applyBorder="1" applyAlignment="1">
      <alignment horizontal="center" vertical="center"/>
    </xf>
    <xf numFmtId="0" fontId="4" fillId="0" borderId="15" xfId="2" applyFont="1" applyBorder="1" applyAlignment="1">
      <alignment horizontal="center" vertical="center"/>
    </xf>
    <xf numFmtId="0" fontId="9" fillId="8" borderId="1" xfId="0" applyFont="1" applyFill="1" applyBorder="1" applyAlignment="1">
      <alignment horizontal="left"/>
    </xf>
    <xf numFmtId="0" fontId="7" fillId="2" borderId="44" xfId="0" applyFont="1" applyFill="1" applyBorder="1" applyAlignment="1">
      <alignment horizontal="center" vertical="center" wrapText="1"/>
    </xf>
    <xf numFmtId="0" fontId="9" fillId="2" borderId="8" xfId="0" applyFont="1" applyFill="1" applyBorder="1"/>
    <xf numFmtId="0" fontId="7" fillId="3" borderId="35" xfId="0" applyFont="1" applyFill="1" applyBorder="1" applyAlignment="1">
      <alignment horizontal="center"/>
    </xf>
    <xf numFmtId="0" fontId="9" fillId="7" borderId="36" xfId="0" applyFont="1" applyFill="1" applyBorder="1"/>
    <xf numFmtId="0" fontId="9" fillId="7" borderId="36" xfId="0" applyFont="1" applyFill="1" applyBorder="1" applyAlignment="1">
      <alignment horizontal="left"/>
    </xf>
    <xf numFmtId="0" fontId="9" fillId="7" borderId="36" xfId="0" applyFont="1" applyFill="1" applyBorder="1" applyAlignment="1">
      <alignment horizontal="center"/>
    </xf>
    <xf numFmtId="2" fontId="9" fillId="7" borderId="36" xfId="0" applyNumberFormat="1" applyFont="1" applyFill="1" applyBorder="1" applyAlignment="1">
      <alignment horizontal="center"/>
    </xf>
    <xf numFmtId="167" fontId="9" fillId="7" borderId="36" xfId="0" applyNumberFormat="1" applyFont="1" applyFill="1" applyBorder="1" applyAlignment="1">
      <alignment horizontal="center"/>
    </xf>
    <xf numFmtId="2" fontId="9" fillId="7" borderId="37" xfId="0" applyNumberFormat="1" applyFont="1" applyFill="1" applyBorder="1" applyAlignment="1">
      <alignment horizontal="center"/>
    </xf>
    <xf numFmtId="167" fontId="9" fillId="6" borderId="38" xfId="0" applyNumberFormat="1" applyFont="1" applyFill="1" applyBorder="1" applyAlignment="1">
      <alignment horizontal="center" vertical="center"/>
    </xf>
    <xf numFmtId="164" fontId="6" fillId="0" borderId="3" xfId="2" applyNumberFormat="1" applyFont="1" applyBorder="1" applyAlignment="1">
      <alignment horizontal="center" vertical="center" wrapText="1"/>
    </xf>
    <xf numFmtId="164" fontId="4" fillId="0" borderId="7" xfId="2" applyNumberFormat="1" applyFont="1" applyBorder="1" applyAlignment="1">
      <alignment horizontal="center" vertical="center" wrapText="1"/>
    </xf>
    <xf numFmtId="0" fontId="4" fillId="0" borderId="8" xfId="2" applyFont="1" applyBorder="1" applyAlignment="1">
      <alignment horizontal="center" vertical="center" wrapText="1"/>
    </xf>
    <xf numFmtId="164" fontId="4" fillId="0" borderId="9" xfId="2" applyNumberFormat="1" applyFont="1" applyBorder="1" applyAlignment="1">
      <alignment horizontal="center" vertical="center" wrapText="1"/>
    </xf>
    <xf numFmtId="0" fontId="4" fillId="2" borderId="10" xfId="2" applyFont="1" applyFill="1" applyBorder="1" applyAlignment="1">
      <alignment horizontal="center" vertical="center"/>
    </xf>
    <xf numFmtId="165" fontId="4" fillId="2" borderId="10" xfId="2" applyNumberFormat="1" applyFont="1" applyFill="1" applyBorder="1" applyAlignment="1">
      <alignment horizontal="center" vertical="center"/>
    </xf>
    <xf numFmtId="0" fontId="4" fillId="2" borderId="11" xfId="2" applyFont="1" applyFill="1" applyBorder="1" applyAlignment="1">
      <alignment vertical="center"/>
    </xf>
    <xf numFmtId="0" fontId="4" fillId="2" borderId="15" xfId="2" applyFont="1" applyFill="1" applyBorder="1" applyAlignment="1">
      <alignment horizontal="center" vertical="center"/>
    </xf>
    <xf numFmtId="165" fontId="4" fillId="2" borderId="15" xfId="1" applyNumberFormat="1" applyFont="1" applyFill="1" applyBorder="1" applyAlignment="1">
      <alignment horizontal="center" vertical="center"/>
    </xf>
    <xf numFmtId="0" fontId="4" fillId="2" borderId="16" xfId="1" applyFont="1" applyFill="1" applyBorder="1" applyAlignment="1">
      <alignment vertical="center"/>
    </xf>
    <xf numFmtId="0" fontId="4" fillId="2" borderId="15" xfId="1" applyFont="1" applyFill="1" applyBorder="1" applyAlignment="1">
      <alignment horizontal="center" vertical="center"/>
    </xf>
    <xf numFmtId="0" fontId="14" fillId="0" borderId="8" xfId="1" applyFont="1" applyBorder="1" applyAlignment="1">
      <alignment horizontal="center" vertical="center" wrapText="1"/>
    </xf>
    <xf numFmtId="0" fontId="4" fillId="0" borderId="6" xfId="1" applyFont="1" applyBorder="1" applyAlignment="1">
      <alignment horizontal="center" vertical="center" wrapText="1"/>
    </xf>
    <xf numFmtId="164" fontId="4" fillId="0" borderId="13" xfId="2" applyNumberFormat="1" applyFont="1" applyBorder="1" applyAlignment="1">
      <alignment horizontal="center" vertical="center" wrapText="1"/>
    </xf>
    <xf numFmtId="0" fontId="4" fillId="0" borderId="1" xfId="2" applyFont="1" applyBorder="1" applyAlignment="1">
      <alignment horizontal="center" vertical="center" wrapText="1"/>
    </xf>
    <xf numFmtId="164" fontId="4" fillId="0" borderId="17" xfId="2" applyNumberFormat="1" applyFont="1" applyBorder="1" applyAlignment="1">
      <alignment horizontal="center" vertical="center" wrapText="1"/>
    </xf>
    <xf numFmtId="167" fontId="7" fillId="0" borderId="0" xfId="0" applyNumberFormat="1" applyFont="1" applyAlignment="1">
      <alignment horizontal="center"/>
    </xf>
    <xf numFmtId="0" fontId="15" fillId="0" borderId="6" xfId="1" applyFont="1" applyBorder="1" applyAlignment="1">
      <alignment horizontal="center" vertical="center"/>
    </xf>
    <xf numFmtId="0" fontId="15" fillId="0" borderId="7" xfId="1" applyFont="1" applyBorder="1" applyAlignment="1">
      <alignment horizontal="center" vertical="center" wrapText="1"/>
    </xf>
    <xf numFmtId="164" fontId="15" fillId="0" borderId="1" xfId="2" applyNumberFormat="1" applyFont="1" applyBorder="1" applyAlignment="1">
      <alignment horizontal="center" vertical="center" wrapText="1"/>
    </xf>
    <xf numFmtId="0" fontId="4" fillId="0" borderId="10" xfId="0" applyFont="1" applyBorder="1"/>
    <xf numFmtId="0" fontId="7" fillId="2" borderId="2" xfId="0" applyFont="1" applyFill="1" applyBorder="1" applyAlignment="1">
      <alignment horizontal="center"/>
    </xf>
    <xf numFmtId="0" fontId="7" fillId="2" borderId="32" xfId="0" applyFont="1" applyFill="1" applyBorder="1" applyAlignment="1">
      <alignment horizontal="center"/>
    </xf>
    <xf numFmtId="0" fontId="7" fillId="2" borderId="3" xfId="0" applyFont="1" applyFill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32" xfId="0" applyFont="1" applyBorder="1" applyAlignment="1">
      <alignment horizontal="center"/>
    </xf>
    <xf numFmtId="0" fontId="7" fillId="0" borderId="33" xfId="0" applyFont="1" applyBorder="1" applyAlignment="1">
      <alignment horizontal="center"/>
    </xf>
    <xf numFmtId="0" fontId="10" fillId="4" borderId="2" xfId="0" applyFont="1" applyFill="1" applyBorder="1" applyAlignment="1">
      <alignment horizontal="center"/>
    </xf>
    <xf numFmtId="0" fontId="10" fillId="4" borderId="32" xfId="0" applyFont="1" applyFill="1" applyBorder="1" applyAlignment="1">
      <alignment horizontal="center"/>
    </xf>
    <xf numFmtId="0" fontId="10" fillId="4" borderId="3" xfId="0" applyFont="1" applyFill="1" applyBorder="1" applyAlignment="1">
      <alignment horizontal="center"/>
    </xf>
    <xf numFmtId="0" fontId="9" fillId="2" borderId="45" xfId="0" applyFont="1" applyFill="1" applyBorder="1" applyAlignment="1">
      <alignment horizontal="center"/>
    </xf>
    <xf numFmtId="0" fontId="9" fillId="2" borderId="0" xfId="0" applyFont="1" applyFill="1" applyAlignment="1">
      <alignment horizontal="center"/>
    </xf>
    <xf numFmtId="0" fontId="9" fillId="2" borderId="40" xfId="0" applyFont="1" applyFill="1" applyBorder="1" applyAlignment="1">
      <alignment horizontal="center"/>
    </xf>
    <xf numFmtId="0" fontId="9" fillId="2" borderId="24" xfId="0" applyFont="1" applyFill="1" applyBorder="1" applyAlignment="1">
      <alignment horizontal="center"/>
    </xf>
    <xf numFmtId="0" fontId="9" fillId="2" borderId="26" xfId="0" applyFont="1" applyFill="1" applyBorder="1" applyAlignment="1">
      <alignment horizontal="center"/>
    </xf>
    <xf numFmtId="0" fontId="9" fillId="2" borderId="34" xfId="0" applyFont="1" applyFill="1" applyBorder="1" applyAlignment="1">
      <alignment horizontal="center"/>
    </xf>
    <xf numFmtId="0" fontId="9" fillId="2" borderId="2" xfId="0" applyFont="1" applyFill="1" applyBorder="1" applyAlignment="1">
      <alignment horizontal="center"/>
    </xf>
    <xf numFmtId="0" fontId="9" fillId="2" borderId="32" xfId="0" applyFont="1" applyFill="1" applyBorder="1" applyAlignment="1">
      <alignment horizontal="center"/>
    </xf>
    <xf numFmtId="0" fontId="9" fillId="2" borderId="33" xfId="0" applyFont="1" applyFill="1" applyBorder="1" applyAlignment="1">
      <alignment horizontal="center"/>
    </xf>
    <xf numFmtId="0" fontId="7" fillId="2" borderId="33" xfId="0" applyFont="1" applyFill="1" applyBorder="1" applyAlignment="1">
      <alignment horizontal="center"/>
    </xf>
    <xf numFmtId="0" fontId="7" fillId="2" borderId="43" xfId="0" applyFont="1" applyFill="1" applyBorder="1" applyAlignment="1">
      <alignment horizontal="center"/>
    </xf>
    <xf numFmtId="0" fontId="7" fillId="0" borderId="1" xfId="0" applyFont="1" applyBorder="1"/>
    <xf numFmtId="0" fontId="7" fillId="0" borderId="1" xfId="0" applyFont="1" applyBorder="1" applyAlignment="1">
      <alignment horizontal="left"/>
    </xf>
  </cellXfs>
  <cellStyles count="3">
    <cellStyle name="Normal" xfId="0" builtinId="0"/>
    <cellStyle name="Normal 4" xfId="1" xr:uid="{2D757F2E-03C0-40C3-B54A-329AA9D2FA1A}"/>
    <cellStyle name="Normal 4 2" xfId="2" xr:uid="{020038CB-DC62-484A-983F-84886C0C5BA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B6FF8E-6B21-4613-A98C-9263DD4D6C72}">
  <dimension ref="A1:K85"/>
  <sheetViews>
    <sheetView workbookViewId="0">
      <selection sqref="A1:XFD1048576"/>
    </sheetView>
  </sheetViews>
  <sheetFormatPr baseColWidth="10" defaultColWidth="9.1640625" defaultRowHeight="14" x14ac:dyDescent="0.15"/>
  <cols>
    <col min="1" max="1" width="5.1640625" style="2" customWidth="1"/>
    <col min="2" max="2" width="22.5" style="2" customWidth="1"/>
    <col min="3" max="3" width="6.1640625" style="2" customWidth="1"/>
    <col min="4" max="4" width="12.5" style="2" bestFit="1" customWidth="1"/>
    <col min="5" max="5" width="9.83203125" style="2" customWidth="1"/>
    <col min="6" max="6" width="9.33203125" style="2" bestFit="1" customWidth="1"/>
    <col min="7" max="7" width="8.6640625" style="2" customWidth="1"/>
    <col min="8" max="8" width="9.5" style="2" bestFit="1" customWidth="1"/>
    <col min="9" max="9" width="17.83203125" style="2" bestFit="1" customWidth="1"/>
    <col min="10" max="10" width="10.33203125" style="2" bestFit="1" customWidth="1"/>
    <col min="11" max="11" width="75" style="2" bestFit="1" customWidth="1"/>
    <col min="12" max="16384" width="9.1640625" style="2"/>
  </cols>
  <sheetData>
    <row r="1" spans="1:11" x14ac:dyDescent="0.15">
      <c r="A1" s="1" t="s">
        <v>0</v>
      </c>
      <c r="I1" s="3"/>
    </row>
    <row r="2" spans="1:11" x14ac:dyDescent="0.15">
      <c r="J2" s="4"/>
    </row>
    <row r="3" spans="1:11" x14ac:dyDescent="0.15">
      <c r="A3" s="3" t="s">
        <v>1</v>
      </c>
      <c r="I3" s="1"/>
      <c r="J3" s="1"/>
    </row>
    <row r="4" spans="1:11" x14ac:dyDescent="0.15">
      <c r="A4" s="3"/>
      <c r="I4" s="4" t="s">
        <v>2</v>
      </c>
      <c r="J4" s="76">
        <v>45778</v>
      </c>
    </row>
    <row r="5" spans="1:11" x14ac:dyDescent="0.15">
      <c r="J5" s="2" t="s">
        <v>3</v>
      </c>
    </row>
    <row r="6" spans="1:11" ht="30" x14ac:dyDescent="0.15">
      <c r="A6" s="5" t="s">
        <v>4</v>
      </c>
      <c r="B6" s="5" t="s">
        <v>5</v>
      </c>
      <c r="C6" s="5" t="s">
        <v>6</v>
      </c>
      <c r="D6" s="5" t="s">
        <v>7</v>
      </c>
      <c r="E6" s="5" t="s">
        <v>8</v>
      </c>
      <c r="F6" s="5" t="s">
        <v>9</v>
      </c>
      <c r="G6" s="6" t="s">
        <v>10</v>
      </c>
      <c r="H6" s="6" t="s">
        <v>11</v>
      </c>
      <c r="I6" s="6" t="s">
        <v>12</v>
      </c>
      <c r="J6" s="7"/>
      <c r="K6" s="5" t="s">
        <v>13</v>
      </c>
    </row>
    <row r="7" spans="1:11" ht="30" x14ac:dyDescent="0.15">
      <c r="A7" s="6"/>
      <c r="B7" s="8"/>
      <c r="C7" s="5"/>
      <c r="D7" s="5" t="s">
        <v>14</v>
      </c>
      <c r="E7" s="5" t="s">
        <v>15</v>
      </c>
      <c r="F7" s="9" t="s">
        <v>16</v>
      </c>
      <c r="G7" s="9" t="s">
        <v>15</v>
      </c>
      <c r="H7" s="9" t="s">
        <v>17</v>
      </c>
      <c r="I7" s="5" t="s">
        <v>18</v>
      </c>
      <c r="J7" s="9" t="s">
        <v>19</v>
      </c>
      <c r="K7" s="9"/>
    </row>
    <row r="8" spans="1:11" ht="16" x14ac:dyDescent="0.2">
      <c r="A8" s="10"/>
      <c r="B8" s="11"/>
      <c r="C8" s="12"/>
      <c r="D8" s="11"/>
      <c r="E8" s="11"/>
      <c r="F8" s="10"/>
      <c r="G8" s="10"/>
      <c r="H8" s="10"/>
      <c r="I8" s="10"/>
      <c r="J8" s="13"/>
      <c r="K8" s="10"/>
    </row>
    <row r="9" spans="1:11" ht="17" x14ac:dyDescent="0.15">
      <c r="A9" s="192">
        <v>1</v>
      </c>
      <c r="B9" s="187" t="s">
        <v>231</v>
      </c>
      <c r="C9" s="188">
        <v>15</v>
      </c>
      <c r="D9" s="15">
        <v>2.85</v>
      </c>
      <c r="E9" s="193">
        <v>1431</v>
      </c>
      <c r="F9" s="189">
        <v>33.799999999999997</v>
      </c>
      <c r="G9" s="16">
        <f t="shared" ref="G9:G10" si="0">E9*F9</f>
        <v>48367.799999999996</v>
      </c>
      <c r="H9" s="17">
        <f t="shared" ref="H9:H10" si="1">F9*C9</f>
        <v>506.99999999999994</v>
      </c>
      <c r="I9" s="194" t="s">
        <v>20</v>
      </c>
      <c r="J9" s="190">
        <v>1.3888888888888888E-2</v>
      </c>
      <c r="K9" s="191" t="s">
        <v>234</v>
      </c>
    </row>
    <row r="10" spans="1:11" ht="17" x14ac:dyDescent="0.15">
      <c r="A10" s="23">
        <v>2</v>
      </c>
      <c r="B10" s="187" t="s">
        <v>231</v>
      </c>
      <c r="C10" s="188">
        <v>14</v>
      </c>
      <c r="D10" s="15">
        <v>2.85</v>
      </c>
      <c r="E10" s="193">
        <v>1440</v>
      </c>
      <c r="F10" s="189">
        <v>32.200000000000003</v>
      </c>
      <c r="G10" s="16">
        <f t="shared" si="0"/>
        <v>46368.000000000007</v>
      </c>
      <c r="H10" s="17">
        <f t="shared" si="1"/>
        <v>450.80000000000007</v>
      </c>
      <c r="I10" s="195" t="s">
        <v>44</v>
      </c>
      <c r="J10" s="29">
        <v>6.9444444444444441E-3</v>
      </c>
      <c r="K10" s="30" t="s">
        <v>44</v>
      </c>
    </row>
    <row r="11" spans="1:11" ht="16" x14ac:dyDescent="0.15">
      <c r="A11" s="14"/>
      <c r="B11" s="19"/>
      <c r="C11" s="20"/>
      <c r="D11" s="15"/>
      <c r="E11" s="21"/>
      <c r="F11" s="22"/>
      <c r="G11" s="16"/>
      <c r="H11" s="17"/>
      <c r="I11" s="28" t="s">
        <v>232</v>
      </c>
      <c r="J11" s="29">
        <v>4.1666666666666664E-2</v>
      </c>
      <c r="K11" s="30" t="s">
        <v>236</v>
      </c>
    </row>
    <row r="12" spans="1:11" ht="19.25" customHeight="1" x14ac:dyDescent="0.15">
      <c r="A12" s="18"/>
      <c r="B12" s="19"/>
      <c r="C12" s="24"/>
      <c r="D12" s="15"/>
      <c r="E12" s="25"/>
      <c r="F12" s="26"/>
      <c r="G12" s="16"/>
      <c r="H12" s="17"/>
      <c r="I12" s="28" t="s">
        <v>230</v>
      </c>
      <c r="J12" s="29">
        <v>0.125</v>
      </c>
      <c r="K12" s="30" t="s">
        <v>237</v>
      </c>
    </row>
    <row r="13" spans="1:11" ht="16" x14ac:dyDescent="0.15">
      <c r="A13" s="14"/>
      <c r="B13" s="19"/>
      <c r="C13" s="31"/>
      <c r="D13" s="15"/>
      <c r="E13" s="32"/>
      <c r="F13" s="33"/>
      <c r="G13" s="16"/>
      <c r="H13" s="17"/>
      <c r="I13" s="28"/>
      <c r="J13" s="29"/>
      <c r="K13" s="30"/>
    </row>
    <row r="14" spans="1:11" ht="16" x14ac:dyDescent="0.15">
      <c r="A14" s="34"/>
      <c r="B14" s="28"/>
      <c r="C14" s="35"/>
      <c r="D14" s="11"/>
      <c r="E14" s="32"/>
      <c r="F14" s="36"/>
      <c r="G14" s="27"/>
      <c r="H14" s="12"/>
      <c r="I14" s="28"/>
      <c r="J14" s="37"/>
      <c r="K14" s="30"/>
    </row>
    <row r="15" spans="1:11" ht="16" x14ac:dyDescent="0.2">
      <c r="A15" s="38"/>
      <c r="B15" s="39"/>
      <c r="C15" s="40"/>
      <c r="D15" s="11"/>
      <c r="E15" s="25"/>
      <c r="F15" s="40"/>
      <c r="G15" s="27"/>
      <c r="H15" s="12"/>
      <c r="I15" s="41"/>
      <c r="J15" s="37"/>
      <c r="K15" s="30"/>
    </row>
    <row r="16" spans="1:11" ht="16" x14ac:dyDescent="0.2">
      <c r="A16" s="38"/>
      <c r="B16" s="39"/>
      <c r="C16" s="40"/>
      <c r="D16" s="11"/>
      <c r="E16" s="32"/>
      <c r="F16" s="40"/>
      <c r="G16" s="27"/>
      <c r="H16" s="12"/>
      <c r="I16" s="41"/>
      <c r="J16" s="37"/>
      <c r="K16" s="42"/>
    </row>
    <row r="17" spans="1:11" ht="16" x14ac:dyDescent="0.2">
      <c r="A17" s="38"/>
      <c r="B17" s="39"/>
      <c r="C17" s="40"/>
      <c r="D17" s="11"/>
      <c r="E17" s="32"/>
      <c r="F17" s="40"/>
      <c r="G17" s="27"/>
      <c r="H17" s="12"/>
      <c r="I17" s="41"/>
      <c r="J17" s="37"/>
      <c r="K17" s="42"/>
    </row>
    <row r="18" spans="1:11" ht="16" x14ac:dyDescent="0.2">
      <c r="A18" s="43"/>
      <c r="B18" s="44"/>
      <c r="C18" s="40"/>
      <c r="D18" s="11"/>
      <c r="E18" s="45"/>
      <c r="F18" s="46"/>
      <c r="G18" s="27"/>
      <c r="H18" s="12"/>
      <c r="I18" s="10"/>
      <c r="J18" s="13"/>
      <c r="K18" s="10"/>
    </row>
    <row r="19" spans="1:11" x14ac:dyDescent="0.15">
      <c r="A19" s="47"/>
      <c r="B19" s="48"/>
      <c r="C19" s="49"/>
      <c r="D19" s="50"/>
      <c r="E19" s="47"/>
      <c r="F19" s="49"/>
      <c r="G19" s="51"/>
      <c r="H19" s="49"/>
      <c r="I19" s="48"/>
      <c r="J19" s="52"/>
      <c r="K19" s="48"/>
    </row>
    <row r="20" spans="1:11" x14ac:dyDescent="0.15">
      <c r="A20" s="47"/>
      <c r="B20" s="48"/>
      <c r="C20" s="49"/>
      <c r="D20" s="50"/>
      <c r="E20" s="47"/>
      <c r="F20" s="49"/>
      <c r="G20" s="51"/>
      <c r="H20" s="49"/>
      <c r="I20" s="48"/>
      <c r="J20" s="52"/>
      <c r="K20" s="48"/>
    </row>
    <row r="21" spans="1:11" x14ac:dyDescent="0.15">
      <c r="A21" s="47"/>
      <c r="B21" s="48"/>
      <c r="C21" s="53"/>
      <c r="D21" s="47"/>
      <c r="E21" s="52"/>
      <c r="F21" s="53"/>
      <c r="G21" s="51"/>
      <c r="H21" s="49"/>
      <c r="I21" s="48"/>
      <c r="J21" s="52"/>
      <c r="K21" s="48"/>
    </row>
    <row r="22" spans="1:11" x14ac:dyDescent="0.15">
      <c r="A22" s="54"/>
      <c r="B22" s="55"/>
      <c r="C22" s="56"/>
      <c r="D22" s="56"/>
      <c r="E22" s="57" t="s">
        <v>21</v>
      </c>
      <c r="F22" s="58">
        <f>SUM(F9:F21)</f>
        <v>66</v>
      </c>
      <c r="G22" s="59">
        <f>SUM(G9:G21)/F22</f>
        <v>1435.3909090909092</v>
      </c>
      <c r="H22" s="60">
        <f>SUM(H9:H21)/F22</f>
        <v>14.512121212121212</v>
      </c>
      <c r="I22" s="61" t="s">
        <v>22</v>
      </c>
      <c r="J22" s="186">
        <v>0.1875</v>
      </c>
      <c r="K22" s="55"/>
    </row>
    <row r="23" spans="1:11" x14ac:dyDescent="0.15">
      <c r="E23" s="62"/>
      <c r="F23" s="63"/>
      <c r="I23" s="64" t="s">
        <v>23</v>
      </c>
      <c r="J23" s="65">
        <v>4.5</v>
      </c>
    </row>
    <row r="24" spans="1:11" x14ac:dyDescent="0.15">
      <c r="A24" s="1"/>
      <c r="I24" s="66"/>
      <c r="J24" s="67"/>
    </row>
    <row r="25" spans="1:11" x14ac:dyDescent="0.15">
      <c r="A25" s="68" t="s">
        <v>24</v>
      </c>
      <c r="B25" s="68"/>
      <c r="C25" s="68"/>
      <c r="D25" s="53"/>
      <c r="H25" s="4" t="s">
        <v>25</v>
      </c>
      <c r="I25" s="4"/>
      <c r="J25" s="62">
        <f>F22</f>
        <v>66</v>
      </c>
      <c r="K25" s="1" t="s">
        <v>16</v>
      </c>
    </row>
    <row r="26" spans="1:11" x14ac:dyDescent="0.15">
      <c r="A26" s="68" t="s">
        <v>26</v>
      </c>
      <c r="B26" s="68"/>
      <c r="C26" s="68"/>
      <c r="D26" s="53"/>
      <c r="H26" s="4" t="s">
        <v>27</v>
      </c>
      <c r="I26" s="4"/>
      <c r="J26" s="62">
        <v>66</v>
      </c>
      <c r="K26" s="1" t="s">
        <v>16</v>
      </c>
    </row>
    <row r="27" spans="1:11" ht="15" thickBot="1" x14ac:dyDescent="0.2">
      <c r="A27" s="69"/>
      <c r="B27" s="69"/>
      <c r="C27" s="69"/>
      <c r="D27" s="69"/>
      <c r="E27" s="70"/>
      <c r="F27" s="70"/>
      <c r="G27" s="69"/>
      <c r="H27" s="71" t="s">
        <v>28</v>
      </c>
      <c r="I27" s="71"/>
      <c r="J27" s="72">
        <v>4.5</v>
      </c>
      <c r="K27" s="73" t="s">
        <v>29</v>
      </c>
    </row>
    <row r="28" spans="1:11" x14ac:dyDescent="0.15">
      <c r="J28" s="2" t="s">
        <v>3</v>
      </c>
    </row>
    <row r="29" spans="1:11" hidden="1" x14ac:dyDescent="0.15">
      <c r="K29" s="2" t="s">
        <v>30</v>
      </c>
    </row>
    <row r="30" spans="1:11" hidden="1" x14ac:dyDescent="0.15">
      <c r="K30" s="2" t="s">
        <v>31</v>
      </c>
    </row>
    <row r="31" spans="1:11" hidden="1" x14ac:dyDescent="0.15">
      <c r="K31" s="2" t="s">
        <v>32</v>
      </c>
    </row>
    <row r="32" spans="1:11" hidden="1" x14ac:dyDescent="0.15">
      <c r="K32" s="2" t="s">
        <v>33</v>
      </c>
    </row>
    <row r="33" spans="9:11" hidden="1" x14ac:dyDescent="0.15">
      <c r="K33" s="2" t="s">
        <v>34</v>
      </c>
    </row>
    <row r="34" spans="9:11" hidden="1" x14ac:dyDescent="0.15">
      <c r="K34" s="2" t="s">
        <v>35</v>
      </c>
    </row>
    <row r="35" spans="9:11" hidden="1" x14ac:dyDescent="0.15">
      <c r="K35" s="2" t="s">
        <v>36</v>
      </c>
    </row>
    <row r="36" spans="9:11" hidden="1" x14ac:dyDescent="0.15">
      <c r="K36" s="2" t="s">
        <v>37</v>
      </c>
    </row>
    <row r="37" spans="9:11" hidden="1" x14ac:dyDescent="0.15">
      <c r="K37" s="2" t="s">
        <v>38</v>
      </c>
    </row>
    <row r="38" spans="9:11" hidden="1" x14ac:dyDescent="0.15">
      <c r="K38" s="2" t="s">
        <v>39</v>
      </c>
    </row>
    <row r="39" spans="9:11" hidden="1" x14ac:dyDescent="0.15">
      <c r="K39" s="2" t="s">
        <v>40</v>
      </c>
    </row>
    <row r="40" spans="9:11" hidden="1" x14ac:dyDescent="0.15">
      <c r="K40" s="2" t="s">
        <v>41</v>
      </c>
    </row>
    <row r="41" spans="9:11" ht="30" hidden="1" x14ac:dyDescent="0.15">
      <c r="I41" s="74" t="s">
        <v>42</v>
      </c>
      <c r="K41" s="2" t="s">
        <v>43</v>
      </c>
    </row>
    <row r="42" spans="9:11" ht="15" hidden="1" x14ac:dyDescent="0.15">
      <c r="I42" s="74" t="s">
        <v>44</v>
      </c>
      <c r="K42" s="2" t="s">
        <v>45</v>
      </c>
    </row>
    <row r="43" spans="9:11" hidden="1" x14ac:dyDescent="0.15">
      <c r="I43" s="75" t="s">
        <v>46</v>
      </c>
      <c r="K43" s="2" t="s">
        <v>47</v>
      </c>
    </row>
    <row r="44" spans="9:11" hidden="1" x14ac:dyDescent="0.15">
      <c r="I44" s="2" t="s">
        <v>48</v>
      </c>
      <c r="K44" s="2" t="s">
        <v>49</v>
      </c>
    </row>
    <row r="45" spans="9:11" hidden="1" x14ac:dyDescent="0.15">
      <c r="I45" s="2" t="s">
        <v>50</v>
      </c>
      <c r="K45" s="2" t="s">
        <v>51</v>
      </c>
    </row>
    <row r="46" spans="9:11" hidden="1" x14ac:dyDescent="0.15">
      <c r="I46" s="2" t="s">
        <v>52</v>
      </c>
      <c r="K46" s="2" t="s">
        <v>53</v>
      </c>
    </row>
    <row r="47" spans="9:11" hidden="1" x14ac:dyDescent="0.15">
      <c r="I47" s="2" t="s">
        <v>54</v>
      </c>
      <c r="K47" s="2" t="s">
        <v>55</v>
      </c>
    </row>
    <row r="48" spans="9:11" hidden="1" x14ac:dyDescent="0.15">
      <c r="I48" s="2" t="s">
        <v>56</v>
      </c>
      <c r="K48" s="2" t="s">
        <v>57</v>
      </c>
    </row>
    <row r="49" spans="9:11" hidden="1" x14ac:dyDescent="0.15">
      <c r="I49" s="2" t="s">
        <v>58</v>
      </c>
      <c r="K49" s="2" t="s">
        <v>59</v>
      </c>
    </row>
    <row r="50" spans="9:11" hidden="1" x14ac:dyDescent="0.15">
      <c r="I50" s="2" t="s">
        <v>60</v>
      </c>
      <c r="K50" s="2" t="s">
        <v>61</v>
      </c>
    </row>
    <row r="51" spans="9:11" hidden="1" x14ac:dyDescent="0.15">
      <c r="K51" s="2" t="s">
        <v>62</v>
      </c>
    </row>
    <row r="52" spans="9:11" hidden="1" x14ac:dyDescent="0.15">
      <c r="K52" s="2" t="s">
        <v>63</v>
      </c>
    </row>
    <row r="53" spans="9:11" hidden="1" x14ac:dyDescent="0.15">
      <c r="K53" s="2" t="s">
        <v>64</v>
      </c>
    </row>
    <row r="54" spans="9:11" hidden="1" x14ac:dyDescent="0.15">
      <c r="K54" s="2" t="s">
        <v>65</v>
      </c>
    </row>
    <row r="55" spans="9:11" hidden="1" x14ac:dyDescent="0.15">
      <c r="K55" s="2" t="s">
        <v>66</v>
      </c>
    </row>
    <row r="56" spans="9:11" hidden="1" x14ac:dyDescent="0.15">
      <c r="K56" s="2" t="s">
        <v>67</v>
      </c>
    </row>
    <row r="57" spans="9:11" hidden="1" x14ac:dyDescent="0.15">
      <c r="K57" s="2" t="s">
        <v>68</v>
      </c>
    </row>
    <row r="58" spans="9:11" hidden="1" x14ac:dyDescent="0.15">
      <c r="K58" s="2" t="s">
        <v>69</v>
      </c>
    </row>
    <row r="59" spans="9:11" hidden="1" x14ac:dyDescent="0.15">
      <c r="K59" s="2" t="s">
        <v>70</v>
      </c>
    </row>
    <row r="60" spans="9:11" hidden="1" x14ac:dyDescent="0.15">
      <c r="K60" s="2" t="s">
        <v>71</v>
      </c>
    </row>
    <row r="61" spans="9:11" hidden="1" x14ac:dyDescent="0.15">
      <c r="K61" s="2" t="s">
        <v>72</v>
      </c>
    </row>
    <row r="62" spans="9:11" hidden="1" x14ac:dyDescent="0.15">
      <c r="K62" s="2" t="s">
        <v>73</v>
      </c>
    </row>
    <row r="63" spans="9:11" hidden="1" x14ac:dyDescent="0.15">
      <c r="K63" s="2" t="s">
        <v>67</v>
      </c>
    </row>
    <row r="64" spans="9:11" hidden="1" x14ac:dyDescent="0.15">
      <c r="K64" s="2" t="s">
        <v>74</v>
      </c>
    </row>
    <row r="65" spans="11:11" hidden="1" x14ac:dyDescent="0.15">
      <c r="K65" s="2" t="s">
        <v>75</v>
      </c>
    </row>
    <row r="66" spans="11:11" hidden="1" x14ac:dyDescent="0.15">
      <c r="K66" s="2" t="s">
        <v>76</v>
      </c>
    </row>
    <row r="67" spans="11:11" hidden="1" x14ac:dyDescent="0.15">
      <c r="K67" s="2" t="s">
        <v>77</v>
      </c>
    </row>
    <row r="68" spans="11:11" hidden="1" x14ac:dyDescent="0.15">
      <c r="K68" s="2" t="s">
        <v>78</v>
      </c>
    </row>
    <row r="69" spans="11:11" hidden="1" x14ac:dyDescent="0.15">
      <c r="K69" s="2" t="s">
        <v>79</v>
      </c>
    </row>
    <row r="70" spans="11:11" hidden="1" x14ac:dyDescent="0.15">
      <c r="K70" s="2" t="s">
        <v>80</v>
      </c>
    </row>
    <row r="71" spans="11:11" hidden="1" x14ac:dyDescent="0.15">
      <c r="K71" s="2" t="s">
        <v>81</v>
      </c>
    </row>
    <row r="72" spans="11:11" hidden="1" x14ac:dyDescent="0.15">
      <c r="K72" s="2" t="s">
        <v>82</v>
      </c>
    </row>
    <row r="73" spans="11:11" hidden="1" x14ac:dyDescent="0.15">
      <c r="K73" s="2" t="s">
        <v>83</v>
      </c>
    </row>
    <row r="74" spans="11:11" hidden="1" x14ac:dyDescent="0.15">
      <c r="K74" s="2" t="s">
        <v>84</v>
      </c>
    </row>
    <row r="75" spans="11:11" hidden="1" x14ac:dyDescent="0.15">
      <c r="K75" s="2" t="s">
        <v>85</v>
      </c>
    </row>
    <row r="76" spans="11:11" hidden="1" x14ac:dyDescent="0.15">
      <c r="K76" s="2" t="s">
        <v>86</v>
      </c>
    </row>
    <row r="77" spans="11:11" hidden="1" x14ac:dyDescent="0.15">
      <c r="K77" s="2" t="s">
        <v>87</v>
      </c>
    </row>
    <row r="78" spans="11:11" hidden="1" x14ac:dyDescent="0.15">
      <c r="K78" s="2" t="s">
        <v>88</v>
      </c>
    </row>
    <row r="79" spans="11:11" hidden="1" x14ac:dyDescent="0.15">
      <c r="K79" s="2" t="s">
        <v>89</v>
      </c>
    </row>
    <row r="80" spans="11:11" hidden="1" x14ac:dyDescent="0.15">
      <c r="K80" s="2" t="s">
        <v>90</v>
      </c>
    </row>
    <row r="81" spans="11:11" hidden="1" x14ac:dyDescent="0.15">
      <c r="K81" s="2" t="s">
        <v>91</v>
      </c>
    </row>
    <row r="82" spans="11:11" hidden="1" x14ac:dyDescent="0.15">
      <c r="K82" s="2" t="s">
        <v>92</v>
      </c>
    </row>
    <row r="83" spans="11:11" hidden="1" x14ac:dyDescent="0.15">
      <c r="K83" s="2" t="s">
        <v>93</v>
      </c>
    </row>
    <row r="84" spans="11:11" hidden="1" x14ac:dyDescent="0.15">
      <c r="K84" s="2" t="s">
        <v>94</v>
      </c>
    </row>
    <row r="85" spans="11:11" hidden="1" x14ac:dyDescent="0.15">
      <c r="K85" s="2" t="s">
        <v>47</v>
      </c>
    </row>
  </sheetData>
  <dataValidations count="3">
    <dataValidation type="list" allowBlank="1" showInputMessage="1" showErrorMessage="1" sqref="I50 K15:K21" xr:uid="{B56980A8-B865-40AB-9A94-7FB86018E27A}">
      <formula1>$I$41:$I$50</formula1>
    </dataValidation>
    <dataValidation type="list" allowBlank="1" showInputMessage="1" showErrorMessage="1" sqref="B20:B21" xr:uid="{9292E2B5-2497-4E78-99C2-891FE9946C25}">
      <formula1>$K$29:$K$40</formula1>
    </dataValidation>
    <dataValidation type="list" allowBlank="1" showInputMessage="1" showErrorMessage="1" sqref="B16:B19" xr:uid="{6B657E47-7E26-41B0-8B42-15B19B7BC201}">
      <formula1>$K$29:$K$85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9BA199-6346-4E69-A7A0-1FF0D626C2FF}">
  <dimension ref="A1:K85"/>
  <sheetViews>
    <sheetView workbookViewId="0">
      <selection activeCell="I9" sqref="I9:K11"/>
    </sheetView>
  </sheetViews>
  <sheetFormatPr baseColWidth="10" defaultColWidth="9.1640625" defaultRowHeight="14" x14ac:dyDescent="0.15"/>
  <cols>
    <col min="1" max="1" width="5.1640625" style="2" customWidth="1"/>
    <col min="2" max="2" width="22.5" style="2" customWidth="1"/>
    <col min="3" max="3" width="6.1640625" style="2" customWidth="1"/>
    <col min="4" max="4" width="12.5" style="2" bestFit="1" customWidth="1"/>
    <col min="5" max="5" width="9.83203125" style="2" customWidth="1"/>
    <col min="6" max="6" width="9.33203125" style="2" bestFit="1" customWidth="1"/>
    <col min="7" max="7" width="8.6640625" style="2" customWidth="1"/>
    <col min="8" max="8" width="9.5" style="2" bestFit="1" customWidth="1"/>
    <col min="9" max="9" width="17.83203125" style="2" bestFit="1" customWidth="1"/>
    <col min="10" max="10" width="10.33203125" style="2" bestFit="1" customWidth="1"/>
    <col min="11" max="11" width="75" style="2" bestFit="1" customWidth="1"/>
    <col min="12" max="16384" width="9.1640625" style="2"/>
  </cols>
  <sheetData>
    <row r="1" spans="1:11" x14ac:dyDescent="0.15">
      <c r="A1" s="1" t="s">
        <v>0</v>
      </c>
      <c r="I1" s="3"/>
    </row>
    <row r="2" spans="1:11" x14ac:dyDescent="0.15">
      <c r="J2" s="4"/>
    </row>
    <row r="3" spans="1:11" x14ac:dyDescent="0.15">
      <c r="A3" s="3" t="s">
        <v>1</v>
      </c>
      <c r="I3" s="1"/>
      <c r="J3" s="1"/>
    </row>
    <row r="4" spans="1:11" x14ac:dyDescent="0.15">
      <c r="A4" s="3"/>
      <c r="I4" s="4" t="s">
        <v>2</v>
      </c>
      <c r="J4" s="76">
        <v>45779</v>
      </c>
    </row>
    <row r="5" spans="1:11" x14ac:dyDescent="0.15">
      <c r="J5" s="2" t="s">
        <v>3</v>
      </c>
    </row>
    <row r="6" spans="1:11" ht="30" x14ac:dyDescent="0.15">
      <c r="A6" s="5" t="s">
        <v>4</v>
      </c>
      <c r="B6" s="5" t="s">
        <v>5</v>
      </c>
      <c r="C6" s="5" t="s">
        <v>6</v>
      </c>
      <c r="D6" s="5" t="s">
        <v>7</v>
      </c>
      <c r="E6" s="5" t="s">
        <v>8</v>
      </c>
      <c r="F6" s="5" t="s">
        <v>9</v>
      </c>
      <c r="G6" s="6" t="s">
        <v>10</v>
      </c>
      <c r="H6" s="6" t="s">
        <v>11</v>
      </c>
      <c r="I6" s="6" t="s">
        <v>12</v>
      </c>
      <c r="J6" s="7"/>
      <c r="K6" s="5" t="s">
        <v>13</v>
      </c>
    </row>
    <row r="7" spans="1:11" ht="30" x14ac:dyDescent="0.15">
      <c r="A7" s="6"/>
      <c r="B7" s="8"/>
      <c r="C7" s="5"/>
      <c r="D7" s="5" t="s">
        <v>14</v>
      </c>
      <c r="E7" s="5" t="s">
        <v>15</v>
      </c>
      <c r="F7" s="9" t="s">
        <v>16</v>
      </c>
      <c r="G7" s="9" t="s">
        <v>15</v>
      </c>
      <c r="H7" s="9" t="s">
        <v>17</v>
      </c>
      <c r="I7" s="5" t="s">
        <v>18</v>
      </c>
      <c r="J7" s="9" t="s">
        <v>19</v>
      </c>
      <c r="K7" s="9"/>
    </row>
    <row r="8" spans="1:11" ht="16" x14ac:dyDescent="0.2">
      <c r="A8" s="10"/>
      <c r="B8" s="11"/>
      <c r="C8" s="12"/>
      <c r="D8" s="11"/>
      <c r="E8" s="11"/>
      <c r="F8" s="10"/>
      <c r="G8" s="10"/>
      <c r="H8" s="10"/>
      <c r="I8" s="10"/>
      <c r="J8" s="13"/>
      <c r="K8" s="10"/>
    </row>
    <row r="9" spans="1:11" ht="17" x14ac:dyDescent="0.15">
      <c r="A9" s="192">
        <v>1</v>
      </c>
      <c r="B9" s="187" t="s">
        <v>231</v>
      </c>
      <c r="C9" s="188">
        <v>14</v>
      </c>
      <c r="D9" s="15">
        <v>2.85</v>
      </c>
      <c r="E9" s="193">
        <v>1360</v>
      </c>
      <c r="F9" s="189">
        <v>12.4</v>
      </c>
      <c r="G9" s="16">
        <f t="shared" ref="G9:G11" si="0">E9*F9</f>
        <v>16864</v>
      </c>
      <c r="H9" s="17">
        <f t="shared" ref="H9:H11" si="1">F9*C9</f>
        <v>173.6</v>
      </c>
      <c r="I9" s="194" t="s">
        <v>20</v>
      </c>
      <c r="J9" s="190">
        <v>2.0833333333333332E-2</v>
      </c>
      <c r="K9" s="191" t="s">
        <v>234</v>
      </c>
    </row>
    <row r="10" spans="1:11" ht="17" x14ac:dyDescent="0.15">
      <c r="A10" s="23">
        <v>2</v>
      </c>
      <c r="B10" s="187" t="s">
        <v>231</v>
      </c>
      <c r="C10" s="188">
        <v>15</v>
      </c>
      <c r="D10" s="15">
        <v>2.85</v>
      </c>
      <c r="E10" s="193">
        <v>1360</v>
      </c>
      <c r="F10" s="189">
        <v>39.9</v>
      </c>
      <c r="G10" s="16">
        <f t="shared" si="0"/>
        <v>54264</v>
      </c>
      <c r="H10" s="17">
        <f t="shared" si="1"/>
        <v>598.5</v>
      </c>
      <c r="I10" s="195" t="s">
        <v>44</v>
      </c>
      <c r="J10" s="29">
        <v>2.0833333333333332E-2</v>
      </c>
      <c r="K10" s="30" t="s">
        <v>44</v>
      </c>
    </row>
    <row r="11" spans="1:11" ht="17" x14ac:dyDescent="0.15">
      <c r="A11" s="192">
        <v>3</v>
      </c>
      <c r="B11" s="187" t="s">
        <v>231</v>
      </c>
      <c r="C11" s="188">
        <v>16</v>
      </c>
      <c r="D11" s="15">
        <v>2.85</v>
      </c>
      <c r="E11" s="193">
        <v>1360</v>
      </c>
      <c r="F11" s="207">
        <v>19.7</v>
      </c>
      <c r="G11" s="16">
        <f t="shared" si="0"/>
        <v>26792</v>
      </c>
      <c r="H11" s="17">
        <f t="shared" si="1"/>
        <v>315.2</v>
      </c>
      <c r="I11" s="28" t="s">
        <v>238</v>
      </c>
      <c r="J11" s="29">
        <v>4.8611111111111112E-2</v>
      </c>
      <c r="K11" s="30" t="s">
        <v>239</v>
      </c>
    </row>
    <row r="12" spans="1:11" ht="19.25" customHeight="1" x14ac:dyDescent="0.15">
      <c r="A12" s="18"/>
      <c r="B12" s="19"/>
      <c r="C12" s="24"/>
      <c r="D12" s="15"/>
      <c r="E12" s="25"/>
      <c r="F12" s="26"/>
      <c r="G12" s="16"/>
      <c r="H12" s="17"/>
      <c r="I12" s="28"/>
      <c r="J12" s="29"/>
      <c r="K12" s="30"/>
    </row>
    <row r="13" spans="1:11" ht="16" x14ac:dyDescent="0.15">
      <c r="A13" s="14"/>
      <c r="B13" s="19"/>
      <c r="C13" s="31"/>
      <c r="D13" s="15"/>
      <c r="E13" s="32"/>
      <c r="F13" s="33"/>
      <c r="G13" s="16"/>
      <c r="H13" s="17"/>
      <c r="I13" s="28"/>
      <c r="J13" s="29"/>
      <c r="K13" s="30"/>
    </row>
    <row r="14" spans="1:11" ht="16" x14ac:dyDescent="0.15">
      <c r="A14" s="34"/>
      <c r="B14" s="28"/>
      <c r="C14" s="35"/>
      <c r="D14" s="11"/>
      <c r="E14" s="32"/>
      <c r="F14" s="36"/>
      <c r="G14" s="27"/>
      <c r="H14" s="12"/>
      <c r="I14" s="28"/>
      <c r="J14" s="37"/>
      <c r="K14" s="30"/>
    </row>
    <row r="15" spans="1:11" ht="16" x14ac:dyDescent="0.2">
      <c r="A15" s="38"/>
      <c r="B15" s="39"/>
      <c r="C15" s="40"/>
      <c r="D15" s="11"/>
      <c r="E15" s="25"/>
      <c r="F15" s="40"/>
      <c r="G15" s="27"/>
      <c r="H15" s="12"/>
      <c r="I15" s="41"/>
      <c r="J15" s="37"/>
      <c r="K15" s="30"/>
    </row>
    <row r="16" spans="1:11" ht="16" x14ac:dyDescent="0.2">
      <c r="A16" s="38"/>
      <c r="B16" s="39"/>
      <c r="C16" s="40"/>
      <c r="D16" s="11"/>
      <c r="E16" s="32"/>
      <c r="F16" s="40"/>
      <c r="G16" s="27"/>
      <c r="H16" s="12"/>
      <c r="I16" s="41"/>
      <c r="J16" s="37"/>
      <c r="K16" s="42"/>
    </row>
    <row r="17" spans="1:11" ht="16" x14ac:dyDescent="0.2">
      <c r="A17" s="38"/>
      <c r="B17" s="39"/>
      <c r="C17" s="40"/>
      <c r="D17" s="11"/>
      <c r="E17" s="32"/>
      <c r="F17" s="40"/>
      <c r="G17" s="27"/>
      <c r="H17" s="12"/>
      <c r="I17" s="41"/>
      <c r="J17" s="37"/>
      <c r="K17" s="42"/>
    </row>
    <row r="18" spans="1:11" ht="16" x14ac:dyDescent="0.2">
      <c r="A18" s="43"/>
      <c r="B18" s="44"/>
      <c r="C18" s="40"/>
      <c r="D18" s="11"/>
      <c r="E18" s="45"/>
      <c r="F18" s="46"/>
      <c r="G18" s="27"/>
      <c r="H18" s="12"/>
      <c r="I18" s="10"/>
      <c r="J18" s="13"/>
      <c r="K18" s="10"/>
    </row>
    <row r="19" spans="1:11" x14ac:dyDescent="0.15">
      <c r="A19" s="47"/>
      <c r="B19" s="48"/>
      <c r="C19" s="49"/>
      <c r="D19" s="50"/>
      <c r="E19" s="47"/>
      <c r="F19" s="49"/>
      <c r="G19" s="51"/>
      <c r="H19" s="49"/>
      <c r="I19" s="48"/>
      <c r="J19" s="52"/>
      <c r="K19" s="48"/>
    </row>
    <row r="20" spans="1:11" x14ac:dyDescent="0.15">
      <c r="A20" s="47"/>
      <c r="B20" s="48"/>
      <c r="C20" s="49"/>
      <c r="D20" s="50"/>
      <c r="E20" s="47"/>
      <c r="F20" s="49"/>
      <c r="G20" s="51"/>
      <c r="H20" s="49"/>
      <c r="I20" s="48"/>
      <c r="J20" s="52"/>
      <c r="K20" s="48"/>
    </row>
    <row r="21" spans="1:11" x14ac:dyDescent="0.15">
      <c r="A21" s="47"/>
      <c r="B21" s="48"/>
      <c r="C21" s="53"/>
      <c r="D21" s="47"/>
      <c r="E21" s="52"/>
      <c r="F21" s="53"/>
      <c r="G21" s="51"/>
      <c r="H21" s="49"/>
      <c r="I21" s="48"/>
      <c r="J21" s="52"/>
      <c r="K21" s="48"/>
    </row>
    <row r="22" spans="1:11" x14ac:dyDescent="0.15">
      <c r="A22" s="54"/>
      <c r="B22" s="55"/>
      <c r="C22" s="56"/>
      <c r="D22" s="56"/>
      <c r="E22" s="57" t="s">
        <v>21</v>
      </c>
      <c r="F22" s="58">
        <f>SUM(F9:F21)</f>
        <v>72</v>
      </c>
      <c r="G22" s="59">
        <f>SUM(G9:G21)/F22</f>
        <v>1360</v>
      </c>
      <c r="H22" s="60">
        <f>SUM(H9:H21)/F22</f>
        <v>15.101388888888888</v>
      </c>
      <c r="I22" s="61" t="s">
        <v>22</v>
      </c>
      <c r="J22" s="186">
        <v>9.0277777777777776E-2</v>
      </c>
      <c r="K22" s="55"/>
    </row>
    <row r="23" spans="1:11" x14ac:dyDescent="0.15">
      <c r="E23" s="62"/>
      <c r="F23" s="63"/>
      <c r="I23" s="64" t="s">
        <v>23</v>
      </c>
      <c r="J23" s="65">
        <v>2.17</v>
      </c>
    </row>
    <row r="24" spans="1:11" x14ac:dyDescent="0.15">
      <c r="A24" s="1"/>
      <c r="I24" s="66"/>
      <c r="J24" s="67"/>
    </row>
    <row r="25" spans="1:11" x14ac:dyDescent="0.15">
      <c r="A25" s="68" t="s">
        <v>24</v>
      </c>
      <c r="B25" s="68"/>
      <c r="C25" s="68"/>
      <c r="D25" s="53"/>
      <c r="H25" s="4" t="s">
        <v>25</v>
      </c>
      <c r="I25" s="4"/>
      <c r="J25" s="62">
        <f>F22</f>
        <v>72</v>
      </c>
      <c r="K25" s="1" t="s">
        <v>16</v>
      </c>
    </row>
    <row r="26" spans="1:11" x14ac:dyDescent="0.15">
      <c r="A26" s="68" t="s">
        <v>26</v>
      </c>
      <c r="B26" s="68"/>
      <c r="C26" s="68"/>
      <c r="D26" s="53"/>
      <c r="H26" s="4" t="s">
        <v>27</v>
      </c>
      <c r="I26" s="4"/>
      <c r="J26" s="62">
        <f>66+72</f>
        <v>138</v>
      </c>
      <c r="K26" s="1" t="s">
        <v>16</v>
      </c>
    </row>
    <row r="27" spans="1:11" ht="15" thickBot="1" x14ac:dyDescent="0.2">
      <c r="A27" s="69"/>
      <c r="B27" s="69"/>
      <c r="C27" s="69"/>
      <c r="D27" s="69"/>
      <c r="E27" s="70"/>
      <c r="F27" s="70"/>
      <c r="G27" s="69"/>
      <c r="H27" s="71" t="s">
        <v>28</v>
      </c>
      <c r="I27" s="71"/>
      <c r="J27" s="72">
        <v>6.67</v>
      </c>
      <c r="K27" s="73" t="s">
        <v>29</v>
      </c>
    </row>
    <row r="28" spans="1:11" x14ac:dyDescent="0.15">
      <c r="J28" s="2" t="s">
        <v>3</v>
      </c>
    </row>
    <row r="29" spans="1:11" hidden="1" x14ac:dyDescent="0.15">
      <c r="K29" s="2" t="s">
        <v>30</v>
      </c>
    </row>
    <row r="30" spans="1:11" hidden="1" x14ac:dyDescent="0.15">
      <c r="K30" s="2" t="s">
        <v>31</v>
      </c>
    </row>
    <row r="31" spans="1:11" hidden="1" x14ac:dyDescent="0.15">
      <c r="K31" s="2" t="s">
        <v>32</v>
      </c>
    </row>
    <row r="32" spans="1:11" hidden="1" x14ac:dyDescent="0.15">
      <c r="K32" s="2" t="s">
        <v>33</v>
      </c>
    </row>
    <row r="33" spans="9:11" hidden="1" x14ac:dyDescent="0.15">
      <c r="K33" s="2" t="s">
        <v>34</v>
      </c>
    </row>
    <row r="34" spans="9:11" hidden="1" x14ac:dyDescent="0.15">
      <c r="K34" s="2" t="s">
        <v>35</v>
      </c>
    </row>
    <row r="35" spans="9:11" hidden="1" x14ac:dyDescent="0.15">
      <c r="K35" s="2" t="s">
        <v>36</v>
      </c>
    </row>
    <row r="36" spans="9:11" hidden="1" x14ac:dyDescent="0.15">
      <c r="K36" s="2" t="s">
        <v>37</v>
      </c>
    </row>
    <row r="37" spans="9:11" hidden="1" x14ac:dyDescent="0.15">
      <c r="K37" s="2" t="s">
        <v>38</v>
      </c>
    </row>
    <row r="38" spans="9:11" hidden="1" x14ac:dyDescent="0.15">
      <c r="K38" s="2" t="s">
        <v>39</v>
      </c>
    </row>
    <row r="39" spans="9:11" hidden="1" x14ac:dyDescent="0.15">
      <c r="K39" s="2" t="s">
        <v>40</v>
      </c>
    </row>
    <row r="40" spans="9:11" hidden="1" x14ac:dyDescent="0.15">
      <c r="K40" s="2" t="s">
        <v>41</v>
      </c>
    </row>
    <row r="41" spans="9:11" ht="30" hidden="1" x14ac:dyDescent="0.15">
      <c r="I41" s="74" t="s">
        <v>42</v>
      </c>
      <c r="K41" s="2" t="s">
        <v>43</v>
      </c>
    </row>
    <row r="42" spans="9:11" ht="15" hidden="1" x14ac:dyDescent="0.15">
      <c r="I42" s="74" t="s">
        <v>44</v>
      </c>
      <c r="K42" s="2" t="s">
        <v>45</v>
      </c>
    </row>
    <row r="43" spans="9:11" hidden="1" x14ac:dyDescent="0.15">
      <c r="I43" s="75" t="s">
        <v>46</v>
      </c>
      <c r="K43" s="2" t="s">
        <v>47</v>
      </c>
    </row>
    <row r="44" spans="9:11" hidden="1" x14ac:dyDescent="0.15">
      <c r="I44" s="2" t="s">
        <v>48</v>
      </c>
      <c r="K44" s="2" t="s">
        <v>49</v>
      </c>
    </row>
    <row r="45" spans="9:11" hidden="1" x14ac:dyDescent="0.15">
      <c r="I45" s="2" t="s">
        <v>50</v>
      </c>
      <c r="K45" s="2" t="s">
        <v>51</v>
      </c>
    </row>
    <row r="46" spans="9:11" hidden="1" x14ac:dyDescent="0.15">
      <c r="I46" s="2" t="s">
        <v>52</v>
      </c>
      <c r="K46" s="2" t="s">
        <v>53</v>
      </c>
    </row>
    <row r="47" spans="9:11" hidden="1" x14ac:dyDescent="0.15">
      <c r="I47" s="2" t="s">
        <v>54</v>
      </c>
      <c r="K47" s="2" t="s">
        <v>55</v>
      </c>
    </row>
    <row r="48" spans="9:11" hidden="1" x14ac:dyDescent="0.15">
      <c r="I48" s="2" t="s">
        <v>56</v>
      </c>
      <c r="K48" s="2" t="s">
        <v>57</v>
      </c>
    </row>
    <row r="49" spans="9:11" hidden="1" x14ac:dyDescent="0.15">
      <c r="I49" s="2" t="s">
        <v>58</v>
      </c>
      <c r="K49" s="2" t="s">
        <v>59</v>
      </c>
    </row>
    <row r="50" spans="9:11" hidden="1" x14ac:dyDescent="0.15">
      <c r="I50" s="2" t="s">
        <v>60</v>
      </c>
      <c r="K50" s="2" t="s">
        <v>61</v>
      </c>
    </row>
    <row r="51" spans="9:11" hidden="1" x14ac:dyDescent="0.15">
      <c r="K51" s="2" t="s">
        <v>62</v>
      </c>
    </row>
    <row r="52" spans="9:11" hidden="1" x14ac:dyDescent="0.15">
      <c r="K52" s="2" t="s">
        <v>63</v>
      </c>
    </row>
    <row r="53" spans="9:11" hidden="1" x14ac:dyDescent="0.15">
      <c r="K53" s="2" t="s">
        <v>64</v>
      </c>
    </row>
    <row r="54" spans="9:11" hidden="1" x14ac:dyDescent="0.15">
      <c r="K54" s="2" t="s">
        <v>65</v>
      </c>
    </row>
    <row r="55" spans="9:11" hidden="1" x14ac:dyDescent="0.15">
      <c r="K55" s="2" t="s">
        <v>66</v>
      </c>
    </row>
    <row r="56" spans="9:11" hidden="1" x14ac:dyDescent="0.15">
      <c r="K56" s="2" t="s">
        <v>67</v>
      </c>
    </row>
    <row r="57" spans="9:11" hidden="1" x14ac:dyDescent="0.15">
      <c r="K57" s="2" t="s">
        <v>68</v>
      </c>
    </row>
    <row r="58" spans="9:11" hidden="1" x14ac:dyDescent="0.15">
      <c r="K58" s="2" t="s">
        <v>69</v>
      </c>
    </row>
    <row r="59" spans="9:11" hidden="1" x14ac:dyDescent="0.15">
      <c r="K59" s="2" t="s">
        <v>70</v>
      </c>
    </row>
    <row r="60" spans="9:11" hidden="1" x14ac:dyDescent="0.15">
      <c r="K60" s="2" t="s">
        <v>71</v>
      </c>
    </row>
    <row r="61" spans="9:11" hidden="1" x14ac:dyDescent="0.15">
      <c r="K61" s="2" t="s">
        <v>72</v>
      </c>
    </row>
    <row r="62" spans="9:11" hidden="1" x14ac:dyDescent="0.15">
      <c r="K62" s="2" t="s">
        <v>73</v>
      </c>
    </row>
    <row r="63" spans="9:11" hidden="1" x14ac:dyDescent="0.15">
      <c r="K63" s="2" t="s">
        <v>67</v>
      </c>
    </row>
    <row r="64" spans="9:11" hidden="1" x14ac:dyDescent="0.15">
      <c r="K64" s="2" t="s">
        <v>74</v>
      </c>
    </row>
    <row r="65" spans="11:11" hidden="1" x14ac:dyDescent="0.15">
      <c r="K65" s="2" t="s">
        <v>75</v>
      </c>
    </row>
    <row r="66" spans="11:11" hidden="1" x14ac:dyDescent="0.15">
      <c r="K66" s="2" t="s">
        <v>76</v>
      </c>
    </row>
    <row r="67" spans="11:11" hidden="1" x14ac:dyDescent="0.15">
      <c r="K67" s="2" t="s">
        <v>77</v>
      </c>
    </row>
    <row r="68" spans="11:11" hidden="1" x14ac:dyDescent="0.15">
      <c r="K68" s="2" t="s">
        <v>78</v>
      </c>
    </row>
    <row r="69" spans="11:11" hidden="1" x14ac:dyDescent="0.15">
      <c r="K69" s="2" t="s">
        <v>79</v>
      </c>
    </row>
    <row r="70" spans="11:11" hidden="1" x14ac:dyDescent="0.15">
      <c r="K70" s="2" t="s">
        <v>80</v>
      </c>
    </row>
    <row r="71" spans="11:11" hidden="1" x14ac:dyDescent="0.15">
      <c r="K71" s="2" t="s">
        <v>81</v>
      </c>
    </row>
    <row r="72" spans="11:11" hidden="1" x14ac:dyDescent="0.15">
      <c r="K72" s="2" t="s">
        <v>82</v>
      </c>
    </row>
    <row r="73" spans="11:11" hidden="1" x14ac:dyDescent="0.15">
      <c r="K73" s="2" t="s">
        <v>83</v>
      </c>
    </row>
    <row r="74" spans="11:11" hidden="1" x14ac:dyDescent="0.15">
      <c r="K74" s="2" t="s">
        <v>84</v>
      </c>
    </row>
    <row r="75" spans="11:11" hidden="1" x14ac:dyDescent="0.15">
      <c r="K75" s="2" t="s">
        <v>85</v>
      </c>
    </row>
    <row r="76" spans="11:11" hidden="1" x14ac:dyDescent="0.15">
      <c r="K76" s="2" t="s">
        <v>86</v>
      </c>
    </row>
    <row r="77" spans="11:11" hidden="1" x14ac:dyDescent="0.15">
      <c r="K77" s="2" t="s">
        <v>87</v>
      </c>
    </row>
    <row r="78" spans="11:11" hidden="1" x14ac:dyDescent="0.15">
      <c r="K78" s="2" t="s">
        <v>88</v>
      </c>
    </row>
    <row r="79" spans="11:11" hidden="1" x14ac:dyDescent="0.15">
      <c r="K79" s="2" t="s">
        <v>89</v>
      </c>
    </row>
    <row r="80" spans="11:11" hidden="1" x14ac:dyDescent="0.15">
      <c r="K80" s="2" t="s">
        <v>90</v>
      </c>
    </row>
    <row r="81" spans="11:11" hidden="1" x14ac:dyDescent="0.15">
      <c r="K81" s="2" t="s">
        <v>91</v>
      </c>
    </row>
    <row r="82" spans="11:11" hidden="1" x14ac:dyDescent="0.15">
      <c r="K82" s="2" t="s">
        <v>92</v>
      </c>
    </row>
    <row r="83" spans="11:11" hidden="1" x14ac:dyDescent="0.15">
      <c r="K83" s="2" t="s">
        <v>93</v>
      </c>
    </row>
    <row r="84" spans="11:11" hidden="1" x14ac:dyDescent="0.15">
      <c r="K84" s="2" t="s">
        <v>94</v>
      </c>
    </row>
    <row r="85" spans="11:11" hidden="1" x14ac:dyDescent="0.15">
      <c r="K85" s="2" t="s">
        <v>47</v>
      </c>
    </row>
  </sheetData>
  <dataValidations count="3">
    <dataValidation type="list" allowBlank="1" showInputMessage="1" showErrorMessage="1" sqref="B16:B19" xr:uid="{E46A931B-D3D1-46A6-97BA-D211FFCD6E80}">
      <formula1>$K$29:$K$85</formula1>
    </dataValidation>
    <dataValidation type="list" allowBlank="1" showInputMessage="1" showErrorMessage="1" sqref="B20:B21" xr:uid="{E8F7D1C3-A28F-444C-A2B3-161E8884C8C4}">
      <formula1>$K$29:$K$40</formula1>
    </dataValidation>
    <dataValidation type="list" allowBlank="1" showInputMessage="1" showErrorMessage="1" sqref="I50 K15:K21" xr:uid="{04F50179-AC27-4728-82C1-F51339B74773}">
      <formula1>$I$41:$I$50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19AF6-9590-43AE-BB0A-45AB2897E508}">
  <dimension ref="A1:K85"/>
  <sheetViews>
    <sheetView topLeftCell="A10" workbookViewId="0">
      <selection activeCell="A10" sqref="A1:XFD1048576"/>
    </sheetView>
  </sheetViews>
  <sheetFormatPr baseColWidth="10" defaultColWidth="9.1640625" defaultRowHeight="14" x14ac:dyDescent="0.15"/>
  <cols>
    <col min="1" max="1" width="5.1640625" style="2" customWidth="1"/>
    <col min="2" max="2" width="22.5" style="2" customWidth="1"/>
    <col min="3" max="3" width="6.1640625" style="2" customWidth="1"/>
    <col min="4" max="4" width="12.5" style="2" bestFit="1" customWidth="1"/>
    <col min="5" max="5" width="9.83203125" style="2" customWidth="1"/>
    <col min="6" max="6" width="9.33203125" style="2" bestFit="1" customWidth="1"/>
    <col min="7" max="7" width="8.6640625" style="2" customWidth="1"/>
    <col min="8" max="8" width="9.5" style="2" bestFit="1" customWidth="1"/>
    <col min="9" max="9" width="17.83203125" style="2" bestFit="1" customWidth="1"/>
    <col min="10" max="10" width="10.33203125" style="2" bestFit="1" customWidth="1"/>
    <col min="11" max="11" width="75" style="2" bestFit="1" customWidth="1"/>
    <col min="12" max="16384" width="9.1640625" style="2"/>
  </cols>
  <sheetData>
    <row r="1" spans="1:11" x14ac:dyDescent="0.15">
      <c r="A1" s="1" t="s">
        <v>0</v>
      </c>
      <c r="I1" s="3"/>
    </row>
    <row r="2" spans="1:11" x14ac:dyDescent="0.15">
      <c r="J2" s="4"/>
    </row>
    <row r="3" spans="1:11" x14ac:dyDescent="0.15">
      <c r="A3" s="3" t="s">
        <v>1</v>
      </c>
      <c r="I3" s="1"/>
      <c r="J3" s="1"/>
    </row>
    <row r="4" spans="1:11" x14ac:dyDescent="0.15">
      <c r="A4" s="3"/>
      <c r="I4" s="4" t="s">
        <v>2</v>
      </c>
      <c r="J4" s="76">
        <v>45780</v>
      </c>
    </row>
    <row r="5" spans="1:11" x14ac:dyDescent="0.15">
      <c r="J5" s="2" t="s">
        <v>3</v>
      </c>
    </row>
    <row r="6" spans="1:11" ht="30" x14ac:dyDescent="0.15">
      <c r="A6" s="5" t="s">
        <v>4</v>
      </c>
      <c r="B6" s="5" t="s">
        <v>5</v>
      </c>
      <c r="C6" s="5" t="s">
        <v>6</v>
      </c>
      <c r="D6" s="5" t="s">
        <v>7</v>
      </c>
      <c r="E6" s="5" t="s">
        <v>8</v>
      </c>
      <c r="F6" s="5" t="s">
        <v>9</v>
      </c>
      <c r="G6" s="6" t="s">
        <v>10</v>
      </c>
      <c r="H6" s="6" t="s">
        <v>11</v>
      </c>
      <c r="I6" s="6" t="s">
        <v>12</v>
      </c>
      <c r="J6" s="7"/>
      <c r="K6" s="5" t="s">
        <v>13</v>
      </c>
    </row>
    <row r="7" spans="1:11" ht="30" x14ac:dyDescent="0.15">
      <c r="A7" s="6"/>
      <c r="B7" s="8"/>
      <c r="C7" s="5"/>
      <c r="D7" s="5" t="s">
        <v>14</v>
      </c>
      <c r="E7" s="5" t="s">
        <v>15</v>
      </c>
      <c r="F7" s="9" t="s">
        <v>16</v>
      </c>
      <c r="G7" s="9" t="s">
        <v>15</v>
      </c>
      <c r="H7" s="9" t="s">
        <v>17</v>
      </c>
      <c r="I7" s="5" t="s">
        <v>18</v>
      </c>
      <c r="J7" s="9" t="s">
        <v>19</v>
      </c>
      <c r="K7" s="9"/>
    </row>
    <row r="8" spans="1:11" ht="16" x14ac:dyDescent="0.2">
      <c r="A8" s="10"/>
      <c r="B8" s="11"/>
      <c r="C8" s="12"/>
      <c r="D8" s="11"/>
      <c r="E8" s="11"/>
      <c r="F8" s="10"/>
      <c r="G8" s="10"/>
      <c r="H8" s="10"/>
      <c r="I8" s="10"/>
      <c r="J8" s="13"/>
      <c r="K8" s="10"/>
    </row>
    <row r="9" spans="1:11" ht="17" x14ac:dyDescent="0.15">
      <c r="A9" s="192">
        <v>1</v>
      </c>
      <c r="B9" s="187" t="s">
        <v>231</v>
      </c>
      <c r="C9" s="188">
        <v>14</v>
      </c>
      <c r="D9" s="15">
        <v>2.85</v>
      </c>
      <c r="E9" s="193">
        <v>1360</v>
      </c>
      <c r="F9" s="189">
        <v>6.8</v>
      </c>
      <c r="G9" s="16">
        <f t="shared" ref="G9:G12" si="0">E9*F9</f>
        <v>9248</v>
      </c>
      <c r="H9" s="17">
        <f t="shared" ref="H9:H12" si="1">F9*C9</f>
        <v>95.2</v>
      </c>
      <c r="I9" s="194" t="s">
        <v>20</v>
      </c>
      <c r="J9" s="190">
        <v>2.0833333333333332E-2</v>
      </c>
      <c r="K9" s="191" t="s">
        <v>234</v>
      </c>
    </row>
    <row r="10" spans="1:11" ht="17" x14ac:dyDescent="0.15">
      <c r="A10" s="23">
        <v>2</v>
      </c>
      <c r="B10" s="187" t="s">
        <v>231</v>
      </c>
      <c r="C10" s="188">
        <v>16</v>
      </c>
      <c r="D10" s="15">
        <v>2.85</v>
      </c>
      <c r="E10" s="193">
        <v>1360</v>
      </c>
      <c r="F10" s="189">
        <v>16.899999999999999</v>
      </c>
      <c r="G10" s="16">
        <f t="shared" si="0"/>
        <v>22983.999999999996</v>
      </c>
      <c r="H10" s="17">
        <f t="shared" si="1"/>
        <v>270.39999999999998</v>
      </c>
      <c r="I10" s="195" t="s">
        <v>44</v>
      </c>
      <c r="J10" s="29">
        <v>1.3888888888888888E-2</v>
      </c>
      <c r="K10" s="30" t="s">
        <v>44</v>
      </c>
    </row>
    <row r="11" spans="1:11" ht="17" x14ac:dyDescent="0.15">
      <c r="A11" s="192">
        <v>3</v>
      </c>
      <c r="B11" s="187" t="s">
        <v>240</v>
      </c>
      <c r="C11" s="188">
        <v>12.5</v>
      </c>
      <c r="D11" s="15">
        <v>2.85</v>
      </c>
      <c r="E11" s="193">
        <v>1343</v>
      </c>
      <c r="F11" s="207">
        <v>32</v>
      </c>
      <c r="G11" s="16">
        <f t="shared" si="0"/>
        <v>42976</v>
      </c>
      <c r="H11" s="17">
        <f t="shared" si="1"/>
        <v>400</v>
      </c>
      <c r="I11" s="28" t="s">
        <v>241</v>
      </c>
      <c r="J11" s="29">
        <v>4.1666666666666664E-2</v>
      </c>
      <c r="K11" s="30" t="s">
        <v>242</v>
      </c>
    </row>
    <row r="12" spans="1:11" ht="19.25" customHeight="1" x14ac:dyDescent="0.15">
      <c r="A12" s="23">
        <v>4</v>
      </c>
      <c r="B12" s="187" t="s">
        <v>240</v>
      </c>
      <c r="C12" s="208">
        <v>13.5</v>
      </c>
      <c r="D12" s="15">
        <v>2.85</v>
      </c>
      <c r="E12" s="209">
        <v>1343</v>
      </c>
      <c r="F12" s="210">
        <v>12.3</v>
      </c>
      <c r="G12" s="16">
        <f t="shared" si="0"/>
        <v>16518.900000000001</v>
      </c>
      <c r="H12" s="17">
        <f t="shared" si="1"/>
        <v>166.05</v>
      </c>
      <c r="I12" s="28" t="s">
        <v>243</v>
      </c>
      <c r="J12" s="29">
        <v>6.9444444444444441E-3</v>
      </c>
      <c r="K12" s="30" t="s">
        <v>243</v>
      </c>
    </row>
    <row r="13" spans="1:11" ht="16" x14ac:dyDescent="0.15">
      <c r="A13" s="14"/>
      <c r="B13" s="19"/>
      <c r="C13" s="31"/>
      <c r="D13" s="15"/>
      <c r="E13" s="32"/>
      <c r="F13" s="33"/>
      <c r="G13" s="16"/>
      <c r="H13" s="17"/>
      <c r="I13" s="28"/>
      <c r="J13" s="29"/>
      <c r="K13" s="30"/>
    </row>
    <row r="14" spans="1:11" ht="16" x14ac:dyDescent="0.15">
      <c r="A14" s="34"/>
      <c r="B14" s="28"/>
      <c r="C14" s="35"/>
      <c r="D14" s="11"/>
      <c r="E14" s="32"/>
      <c r="F14" s="36"/>
      <c r="G14" s="27"/>
      <c r="H14" s="12"/>
      <c r="I14" s="28"/>
      <c r="J14" s="37"/>
      <c r="K14" s="30"/>
    </row>
    <row r="15" spans="1:11" ht="16" x14ac:dyDescent="0.2">
      <c r="A15" s="38"/>
      <c r="B15" s="39"/>
      <c r="C15" s="40"/>
      <c r="D15" s="11"/>
      <c r="E15" s="25"/>
      <c r="F15" s="40"/>
      <c r="G15" s="27"/>
      <c r="H15" s="12"/>
      <c r="I15" s="41"/>
      <c r="J15" s="37"/>
      <c r="K15" s="30"/>
    </row>
    <row r="16" spans="1:11" ht="16" x14ac:dyDescent="0.2">
      <c r="A16" s="38"/>
      <c r="B16" s="39"/>
      <c r="C16" s="40"/>
      <c r="D16" s="11"/>
      <c r="E16" s="32"/>
      <c r="F16" s="40"/>
      <c r="G16" s="27"/>
      <c r="H16" s="12"/>
      <c r="I16" s="41"/>
      <c r="J16" s="37"/>
      <c r="K16" s="42"/>
    </row>
    <row r="17" spans="1:11" ht="16" x14ac:dyDescent="0.2">
      <c r="A17" s="38"/>
      <c r="B17" s="39"/>
      <c r="C17" s="40"/>
      <c r="D17" s="11"/>
      <c r="E17" s="32"/>
      <c r="F17" s="40"/>
      <c r="G17" s="27"/>
      <c r="H17" s="12"/>
      <c r="I17" s="41"/>
      <c r="J17" s="37"/>
      <c r="K17" s="42"/>
    </row>
    <row r="18" spans="1:11" ht="16" x14ac:dyDescent="0.2">
      <c r="A18" s="43"/>
      <c r="B18" s="44"/>
      <c r="C18" s="40"/>
      <c r="D18" s="11"/>
      <c r="E18" s="45"/>
      <c r="F18" s="46"/>
      <c r="G18" s="27"/>
      <c r="H18" s="12"/>
      <c r="I18" s="10"/>
      <c r="J18" s="13"/>
      <c r="K18" s="10"/>
    </row>
    <row r="19" spans="1:11" x14ac:dyDescent="0.15">
      <c r="A19" s="47"/>
      <c r="B19" s="48"/>
      <c r="C19" s="49"/>
      <c r="D19" s="50"/>
      <c r="E19" s="47"/>
      <c r="F19" s="49"/>
      <c r="G19" s="51"/>
      <c r="H19" s="49"/>
      <c r="I19" s="48"/>
      <c r="J19" s="52"/>
      <c r="K19" s="48"/>
    </row>
    <row r="20" spans="1:11" x14ac:dyDescent="0.15">
      <c r="A20" s="47"/>
      <c r="B20" s="48"/>
      <c r="C20" s="49"/>
      <c r="D20" s="50"/>
      <c r="E20" s="47"/>
      <c r="F20" s="49"/>
      <c r="G20" s="51"/>
      <c r="H20" s="49"/>
      <c r="I20" s="48"/>
      <c r="J20" s="52"/>
      <c r="K20" s="48"/>
    </row>
    <row r="21" spans="1:11" x14ac:dyDescent="0.15">
      <c r="A21" s="47"/>
      <c r="B21" s="48"/>
      <c r="C21" s="53"/>
      <c r="D21" s="47"/>
      <c r="E21" s="52"/>
      <c r="F21" s="53"/>
      <c r="G21" s="51"/>
      <c r="H21" s="49"/>
      <c r="I21" s="48"/>
      <c r="J21" s="52"/>
      <c r="K21" s="48"/>
    </row>
    <row r="22" spans="1:11" x14ac:dyDescent="0.15">
      <c r="A22" s="54"/>
      <c r="B22" s="55"/>
      <c r="C22" s="56"/>
      <c r="D22" s="56"/>
      <c r="E22" s="57" t="s">
        <v>21</v>
      </c>
      <c r="F22" s="58">
        <f>SUM(F9:F21)</f>
        <v>68</v>
      </c>
      <c r="G22" s="59">
        <f>SUM(G9:G21)/F22</f>
        <v>1348.925</v>
      </c>
      <c r="H22" s="60">
        <f>SUM(H9:H21)/F22</f>
        <v>13.700735294117646</v>
      </c>
      <c r="I22" s="61" t="s">
        <v>22</v>
      </c>
      <c r="J22" s="186">
        <v>8.3333333333333329E-2</v>
      </c>
      <c r="K22" s="55"/>
    </row>
    <row r="23" spans="1:11" x14ac:dyDescent="0.15">
      <c r="E23" s="62"/>
      <c r="F23" s="63"/>
      <c r="I23" s="64" t="s">
        <v>23</v>
      </c>
      <c r="J23" s="65">
        <v>2</v>
      </c>
    </row>
    <row r="24" spans="1:11" x14ac:dyDescent="0.15">
      <c r="A24" s="1"/>
      <c r="I24" s="66"/>
      <c r="J24" s="67"/>
    </row>
    <row r="25" spans="1:11" x14ac:dyDescent="0.15">
      <c r="A25" s="68" t="s">
        <v>24</v>
      </c>
      <c r="B25" s="68"/>
      <c r="C25" s="68"/>
      <c r="D25" s="53"/>
      <c r="H25" s="4" t="s">
        <v>25</v>
      </c>
      <c r="I25" s="4"/>
      <c r="J25" s="62">
        <f>F22</f>
        <v>68</v>
      </c>
      <c r="K25" s="1" t="s">
        <v>16</v>
      </c>
    </row>
    <row r="26" spans="1:11" x14ac:dyDescent="0.15">
      <c r="A26" s="68" t="s">
        <v>26</v>
      </c>
      <c r="B26" s="68"/>
      <c r="C26" s="68"/>
      <c r="D26" s="53"/>
      <c r="H26" s="4" t="s">
        <v>27</v>
      </c>
      <c r="I26" s="4"/>
      <c r="J26" s="62">
        <f>66+72+68</f>
        <v>206</v>
      </c>
      <c r="K26" s="1" t="s">
        <v>16</v>
      </c>
    </row>
    <row r="27" spans="1:11" ht="15" thickBot="1" x14ac:dyDescent="0.2">
      <c r="A27" s="69"/>
      <c r="B27" s="69"/>
      <c r="C27" s="69"/>
      <c r="D27" s="69"/>
      <c r="E27" s="70"/>
      <c r="F27" s="70"/>
      <c r="G27" s="69"/>
      <c r="H27" s="71" t="s">
        <v>28</v>
      </c>
      <c r="I27" s="71"/>
      <c r="J27" s="72">
        <v>8.67</v>
      </c>
      <c r="K27" s="73" t="s">
        <v>29</v>
      </c>
    </row>
    <row r="28" spans="1:11" x14ac:dyDescent="0.15">
      <c r="J28" s="2" t="s">
        <v>3</v>
      </c>
    </row>
    <row r="29" spans="1:11" hidden="1" x14ac:dyDescent="0.15">
      <c r="K29" s="2" t="s">
        <v>30</v>
      </c>
    </row>
    <row r="30" spans="1:11" hidden="1" x14ac:dyDescent="0.15">
      <c r="K30" s="2" t="s">
        <v>31</v>
      </c>
    </row>
    <row r="31" spans="1:11" hidden="1" x14ac:dyDescent="0.15">
      <c r="K31" s="2" t="s">
        <v>32</v>
      </c>
    </row>
    <row r="32" spans="1:11" hidden="1" x14ac:dyDescent="0.15">
      <c r="K32" s="2" t="s">
        <v>33</v>
      </c>
    </row>
    <row r="33" spans="9:11" hidden="1" x14ac:dyDescent="0.15">
      <c r="K33" s="2" t="s">
        <v>34</v>
      </c>
    </row>
    <row r="34" spans="9:11" hidden="1" x14ac:dyDescent="0.15">
      <c r="K34" s="2" t="s">
        <v>35</v>
      </c>
    </row>
    <row r="35" spans="9:11" hidden="1" x14ac:dyDescent="0.15">
      <c r="K35" s="2" t="s">
        <v>36</v>
      </c>
    </row>
    <row r="36" spans="9:11" hidden="1" x14ac:dyDescent="0.15">
      <c r="K36" s="2" t="s">
        <v>37</v>
      </c>
    </row>
    <row r="37" spans="9:11" hidden="1" x14ac:dyDescent="0.15">
      <c r="K37" s="2" t="s">
        <v>38</v>
      </c>
    </row>
    <row r="38" spans="9:11" hidden="1" x14ac:dyDescent="0.15">
      <c r="K38" s="2" t="s">
        <v>39</v>
      </c>
    </row>
    <row r="39" spans="9:11" hidden="1" x14ac:dyDescent="0.15">
      <c r="K39" s="2" t="s">
        <v>40</v>
      </c>
    </row>
    <row r="40" spans="9:11" hidden="1" x14ac:dyDescent="0.15">
      <c r="K40" s="2" t="s">
        <v>41</v>
      </c>
    </row>
    <row r="41" spans="9:11" ht="30" hidden="1" x14ac:dyDescent="0.15">
      <c r="I41" s="74" t="s">
        <v>42</v>
      </c>
      <c r="K41" s="2" t="s">
        <v>43</v>
      </c>
    </row>
    <row r="42" spans="9:11" ht="15" hidden="1" x14ac:dyDescent="0.15">
      <c r="I42" s="74" t="s">
        <v>44</v>
      </c>
      <c r="K42" s="2" t="s">
        <v>45</v>
      </c>
    </row>
    <row r="43" spans="9:11" hidden="1" x14ac:dyDescent="0.15">
      <c r="I43" s="75" t="s">
        <v>46</v>
      </c>
      <c r="K43" s="2" t="s">
        <v>47</v>
      </c>
    </row>
    <row r="44" spans="9:11" hidden="1" x14ac:dyDescent="0.15">
      <c r="I44" s="2" t="s">
        <v>48</v>
      </c>
      <c r="K44" s="2" t="s">
        <v>49</v>
      </c>
    </row>
    <row r="45" spans="9:11" hidden="1" x14ac:dyDescent="0.15">
      <c r="I45" s="2" t="s">
        <v>50</v>
      </c>
      <c r="K45" s="2" t="s">
        <v>51</v>
      </c>
    </row>
    <row r="46" spans="9:11" hidden="1" x14ac:dyDescent="0.15">
      <c r="I46" s="2" t="s">
        <v>52</v>
      </c>
      <c r="K46" s="2" t="s">
        <v>53</v>
      </c>
    </row>
    <row r="47" spans="9:11" hidden="1" x14ac:dyDescent="0.15">
      <c r="I47" s="2" t="s">
        <v>54</v>
      </c>
      <c r="K47" s="2" t="s">
        <v>55</v>
      </c>
    </row>
    <row r="48" spans="9:11" hidden="1" x14ac:dyDescent="0.15">
      <c r="I48" s="2" t="s">
        <v>56</v>
      </c>
      <c r="K48" s="2" t="s">
        <v>57</v>
      </c>
    </row>
    <row r="49" spans="9:11" hidden="1" x14ac:dyDescent="0.15">
      <c r="I49" s="2" t="s">
        <v>58</v>
      </c>
      <c r="K49" s="2" t="s">
        <v>59</v>
      </c>
    </row>
    <row r="50" spans="9:11" hidden="1" x14ac:dyDescent="0.15">
      <c r="I50" s="2" t="s">
        <v>60</v>
      </c>
      <c r="K50" s="2" t="s">
        <v>61</v>
      </c>
    </row>
    <row r="51" spans="9:11" hidden="1" x14ac:dyDescent="0.15">
      <c r="K51" s="2" t="s">
        <v>62</v>
      </c>
    </row>
    <row r="52" spans="9:11" hidden="1" x14ac:dyDescent="0.15">
      <c r="K52" s="2" t="s">
        <v>63</v>
      </c>
    </row>
    <row r="53" spans="9:11" hidden="1" x14ac:dyDescent="0.15">
      <c r="K53" s="2" t="s">
        <v>64</v>
      </c>
    </row>
    <row r="54" spans="9:11" hidden="1" x14ac:dyDescent="0.15">
      <c r="K54" s="2" t="s">
        <v>65</v>
      </c>
    </row>
    <row r="55" spans="9:11" hidden="1" x14ac:dyDescent="0.15">
      <c r="K55" s="2" t="s">
        <v>66</v>
      </c>
    </row>
    <row r="56" spans="9:11" hidden="1" x14ac:dyDescent="0.15">
      <c r="K56" s="2" t="s">
        <v>67</v>
      </c>
    </row>
    <row r="57" spans="9:11" hidden="1" x14ac:dyDescent="0.15">
      <c r="K57" s="2" t="s">
        <v>68</v>
      </c>
    </row>
    <row r="58" spans="9:11" hidden="1" x14ac:dyDescent="0.15">
      <c r="K58" s="2" t="s">
        <v>69</v>
      </c>
    </row>
    <row r="59" spans="9:11" hidden="1" x14ac:dyDescent="0.15">
      <c r="K59" s="2" t="s">
        <v>70</v>
      </c>
    </row>
    <row r="60" spans="9:11" hidden="1" x14ac:dyDescent="0.15">
      <c r="K60" s="2" t="s">
        <v>71</v>
      </c>
    </row>
    <row r="61" spans="9:11" hidden="1" x14ac:dyDescent="0.15">
      <c r="K61" s="2" t="s">
        <v>72</v>
      </c>
    </row>
    <row r="62" spans="9:11" hidden="1" x14ac:dyDescent="0.15">
      <c r="K62" s="2" t="s">
        <v>73</v>
      </c>
    </row>
    <row r="63" spans="9:11" hidden="1" x14ac:dyDescent="0.15">
      <c r="K63" s="2" t="s">
        <v>67</v>
      </c>
    </row>
    <row r="64" spans="9:11" hidden="1" x14ac:dyDescent="0.15">
      <c r="K64" s="2" t="s">
        <v>74</v>
      </c>
    </row>
    <row r="65" spans="11:11" hidden="1" x14ac:dyDescent="0.15">
      <c r="K65" s="2" t="s">
        <v>75</v>
      </c>
    </row>
    <row r="66" spans="11:11" hidden="1" x14ac:dyDescent="0.15">
      <c r="K66" s="2" t="s">
        <v>76</v>
      </c>
    </row>
    <row r="67" spans="11:11" hidden="1" x14ac:dyDescent="0.15">
      <c r="K67" s="2" t="s">
        <v>77</v>
      </c>
    </row>
    <row r="68" spans="11:11" hidden="1" x14ac:dyDescent="0.15">
      <c r="K68" s="2" t="s">
        <v>78</v>
      </c>
    </row>
    <row r="69" spans="11:11" hidden="1" x14ac:dyDescent="0.15">
      <c r="K69" s="2" t="s">
        <v>79</v>
      </c>
    </row>
    <row r="70" spans="11:11" hidden="1" x14ac:dyDescent="0.15">
      <c r="K70" s="2" t="s">
        <v>80</v>
      </c>
    </row>
    <row r="71" spans="11:11" hidden="1" x14ac:dyDescent="0.15">
      <c r="K71" s="2" t="s">
        <v>81</v>
      </c>
    </row>
    <row r="72" spans="11:11" hidden="1" x14ac:dyDescent="0.15">
      <c r="K72" s="2" t="s">
        <v>82</v>
      </c>
    </row>
    <row r="73" spans="11:11" hidden="1" x14ac:dyDescent="0.15">
      <c r="K73" s="2" t="s">
        <v>83</v>
      </c>
    </row>
    <row r="74" spans="11:11" hidden="1" x14ac:dyDescent="0.15">
      <c r="K74" s="2" t="s">
        <v>84</v>
      </c>
    </row>
    <row r="75" spans="11:11" hidden="1" x14ac:dyDescent="0.15">
      <c r="K75" s="2" t="s">
        <v>85</v>
      </c>
    </row>
    <row r="76" spans="11:11" hidden="1" x14ac:dyDescent="0.15">
      <c r="K76" s="2" t="s">
        <v>86</v>
      </c>
    </row>
    <row r="77" spans="11:11" hidden="1" x14ac:dyDescent="0.15">
      <c r="K77" s="2" t="s">
        <v>87</v>
      </c>
    </row>
    <row r="78" spans="11:11" hidden="1" x14ac:dyDescent="0.15">
      <c r="K78" s="2" t="s">
        <v>88</v>
      </c>
    </row>
    <row r="79" spans="11:11" hidden="1" x14ac:dyDescent="0.15">
      <c r="K79" s="2" t="s">
        <v>89</v>
      </c>
    </row>
    <row r="80" spans="11:11" hidden="1" x14ac:dyDescent="0.15">
      <c r="K80" s="2" t="s">
        <v>90</v>
      </c>
    </row>
    <row r="81" spans="11:11" hidden="1" x14ac:dyDescent="0.15">
      <c r="K81" s="2" t="s">
        <v>91</v>
      </c>
    </row>
    <row r="82" spans="11:11" hidden="1" x14ac:dyDescent="0.15">
      <c r="K82" s="2" t="s">
        <v>92</v>
      </c>
    </row>
    <row r="83" spans="11:11" hidden="1" x14ac:dyDescent="0.15">
      <c r="K83" s="2" t="s">
        <v>93</v>
      </c>
    </row>
    <row r="84" spans="11:11" hidden="1" x14ac:dyDescent="0.15">
      <c r="K84" s="2" t="s">
        <v>94</v>
      </c>
    </row>
    <row r="85" spans="11:11" hidden="1" x14ac:dyDescent="0.15">
      <c r="K85" s="2" t="s">
        <v>47</v>
      </c>
    </row>
  </sheetData>
  <dataValidations count="3">
    <dataValidation type="list" allowBlank="1" showInputMessage="1" showErrorMessage="1" sqref="I50 K15:K21" xr:uid="{01CE0AA0-406A-4C02-88EE-C2C6C891E0C8}">
      <formula1>$I$41:$I$50</formula1>
    </dataValidation>
    <dataValidation type="list" allowBlank="1" showInputMessage="1" showErrorMessage="1" sqref="B20:B21" xr:uid="{5F35CCCE-1C5A-4C80-A365-AF5734D10C0F}">
      <formula1>$K$29:$K$40</formula1>
    </dataValidation>
    <dataValidation type="list" allowBlank="1" showInputMessage="1" showErrorMessage="1" sqref="B16:B19" xr:uid="{7CC0E3B8-A630-4201-886B-2C03E088B830}">
      <formula1>$K$29:$K$85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F00C0A-052E-49FA-BDB2-6B8FF685DE87}">
  <dimension ref="A1:K85"/>
  <sheetViews>
    <sheetView workbookViewId="0">
      <selection sqref="A1:XFD1048576"/>
    </sheetView>
  </sheetViews>
  <sheetFormatPr baseColWidth="10" defaultColWidth="9.1640625" defaultRowHeight="14" x14ac:dyDescent="0.15"/>
  <cols>
    <col min="1" max="1" width="5.1640625" style="2" customWidth="1"/>
    <col min="2" max="2" width="22.5" style="2" customWidth="1"/>
    <col min="3" max="3" width="6.1640625" style="2" customWidth="1"/>
    <col min="4" max="4" width="12.5" style="2" bestFit="1" customWidth="1"/>
    <col min="5" max="5" width="9.83203125" style="2" customWidth="1"/>
    <col min="6" max="6" width="9.33203125" style="2" bestFit="1" customWidth="1"/>
    <col min="7" max="7" width="8.6640625" style="2" customWidth="1"/>
    <col min="8" max="8" width="9.5" style="2" bestFit="1" customWidth="1"/>
    <col min="9" max="9" width="17.83203125" style="2" bestFit="1" customWidth="1"/>
    <col min="10" max="10" width="10.33203125" style="2" bestFit="1" customWidth="1"/>
    <col min="11" max="11" width="75" style="2" bestFit="1" customWidth="1"/>
    <col min="12" max="16384" width="9.1640625" style="2"/>
  </cols>
  <sheetData>
    <row r="1" spans="1:11" x14ac:dyDescent="0.15">
      <c r="A1" s="1" t="s">
        <v>0</v>
      </c>
      <c r="I1" s="3"/>
    </row>
    <row r="2" spans="1:11" x14ac:dyDescent="0.15">
      <c r="J2" s="4"/>
    </row>
    <row r="3" spans="1:11" x14ac:dyDescent="0.15">
      <c r="A3" s="3" t="s">
        <v>1</v>
      </c>
      <c r="I3" s="1"/>
      <c r="J3" s="1"/>
    </row>
    <row r="4" spans="1:11" x14ac:dyDescent="0.15">
      <c r="A4" s="3"/>
      <c r="I4" s="4" t="s">
        <v>2</v>
      </c>
      <c r="J4" s="76">
        <v>45781</v>
      </c>
    </row>
    <row r="5" spans="1:11" x14ac:dyDescent="0.15">
      <c r="J5" s="2" t="s">
        <v>3</v>
      </c>
    </row>
    <row r="6" spans="1:11" ht="30" x14ac:dyDescent="0.15">
      <c r="A6" s="5" t="s">
        <v>4</v>
      </c>
      <c r="B6" s="5" t="s">
        <v>5</v>
      </c>
      <c r="C6" s="5" t="s">
        <v>6</v>
      </c>
      <c r="D6" s="5" t="s">
        <v>7</v>
      </c>
      <c r="E6" s="5" t="s">
        <v>8</v>
      </c>
      <c r="F6" s="5" t="s">
        <v>9</v>
      </c>
      <c r="G6" s="6" t="s">
        <v>10</v>
      </c>
      <c r="H6" s="6" t="s">
        <v>11</v>
      </c>
      <c r="I6" s="6" t="s">
        <v>12</v>
      </c>
      <c r="J6" s="7"/>
      <c r="K6" s="5" t="s">
        <v>13</v>
      </c>
    </row>
    <row r="7" spans="1:11" ht="30" x14ac:dyDescent="0.15">
      <c r="A7" s="6"/>
      <c r="B7" s="8"/>
      <c r="C7" s="5"/>
      <c r="D7" s="5" t="s">
        <v>14</v>
      </c>
      <c r="E7" s="5" t="s">
        <v>15</v>
      </c>
      <c r="F7" s="9" t="s">
        <v>16</v>
      </c>
      <c r="G7" s="9" t="s">
        <v>15</v>
      </c>
      <c r="H7" s="9" t="s">
        <v>17</v>
      </c>
      <c r="I7" s="5" t="s">
        <v>18</v>
      </c>
      <c r="J7" s="9" t="s">
        <v>19</v>
      </c>
      <c r="K7" s="9"/>
    </row>
    <row r="8" spans="1:11" ht="16" x14ac:dyDescent="0.2">
      <c r="A8" s="10"/>
      <c r="B8" s="11"/>
      <c r="C8" s="12"/>
      <c r="D8" s="11"/>
      <c r="E8" s="11"/>
      <c r="F8" s="10"/>
      <c r="G8" s="10"/>
      <c r="H8" s="10"/>
      <c r="I8" s="10"/>
      <c r="J8" s="13"/>
      <c r="K8" s="10"/>
    </row>
    <row r="9" spans="1:11" ht="17" x14ac:dyDescent="0.15">
      <c r="A9" s="192">
        <v>1</v>
      </c>
      <c r="B9" s="187" t="s">
        <v>240</v>
      </c>
      <c r="C9" s="188">
        <v>12.5</v>
      </c>
      <c r="D9" s="15">
        <v>2.85</v>
      </c>
      <c r="E9" s="193">
        <v>1351</v>
      </c>
      <c r="F9" s="189">
        <v>50</v>
      </c>
      <c r="G9" s="16">
        <f t="shared" ref="G9:G10" si="0">E9*F9</f>
        <v>67550</v>
      </c>
      <c r="H9" s="17">
        <f t="shared" ref="H9:H10" si="1">F9*C9</f>
        <v>625</v>
      </c>
      <c r="I9" s="211" t="s">
        <v>20</v>
      </c>
      <c r="J9" s="212">
        <v>2.0833333333333332E-2</v>
      </c>
      <c r="K9" s="213" t="s">
        <v>234</v>
      </c>
    </row>
    <row r="10" spans="1:11" ht="17" x14ac:dyDescent="0.15">
      <c r="A10" s="23">
        <v>2</v>
      </c>
      <c r="B10" s="187" t="s">
        <v>240</v>
      </c>
      <c r="C10" s="188">
        <v>13.5</v>
      </c>
      <c r="D10" s="15">
        <v>2.85</v>
      </c>
      <c r="E10" s="193">
        <v>1351</v>
      </c>
      <c r="F10" s="189">
        <v>12</v>
      </c>
      <c r="G10" s="16">
        <f t="shared" si="0"/>
        <v>16212</v>
      </c>
      <c r="H10" s="17">
        <f t="shared" si="1"/>
        <v>162</v>
      </c>
      <c r="I10" s="214" t="s">
        <v>44</v>
      </c>
      <c r="J10" s="215">
        <v>6.9444444444444441E-3</v>
      </c>
      <c r="K10" s="216" t="s">
        <v>44</v>
      </c>
    </row>
    <row r="11" spans="1:11" ht="16" x14ac:dyDescent="0.15">
      <c r="A11" s="192"/>
      <c r="B11" s="187"/>
      <c r="C11" s="188"/>
      <c r="D11" s="15"/>
      <c r="E11" s="193"/>
      <c r="F11" s="207"/>
      <c r="G11" s="16"/>
      <c r="H11" s="17"/>
      <c r="I11" s="217" t="s">
        <v>230</v>
      </c>
      <c r="J11" s="215">
        <v>9.0277777777777776E-2</v>
      </c>
      <c r="K11" s="216" t="s">
        <v>244</v>
      </c>
    </row>
    <row r="12" spans="1:11" ht="19.25" customHeight="1" x14ac:dyDescent="0.15">
      <c r="A12" s="23"/>
      <c r="B12" s="187"/>
      <c r="C12" s="208"/>
      <c r="D12" s="15"/>
      <c r="E12" s="209"/>
      <c r="F12" s="210"/>
      <c r="G12" s="16"/>
      <c r="H12" s="17"/>
      <c r="I12" s="217"/>
      <c r="J12" s="215"/>
      <c r="K12" s="216" t="s">
        <v>245</v>
      </c>
    </row>
    <row r="13" spans="1:11" ht="16" x14ac:dyDescent="0.15">
      <c r="A13" s="14"/>
      <c r="B13" s="19"/>
      <c r="C13" s="31"/>
      <c r="D13" s="15"/>
      <c r="E13" s="32"/>
      <c r="F13" s="33"/>
      <c r="G13" s="16"/>
      <c r="H13" s="17"/>
      <c r="I13" s="217" t="s">
        <v>243</v>
      </c>
      <c r="J13" s="215">
        <v>6.9444444444444441E-3</v>
      </c>
      <c r="K13" s="216" t="s">
        <v>243</v>
      </c>
    </row>
    <row r="14" spans="1:11" ht="16" x14ac:dyDescent="0.15">
      <c r="A14" s="34"/>
      <c r="B14" s="28"/>
      <c r="C14" s="35"/>
      <c r="D14" s="11"/>
      <c r="E14" s="32"/>
      <c r="F14" s="36"/>
      <c r="G14" s="27"/>
      <c r="H14" s="12"/>
      <c r="I14" s="28"/>
      <c r="J14" s="37"/>
      <c r="K14" s="30"/>
    </row>
    <row r="15" spans="1:11" ht="16" x14ac:dyDescent="0.2">
      <c r="A15" s="38"/>
      <c r="B15" s="39"/>
      <c r="C15" s="40"/>
      <c r="D15" s="11"/>
      <c r="E15" s="25"/>
      <c r="F15" s="40"/>
      <c r="G15" s="27"/>
      <c r="H15" s="12"/>
      <c r="I15" s="41"/>
      <c r="J15" s="37"/>
      <c r="K15" s="30"/>
    </row>
    <row r="16" spans="1:11" ht="16" x14ac:dyDescent="0.2">
      <c r="A16" s="38"/>
      <c r="B16" s="39"/>
      <c r="C16" s="40"/>
      <c r="D16" s="11"/>
      <c r="E16" s="32"/>
      <c r="F16" s="40"/>
      <c r="G16" s="27"/>
      <c r="H16" s="12"/>
      <c r="I16" s="41"/>
      <c r="J16" s="37"/>
      <c r="K16" s="42"/>
    </row>
    <row r="17" spans="1:11" ht="16" x14ac:dyDescent="0.2">
      <c r="A17" s="38"/>
      <c r="B17" s="39"/>
      <c r="C17" s="40"/>
      <c r="D17" s="11"/>
      <c r="E17" s="32"/>
      <c r="F17" s="40"/>
      <c r="G17" s="27"/>
      <c r="H17" s="12"/>
      <c r="I17" s="41"/>
      <c r="J17" s="37"/>
      <c r="K17" s="42"/>
    </row>
    <row r="18" spans="1:11" ht="16" x14ac:dyDescent="0.2">
      <c r="A18" s="43"/>
      <c r="B18" s="44"/>
      <c r="C18" s="40"/>
      <c r="D18" s="11"/>
      <c r="E18" s="45"/>
      <c r="F18" s="46"/>
      <c r="G18" s="27"/>
      <c r="H18" s="12"/>
      <c r="I18" s="10"/>
      <c r="J18" s="13"/>
      <c r="K18" s="10"/>
    </row>
    <row r="19" spans="1:11" x14ac:dyDescent="0.15">
      <c r="A19" s="47"/>
      <c r="B19" s="48"/>
      <c r="C19" s="49"/>
      <c r="D19" s="50"/>
      <c r="E19" s="47"/>
      <c r="F19" s="49"/>
      <c r="G19" s="51"/>
      <c r="H19" s="49"/>
      <c r="I19" s="48"/>
      <c r="J19" s="52"/>
      <c r="K19" s="48"/>
    </row>
    <row r="20" spans="1:11" x14ac:dyDescent="0.15">
      <c r="A20" s="47"/>
      <c r="B20" s="48"/>
      <c r="C20" s="49"/>
      <c r="D20" s="50"/>
      <c r="E20" s="47"/>
      <c r="F20" s="49"/>
      <c r="G20" s="51"/>
      <c r="H20" s="49"/>
      <c r="I20" s="48"/>
      <c r="J20" s="52"/>
      <c r="K20" s="48"/>
    </row>
    <row r="21" spans="1:11" x14ac:dyDescent="0.15">
      <c r="A21" s="47"/>
      <c r="B21" s="48"/>
      <c r="C21" s="53"/>
      <c r="D21" s="47"/>
      <c r="E21" s="52"/>
      <c r="F21" s="53"/>
      <c r="G21" s="51"/>
      <c r="H21" s="49"/>
      <c r="I21" s="48"/>
      <c r="J21" s="52"/>
      <c r="K21" s="48"/>
    </row>
    <row r="22" spans="1:11" x14ac:dyDescent="0.15">
      <c r="A22" s="54"/>
      <c r="B22" s="55"/>
      <c r="C22" s="56"/>
      <c r="D22" s="56"/>
      <c r="E22" s="57" t="s">
        <v>21</v>
      </c>
      <c r="F22" s="58">
        <f>SUM(F9:F21)</f>
        <v>62</v>
      </c>
      <c r="G22" s="59">
        <f>SUM(G9:G21)/F22</f>
        <v>1351</v>
      </c>
      <c r="H22" s="60">
        <f>SUM(H9:H21)/F22</f>
        <v>12.693548387096774</v>
      </c>
      <c r="I22" s="61" t="s">
        <v>22</v>
      </c>
      <c r="J22" s="186">
        <v>0.125</v>
      </c>
      <c r="K22" s="55"/>
    </row>
    <row r="23" spans="1:11" x14ac:dyDescent="0.15">
      <c r="E23" s="62"/>
      <c r="F23" s="63"/>
      <c r="I23" s="64" t="s">
        <v>23</v>
      </c>
      <c r="J23" s="65">
        <v>3</v>
      </c>
    </row>
    <row r="24" spans="1:11" x14ac:dyDescent="0.15">
      <c r="A24" s="1"/>
      <c r="I24" s="66"/>
      <c r="J24" s="67"/>
    </row>
    <row r="25" spans="1:11" x14ac:dyDescent="0.15">
      <c r="A25" s="68" t="s">
        <v>24</v>
      </c>
      <c r="B25" s="68"/>
      <c r="C25" s="68"/>
      <c r="D25" s="53"/>
      <c r="H25" s="4" t="s">
        <v>25</v>
      </c>
      <c r="I25" s="4"/>
      <c r="J25" s="62">
        <f>F22</f>
        <v>62</v>
      </c>
      <c r="K25" s="1" t="s">
        <v>16</v>
      </c>
    </row>
    <row r="26" spans="1:11" x14ac:dyDescent="0.15">
      <c r="A26" s="68" t="s">
        <v>26</v>
      </c>
      <c r="B26" s="68"/>
      <c r="C26" s="68"/>
      <c r="D26" s="53"/>
      <c r="H26" s="4" t="s">
        <v>27</v>
      </c>
      <c r="I26" s="4"/>
      <c r="J26" s="62">
        <f>66+72+68+62</f>
        <v>268</v>
      </c>
      <c r="K26" s="1" t="s">
        <v>16</v>
      </c>
    </row>
    <row r="27" spans="1:11" ht="15" thickBot="1" x14ac:dyDescent="0.2">
      <c r="A27" s="69"/>
      <c r="B27" s="69"/>
      <c r="C27" s="69"/>
      <c r="D27" s="69"/>
      <c r="E27" s="70"/>
      <c r="F27" s="70"/>
      <c r="G27" s="69"/>
      <c r="H27" s="71" t="s">
        <v>28</v>
      </c>
      <c r="I27" s="71"/>
      <c r="J27" s="72">
        <v>11.67</v>
      </c>
      <c r="K27" s="73" t="s">
        <v>29</v>
      </c>
    </row>
    <row r="28" spans="1:11" x14ac:dyDescent="0.15">
      <c r="J28" s="2" t="s">
        <v>3</v>
      </c>
    </row>
    <row r="29" spans="1:11" hidden="1" x14ac:dyDescent="0.15">
      <c r="K29" s="2" t="s">
        <v>30</v>
      </c>
    </row>
    <row r="30" spans="1:11" hidden="1" x14ac:dyDescent="0.15">
      <c r="K30" s="2" t="s">
        <v>31</v>
      </c>
    </row>
    <row r="31" spans="1:11" hidden="1" x14ac:dyDescent="0.15">
      <c r="K31" s="2" t="s">
        <v>32</v>
      </c>
    </row>
    <row r="32" spans="1:11" hidden="1" x14ac:dyDescent="0.15">
      <c r="K32" s="2" t="s">
        <v>33</v>
      </c>
    </row>
    <row r="33" spans="9:11" hidden="1" x14ac:dyDescent="0.15">
      <c r="K33" s="2" t="s">
        <v>34</v>
      </c>
    </row>
    <row r="34" spans="9:11" hidden="1" x14ac:dyDescent="0.15">
      <c r="K34" s="2" t="s">
        <v>35</v>
      </c>
    </row>
    <row r="35" spans="9:11" hidden="1" x14ac:dyDescent="0.15">
      <c r="K35" s="2" t="s">
        <v>36</v>
      </c>
    </row>
    <row r="36" spans="9:11" hidden="1" x14ac:dyDescent="0.15">
      <c r="K36" s="2" t="s">
        <v>37</v>
      </c>
    </row>
    <row r="37" spans="9:11" hidden="1" x14ac:dyDescent="0.15">
      <c r="K37" s="2" t="s">
        <v>38</v>
      </c>
    </row>
    <row r="38" spans="9:11" hidden="1" x14ac:dyDescent="0.15">
      <c r="K38" s="2" t="s">
        <v>39</v>
      </c>
    </row>
    <row r="39" spans="9:11" hidden="1" x14ac:dyDescent="0.15">
      <c r="K39" s="2" t="s">
        <v>40</v>
      </c>
    </row>
    <row r="40" spans="9:11" hidden="1" x14ac:dyDescent="0.15">
      <c r="K40" s="2" t="s">
        <v>41</v>
      </c>
    </row>
    <row r="41" spans="9:11" ht="30" hidden="1" x14ac:dyDescent="0.15">
      <c r="I41" s="74" t="s">
        <v>42</v>
      </c>
      <c r="K41" s="2" t="s">
        <v>43</v>
      </c>
    </row>
    <row r="42" spans="9:11" ht="15" hidden="1" x14ac:dyDescent="0.15">
      <c r="I42" s="74" t="s">
        <v>44</v>
      </c>
      <c r="K42" s="2" t="s">
        <v>45</v>
      </c>
    </row>
    <row r="43" spans="9:11" hidden="1" x14ac:dyDescent="0.15">
      <c r="I43" s="75" t="s">
        <v>46</v>
      </c>
      <c r="K43" s="2" t="s">
        <v>47</v>
      </c>
    </row>
    <row r="44" spans="9:11" hidden="1" x14ac:dyDescent="0.15">
      <c r="I44" s="2" t="s">
        <v>48</v>
      </c>
      <c r="K44" s="2" t="s">
        <v>49</v>
      </c>
    </row>
    <row r="45" spans="9:11" hidden="1" x14ac:dyDescent="0.15">
      <c r="I45" s="2" t="s">
        <v>50</v>
      </c>
      <c r="K45" s="2" t="s">
        <v>51</v>
      </c>
    </row>
    <row r="46" spans="9:11" hidden="1" x14ac:dyDescent="0.15">
      <c r="I46" s="2" t="s">
        <v>52</v>
      </c>
      <c r="K46" s="2" t="s">
        <v>53</v>
      </c>
    </row>
    <row r="47" spans="9:11" hidden="1" x14ac:dyDescent="0.15">
      <c r="I47" s="2" t="s">
        <v>54</v>
      </c>
      <c r="K47" s="2" t="s">
        <v>55</v>
      </c>
    </row>
    <row r="48" spans="9:11" hidden="1" x14ac:dyDescent="0.15">
      <c r="I48" s="2" t="s">
        <v>56</v>
      </c>
      <c r="K48" s="2" t="s">
        <v>57</v>
      </c>
    </row>
    <row r="49" spans="9:11" hidden="1" x14ac:dyDescent="0.15">
      <c r="I49" s="2" t="s">
        <v>58</v>
      </c>
      <c r="K49" s="2" t="s">
        <v>59</v>
      </c>
    </row>
    <row r="50" spans="9:11" hidden="1" x14ac:dyDescent="0.15">
      <c r="I50" s="2" t="s">
        <v>60</v>
      </c>
      <c r="K50" s="2" t="s">
        <v>61</v>
      </c>
    </row>
    <row r="51" spans="9:11" hidden="1" x14ac:dyDescent="0.15">
      <c r="K51" s="2" t="s">
        <v>62</v>
      </c>
    </row>
    <row r="52" spans="9:11" hidden="1" x14ac:dyDescent="0.15">
      <c r="K52" s="2" t="s">
        <v>63</v>
      </c>
    </row>
    <row r="53" spans="9:11" hidden="1" x14ac:dyDescent="0.15">
      <c r="K53" s="2" t="s">
        <v>64</v>
      </c>
    </row>
    <row r="54" spans="9:11" hidden="1" x14ac:dyDescent="0.15">
      <c r="K54" s="2" t="s">
        <v>65</v>
      </c>
    </row>
    <row r="55" spans="9:11" hidden="1" x14ac:dyDescent="0.15">
      <c r="K55" s="2" t="s">
        <v>66</v>
      </c>
    </row>
    <row r="56" spans="9:11" hidden="1" x14ac:dyDescent="0.15">
      <c r="K56" s="2" t="s">
        <v>67</v>
      </c>
    </row>
    <row r="57" spans="9:11" hidden="1" x14ac:dyDescent="0.15">
      <c r="K57" s="2" t="s">
        <v>68</v>
      </c>
    </row>
    <row r="58" spans="9:11" hidden="1" x14ac:dyDescent="0.15">
      <c r="K58" s="2" t="s">
        <v>69</v>
      </c>
    </row>
    <row r="59" spans="9:11" hidden="1" x14ac:dyDescent="0.15">
      <c r="K59" s="2" t="s">
        <v>70</v>
      </c>
    </row>
    <row r="60" spans="9:11" hidden="1" x14ac:dyDescent="0.15">
      <c r="K60" s="2" t="s">
        <v>71</v>
      </c>
    </row>
    <row r="61" spans="9:11" hidden="1" x14ac:dyDescent="0.15">
      <c r="K61" s="2" t="s">
        <v>72</v>
      </c>
    </row>
    <row r="62" spans="9:11" hidden="1" x14ac:dyDescent="0.15">
      <c r="K62" s="2" t="s">
        <v>73</v>
      </c>
    </row>
    <row r="63" spans="9:11" hidden="1" x14ac:dyDescent="0.15">
      <c r="K63" s="2" t="s">
        <v>67</v>
      </c>
    </row>
    <row r="64" spans="9:11" hidden="1" x14ac:dyDescent="0.15">
      <c r="K64" s="2" t="s">
        <v>74</v>
      </c>
    </row>
    <row r="65" spans="11:11" hidden="1" x14ac:dyDescent="0.15">
      <c r="K65" s="2" t="s">
        <v>75</v>
      </c>
    </row>
    <row r="66" spans="11:11" hidden="1" x14ac:dyDescent="0.15">
      <c r="K66" s="2" t="s">
        <v>76</v>
      </c>
    </row>
    <row r="67" spans="11:11" hidden="1" x14ac:dyDescent="0.15">
      <c r="K67" s="2" t="s">
        <v>77</v>
      </c>
    </row>
    <row r="68" spans="11:11" hidden="1" x14ac:dyDescent="0.15">
      <c r="K68" s="2" t="s">
        <v>78</v>
      </c>
    </row>
    <row r="69" spans="11:11" hidden="1" x14ac:dyDescent="0.15">
      <c r="K69" s="2" t="s">
        <v>79</v>
      </c>
    </row>
    <row r="70" spans="11:11" hidden="1" x14ac:dyDescent="0.15">
      <c r="K70" s="2" t="s">
        <v>80</v>
      </c>
    </row>
    <row r="71" spans="11:11" hidden="1" x14ac:dyDescent="0.15">
      <c r="K71" s="2" t="s">
        <v>81</v>
      </c>
    </row>
    <row r="72" spans="11:11" hidden="1" x14ac:dyDescent="0.15">
      <c r="K72" s="2" t="s">
        <v>82</v>
      </c>
    </row>
    <row r="73" spans="11:11" hidden="1" x14ac:dyDescent="0.15">
      <c r="K73" s="2" t="s">
        <v>83</v>
      </c>
    </row>
    <row r="74" spans="11:11" hidden="1" x14ac:dyDescent="0.15">
      <c r="K74" s="2" t="s">
        <v>84</v>
      </c>
    </row>
    <row r="75" spans="11:11" hidden="1" x14ac:dyDescent="0.15">
      <c r="K75" s="2" t="s">
        <v>85</v>
      </c>
    </row>
    <row r="76" spans="11:11" hidden="1" x14ac:dyDescent="0.15">
      <c r="K76" s="2" t="s">
        <v>86</v>
      </c>
    </row>
    <row r="77" spans="11:11" hidden="1" x14ac:dyDescent="0.15">
      <c r="K77" s="2" t="s">
        <v>87</v>
      </c>
    </row>
    <row r="78" spans="11:11" hidden="1" x14ac:dyDescent="0.15">
      <c r="K78" s="2" t="s">
        <v>88</v>
      </c>
    </row>
    <row r="79" spans="11:11" hidden="1" x14ac:dyDescent="0.15">
      <c r="K79" s="2" t="s">
        <v>89</v>
      </c>
    </row>
    <row r="80" spans="11:11" hidden="1" x14ac:dyDescent="0.15">
      <c r="K80" s="2" t="s">
        <v>90</v>
      </c>
    </row>
    <row r="81" spans="11:11" hidden="1" x14ac:dyDescent="0.15">
      <c r="K81" s="2" t="s">
        <v>91</v>
      </c>
    </row>
    <row r="82" spans="11:11" hidden="1" x14ac:dyDescent="0.15">
      <c r="K82" s="2" t="s">
        <v>92</v>
      </c>
    </row>
    <row r="83" spans="11:11" hidden="1" x14ac:dyDescent="0.15">
      <c r="K83" s="2" t="s">
        <v>93</v>
      </c>
    </row>
    <row r="84" spans="11:11" hidden="1" x14ac:dyDescent="0.15">
      <c r="K84" s="2" t="s">
        <v>94</v>
      </c>
    </row>
    <row r="85" spans="11:11" hidden="1" x14ac:dyDescent="0.15">
      <c r="K85" s="2" t="s">
        <v>47</v>
      </c>
    </row>
  </sheetData>
  <dataValidations count="3">
    <dataValidation type="list" allowBlank="1" showInputMessage="1" showErrorMessage="1" sqref="B16:B19" xr:uid="{903970D7-BEA3-4099-BD0D-99B9EABB72F0}">
      <formula1>$K$29:$K$85</formula1>
    </dataValidation>
    <dataValidation type="list" allowBlank="1" showInputMessage="1" showErrorMessage="1" sqref="B20:B21" xr:uid="{700A3794-3DF1-4224-B8CE-65E4E134A8EB}">
      <formula1>$K$29:$K$40</formula1>
    </dataValidation>
    <dataValidation type="list" allowBlank="1" showInputMessage="1" showErrorMessage="1" sqref="I50 K15:K21" xr:uid="{8F5622D1-3C2E-467C-93E4-E587034D4B44}">
      <formula1>$I$41:$I$50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16307-04B5-42B3-A4CC-F006784832E1}">
  <dimension ref="A1:K85"/>
  <sheetViews>
    <sheetView topLeftCell="A7" workbookViewId="0">
      <selection activeCell="A7" sqref="A1:XFD1048576"/>
    </sheetView>
  </sheetViews>
  <sheetFormatPr baseColWidth="10" defaultColWidth="9.1640625" defaultRowHeight="14" x14ac:dyDescent="0.15"/>
  <cols>
    <col min="1" max="1" width="5.1640625" style="2" customWidth="1"/>
    <col min="2" max="2" width="22.5" style="2" customWidth="1"/>
    <col min="3" max="3" width="6.1640625" style="2" customWidth="1"/>
    <col min="4" max="4" width="12.5" style="2" bestFit="1" customWidth="1"/>
    <col min="5" max="5" width="9.83203125" style="2" customWidth="1"/>
    <col min="6" max="6" width="9.33203125" style="2" bestFit="1" customWidth="1"/>
    <col min="7" max="7" width="8.6640625" style="2" customWidth="1"/>
    <col min="8" max="8" width="9.5" style="2" bestFit="1" customWidth="1"/>
    <col min="9" max="9" width="17.83203125" style="2" bestFit="1" customWidth="1"/>
    <col min="10" max="10" width="10.33203125" style="2" bestFit="1" customWidth="1"/>
    <col min="11" max="11" width="75" style="2" bestFit="1" customWidth="1"/>
    <col min="12" max="16384" width="9.1640625" style="2"/>
  </cols>
  <sheetData>
    <row r="1" spans="1:11" x14ac:dyDescent="0.15">
      <c r="A1" s="1" t="s">
        <v>0</v>
      </c>
      <c r="I1" s="3"/>
    </row>
    <row r="2" spans="1:11" x14ac:dyDescent="0.15">
      <c r="J2" s="4"/>
    </row>
    <row r="3" spans="1:11" x14ac:dyDescent="0.15">
      <c r="A3" s="3" t="s">
        <v>1</v>
      </c>
      <c r="I3" s="1"/>
      <c r="J3" s="1"/>
    </row>
    <row r="4" spans="1:11" x14ac:dyDescent="0.15">
      <c r="A4" s="3"/>
      <c r="I4" s="4" t="s">
        <v>2</v>
      </c>
      <c r="J4" s="76">
        <v>45782</v>
      </c>
    </row>
    <row r="5" spans="1:11" x14ac:dyDescent="0.15">
      <c r="J5" s="2" t="s">
        <v>3</v>
      </c>
    </row>
    <row r="6" spans="1:11" ht="30" x14ac:dyDescent="0.15">
      <c r="A6" s="5" t="s">
        <v>4</v>
      </c>
      <c r="B6" s="5" t="s">
        <v>5</v>
      </c>
      <c r="C6" s="5" t="s">
        <v>6</v>
      </c>
      <c r="D6" s="5" t="s">
        <v>7</v>
      </c>
      <c r="E6" s="5" t="s">
        <v>8</v>
      </c>
      <c r="F6" s="5" t="s">
        <v>9</v>
      </c>
      <c r="G6" s="6" t="s">
        <v>10</v>
      </c>
      <c r="H6" s="6" t="s">
        <v>11</v>
      </c>
      <c r="I6" s="6" t="s">
        <v>12</v>
      </c>
      <c r="J6" s="7"/>
      <c r="K6" s="5" t="s">
        <v>13</v>
      </c>
    </row>
    <row r="7" spans="1:11" ht="30" x14ac:dyDescent="0.15">
      <c r="A7" s="6"/>
      <c r="B7" s="8"/>
      <c r="C7" s="5"/>
      <c r="D7" s="5" t="s">
        <v>14</v>
      </c>
      <c r="E7" s="5" t="s">
        <v>15</v>
      </c>
      <c r="F7" s="9" t="s">
        <v>16</v>
      </c>
      <c r="G7" s="9" t="s">
        <v>15</v>
      </c>
      <c r="H7" s="9" t="s">
        <v>17</v>
      </c>
      <c r="I7" s="5" t="s">
        <v>18</v>
      </c>
      <c r="J7" s="9" t="s">
        <v>19</v>
      </c>
      <c r="K7" s="9"/>
    </row>
    <row r="8" spans="1:11" ht="16" x14ac:dyDescent="0.2">
      <c r="A8" s="10"/>
      <c r="B8" s="11"/>
      <c r="C8" s="12"/>
      <c r="D8" s="11"/>
      <c r="E8" s="11"/>
      <c r="F8" s="10"/>
      <c r="G8" s="10"/>
      <c r="H8" s="10"/>
      <c r="I8" s="10"/>
      <c r="J8" s="13"/>
      <c r="K8" s="10"/>
    </row>
    <row r="9" spans="1:11" ht="17" x14ac:dyDescent="0.15">
      <c r="A9" s="192">
        <v>1</v>
      </c>
      <c r="B9" s="187" t="s">
        <v>240</v>
      </c>
      <c r="C9" s="188">
        <v>12.5</v>
      </c>
      <c r="D9" s="15">
        <v>2.85</v>
      </c>
      <c r="E9" s="193">
        <v>1351</v>
      </c>
      <c r="F9" s="189">
        <v>17</v>
      </c>
      <c r="G9" s="16">
        <f t="shared" ref="G9:G10" si="0">E9*F9</f>
        <v>22967</v>
      </c>
      <c r="H9" s="17">
        <f t="shared" ref="H9:H10" si="1">F9*C9</f>
        <v>212.5</v>
      </c>
      <c r="I9" s="211" t="s">
        <v>20</v>
      </c>
      <c r="J9" s="212">
        <v>2.7777777777777776E-2</v>
      </c>
      <c r="K9" s="213" t="s">
        <v>234</v>
      </c>
    </row>
    <row r="10" spans="1:11" ht="17" x14ac:dyDescent="0.15">
      <c r="A10" s="23">
        <v>2</v>
      </c>
      <c r="B10" s="187" t="s">
        <v>240</v>
      </c>
      <c r="C10" s="188">
        <v>13.5</v>
      </c>
      <c r="D10" s="15">
        <v>2.85</v>
      </c>
      <c r="E10" s="193">
        <v>1351</v>
      </c>
      <c r="F10" s="189">
        <v>49</v>
      </c>
      <c r="G10" s="16">
        <f t="shared" si="0"/>
        <v>66199</v>
      </c>
      <c r="H10" s="17">
        <f t="shared" si="1"/>
        <v>661.5</v>
      </c>
      <c r="I10" s="214" t="s">
        <v>44</v>
      </c>
      <c r="J10" s="215">
        <v>6.9444444444444441E-3</v>
      </c>
      <c r="K10" s="216" t="s">
        <v>44</v>
      </c>
    </row>
    <row r="11" spans="1:11" ht="16" x14ac:dyDescent="0.15">
      <c r="A11" s="192"/>
      <c r="B11" s="187"/>
      <c r="C11" s="188"/>
      <c r="D11" s="15"/>
      <c r="E11" s="193"/>
      <c r="F11" s="207"/>
      <c r="G11" s="16"/>
      <c r="H11" s="17"/>
      <c r="I11" s="217" t="s">
        <v>243</v>
      </c>
      <c r="J11" s="215">
        <v>2.7777777777777776E-2</v>
      </c>
      <c r="K11" s="216" t="s">
        <v>243</v>
      </c>
    </row>
    <row r="12" spans="1:11" ht="19.25" customHeight="1" x14ac:dyDescent="0.15">
      <c r="A12" s="23"/>
      <c r="B12" s="187"/>
      <c r="C12" s="208"/>
      <c r="D12" s="15"/>
      <c r="E12" s="209"/>
      <c r="F12" s="210"/>
      <c r="G12" s="16"/>
      <c r="H12" s="17"/>
      <c r="I12" s="217"/>
      <c r="J12" s="215"/>
      <c r="K12" s="216"/>
    </row>
    <row r="13" spans="1:11" ht="16" x14ac:dyDescent="0.15">
      <c r="A13" s="14"/>
      <c r="B13" s="19"/>
      <c r="C13" s="31"/>
      <c r="D13" s="15"/>
      <c r="E13" s="32"/>
      <c r="F13" s="33"/>
      <c r="G13" s="16"/>
      <c r="H13" s="17"/>
      <c r="I13" s="217"/>
      <c r="J13" s="215"/>
      <c r="K13" s="216"/>
    </row>
    <row r="14" spans="1:11" ht="16" x14ac:dyDescent="0.15">
      <c r="A14" s="34"/>
      <c r="B14" s="28"/>
      <c r="C14" s="35"/>
      <c r="D14" s="11"/>
      <c r="E14" s="32"/>
      <c r="F14" s="36"/>
      <c r="G14" s="27"/>
      <c r="H14" s="12"/>
      <c r="I14" s="28"/>
      <c r="J14" s="37"/>
      <c r="K14" s="30"/>
    </row>
    <row r="15" spans="1:11" ht="16" x14ac:dyDescent="0.2">
      <c r="A15" s="38"/>
      <c r="B15" s="39"/>
      <c r="C15" s="40"/>
      <c r="D15" s="11"/>
      <c r="E15" s="25"/>
      <c r="F15" s="40"/>
      <c r="G15" s="27"/>
      <c r="H15" s="12"/>
      <c r="I15" s="41"/>
      <c r="J15" s="37"/>
      <c r="K15" s="30"/>
    </row>
    <row r="16" spans="1:11" ht="16" x14ac:dyDescent="0.2">
      <c r="A16" s="38"/>
      <c r="B16" s="39"/>
      <c r="C16" s="40"/>
      <c r="D16" s="11"/>
      <c r="E16" s="32"/>
      <c r="F16" s="40"/>
      <c r="G16" s="27"/>
      <c r="H16" s="12"/>
      <c r="I16" s="41"/>
      <c r="J16" s="37"/>
      <c r="K16" s="42"/>
    </row>
    <row r="17" spans="1:11" ht="16" x14ac:dyDescent="0.2">
      <c r="A17" s="38"/>
      <c r="B17" s="39"/>
      <c r="C17" s="40"/>
      <c r="D17" s="11"/>
      <c r="E17" s="32"/>
      <c r="F17" s="40"/>
      <c r="G17" s="27"/>
      <c r="H17" s="12"/>
      <c r="I17" s="41"/>
      <c r="J17" s="37"/>
      <c r="K17" s="42"/>
    </row>
    <row r="18" spans="1:11" ht="16" x14ac:dyDescent="0.2">
      <c r="A18" s="43"/>
      <c r="B18" s="44"/>
      <c r="C18" s="40"/>
      <c r="D18" s="11"/>
      <c r="E18" s="45"/>
      <c r="F18" s="46"/>
      <c r="G18" s="27"/>
      <c r="H18" s="12"/>
      <c r="I18" s="10"/>
      <c r="J18" s="13"/>
      <c r="K18" s="10"/>
    </row>
    <row r="19" spans="1:11" x14ac:dyDescent="0.15">
      <c r="A19" s="47"/>
      <c r="B19" s="48"/>
      <c r="C19" s="49"/>
      <c r="D19" s="50"/>
      <c r="E19" s="47"/>
      <c r="F19" s="49"/>
      <c r="G19" s="51"/>
      <c r="H19" s="49"/>
      <c r="I19" s="48"/>
      <c r="J19" s="52"/>
      <c r="K19" s="48"/>
    </row>
    <row r="20" spans="1:11" x14ac:dyDescent="0.15">
      <c r="A20" s="47"/>
      <c r="B20" s="48"/>
      <c r="C20" s="49"/>
      <c r="D20" s="50"/>
      <c r="E20" s="47"/>
      <c r="F20" s="49"/>
      <c r="G20" s="51"/>
      <c r="H20" s="49"/>
      <c r="I20" s="48"/>
      <c r="J20" s="52"/>
      <c r="K20" s="48"/>
    </row>
    <row r="21" spans="1:11" x14ac:dyDescent="0.15">
      <c r="A21" s="47"/>
      <c r="B21" s="48"/>
      <c r="C21" s="53"/>
      <c r="D21" s="47"/>
      <c r="E21" s="52"/>
      <c r="F21" s="53"/>
      <c r="G21" s="51"/>
      <c r="H21" s="49"/>
      <c r="I21" s="48"/>
      <c r="J21" s="52"/>
      <c r="K21" s="48"/>
    </row>
    <row r="22" spans="1:11" x14ac:dyDescent="0.15">
      <c r="A22" s="54"/>
      <c r="B22" s="55"/>
      <c r="C22" s="56"/>
      <c r="D22" s="56"/>
      <c r="E22" s="57" t="s">
        <v>21</v>
      </c>
      <c r="F22" s="58">
        <f>SUM(F9:F21)</f>
        <v>66</v>
      </c>
      <c r="G22" s="59">
        <f>SUM(G9:G21)/F22</f>
        <v>1351</v>
      </c>
      <c r="H22" s="60">
        <f>SUM(H9:H21)/F22</f>
        <v>13.242424242424242</v>
      </c>
      <c r="I22" s="61" t="s">
        <v>22</v>
      </c>
      <c r="J22" s="186">
        <v>6.25E-2</v>
      </c>
      <c r="K22" s="55"/>
    </row>
    <row r="23" spans="1:11" x14ac:dyDescent="0.15">
      <c r="E23" s="62"/>
      <c r="F23" s="63"/>
      <c r="I23" s="64" t="s">
        <v>23</v>
      </c>
      <c r="J23" s="65">
        <v>1.5</v>
      </c>
    </row>
    <row r="24" spans="1:11" x14ac:dyDescent="0.15">
      <c r="A24" s="1"/>
      <c r="I24" s="66"/>
      <c r="J24" s="67"/>
    </row>
    <row r="25" spans="1:11" x14ac:dyDescent="0.15">
      <c r="A25" s="68" t="s">
        <v>24</v>
      </c>
      <c r="B25" s="68"/>
      <c r="C25" s="68"/>
      <c r="D25" s="53"/>
      <c r="H25" s="4" t="s">
        <v>25</v>
      </c>
      <c r="I25" s="4"/>
      <c r="J25" s="62">
        <f>F22</f>
        <v>66</v>
      </c>
      <c r="K25" s="1" t="s">
        <v>16</v>
      </c>
    </row>
    <row r="26" spans="1:11" x14ac:dyDescent="0.15">
      <c r="A26" s="68" t="s">
        <v>26</v>
      </c>
      <c r="B26" s="68"/>
      <c r="C26" s="68"/>
      <c r="D26" s="53"/>
      <c r="H26" s="4" t="s">
        <v>27</v>
      </c>
      <c r="I26" s="4"/>
      <c r="J26" s="62">
        <f>66+72+68+62+66</f>
        <v>334</v>
      </c>
      <c r="K26" s="1" t="s">
        <v>16</v>
      </c>
    </row>
    <row r="27" spans="1:11" ht="15" thickBot="1" x14ac:dyDescent="0.2">
      <c r="A27" s="69"/>
      <c r="B27" s="69"/>
      <c r="C27" s="69"/>
      <c r="D27" s="69"/>
      <c r="E27" s="70"/>
      <c r="F27" s="70"/>
      <c r="G27" s="69"/>
      <c r="H27" s="71" t="s">
        <v>28</v>
      </c>
      <c r="I27" s="71"/>
      <c r="J27" s="72">
        <v>13.17</v>
      </c>
      <c r="K27" s="73" t="s">
        <v>29</v>
      </c>
    </row>
    <row r="28" spans="1:11" x14ac:dyDescent="0.15">
      <c r="J28" s="2" t="s">
        <v>3</v>
      </c>
    </row>
    <row r="29" spans="1:11" hidden="1" x14ac:dyDescent="0.15">
      <c r="K29" s="2" t="s">
        <v>30</v>
      </c>
    </row>
    <row r="30" spans="1:11" hidden="1" x14ac:dyDescent="0.15">
      <c r="K30" s="2" t="s">
        <v>31</v>
      </c>
    </row>
    <row r="31" spans="1:11" hidden="1" x14ac:dyDescent="0.15">
      <c r="K31" s="2" t="s">
        <v>32</v>
      </c>
    </row>
    <row r="32" spans="1:11" hidden="1" x14ac:dyDescent="0.15">
      <c r="K32" s="2" t="s">
        <v>33</v>
      </c>
    </row>
    <row r="33" spans="9:11" hidden="1" x14ac:dyDescent="0.15">
      <c r="K33" s="2" t="s">
        <v>34</v>
      </c>
    </row>
    <row r="34" spans="9:11" hidden="1" x14ac:dyDescent="0.15">
      <c r="K34" s="2" t="s">
        <v>35</v>
      </c>
    </row>
    <row r="35" spans="9:11" hidden="1" x14ac:dyDescent="0.15">
      <c r="K35" s="2" t="s">
        <v>36</v>
      </c>
    </row>
    <row r="36" spans="9:11" hidden="1" x14ac:dyDescent="0.15">
      <c r="K36" s="2" t="s">
        <v>37</v>
      </c>
    </row>
    <row r="37" spans="9:11" hidden="1" x14ac:dyDescent="0.15">
      <c r="K37" s="2" t="s">
        <v>38</v>
      </c>
    </row>
    <row r="38" spans="9:11" hidden="1" x14ac:dyDescent="0.15">
      <c r="K38" s="2" t="s">
        <v>39</v>
      </c>
    </row>
    <row r="39" spans="9:11" hidden="1" x14ac:dyDescent="0.15">
      <c r="K39" s="2" t="s">
        <v>40</v>
      </c>
    </row>
    <row r="40" spans="9:11" hidden="1" x14ac:dyDescent="0.15">
      <c r="K40" s="2" t="s">
        <v>41</v>
      </c>
    </row>
    <row r="41" spans="9:11" ht="30" hidden="1" x14ac:dyDescent="0.15">
      <c r="I41" s="74" t="s">
        <v>42</v>
      </c>
      <c r="K41" s="2" t="s">
        <v>43</v>
      </c>
    </row>
    <row r="42" spans="9:11" ht="15" hidden="1" x14ac:dyDescent="0.15">
      <c r="I42" s="74" t="s">
        <v>44</v>
      </c>
      <c r="K42" s="2" t="s">
        <v>45</v>
      </c>
    </row>
    <row r="43" spans="9:11" hidden="1" x14ac:dyDescent="0.15">
      <c r="I43" s="75" t="s">
        <v>46</v>
      </c>
      <c r="K43" s="2" t="s">
        <v>47</v>
      </c>
    </row>
    <row r="44" spans="9:11" hidden="1" x14ac:dyDescent="0.15">
      <c r="I44" s="2" t="s">
        <v>48</v>
      </c>
      <c r="K44" s="2" t="s">
        <v>49</v>
      </c>
    </row>
    <row r="45" spans="9:11" hidden="1" x14ac:dyDescent="0.15">
      <c r="I45" s="2" t="s">
        <v>50</v>
      </c>
      <c r="K45" s="2" t="s">
        <v>51</v>
      </c>
    </row>
    <row r="46" spans="9:11" hidden="1" x14ac:dyDescent="0.15">
      <c r="I46" s="2" t="s">
        <v>52</v>
      </c>
      <c r="K46" s="2" t="s">
        <v>53</v>
      </c>
    </row>
    <row r="47" spans="9:11" hidden="1" x14ac:dyDescent="0.15">
      <c r="I47" s="2" t="s">
        <v>54</v>
      </c>
      <c r="K47" s="2" t="s">
        <v>55</v>
      </c>
    </row>
    <row r="48" spans="9:11" hidden="1" x14ac:dyDescent="0.15">
      <c r="I48" s="2" t="s">
        <v>56</v>
      </c>
      <c r="K48" s="2" t="s">
        <v>57</v>
      </c>
    </row>
    <row r="49" spans="9:11" hidden="1" x14ac:dyDescent="0.15">
      <c r="I49" s="2" t="s">
        <v>58</v>
      </c>
      <c r="K49" s="2" t="s">
        <v>59</v>
      </c>
    </row>
    <row r="50" spans="9:11" hidden="1" x14ac:dyDescent="0.15">
      <c r="I50" s="2" t="s">
        <v>60</v>
      </c>
      <c r="K50" s="2" t="s">
        <v>61</v>
      </c>
    </row>
    <row r="51" spans="9:11" hidden="1" x14ac:dyDescent="0.15">
      <c r="K51" s="2" t="s">
        <v>62</v>
      </c>
    </row>
    <row r="52" spans="9:11" hidden="1" x14ac:dyDescent="0.15">
      <c r="K52" s="2" t="s">
        <v>63</v>
      </c>
    </row>
    <row r="53" spans="9:11" hidden="1" x14ac:dyDescent="0.15">
      <c r="K53" s="2" t="s">
        <v>64</v>
      </c>
    </row>
    <row r="54" spans="9:11" hidden="1" x14ac:dyDescent="0.15">
      <c r="K54" s="2" t="s">
        <v>65</v>
      </c>
    </row>
    <row r="55" spans="9:11" hidden="1" x14ac:dyDescent="0.15">
      <c r="K55" s="2" t="s">
        <v>66</v>
      </c>
    </row>
    <row r="56" spans="9:11" hidden="1" x14ac:dyDescent="0.15">
      <c r="K56" s="2" t="s">
        <v>67</v>
      </c>
    </row>
    <row r="57" spans="9:11" hidden="1" x14ac:dyDescent="0.15">
      <c r="K57" s="2" t="s">
        <v>68</v>
      </c>
    </row>
    <row r="58" spans="9:11" hidden="1" x14ac:dyDescent="0.15">
      <c r="K58" s="2" t="s">
        <v>69</v>
      </c>
    </row>
    <row r="59" spans="9:11" hidden="1" x14ac:dyDescent="0.15">
      <c r="K59" s="2" t="s">
        <v>70</v>
      </c>
    </row>
    <row r="60" spans="9:11" hidden="1" x14ac:dyDescent="0.15">
      <c r="K60" s="2" t="s">
        <v>71</v>
      </c>
    </row>
    <row r="61" spans="9:11" hidden="1" x14ac:dyDescent="0.15">
      <c r="K61" s="2" t="s">
        <v>72</v>
      </c>
    </row>
    <row r="62" spans="9:11" hidden="1" x14ac:dyDescent="0.15">
      <c r="K62" s="2" t="s">
        <v>73</v>
      </c>
    </row>
    <row r="63" spans="9:11" hidden="1" x14ac:dyDescent="0.15">
      <c r="K63" s="2" t="s">
        <v>67</v>
      </c>
    </row>
    <row r="64" spans="9:11" hidden="1" x14ac:dyDescent="0.15">
      <c r="K64" s="2" t="s">
        <v>74</v>
      </c>
    </row>
    <row r="65" spans="11:11" hidden="1" x14ac:dyDescent="0.15">
      <c r="K65" s="2" t="s">
        <v>75</v>
      </c>
    </row>
    <row r="66" spans="11:11" hidden="1" x14ac:dyDescent="0.15">
      <c r="K66" s="2" t="s">
        <v>76</v>
      </c>
    </row>
    <row r="67" spans="11:11" hidden="1" x14ac:dyDescent="0.15">
      <c r="K67" s="2" t="s">
        <v>77</v>
      </c>
    </row>
    <row r="68" spans="11:11" hidden="1" x14ac:dyDescent="0.15">
      <c r="K68" s="2" t="s">
        <v>78</v>
      </c>
    </row>
    <row r="69" spans="11:11" hidden="1" x14ac:dyDescent="0.15">
      <c r="K69" s="2" t="s">
        <v>79</v>
      </c>
    </row>
    <row r="70" spans="11:11" hidden="1" x14ac:dyDescent="0.15">
      <c r="K70" s="2" t="s">
        <v>80</v>
      </c>
    </row>
    <row r="71" spans="11:11" hidden="1" x14ac:dyDescent="0.15">
      <c r="K71" s="2" t="s">
        <v>81</v>
      </c>
    </row>
    <row r="72" spans="11:11" hidden="1" x14ac:dyDescent="0.15">
      <c r="K72" s="2" t="s">
        <v>82</v>
      </c>
    </row>
    <row r="73" spans="11:11" hidden="1" x14ac:dyDescent="0.15">
      <c r="K73" s="2" t="s">
        <v>83</v>
      </c>
    </row>
    <row r="74" spans="11:11" hidden="1" x14ac:dyDescent="0.15">
      <c r="K74" s="2" t="s">
        <v>84</v>
      </c>
    </row>
    <row r="75" spans="11:11" hidden="1" x14ac:dyDescent="0.15">
      <c r="K75" s="2" t="s">
        <v>85</v>
      </c>
    </row>
    <row r="76" spans="11:11" hidden="1" x14ac:dyDescent="0.15">
      <c r="K76" s="2" t="s">
        <v>86</v>
      </c>
    </row>
    <row r="77" spans="11:11" hidden="1" x14ac:dyDescent="0.15">
      <c r="K77" s="2" t="s">
        <v>87</v>
      </c>
    </row>
    <row r="78" spans="11:11" hidden="1" x14ac:dyDescent="0.15">
      <c r="K78" s="2" t="s">
        <v>88</v>
      </c>
    </row>
    <row r="79" spans="11:11" hidden="1" x14ac:dyDescent="0.15">
      <c r="K79" s="2" t="s">
        <v>89</v>
      </c>
    </row>
    <row r="80" spans="11:11" hidden="1" x14ac:dyDescent="0.15">
      <c r="K80" s="2" t="s">
        <v>90</v>
      </c>
    </row>
    <row r="81" spans="11:11" hidden="1" x14ac:dyDescent="0.15">
      <c r="K81" s="2" t="s">
        <v>91</v>
      </c>
    </row>
    <row r="82" spans="11:11" hidden="1" x14ac:dyDescent="0.15">
      <c r="K82" s="2" t="s">
        <v>92</v>
      </c>
    </row>
    <row r="83" spans="11:11" hidden="1" x14ac:dyDescent="0.15">
      <c r="K83" s="2" t="s">
        <v>93</v>
      </c>
    </row>
    <row r="84" spans="11:11" hidden="1" x14ac:dyDescent="0.15">
      <c r="K84" s="2" t="s">
        <v>94</v>
      </c>
    </row>
    <row r="85" spans="11:11" hidden="1" x14ac:dyDescent="0.15">
      <c r="K85" s="2" t="s">
        <v>47</v>
      </c>
    </row>
  </sheetData>
  <dataValidations count="3">
    <dataValidation type="list" allowBlank="1" showInputMessage="1" showErrorMessage="1" sqref="I50 K15:K21" xr:uid="{3D484D8F-BE71-4B26-B300-6734F9255CD8}">
      <formula1>$I$41:$I$50</formula1>
    </dataValidation>
    <dataValidation type="list" allowBlank="1" showInputMessage="1" showErrorMessage="1" sqref="B20:B21" xr:uid="{C1A2F3D4-6A0A-48F7-B2E0-E8B3C8CF2EDA}">
      <formula1>$K$29:$K$40</formula1>
    </dataValidation>
    <dataValidation type="list" allowBlank="1" showInputMessage="1" showErrorMessage="1" sqref="B16:B19" xr:uid="{0F5971BD-CAEA-4F1B-9393-BED4A6FB7F88}">
      <formula1>$K$29:$K$85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7FD953-4EF6-4C35-BA7F-EFE571BE1EBC}">
  <dimension ref="A1:K85"/>
  <sheetViews>
    <sheetView topLeftCell="A3" workbookViewId="0">
      <selection activeCell="A3" sqref="A1:XFD1048576"/>
    </sheetView>
  </sheetViews>
  <sheetFormatPr baseColWidth="10" defaultColWidth="9.1640625" defaultRowHeight="14" x14ac:dyDescent="0.15"/>
  <cols>
    <col min="1" max="1" width="5.1640625" style="2" customWidth="1"/>
    <col min="2" max="2" width="22.5" style="2" customWidth="1"/>
    <col min="3" max="3" width="6.1640625" style="2" customWidth="1"/>
    <col min="4" max="4" width="12.5" style="2" bestFit="1" customWidth="1"/>
    <col min="5" max="5" width="9.83203125" style="2" customWidth="1"/>
    <col min="6" max="6" width="9.33203125" style="2" bestFit="1" customWidth="1"/>
    <col min="7" max="7" width="8.6640625" style="2" customWidth="1"/>
    <col min="8" max="8" width="9.5" style="2" bestFit="1" customWidth="1"/>
    <col min="9" max="9" width="17.83203125" style="2" bestFit="1" customWidth="1"/>
    <col min="10" max="10" width="10.33203125" style="2" bestFit="1" customWidth="1"/>
    <col min="11" max="11" width="75" style="2" bestFit="1" customWidth="1"/>
    <col min="12" max="16384" width="9.1640625" style="2"/>
  </cols>
  <sheetData>
    <row r="1" spans="1:11" x14ac:dyDescent="0.15">
      <c r="A1" s="1" t="s">
        <v>0</v>
      </c>
      <c r="I1" s="3"/>
    </row>
    <row r="2" spans="1:11" x14ac:dyDescent="0.15">
      <c r="J2" s="4"/>
    </row>
    <row r="3" spans="1:11" x14ac:dyDescent="0.15">
      <c r="A3" s="3" t="s">
        <v>1</v>
      </c>
      <c r="I3" s="1"/>
      <c r="J3" s="1"/>
    </row>
    <row r="4" spans="1:11" x14ac:dyDescent="0.15">
      <c r="A4" s="3"/>
      <c r="I4" s="4" t="s">
        <v>2</v>
      </c>
      <c r="J4" s="76">
        <v>45783</v>
      </c>
    </row>
    <row r="5" spans="1:11" x14ac:dyDescent="0.15">
      <c r="J5" s="2" t="s">
        <v>3</v>
      </c>
    </row>
    <row r="6" spans="1:11" ht="30" x14ac:dyDescent="0.15">
      <c r="A6" s="5" t="s">
        <v>4</v>
      </c>
      <c r="B6" s="5" t="s">
        <v>5</v>
      </c>
      <c r="C6" s="5" t="s">
        <v>6</v>
      </c>
      <c r="D6" s="5" t="s">
        <v>7</v>
      </c>
      <c r="E6" s="5" t="s">
        <v>8</v>
      </c>
      <c r="F6" s="5" t="s">
        <v>9</v>
      </c>
      <c r="G6" s="6" t="s">
        <v>10</v>
      </c>
      <c r="H6" s="6" t="s">
        <v>11</v>
      </c>
      <c r="I6" s="6" t="s">
        <v>12</v>
      </c>
      <c r="J6" s="7"/>
      <c r="K6" s="5" t="s">
        <v>13</v>
      </c>
    </row>
    <row r="7" spans="1:11" ht="30" x14ac:dyDescent="0.15">
      <c r="A7" s="6"/>
      <c r="B7" s="8"/>
      <c r="C7" s="5"/>
      <c r="D7" s="5" t="s">
        <v>14</v>
      </c>
      <c r="E7" s="5" t="s">
        <v>15</v>
      </c>
      <c r="F7" s="9" t="s">
        <v>16</v>
      </c>
      <c r="G7" s="9" t="s">
        <v>15</v>
      </c>
      <c r="H7" s="9" t="s">
        <v>17</v>
      </c>
      <c r="I7" s="5" t="s">
        <v>18</v>
      </c>
      <c r="J7" s="9" t="s">
        <v>19</v>
      </c>
      <c r="K7" s="9"/>
    </row>
    <row r="8" spans="1:11" ht="16" x14ac:dyDescent="0.2">
      <c r="A8" s="10"/>
      <c r="B8" s="11"/>
      <c r="C8" s="12"/>
      <c r="D8" s="11"/>
      <c r="E8" s="11"/>
      <c r="F8" s="10"/>
      <c r="G8" s="10"/>
      <c r="H8" s="10"/>
      <c r="I8" s="10"/>
      <c r="J8" s="13"/>
      <c r="K8" s="10"/>
    </row>
    <row r="9" spans="1:11" ht="17" x14ac:dyDescent="0.15">
      <c r="A9" s="192">
        <v>1</v>
      </c>
      <c r="B9" s="187" t="s">
        <v>240</v>
      </c>
      <c r="C9" s="188">
        <v>12.5</v>
      </c>
      <c r="D9" s="15">
        <v>2.85</v>
      </c>
      <c r="E9" s="193">
        <v>1351</v>
      </c>
      <c r="F9" s="189">
        <v>18.2</v>
      </c>
      <c r="G9" s="16">
        <f t="shared" ref="G9:G11" si="0">E9*F9</f>
        <v>24588.2</v>
      </c>
      <c r="H9" s="17">
        <f t="shared" ref="H9:H11" si="1">F9*C9</f>
        <v>227.5</v>
      </c>
      <c r="I9" s="211" t="s">
        <v>20</v>
      </c>
      <c r="J9" s="212">
        <v>2.0833333333333332E-2</v>
      </c>
      <c r="K9" s="213" t="s">
        <v>234</v>
      </c>
    </row>
    <row r="10" spans="1:11" ht="17" x14ac:dyDescent="0.15">
      <c r="A10" s="23">
        <v>2</v>
      </c>
      <c r="B10" s="187" t="s">
        <v>231</v>
      </c>
      <c r="C10" s="188">
        <v>14</v>
      </c>
      <c r="D10" s="15">
        <v>2.85</v>
      </c>
      <c r="E10" s="193">
        <v>1351</v>
      </c>
      <c r="F10" s="189">
        <v>5</v>
      </c>
      <c r="G10" s="16">
        <f t="shared" si="0"/>
        <v>6755</v>
      </c>
      <c r="H10" s="17">
        <f t="shared" si="1"/>
        <v>70</v>
      </c>
      <c r="I10" s="214" t="s">
        <v>44</v>
      </c>
      <c r="J10" s="215">
        <v>1.0416666666666666E-2</v>
      </c>
      <c r="K10" s="216" t="s">
        <v>44</v>
      </c>
    </row>
    <row r="11" spans="1:11" ht="17" x14ac:dyDescent="0.15">
      <c r="A11" s="192">
        <v>3</v>
      </c>
      <c r="B11" s="187" t="s">
        <v>231</v>
      </c>
      <c r="C11" s="188">
        <v>17</v>
      </c>
      <c r="D11" s="15">
        <v>2.85</v>
      </c>
      <c r="E11" s="193">
        <v>1360</v>
      </c>
      <c r="F11" s="207">
        <v>34.799999999999997</v>
      </c>
      <c r="G11" s="16">
        <f t="shared" si="0"/>
        <v>47327.999999999993</v>
      </c>
      <c r="H11" s="17">
        <f t="shared" si="1"/>
        <v>591.59999999999991</v>
      </c>
      <c r="I11" s="217" t="s">
        <v>241</v>
      </c>
      <c r="J11" s="215">
        <v>0.29166666666666669</v>
      </c>
      <c r="K11" s="216" t="s">
        <v>246</v>
      </c>
    </row>
    <row r="12" spans="1:11" ht="19.25" customHeight="1" x14ac:dyDescent="0.15">
      <c r="A12" s="23"/>
      <c r="B12" s="187"/>
      <c r="C12" s="208"/>
      <c r="D12" s="15"/>
      <c r="E12" s="209"/>
      <c r="F12" s="210"/>
      <c r="G12" s="16"/>
      <c r="H12" s="17"/>
      <c r="I12" s="217"/>
      <c r="J12" s="215"/>
      <c r="K12" s="216"/>
    </row>
    <row r="13" spans="1:11" ht="16" x14ac:dyDescent="0.15">
      <c r="A13" s="14"/>
      <c r="B13" s="19"/>
      <c r="C13" s="31"/>
      <c r="D13" s="15"/>
      <c r="E13" s="32"/>
      <c r="F13" s="33"/>
      <c r="G13" s="16"/>
      <c r="H13" s="17"/>
      <c r="I13" s="217"/>
      <c r="J13" s="215"/>
      <c r="K13" s="216"/>
    </row>
    <row r="14" spans="1:11" ht="16" x14ac:dyDescent="0.15">
      <c r="A14" s="34"/>
      <c r="B14" s="28"/>
      <c r="C14" s="35"/>
      <c r="D14" s="11"/>
      <c r="E14" s="32"/>
      <c r="F14" s="36"/>
      <c r="G14" s="27"/>
      <c r="H14" s="12"/>
      <c r="I14" s="28"/>
      <c r="J14" s="37"/>
      <c r="K14" s="30"/>
    </row>
    <row r="15" spans="1:11" ht="16" x14ac:dyDescent="0.2">
      <c r="A15" s="38"/>
      <c r="B15" s="39"/>
      <c r="C15" s="40"/>
      <c r="D15" s="11"/>
      <c r="E15" s="25"/>
      <c r="F15" s="40"/>
      <c r="G15" s="27"/>
      <c r="H15" s="12"/>
      <c r="I15" s="41"/>
      <c r="J15" s="37"/>
      <c r="K15" s="30"/>
    </row>
    <row r="16" spans="1:11" ht="16" x14ac:dyDescent="0.2">
      <c r="A16" s="38"/>
      <c r="B16" s="39"/>
      <c r="C16" s="40"/>
      <c r="D16" s="11"/>
      <c r="E16" s="32"/>
      <c r="F16" s="40"/>
      <c r="G16" s="27"/>
      <c r="H16" s="12"/>
      <c r="I16" s="41"/>
      <c r="J16" s="37"/>
      <c r="K16" s="42"/>
    </row>
    <row r="17" spans="1:11" ht="16" x14ac:dyDescent="0.2">
      <c r="A17" s="38"/>
      <c r="B17" s="39"/>
      <c r="C17" s="40"/>
      <c r="D17" s="11"/>
      <c r="E17" s="32"/>
      <c r="F17" s="40"/>
      <c r="G17" s="27"/>
      <c r="H17" s="12"/>
      <c r="I17" s="41"/>
      <c r="J17" s="37"/>
      <c r="K17" s="42"/>
    </row>
    <row r="18" spans="1:11" ht="16" x14ac:dyDescent="0.2">
      <c r="A18" s="43"/>
      <c r="B18" s="44"/>
      <c r="C18" s="40"/>
      <c r="D18" s="11"/>
      <c r="E18" s="45"/>
      <c r="F18" s="46"/>
      <c r="G18" s="27"/>
      <c r="H18" s="12"/>
      <c r="I18" s="10"/>
      <c r="J18" s="13"/>
      <c r="K18" s="10"/>
    </row>
    <row r="19" spans="1:11" x14ac:dyDescent="0.15">
      <c r="A19" s="47"/>
      <c r="B19" s="48"/>
      <c r="C19" s="49"/>
      <c r="D19" s="50"/>
      <c r="E19" s="47"/>
      <c r="F19" s="49"/>
      <c r="G19" s="51"/>
      <c r="H19" s="49"/>
      <c r="I19" s="48"/>
      <c r="J19" s="52"/>
      <c r="K19" s="48"/>
    </row>
    <row r="20" spans="1:11" x14ac:dyDescent="0.15">
      <c r="A20" s="47"/>
      <c r="B20" s="48"/>
      <c r="C20" s="49"/>
      <c r="D20" s="50"/>
      <c r="E20" s="47"/>
      <c r="F20" s="49"/>
      <c r="G20" s="51"/>
      <c r="H20" s="49"/>
      <c r="I20" s="48"/>
      <c r="J20" s="52"/>
      <c r="K20" s="48"/>
    </row>
    <row r="21" spans="1:11" x14ac:dyDescent="0.15">
      <c r="A21" s="47"/>
      <c r="B21" s="48"/>
      <c r="C21" s="53"/>
      <c r="D21" s="47"/>
      <c r="E21" s="52"/>
      <c r="F21" s="53"/>
      <c r="G21" s="51"/>
      <c r="H21" s="49"/>
      <c r="I21" s="48"/>
      <c r="J21" s="52"/>
      <c r="K21" s="48"/>
    </row>
    <row r="22" spans="1:11" x14ac:dyDescent="0.15">
      <c r="A22" s="54"/>
      <c r="B22" s="55"/>
      <c r="C22" s="56"/>
      <c r="D22" s="56"/>
      <c r="E22" s="57" t="s">
        <v>21</v>
      </c>
      <c r="F22" s="58">
        <f>SUM(F9:F21)</f>
        <v>58</v>
      </c>
      <c r="G22" s="59">
        <f>SUM(G9:G21)/F22</f>
        <v>1356.3999999999999</v>
      </c>
      <c r="H22" s="60">
        <f>SUM(H9:H21)/F22</f>
        <v>15.329310344827585</v>
      </c>
      <c r="I22" s="61" t="s">
        <v>22</v>
      </c>
      <c r="J22" s="186">
        <v>0.32291666666666669</v>
      </c>
      <c r="K22" s="55"/>
    </row>
    <row r="23" spans="1:11" x14ac:dyDescent="0.15">
      <c r="E23" s="62"/>
      <c r="F23" s="63"/>
      <c r="I23" s="64" t="s">
        <v>23</v>
      </c>
      <c r="J23" s="65">
        <v>7.75</v>
      </c>
    </row>
    <row r="24" spans="1:11" x14ac:dyDescent="0.15">
      <c r="A24" s="1"/>
      <c r="I24" s="66"/>
      <c r="J24" s="67"/>
    </row>
    <row r="25" spans="1:11" x14ac:dyDescent="0.15">
      <c r="A25" s="68" t="s">
        <v>24</v>
      </c>
      <c r="B25" s="68"/>
      <c r="C25" s="68"/>
      <c r="D25" s="53"/>
      <c r="H25" s="4" t="s">
        <v>25</v>
      </c>
      <c r="I25" s="4"/>
      <c r="J25" s="62">
        <f>F22</f>
        <v>58</v>
      </c>
      <c r="K25" s="1" t="s">
        <v>16</v>
      </c>
    </row>
    <row r="26" spans="1:11" x14ac:dyDescent="0.15">
      <c r="A26" s="68" t="s">
        <v>26</v>
      </c>
      <c r="B26" s="68"/>
      <c r="C26" s="68"/>
      <c r="D26" s="53"/>
      <c r="H26" s="4" t="s">
        <v>27</v>
      </c>
      <c r="I26" s="4"/>
      <c r="J26" s="62">
        <f>66+72+68+62+66+58</f>
        <v>392</v>
      </c>
      <c r="K26" s="1" t="s">
        <v>16</v>
      </c>
    </row>
    <row r="27" spans="1:11" ht="15" thickBot="1" x14ac:dyDescent="0.2">
      <c r="A27" s="69"/>
      <c r="B27" s="69"/>
      <c r="C27" s="69"/>
      <c r="D27" s="69"/>
      <c r="E27" s="70"/>
      <c r="F27" s="70"/>
      <c r="G27" s="69"/>
      <c r="H27" s="71" t="s">
        <v>28</v>
      </c>
      <c r="I27" s="71"/>
      <c r="J27" s="72">
        <v>20.92</v>
      </c>
      <c r="K27" s="73" t="s">
        <v>29</v>
      </c>
    </row>
    <row r="28" spans="1:11" x14ac:dyDescent="0.15">
      <c r="J28" s="2" t="s">
        <v>3</v>
      </c>
    </row>
    <row r="29" spans="1:11" hidden="1" x14ac:dyDescent="0.15">
      <c r="K29" s="2" t="s">
        <v>30</v>
      </c>
    </row>
    <row r="30" spans="1:11" hidden="1" x14ac:dyDescent="0.15">
      <c r="K30" s="2" t="s">
        <v>31</v>
      </c>
    </row>
    <row r="31" spans="1:11" hidden="1" x14ac:dyDescent="0.15">
      <c r="K31" s="2" t="s">
        <v>32</v>
      </c>
    </row>
    <row r="32" spans="1:11" hidden="1" x14ac:dyDescent="0.15">
      <c r="K32" s="2" t="s">
        <v>33</v>
      </c>
    </row>
    <row r="33" spans="9:11" hidden="1" x14ac:dyDescent="0.15">
      <c r="K33" s="2" t="s">
        <v>34</v>
      </c>
    </row>
    <row r="34" spans="9:11" hidden="1" x14ac:dyDescent="0.15">
      <c r="K34" s="2" t="s">
        <v>35</v>
      </c>
    </row>
    <row r="35" spans="9:11" hidden="1" x14ac:dyDescent="0.15">
      <c r="K35" s="2" t="s">
        <v>36</v>
      </c>
    </row>
    <row r="36" spans="9:11" hidden="1" x14ac:dyDescent="0.15">
      <c r="K36" s="2" t="s">
        <v>37</v>
      </c>
    </row>
    <row r="37" spans="9:11" hidden="1" x14ac:dyDescent="0.15">
      <c r="K37" s="2" t="s">
        <v>38</v>
      </c>
    </row>
    <row r="38" spans="9:11" hidden="1" x14ac:dyDescent="0.15">
      <c r="K38" s="2" t="s">
        <v>39</v>
      </c>
    </row>
    <row r="39" spans="9:11" hidden="1" x14ac:dyDescent="0.15">
      <c r="K39" s="2" t="s">
        <v>40</v>
      </c>
    </row>
    <row r="40" spans="9:11" hidden="1" x14ac:dyDescent="0.15">
      <c r="K40" s="2" t="s">
        <v>41</v>
      </c>
    </row>
    <row r="41" spans="9:11" ht="30" hidden="1" x14ac:dyDescent="0.15">
      <c r="I41" s="74" t="s">
        <v>42</v>
      </c>
      <c r="K41" s="2" t="s">
        <v>43</v>
      </c>
    </row>
    <row r="42" spans="9:11" ht="15" hidden="1" x14ac:dyDescent="0.15">
      <c r="I42" s="74" t="s">
        <v>44</v>
      </c>
      <c r="K42" s="2" t="s">
        <v>45</v>
      </c>
    </row>
    <row r="43" spans="9:11" hidden="1" x14ac:dyDescent="0.15">
      <c r="I43" s="75" t="s">
        <v>46</v>
      </c>
      <c r="K43" s="2" t="s">
        <v>47</v>
      </c>
    </row>
    <row r="44" spans="9:11" hidden="1" x14ac:dyDescent="0.15">
      <c r="I44" s="2" t="s">
        <v>48</v>
      </c>
      <c r="K44" s="2" t="s">
        <v>49</v>
      </c>
    </row>
    <row r="45" spans="9:11" hidden="1" x14ac:dyDescent="0.15">
      <c r="I45" s="2" t="s">
        <v>50</v>
      </c>
      <c r="K45" s="2" t="s">
        <v>51</v>
      </c>
    </row>
    <row r="46" spans="9:11" hidden="1" x14ac:dyDescent="0.15">
      <c r="I46" s="2" t="s">
        <v>52</v>
      </c>
      <c r="K46" s="2" t="s">
        <v>53</v>
      </c>
    </row>
    <row r="47" spans="9:11" hidden="1" x14ac:dyDescent="0.15">
      <c r="I47" s="2" t="s">
        <v>54</v>
      </c>
      <c r="K47" s="2" t="s">
        <v>55</v>
      </c>
    </row>
    <row r="48" spans="9:11" hidden="1" x14ac:dyDescent="0.15">
      <c r="I48" s="2" t="s">
        <v>56</v>
      </c>
      <c r="K48" s="2" t="s">
        <v>57</v>
      </c>
    </row>
    <row r="49" spans="9:11" hidden="1" x14ac:dyDescent="0.15">
      <c r="I49" s="2" t="s">
        <v>58</v>
      </c>
      <c r="K49" s="2" t="s">
        <v>59</v>
      </c>
    </row>
    <row r="50" spans="9:11" hidden="1" x14ac:dyDescent="0.15">
      <c r="I50" s="2" t="s">
        <v>60</v>
      </c>
      <c r="K50" s="2" t="s">
        <v>61</v>
      </c>
    </row>
    <row r="51" spans="9:11" hidden="1" x14ac:dyDescent="0.15">
      <c r="K51" s="2" t="s">
        <v>62</v>
      </c>
    </row>
    <row r="52" spans="9:11" hidden="1" x14ac:dyDescent="0.15">
      <c r="K52" s="2" t="s">
        <v>63</v>
      </c>
    </row>
    <row r="53" spans="9:11" hidden="1" x14ac:dyDescent="0.15">
      <c r="K53" s="2" t="s">
        <v>64</v>
      </c>
    </row>
    <row r="54" spans="9:11" hidden="1" x14ac:dyDescent="0.15">
      <c r="K54" s="2" t="s">
        <v>65</v>
      </c>
    </row>
    <row r="55" spans="9:11" hidden="1" x14ac:dyDescent="0.15">
      <c r="K55" s="2" t="s">
        <v>66</v>
      </c>
    </row>
    <row r="56" spans="9:11" hidden="1" x14ac:dyDescent="0.15">
      <c r="K56" s="2" t="s">
        <v>67</v>
      </c>
    </row>
    <row r="57" spans="9:11" hidden="1" x14ac:dyDescent="0.15">
      <c r="K57" s="2" t="s">
        <v>68</v>
      </c>
    </row>
    <row r="58" spans="9:11" hidden="1" x14ac:dyDescent="0.15">
      <c r="K58" s="2" t="s">
        <v>69</v>
      </c>
    </row>
    <row r="59" spans="9:11" hidden="1" x14ac:dyDescent="0.15">
      <c r="K59" s="2" t="s">
        <v>70</v>
      </c>
    </row>
    <row r="60" spans="9:11" hidden="1" x14ac:dyDescent="0.15">
      <c r="K60" s="2" t="s">
        <v>71</v>
      </c>
    </row>
    <row r="61" spans="9:11" hidden="1" x14ac:dyDescent="0.15">
      <c r="K61" s="2" t="s">
        <v>72</v>
      </c>
    </row>
    <row r="62" spans="9:11" hidden="1" x14ac:dyDescent="0.15">
      <c r="K62" s="2" t="s">
        <v>73</v>
      </c>
    </row>
    <row r="63" spans="9:11" hidden="1" x14ac:dyDescent="0.15">
      <c r="K63" s="2" t="s">
        <v>67</v>
      </c>
    </row>
    <row r="64" spans="9:11" hidden="1" x14ac:dyDescent="0.15">
      <c r="K64" s="2" t="s">
        <v>74</v>
      </c>
    </row>
    <row r="65" spans="11:11" hidden="1" x14ac:dyDescent="0.15">
      <c r="K65" s="2" t="s">
        <v>75</v>
      </c>
    </row>
    <row r="66" spans="11:11" hidden="1" x14ac:dyDescent="0.15">
      <c r="K66" s="2" t="s">
        <v>76</v>
      </c>
    </row>
    <row r="67" spans="11:11" hidden="1" x14ac:dyDescent="0.15">
      <c r="K67" s="2" t="s">
        <v>77</v>
      </c>
    </row>
    <row r="68" spans="11:11" hidden="1" x14ac:dyDescent="0.15">
      <c r="K68" s="2" t="s">
        <v>78</v>
      </c>
    </row>
    <row r="69" spans="11:11" hidden="1" x14ac:dyDescent="0.15">
      <c r="K69" s="2" t="s">
        <v>79</v>
      </c>
    </row>
    <row r="70" spans="11:11" hidden="1" x14ac:dyDescent="0.15">
      <c r="K70" s="2" t="s">
        <v>80</v>
      </c>
    </row>
    <row r="71" spans="11:11" hidden="1" x14ac:dyDescent="0.15">
      <c r="K71" s="2" t="s">
        <v>81</v>
      </c>
    </row>
    <row r="72" spans="11:11" hidden="1" x14ac:dyDescent="0.15">
      <c r="K72" s="2" t="s">
        <v>82</v>
      </c>
    </row>
    <row r="73" spans="11:11" hidden="1" x14ac:dyDescent="0.15">
      <c r="K73" s="2" t="s">
        <v>83</v>
      </c>
    </row>
    <row r="74" spans="11:11" hidden="1" x14ac:dyDescent="0.15">
      <c r="K74" s="2" t="s">
        <v>84</v>
      </c>
    </row>
    <row r="75" spans="11:11" hidden="1" x14ac:dyDescent="0.15">
      <c r="K75" s="2" t="s">
        <v>85</v>
      </c>
    </row>
    <row r="76" spans="11:11" hidden="1" x14ac:dyDescent="0.15">
      <c r="K76" s="2" t="s">
        <v>86</v>
      </c>
    </row>
    <row r="77" spans="11:11" hidden="1" x14ac:dyDescent="0.15">
      <c r="K77" s="2" t="s">
        <v>87</v>
      </c>
    </row>
    <row r="78" spans="11:11" hidden="1" x14ac:dyDescent="0.15">
      <c r="K78" s="2" t="s">
        <v>88</v>
      </c>
    </row>
    <row r="79" spans="11:11" hidden="1" x14ac:dyDescent="0.15">
      <c r="K79" s="2" t="s">
        <v>89</v>
      </c>
    </row>
    <row r="80" spans="11:11" hidden="1" x14ac:dyDescent="0.15">
      <c r="K80" s="2" t="s">
        <v>90</v>
      </c>
    </row>
    <row r="81" spans="11:11" hidden="1" x14ac:dyDescent="0.15">
      <c r="K81" s="2" t="s">
        <v>91</v>
      </c>
    </row>
    <row r="82" spans="11:11" hidden="1" x14ac:dyDescent="0.15">
      <c r="K82" s="2" t="s">
        <v>92</v>
      </c>
    </row>
    <row r="83" spans="11:11" hidden="1" x14ac:dyDescent="0.15">
      <c r="K83" s="2" t="s">
        <v>93</v>
      </c>
    </row>
    <row r="84" spans="11:11" hidden="1" x14ac:dyDescent="0.15">
      <c r="K84" s="2" t="s">
        <v>94</v>
      </c>
    </row>
    <row r="85" spans="11:11" hidden="1" x14ac:dyDescent="0.15">
      <c r="K85" s="2" t="s">
        <v>47</v>
      </c>
    </row>
  </sheetData>
  <dataValidations count="3">
    <dataValidation type="list" allowBlank="1" showInputMessage="1" showErrorMessage="1" sqref="B16:B19" xr:uid="{851DB50B-50BF-4DF6-A2AE-7003BD776FA0}">
      <formula1>$K$29:$K$85</formula1>
    </dataValidation>
    <dataValidation type="list" allowBlank="1" showInputMessage="1" showErrorMessage="1" sqref="B20:B21" xr:uid="{BE9C19DD-686A-4729-B07B-C9C71BD7219B}">
      <formula1>$K$29:$K$40</formula1>
    </dataValidation>
    <dataValidation type="list" allowBlank="1" showInputMessage="1" showErrorMessage="1" sqref="I50 K15:K21" xr:uid="{38269298-29E2-4AF1-878B-FA5A087FF1BC}">
      <formula1>$I$41:$I$50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816D9-EC86-47DB-BCF4-9A34E73F1EAA}">
  <dimension ref="A1:K85"/>
  <sheetViews>
    <sheetView workbookViewId="0">
      <selection sqref="A1:XFD1048576"/>
    </sheetView>
  </sheetViews>
  <sheetFormatPr baseColWidth="10" defaultColWidth="9.1640625" defaultRowHeight="14" x14ac:dyDescent="0.15"/>
  <cols>
    <col min="1" max="1" width="5.1640625" style="2" customWidth="1"/>
    <col min="2" max="2" width="22.5" style="2" customWidth="1"/>
    <col min="3" max="3" width="6.1640625" style="2" customWidth="1"/>
    <col min="4" max="4" width="12.5" style="2" bestFit="1" customWidth="1"/>
    <col min="5" max="5" width="9.83203125" style="2" customWidth="1"/>
    <col min="6" max="6" width="9.33203125" style="2" bestFit="1" customWidth="1"/>
    <col min="7" max="7" width="8.6640625" style="2" customWidth="1"/>
    <col min="8" max="8" width="9.5" style="2" bestFit="1" customWidth="1"/>
    <col min="9" max="9" width="17.83203125" style="2" bestFit="1" customWidth="1"/>
    <col min="10" max="10" width="10.33203125" style="2" bestFit="1" customWidth="1"/>
    <col min="11" max="11" width="75" style="2" bestFit="1" customWidth="1"/>
    <col min="12" max="16384" width="9.1640625" style="2"/>
  </cols>
  <sheetData>
    <row r="1" spans="1:11" x14ac:dyDescent="0.15">
      <c r="A1" s="1" t="s">
        <v>0</v>
      </c>
      <c r="I1" s="3"/>
    </row>
    <row r="2" spans="1:11" x14ac:dyDescent="0.15">
      <c r="J2" s="4"/>
    </row>
    <row r="3" spans="1:11" x14ac:dyDescent="0.15">
      <c r="A3" s="3" t="s">
        <v>1</v>
      </c>
      <c r="I3" s="1"/>
      <c r="J3" s="1"/>
    </row>
    <row r="4" spans="1:11" x14ac:dyDescent="0.15">
      <c r="A4" s="3"/>
      <c r="I4" s="4" t="s">
        <v>2</v>
      </c>
      <c r="J4" s="76">
        <v>45784</v>
      </c>
    </row>
    <row r="5" spans="1:11" x14ac:dyDescent="0.15">
      <c r="J5" s="2" t="s">
        <v>3</v>
      </c>
    </row>
    <row r="6" spans="1:11" ht="30" x14ac:dyDescent="0.15">
      <c r="A6" s="5" t="s">
        <v>4</v>
      </c>
      <c r="B6" s="5" t="s">
        <v>5</v>
      </c>
      <c r="C6" s="5" t="s">
        <v>6</v>
      </c>
      <c r="D6" s="5" t="s">
        <v>7</v>
      </c>
      <c r="E6" s="5" t="s">
        <v>8</v>
      </c>
      <c r="F6" s="5" t="s">
        <v>9</v>
      </c>
      <c r="G6" s="6" t="s">
        <v>10</v>
      </c>
      <c r="H6" s="6" t="s">
        <v>11</v>
      </c>
      <c r="I6" s="6" t="s">
        <v>12</v>
      </c>
      <c r="J6" s="7"/>
      <c r="K6" s="5" t="s">
        <v>13</v>
      </c>
    </row>
    <row r="7" spans="1:11" ht="30" x14ac:dyDescent="0.15">
      <c r="A7" s="6"/>
      <c r="B7" s="8"/>
      <c r="C7" s="5"/>
      <c r="D7" s="5" t="s">
        <v>14</v>
      </c>
      <c r="E7" s="5" t="s">
        <v>15</v>
      </c>
      <c r="F7" s="9" t="s">
        <v>16</v>
      </c>
      <c r="G7" s="9" t="s">
        <v>15</v>
      </c>
      <c r="H7" s="9" t="s">
        <v>17</v>
      </c>
      <c r="I7" s="5" t="s">
        <v>18</v>
      </c>
      <c r="J7" s="9" t="s">
        <v>19</v>
      </c>
      <c r="K7" s="9"/>
    </row>
    <row r="8" spans="1:11" ht="16" x14ac:dyDescent="0.2">
      <c r="A8" s="10"/>
      <c r="B8" s="11"/>
      <c r="C8" s="12"/>
      <c r="D8" s="11"/>
      <c r="E8" s="11"/>
      <c r="F8" s="10"/>
      <c r="G8" s="10"/>
      <c r="H8" s="10"/>
      <c r="I8" s="10"/>
      <c r="J8" s="13"/>
      <c r="K8" s="10"/>
    </row>
    <row r="9" spans="1:11" ht="17" x14ac:dyDescent="0.15">
      <c r="A9" s="192">
        <v>1</v>
      </c>
      <c r="B9" s="187" t="s">
        <v>231</v>
      </c>
      <c r="C9" s="188">
        <v>14</v>
      </c>
      <c r="D9" s="15">
        <v>2.85</v>
      </c>
      <c r="E9" s="193">
        <v>1351</v>
      </c>
      <c r="F9" s="189">
        <v>22.4</v>
      </c>
      <c r="G9" s="16">
        <f t="shared" ref="G9:G12" si="0">E9*F9</f>
        <v>30262.399999999998</v>
      </c>
      <c r="H9" s="17">
        <f t="shared" ref="H9:H12" si="1">F9*C9</f>
        <v>313.59999999999997</v>
      </c>
      <c r="I9" s="211" t="s">
        <v>20</v>
      </c>
      <c r="J9" s="212">
        <v>2.0833333333333332E-2</v>
      </c>
      <c r="K9" s="213" t="s">
        <v>234</v>
      </c>
    </row>
    <row r="10" spans="1:11" ht="17" x14ac:dyDescent="0.15">
      <c r="A10" s="23">
        <v>2</v>
      </c>
      <c r="B10" s="187" t="s">
        <v>231</v>
      </c>
      <c r="C10" s="188">
        <v>15</v>
      </c>
      <c r="D10" s="15">
        <v>2.85</v>
      </c>
      <c r="E10" s="193">
        <v>1369</v>
      </c>
      <c r="F10" s="189">
        <v>28.1</v>
      </c>
      <c r="G10" s="16">
        <f t="shared" si="0"/>
        <v>38468.9</v>
      </c>
      <c r="H10" s="17">
        <f t="shared" si="1"/>
        <v>421.5</v>
      </c>
      <c r="I10" s="214" t="s">
        <v>44</v>
      </c>
      <c r="J10" s="215">
        <v>6.9444444444444441E-3</v>
      </c>
      <c r="K10" s="216" t="s">
        <v>44</v>
      </c>
    </row>
    <row r="11" spans="1:11" ht="17" x14ac:dyDescent="0.15">
      <c r="A11" s="192">
        <v>3</v>
      </c>
      <c r="B11" s="187" t="s">
        <v>231</v>
      </c>
      <c r="C11" s="188">
        <v>16</v>
      </c>
      <c r="D11" s="15">
        <v>2.85</v>
      </c>
      <c r="E11" s="193">
        <v>1208</v>
      </c>
      <c r="F11" s="207">
        <v>7</v>
      </c>
      <c r="G11" s="16">
        <f t="shared" si="0"/>
        <v>8456</v>
      </c>
      <c r="H11" s="17">
        <f t="shared" si="1"/>
        <v>112</v>
      </c>
      <c r="I11" s="217" t="s">
        <v>241</v>
      </c>
      <c r="J11" s="215">
        <v>2.0833333333333332E-2</v>
      </c>
      <c r="K11" s="216" t="s">
        <v>242</v>
      </c>
    </row>
    <row r="12" spans="1:11" ht="19.25" customHeight="1" x14ac:dyDescent="0.15">
      <c r="A12" s="23">
        <v>4</v>
      </c>
      <c r="B12" s="187" t="s">
        <v>231</v>
      </c>
      <c r="C12" s="208">
        <v>17</v>
      </c>
      <c r="D12" s="15">
        <v>2.85</v>
      </c>
      <c r="E12" s="209">
        <v>1208</v>
      </c>
      <c r="F12" s="210">
        <v>1.5</v>
      </c>
      <c r="G12" s="16">
        <f t="shared" si="0"/>
        <v>1812</v>
      </c>
      <c r="H12" s="17">
        <f t="shared" si="1"/>
        <v>25.5</v>
      </c>
      <c r="I12" s="217" t="s">
        <v>247</v>
      </c>
      <c r="J12" s="215">
        <v>5.5555555555555552E-2</v>
      </c>
      <c r="K12" s="216" t="s">
        <v>248</v>
      </c>
    </row>
    <row r="13" spans="1:11" ht="16" x14ac:dyDescent="0.15">
      <c r="A13" s="14"/>
      <c r="B13" s="19"/>
      <c r="C13" s="31"/>
      <c r="D13" s="15"/>
      <c r="E13" s="32"/>
      <c r="F13" s="33"/>
      <c r="G13" s="16"/>
      <c r="H13" s="17"/>
      <c r="I13" s="217" t="s">
        <v>247</v>
      </c>
      <c r="J13" s="215">
        <v>0.20833333333333334</v>
      </c>
      <c r="K13" s="216" t="s">
        <v>249</v>
      </c>
    </row>
    <row r="14" spans="1:11" ht="16" x14ac:dyDescent="0.15">
      <c r="A14" s="34"/>
      <c r="B14" s="28"/>
      <c r="C14" s="35"/>
      <c r="D14" s="11"/>
      <c r="E14" s="32"/>
      <c r="F14" s="36"/>
      <c r="G14" s="27"/>
      <c r="H14" s="12"/>
      <c r="I14" s="28"/>
      <c r="J14" s="37"/>
      <c r="K14" s="30"/>
    </row>
    <row r="15" spans="1:11" ht="16" x14ac:dyDescent="0.2">
      <c r="A15" s="38"/>
      <c r="B15" s="39"/>
      <c r="C15" s="40"/>
      <c r="D15" s="11"/>
      <c r="E15" s="25"/>
      <c r="F15" s="40"/>
      <c r="G15" s="27"/>
      <c r="H15" s="12"/>
      <c r="I15" s="41"/>
      <c r="J15" s="37"/>
      <c r="K15" s="30"/>
    </row>
    <row r="16" spans="1:11" ht="16" x14ac:dyDescent="0.2">
      <c r="A16" s="38"/>
      <c r="B16" s="39"/>
      <c r="C16" s="40"/>
      <c r="D16" s="11"/>
      <c r="E16" s="32"/>
      <c r="F16" s="40"/>
      <c r="G16" s="27"/>
      <c r="H16" s="12"/>
      <c r="I16" s="41"/>
      <c r="J16" s="37"/>
      <c r="K16" s="42"/>
    </row>
    <row r="17" spans="1:11" ht="16" x14ac:dyDescent="0.2">
      <c r="A17" s="38"/>
      <c r="B17" s="39"/>
      <c r="C17" s="40"/>
      <c r="D17" s="11"/>
      <c r="E17" s="32"/>
      <c r="F17" s="40"/>
      <c r="G17" s="27"/>
      <c r="H17" s="12"/>
      <c r="I17" s="41"/>
      <c r="J17" s="37"/>
      <c r="K17" s="42"/>
    </row>
    <row r="18" spans="1:11" ht="16" x14ac:dyDescent="0.2">
      <c r="A18" s="43"/>
      <c r="B18" s="44"/>
      <c r="C18" s="40"/>
      <c r="D18" s="11"/>
      <c r="E18" s="45"/>
      <c r="F18" s="46"/>
      <c r="G18" s="27"/>
      <c r="H18" s="12"/>
      <c r="I18" s="10"/>
      <c r="J18" s="13"/>
      <c r="K18" s="10"/>
    </row>
    <row r="19" spans="1:11" x14ac:dyDescent="0.15">
      <c r="A19" s="47"/>
      <c r="B19" s="48"/>
      <c r="C19" s="49"/>
      <c r="D19" s="50"/>
      <c r="E19" s="47"/>
      <c r="F19" s="49"/>
      <c r="G19" s="51"/>
      <c r="H19" s="49"/>
      <c r="I19" s="48"/>
      <c r="J19" s="52"/>
      <c r="K19" s="48"/>
    </row>
    <row r="20" spans="1:11" x14ac:dyDescent="0.15">
      <c r="A20" s="47"/>
      <c r="B20" s="48"/>
      <c r="C20" s="49"/>
      <c r="D20" s="50"/>
      <c r="E20" s="47"/>
      <c r="F20" s="49"/>
      <c r="G20" s="51"/>
      <c r="H20" s="49"/>
      <c r="I20" s="48"/>
      <c r="J20" s="52"/>
      <c r="K20" s="48"/>
    </row>
    <row r="21" spans="1:11" x14ac:dyDescent="0.15">
      <c r="A21" s="47"/>
      <c r="B21" s="48"/>
      <c r="C21" s="53"/>
      <c r="D21" s="47"/>
      <c r="E21" s="52"/>
      <c r="F21" s="53"/>
      <c r="G21" s="51"/>
      <c r="H21" s="49"/>
      <c r="I21" s="48"/>
      <c r="J21" s="52"/>
      <c r="K21" s="48"/>
    </row>
    <row r="22" spans="1:11" x14ac:dyDescent="0.15">
      <c r="A22" s="54"/>
      <c r="B22" s="55"/>
      <c r="C22" s="56"/>
      <c r="D22" s="56"/>
      <c r="E22" s="57" t="s">
        <v>21</v>
      </c>
      <c r="F22" s="58">
        <f>SUM(F9:F21)</f>
        <v>59</v>
      </c>
      <c r="G22" s="59">
        <f>SUM(G9:G21)/F22</f>
        <v>1338.9711864406779</v>
      </c>
      <c r="H22" s="60">
        <f>SUM(H9:H21)/F22</f>
        <v>14.789830508474575</v>
      </c>
      <c r="I22" s="61" t="s">
        <v>22</v>
      </c>
      <c r="J22" s="186">
        <v>0.3125</v>
      </c>
      <c r="K22" s="55"/>
    </row>
    <row r="23" spans="1:11" x14ac:dyDescent="0.15">
      <c r="E23" s="62"/>
      <c r="F23" s="63"/>
      <c r="I23" s="64" t="s">
        <v>23</v>
      </c>
      <c r="J23" s="65">
        <v>7.5</v>
      </c>
    </row>
    <row r="24" spans="1:11" x14ac:dyDescent="0.15">
      <c r="A24" s="1"/>
      <c r="I24" s="66"/>
      <c r="J24" s="67"/>
    </row>
    <row r="25" spans="1:11" x14ac:dyDescent="0.15">
      <c r="A25" s="68" t="s">
        <v>24</v>
      </c>
      <c r="B25" s="68"/>
      <c r="C25" s="68"/>
      <c r="D25" s="53"/>
      <c r="H25" s="4" t="s">
        <v>25</v>
      </c>
      <c r="I25" s="4"/>
      <c r="J25" s="62">
        <f>F22</f>
        <v>59</v>
      </c>
      <c r="K25" s="1" t="s">
        <v>16</v>
      </c>
    </row>
    <row r="26" spans="1:11" x14ac:dyDescent="0.15">
      <c r="A26" s="68" t="s">
        <v>26</v>
      </c>
      <c r="B26" s="68"/>
      <c r="C26" s="68"/>
      <c r="D26" s="53"/>
      <c r="H26" s="4" t="s">
        <v>27</v>
      </c>
      <c r="I26" s="4"/>
      <c r="J26" s="62">
        <f>66+72+68+62+66+58+59</f>
        <v>451</v>
      </c>
      <c r="K26" s="1" t="s">
        <v>16</v>
      </c>
    </row>
    <row r="27" spans="1:11" ht="15" thickBot="1" x14ac:dyDescent="0.2">
      <c r="A27" s="69"/>
      <c r="B27" s="69"/>
      <c r="C27" s="69"/>
      <c r="D27" s="69"/>
      <c r="E27" s="70"/>
      <c r="F27" s="70"/>
      <c r="G27" s="69"/>
      <c r="H27" s="71" t="s">
        <v>28</v>
      </c>
      <c r="I27" s="71"/>
      <c r="J27" s="72">
        <v>28.42</v>
      </c>
      <c r="K27" s="73" t="s">
        <v>29</v>
      </c>
    </row>
    <row r="28" spans="1:11" x14ac:dyDescent="0.15">
      <c r="J28" s="2" t="s">
        <v>3</v>
      </c>
    </row>
    <row r="29" spans="1:11" hidden="1" x14ac:dyDescent="0.15">
      <c r="K29" s="2" t="s">
        <v>30</v>
      </c>
    </row>
    <row r="30" spans="1:11" hidden="1" x14ac:dyDescent="0.15">
      <c r="K30" s="2" t="s">
        <v>31</v>
      </c>
    </row>
    <row r="31" spans="1:11" hidden="1" x14ac:dyDescent="0.15">
      <c r="K31" s="2" t="s">
        <v>32</v>
      </c>
    </row>
    <row r="32" spans="1:11" hidden="1" x14ac:dyDescent="0.15">
      <c r="K32" s="2" t="s">
        <v>33</v>
      </c>
    </row>
    <row r="33" spans="9:11" hidden="1" x14ac:dyDescent="0.15">
      <c r="K33" s="2" t="s">
        <v>34</v>
      </c>
    </row>
    <row r="34" spans="9:11" hidden="1" x14ac:dyDescent="0.15">
      <c r="K34" s="2" t="s">
        <v>35</v>
      </c>
    </row>
    <row r="35" spans="9:11" hidden="1" x14ac:dyDescent="0.15">
      <c r="K35" s="2" t="s">
        <v>36</v>
      </c>
    </row>
    <row r="36" spans="9:11" hidden="1" x14ac:dyDescent="0.15">
      <c r="K36" s="2" t="s">
        <v>37</v>
      </c>
    </row>
    <row r="37" spans="9:11" hidden="1" x14ac:dyDescent="0.15">
      <c r="K37" s="2" t="s">
        <v>38</v>
      </c>
    </row>
    <row r="38" spans="9:11" hidden="1" x14ac:dyDescent="0.15">
      <c r="K38" s="2" t="s">
        <v>39</v>
      </c>
    </row>
    <row r="39" spans="9:11" hidden="1" x14ac:dyDescent="0.15">
      <c r="K39" s="2" t="s">
        <v>40</v>
      </c>
    </row>
    <row r="40" spans="9:11" hidden="1" x14ac:dyDescent="0.15">
      <c r="K40" s="2" t="s">
        <v>41</v>
      </c>
    </row>
    <row r="41" spans="9:11" ht="30" hidden="1" x14ac:dyDescent="0.15">
      <c r="I41" s="74" t="s">
        <v>42</v>
      </c>
      <c r="K41" s="2" t="s">
        <v>43</v>
      </c>
    </row>
    <row r="42" spans="9:11" ht="15" hidden="1" x14ac:dyDescent="0.15">
      <c r="I42" s="74" t="s">
        <v>44</v>
      </c>
      <c r="K42" s="2" t="s">
        <v>45</v>
      </c>
    </row>
    <row r="43" spans="9:11" hidden="1" x14ac:dyDescent="0.15">
      <c r="I43" s="75" t="s">
        <v>46</v>
      </c>
      <c r="K43" s="2" t="s">
        <v>47</v>
      </c>
    </row>
    <row r="44" spans="9:11" hidden="1" x14ac:dyDescent="0.15">
      <c r="I44" s="2" t="s">
        <v>48</v>
      </c>
      <c r="K44" s="2" t="s">
        <v>49</v>
      </c>
    </row>
    <row r="45" spans="9:11" hidden="1" x14ac:dyDescent="0.15">
      <c r="I45" s="2" t="s">
        <v>50</v>
      </c>
      <c r="K45" s="2" t="s">
        <v>51</v>
      </c>
    </row>
    <row r="46" spans="9:11" hidden="1" x14ac:dyDescent="0.15">
      <c r="I46" s="2" t="s">
        <v>52</v>
      </c>
      <c r="K46" s="2" t="s">
        <v>53</v>
      </c>
    </row>
    <row r="47" spans="9:11" hidden="1" x14ac:dyDescent="0.15">
      <c r="I47" s="2" t="s">
        <v>54</v>
      </c>
      <c r="K47" s="2" t="s">
        <v>55</v>
      </c>
    </row>
    <row r="48" spans="9:11" hidden="1" x14ac:dyDescent="0.15">
      <c r="I48" s="2" t="s">
        <v>56</v>
      </c>
      <c r="K48" s="2" t="s">
        <v>57</v>
      </c>
    </row>
    <row r="49" spans="9:11" hidden="1" x14ac:dyDescent="0.15">
      <c r="I49" s="2" t="s">
        <v>58</v>
      </c>
      <c r="K49" s="2" t="s">
        <v>59</v>
      </c>
    </row>
    <row r="50" spans="9:11" hidden="1" x14ac:dyDescent="0.15">
      <c r="I50" s="2" t="s">
        <v>60</v>
      </c>
      <c r="K50" s="2" t="s">
        <v>61</v>
      </c>
    </row>
    <row r="51" spans="9:11" hidden="1" x14ac:dyDescent="0.15">
      <c r="K51" s="2" t="s">
        <v>62</v>
      </c>
    </row>
    <row r="52" spans="9:11" hidden="1" x14ac:dyDescent="0.15">
      <c r="K52" s="2" t="s">
        <v>63</v>
      </c>
    </row>
    <row r="53" spans="9:11" hidden="1" x14ac:dyDescent="0.15">
      <c r="K53" s="2" t="s">
        <v>64</v>
      </c>
    </row>
    <row r="54" spans="9:11" hidden="1" x14ac:dyDescent="0.15">
      <c r="K54" s="2" t="s">
        <v>65</v>
      </c>
    </row>
    <row r="55" spans="9:11" hidden="1" x14ac:dyDescent="0.15">
      <c r="K55" s="2" t="s">
        <v>66</v>
      </c>
    </row>
    <row r="56" spans="9:11" hidden="1" x14ac:dyDescent="0.15">
      <c r="K56" s="2" t="s">
        <v>67</v>
      </c>
    </row>
    <row r="57" spans="9:11" hidden="1" x14ac:dyDescent="0.15">
      <c r="K57" s="2" t="s">
        <v>68</v>
      </c>
    </row>
    <row r="58" spans="9:11" hidden="1" x14ac:dyDescent="0.15">
      <c r="K58" s="2" t="s">
        <v>69</v>
      </c>
    </row>
    <row r="59" spans="9:11" hidden="1" x14ac:dyDescent="0.15">
      <c r="K59" s="2" t="s">
        <v>70</v>
      </c>
    </row>
    <row r="60" spans="9:11" hidden="1" x14ac:dyDescent="0.15">
      <c r="K60" s="2" t="s">
        <v>71</v>
      </c>
    </row>
    <row r="61" spans="9:11" hidden="1" x14ac:dyDescent="0.15">
      <c r="K61" s="2" t="s">
        <v>72</v>
      </c>
    </row>
    <row r="62" spans="9:11" hidden="1" x14ac:dyDescent="0.15">
      <c r="K62" s="2" t="s">
        <v>73</v>
      </c>
    </row>
    <row r="63" spans="9:11" hidden="1" x14ac:dyDescent="0.15">
      <c r="K63" s="2" t="s">
        <v>67</v>
      </c>
    </row>
    <row r="64" spans="9:11" hidden="1" x14ac:dyDescent="0.15">
      <c r="K64" s="2" t="s">
        <v>74</v>
      </c>
    </row>
    <row r="65" spans="11:11" hidden="1" x14ac:dyDescent="0.15">
      <c r="K65" s="2" t="s">
        <v>75</v>
      </c>
    </row>
    <row r="66" spans="11:11" hidden="1" x14ac:dyDescent="0.15">
      <c r="K66" s="2" t="s">
        <v>76</v>
      </c>
    </row>
    <row r="67" spans="11:11" hidden="1" x14ac:dyDescent="0.15">
      <c r="K67" s="2" t="s">
        <v>77</v>
      </c>
    </row>
    <row r="68" spans="11:11" hidden="1" x14ac:dyDescent="0.15">
      <c r="K68" s="2" t="s">
        <v>78</v>
      </c>
    </row>
    <row r="69" spans="11:11" hidden="1" x14ac:dyDescent="0.15">
      <c r="K69" s="2" t="s">
        <v>79</v>
      </c>
    </row>
    <row r="70" spans="11:11" hidden="1" x14ac:dyDescent="0.15">
      <c r="K70" s="2" t="s">
        <v>80</v>
      </c>
    </row>
    <row r="71" spans="11:11" hidden="1" x14ac:dyDescent="0.15">
      <c r="K71" s="2" t="s">
        <v>81</v>
      </c>
    </row>
    <row r="72" spans="11:11" hidden="1" x14ac:dyDescent="0.15">
      <c r="K72" s="2" t="s">
        <v>82</v>
      </c>
    </row>
    <row r="73" spans="11:11" hidden="1" x14ac:dyDescent="0.15">
      <c r="K73" s="2" t="s">
        <v>83</v>
      </c>
    </row>
    <row r="74" spans="11:11" hidden="1" x14ac:dyDescent="0.15">
      <c r="K74" s="2" t="s">
        <v>84</v>
      </c>
    </row>
    <row r="75" spans="11:11" hidden="1" x14ac:dyDescent="0.15">
      <c r="K75" s="2" t="s">
        <v>85</v>
      </c>
    </row>
    <row r="76" spans="11:11" hidden="1" x14ac:dyDescent="0.15">
      <c r="K76" s="2" t="s">
        <v>86</v>
      </c>
    </row>
    <row r="77" spans="11:11" hidden="1" x14ac:dyDescent="0.15">
      <c r="K77" s="2" t="s">
        <v>87</v>
      </c>
    </row>
    <row r="78" spans="11:11" hidden="1" x14ac:dyDescent="0.15">
      <c r="K78" s="2" t="s">
        <v>88</v>
      </c>
    </row>
    <row r="79" spans="11:11" hidden="1" x14ac:dyDescent="0.15">
      <c r="K79" s="2" t="s">
        <v>89</v>
      </c>
    </row>
    <row r="80" spans="11:11" hidden="1" x14ac:dyDescent="0.15">
      <c r="K80" s="2" t="s">
        <v>90</v>
      </c>
    </row>
    <row r="81" spans="11:11" hidden="1" x14ac:dyDescent="0.15">
      <c r="K81" s="2" t="s">
        <v>91</v>
      </c>
    </row>
    <row r="82" spans="11:11" hidden="1" x14ac:dyDescent="0.15">
      <c r="K82" s="2" t="s">
        <v>92</v>
      </c>
    </row>
    <row r="83" spans="11:11" hidden="1" x14ac:dyDescent="0.15">
      <c r="K83" s="2" t="s">
        <v>93</v>
      </c>
    </row>
    <row r="84" spans="11:11" hidden="1" x14ac:dyDescent="0.15">
      <c r="K84" s="2" t="s">
        <v>94</v>
      </c>
    </row>
    <row r="85" spans="11:11" hidden="1" x14ac:dyDescent="0.15">
      <c r="K85" s="2" t="s">
        <v>47</v>
      </c>
    </row>
  </sheetData>
  <dataValidations count="3">
    <dataValidation type="list" allowBlank="1" showInputMessage="1" showErrorMessage="1" sqref="I50 K15:K21" xr:uid="{EEBEEF12-6C89-43C2-AA1B-F2F29C12160B}">
      <formula1>$I$41:$I$50</formula1>
    </dataValidation>
    <dataValidation type="list" allowBlank="1" showInputMessage="1" showErrorMessage="1" sqref="B20:B21" xr:uid="{96A4B79B-5D95-4148-81BA-715F2DF4D4B8}">
      <formula1>$K$29:$K$40</formula1>
    </dataValidation>
    <dataValidation type="list" allowBlank="1" showInputMessage="1" showErrorMessage="1" sqref="B16:B19" xr:uid="{AE2A7BC4-AC48-4562-9B0F-96ED5470EBE9}">
      <formula1>$K$29:$K$85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9384F-3912-4B31-AEBD-7C21EC7FEAAF}">
  <dimension ref="A1:K85"/>
  <sheetViews>
    <sheetView workbookViewId="0">
      <selection activeCell="K21" sqref="K21"/>
    </sheetView>
  </sheetViews>
  <sheetFormatPr baseColWidth="10" defaultColWidth="9.1640625" defaultRowHeight="14" x14ac:dyDescent="0.15"/>
  <cols>
    <col min="1" max="1" width="5.1640625" style="2" customWidth="1"/>
    <col min="2" max="2" width="22.5" style="2" customWidth="1"/>
    <col min="3" max="3" width="6.1640625" style="2" customWidth="1"/>
    <col min="4" max="4" width="12.5" style="2" bestFit="1" customWidth="1"/>
    <col min="5" max="5" width="9.83203125" style="2" customWidth="1"/>
    <col min="6" max="6" width="9.33203125" style="2" bestFit="1" customWidth="1"/>
    <col min="7" max="7" width="8.6640625" style="2" customWidth="1"/>
    <col min="8" max="8" width="9.5" style="2" bestFit="1" customWidth="1"/>
    <col min="9" max="9" width="17.83203125" style="2" bestFit="1" customWidth="1"/>
    <col min="10" max="10" width="10.33203125" style="2" bestFit="1" customWidth="1"/>
    <col min="11" max="11" width="75" style="2" bestFit="1" customWidth="1"/>
    <col min="12" max="16384" width="9.1640625" style="2"/>
  </cols>
  <sheetData>
    <row r="1" spans="1:11" x14ac:dyDescent="0.15">
      <c r="A1" s="1" t="s">
        <v>0</v>
      </c>
      <c r="I1" s="3"/>
    </row>
    <row r="2" spans="1:11" x14ac:dyDescent="0.15">
      <c r="J2" s="4"/>
    </row>
    <row r="3" spans="1:11" x14ac:dyDescent="0.15">
      <c r="A3" s="3" t="s">
        <v>1</v>
      </c>
      <c r="I3" s="1"/>
      <c r="J3" s="1"/>
    </row>
    <row r="4" spans="1:11" x14ac:dyDescent="0.15">
      <c r="A4" s="3"/>
      <c r="I4" s="4" t="s">
        <v>2</v>
      </c>
      <c r="J4" s="76">
        <v>45785</v>
      </c>
    </row>
    <row r="5" spans="1:11" x14ac:dyDescent="0.15">
      <c r="J5" s="2" t="s">
        <v>3</v>
      </c>
    </row>
    <row r="6" spans="1:11" ht="30" x14ac:dyDescent="0.15">
      <c r="A6" s="5" t="s">
        <v>4</v>
      </c>
      <c r="B6" s="5" t="s">
        <v>5</v>
      </c>
      <c r="C6" s="5" t="s">
        <v>6</v>
      </c>
      <c r="D6" s="5" t="s">
        <v>7</v>
      </c>
      <c r="E6" s="5" t="s">
        <v>8</v>
      </c>
      <c r="F6" s="5" t="s">
        <v>9</v>
      </c>
      <c r="G6" s="6" t="s">
        <v>10</v>
      </c>
      <c r="H6" s="6" t="s">
        <v>11</v>
      </c>
      <c r="I6" s="6" t="s">
        <v>12</v>
      </c>
      <c r="J6" s="7"/>
      <c r="K6" s="5" t="s">
        <v>13</v>
      </c>
    </row>
    <row r="7" spans="1:11" ht="30" x14ac:dyDescent="0.15">
      <c r="A7" s="6"/>
      <c r="B7" s="8"/>
      <c r="C7" s="5"/>
      <c r="D7" s="5" t="s">
        <v>14</v>
      </c>
      <c r="E7" s="5" t="s">
        <v>15</v>
      </c>
      <c r="F7" s="9" t="s">
        <v>16</v>
      </c>
      <c r="G7" s="9" t="s">
        <v>15</v>
      </c>
      <c r="H7" s="9" t="s">
        <v>17</v>
      </c>
      <c r="I7" s="5" t="s">
        <v>18</v>
      </c>
      <c r="J7" s="9" t="s">
        <v>19</v>
      </c>
      <c r="K7" s="9"/>
    </row>
    <row r="8" spans="1:11" ht="16" x14ac:dyDescent="0.2">
      <c r="A8" s="10"/>
      <c r="B8" s="11"/>
      <c r="C8" s="12"/>
      <c r="D8" s="11"/>
      <c r="E8" s="11"/>
      <c r="F8" s="10"/>
      <c r="G8" s="10"/>
      <c r="H8" s="10"/>
      <c r="I8" s="217" t="s">
        <v>247</v>
      </c>
      <c r="J8" s="215" t="s">
        <v>250</v>
      </c>
      <c r="K8" s="216" t="s">
        <v>249</v>
      </c>
    </row>
    <row r="9" spans="1:11" ht="16" x14ac:dyDescent="0.15">
      <c r="A9" s="192"/>
      <c r="B9" s="187"/>
      <c r="C9" s="188"/>
      <c r="D9" s="15"/>
      <c r="E9" s="193"/>
      <c r="F9" s="189"/>
      <c r="G9" s="16"/>
      <c r="H9" s="17"/>
      <c r="I9" s="211"/>
      <c r="J9" s="212"/>
      <c r="K9" s="213"/>
    </row>
    <row r="10" spans="1:11" ht="16" x14ac:dyDescent="0.15">
      <c r="A10" s="23"/>
      <c r="B10" s="187"/>
      <c r="C10" s="188"/>
      <c r="D10" s="15"/>
      <c r="E10" s="193"/>
      <c r="F10" s="189"/>
      <c r="G10" s="16"/>
      <c r="H10" s="17"/>
      <c r="I10" s="214"/>
      <c r="J10" s="215"/>
      <c r="K10" s="216"/>
    </row>
    <row r="11" spans="1:11" ht="16" x14ac:dyDescent="0.15">
      <c r="A11" s="192"/>
      <c r="B11" s="187"/>
      <c r="C11" s="188"/>
      <c r="D11" s="15"/>
      <c r="E11" s="193"/>
      <c r="F11" s="207"/>
      <c r="G11" s="16"/>
      <c r="H11" s="17"/>
      <c r="I11" s="217"/>
      <c r="J11" s="215"/>
      <c r="K11" s="216"/>
    </row>
    <row r="12" spans="1:11" ht="19.25" customHeight="1" x14ac:dyDescent="0.15">
      <c r="A12" s="23"/>
      <c r="B12" s="187"/>
      <c r="C12" s="208"/>
      <c r="D12" s="15"/>
      <c r="E12" s="209"/>
      <c r="F12" s="210"/>
      <c r="G12" s="16"/>
      <c r="H12" s="17"/>
      <c r="I12" s="217"/>
      <c r="J12" s="215"/>
      <c r="K12" s="216"/>
    </row>
    <row r="13" spans="1:11" ht="16" x14ac:dyDescent="0.15">
      <c r="A13" s="14"/>
      <c r="B13" s="19"/>
      <c r="C13" s="31"/>
      <c r="D13" s="15"/>
      <c r="E13" s="32"/>
      <c r="F13" s="33"/>
      <c r="G13" s="16"/>
      <c r="H13" s="17"/>
      <c r="I13" s="217"/>
      <c r="J13" s="215"/>
      <c r="K13" s="216"/>
    </row>
    <row r="14" spans="1:11" ht="16" x14ac:dyDescent="0.15">
      <c r="A14" s="34"/>
      <c r="B14" s="28"/>
      <c r="C14" s="35"/>
      <c r="D14" s="11"/>
      <c r="E14" s="32"/>
      <c r="F14" s="36"/>
      <c r="G14" s="27"/>
      <c r="H14" s="12"/>
      <c r="I14" s="28"/>
      <c r="J14" s="37"/>
      <c r="K14" s="30"/>
    </row>
    <row r="15" spans="1:11" ht="17" x14ac:dyDescent="0.2">
      <c r="A15" s="38"/>
      <c r="B15" s="39"/>
      <c r="C15" s="40"/>
      <c r="D15" s="11"/>
      <c r="E15" s="218" t="s">
        <v>251</v>
      </c>
      <c r="F15" s="40"/>
      <c r="G15" s="27"/>
      <c r="H15" s="12"/>
      <c r="I15" s="41"/>
      <c r="J15" s="37"/>
      <c r="K15" s="30"/>
    </row>
    <row r="16" spans="1:11" ht="16" x14ac:dyDescent="0.2">
      <c r="A16" s="38"/>
      <c r="B16" s="39"/>
      <c r="C16" s="40"/>
      <c r="D16" s="11"/>
      <c r="E16" s="32"/>
      <c r="F16" s="40"/>
      <c r="G16" s="27"/>
      <c r="H16" s="12"/>
      <c r="I16" s="41"/>
      <c r="J16" s="37"/>
      <c r="K16" s="42"/>
    </row>
    <row r="17" spans="1:11" ht="16" x14ac:dyDescent="0.2">
      <c r="A17" s="38"/>
      <c r="B17" s="39"/>
      <c r="C17" s="40"/>
      <c r="D17" s="11"/>
      <c r="E17" s="32"/>
      <c r="F17" s="40"/>
      <c r="G17" s="27"/>
      <c r="H17" s="12"/>
      <c r="I17" s="41"/>
      <c r="J17" s="37"/>
      <c r="K17" s="42"/>
    </row>
    <row r="18" spans="1:11" ht="16" x14ac:dyDescent="0.2">
      <c r="A18" s="43"/>
      <c r="B18" s="44"/>
      <c r="C18" s="40"/>
      <c r="D18" s="11"/>
      <c r="E18" s="45"/>
      <c r="F18" s="46"/>
      <c r="G18" s="27"/>
      <c r="H18" s="12"/>
      <c r="I18" s="10"/>
      <c r="J18" s="13"/>
      <c r="K18" s="10"/>
    </row>
    <row r="19" spans="1:11" x14ac:dyDescent="0.15">
      <c r="A19" s="47"/>
      <c r="B19" s="48"/>
      <c r="C19" s="49"/>
      <c r="D19" s="50"/>
      <c r="E19" s="47"/>
      <c r="F19" s="49"/>
      <c r="G19" s="51"/>
      <c r="H19" s="49"/>
      <c r="I19" s="48"/>
      <c r="J19" s="52"/>
      <c r="K19" s="48"/>
    </row>
    <row r="20" spans="1:11" x14ac:dyDescent="0.15">
      <c r="A20" s="47"/>
      <c r="B20" s="48"/>
      <c r="C20" s="49"/>
      <c r="D20" s="50"/>
      <c r="E20" s="47"/>
      <c r="F20" s="49"/>
      <c r="G20" s="51"/>
      <c r="H20" s="49"/>
      <c r="I20" s="48"/>
      <c r="J20" s="52"/>
      <c r="K20" s="48"/>
    </row>
    <row r="21" spans="1:11" x14ac:dyDescent="0.15">
      <c r="A21" s="47"/>
      <c r="B21" s="48"/>
      <c r="C21" s="53"/>
      <c r="D21" s="47"/>
      <c r="E21" s="52"/>
      <c r="F21" s="53"/>
      <c r="G21" s="51"/>
      <c r="H21" s="49"/>
      <c r="I21" s="48"/>
      <c r="J21" s="52"/>
      <c r="K21" s="48"/>
    </row>
    <row r="22" spans="1:11" x14ac:dyDescent="0.15">
      <c r="A22" s="54"/>
      <c r="B22" s="55"/>
      <c r="C22" s="56"/>
      <c r="D22" s="56"/>
      <c r="E22" s="57" t="s">
        <v>21</v>
      </c>
      <c r="F22" s="58">
        <f>SUM(F9:F21)</f>
        <v>0</v>
      </c>
      <c r="G22" s="59" t="e">
        <f>SUM(G9:G21)/F22</f>
        <v>#DIV/0!</v>
      </c>
      <c r="H22" s="60" t="e">
        <f>SUM(H9:H21)/F22</f>
        <v>#DIV/0!</v>
      </c>
      <c r="I22" s="61" t="s">
        <v>22</v>
      </c>
      <c r="J22" s="186" t="s">
        <v>250</v>
      </c>
      <c r="K22" s="55"/>
    </row>
    <row r="23" spans="1:11" x14ac:dyDescent="0.15">
      <c r="E23" s="62"/>
      <c r="F23" s="63"/>
      <c r="I23" s="64" t="s">
        <v>23</v>
      </c>
      <c r="J23" s="65">
        <v>24</v>
      </c>
    </row>
    <row r="24" spans="1:11" x14ac:dyDescent="0.15">
      <c r="A24" s="1"/>
      <c r="I24" s="66"/>
      <c r="J24" s="67"/>
    </row>
    <row r="25" spans="1:11" x14ac:dyDescent="0.15">
      <c r="A25" s="68" t="s">
        <v>24</v>
      </c>
      <c r="B25" s="68"/>
      <c r="C25" s="68"/>
      <c r="D25" s="53"/>
      <c r="H25" s="4" t="s">
        <v>25</v>
      </c>
      <c r="I25" s="4"/>
      <c r="J25" s="62">
        <f>F22</f>
        <v>0</v>
      </c>
      <c r="K25" s="1" t="s">
        <v>16</v>
      </c>
    </row>
    <row r="26" spans="1:11" x14ac:dyDescent="0.15">
      <c r="A26" s="68" t="s">
        <v>26</v>
      </c>
      <c r="B26" s="68"/>
      <c r="C26" s="68"/>
      <c r="D26" s="53"/>
      <c r="H26" s="4" t="s">
        <v>27</v>
      </c>
      <c r="I26" s="4"/>
      <c r="J26" s="62">
        <f>66+72+68+62+66+58+59+0</f>
        <v>451</v>
      </c>
      <c r="K26" s="1" t="s">
        <v>16</v>
      </c>
    </row>
    <row r="27" spans="1:11" ht="15" thickBot="1" x14ac:dyDescent="0.2">
      <c r="A27" s="69"/>
      <c r="B27" s="69"/>
      <c r="C27" s="69"/>
      <c r="D27" s="69"/>
      <c r="E27" s="70"/>
      <c r="F27" s="70"/>
      <c r="G27" s="69"/>
      <c r="H27" s="71" t="s">
        <v>28</v>
      </c>
      <c r="I27" s="71"/>
      <c r="J27" s="72">
        <v>52.42</v>
      </c>
      <c r="K27" s="73" t="s">
        <v>29</v>
      </c>
    </row>
    <row r="28" spans="1:11" x14ac:dyDescent="0.15">
      <c r="J28" s="2" t="s">
        <v>3</v>
      </c>
    </row>
    <row r="29" spans="1:11" hidden="1" x14ac:dyDescent="0.15">
      <c r="K29" s="2" t="s">
        <v>30</v>
      </c>
    </row>
    <row r="30" spans="1:11" hidden="1" x14ac:dyDescent="0.15">
      <c r="K30" s="2" t="s">
        <v>31</v>
      </c>
    </row>
    <row r="31" spans="1:11" hidden="1" x14ac:dyDescent="0.15">
      <c r="K31" s="2" t="s">
        <v>32</v>
      </c>
    </row>
    <row r="32" spans="1:11" hidden="1" x14ac:dyDescent="0.15">
      <c r="K32" s="2" t="s">
        <v>33</v>
      </c>
    </row>
    <row r="33" spans="9:11" hidden="1" x14ac:dyDescent="0.15">
      <c r="K33" s="2" t="s">
        <v>34</v>
      </c>
    </row>
    <row r="34" spans="9:11" hidden="1" x14ac:dyDescent="0.15">
      <c r="K34" s="2" t="s">
        <v>35</v>
      </c>
    </row>
    <row r="35" spans="9:11" hidden="1" x14ac:dyDescent="0.15">
      <c r="K35" s="2" t="s">
        <v>36</v>
      </c>
    </row>
    <row r="36" spans="9:11" hidden="1" x14ac:dyDescent="0.15">
      <c r="K36" s="2" t="s">
        <v>37</v>
      </c>
    </row>
    <row r="37" spans="9:11" hidden="1" x14ac:dyDescent="0.15">
      <c r="K37" s="2" t="s">
        <v>38</v>
      </c>
    </row>
    <row r="38" spans="9:11" hidden="1" x14ac:dyDescent="0.15">
      <c r="K38" s="2" t="s">
        <v>39</v>
      </c>
    </row>
    <row r="39" spans="9:11" hidden="1" x14ac:dyDescent="0.15">
      <c r="K39" s="2" t="s">
        <v>40</v>
      </c>
    </row>
    <row r="40" spans="9:11" hidden="1" x14ac:dyDescent="0.15">
      <c r="K40" s="2" t="s">
        <v>41</v>
      </c>
    </row>
    <row r="41" spans="9:11" ht="30" hidden="1" x14ac:dyDescent="0.15">
      <c r="I41" s="74" t="s">
        <v>42</v>
      </c>
      <c r="K41" s="2" t="s">
        <v>43</v>
      </c>
    </row>
    <row r="42" spans="9:11" ht="15" hidden="1" x14ac:dyDescent="0.15">
      <c r="I42" s="74" t="s">
        <v>44</v>
      </c>
      <c r="K42" s="2" t="s">
        <v>45</v>
      </c>
    </row>
    <row r="43" spans="9:11" hidden="1" x14ac:dyDescent="0.15">
      <c r="I43" s="75" t="s">
        <v>46</v>
      </c>
      <c r="K43" s="2" t="s">
        <v>47</v>
      </c>
    </row>
    <row r="44" spans="9:11" hidden="1" x14ac:dyDescent="0.15">
      <c r="I44" s="2" t="s">
        <v>48</v>
      </c>
      <c r="K44" s="2" t="s">
        <v>49</v>
      </c>
    </row>
    <row r="45" spans="9:11" hidden="1" x14ac:dyDescent="0.15">
      <c r="I45" s="2" t="s">
        <v>50</v>
      </c>
      <c r="K45" s="2" t="s">
        <v>51</v>
      </c>
    </row>
    <row r="46" spans="9:11" hidden="1" x14ac:dyDescent="0.15">
      <c r="I46" s="2" t="s">
        <v>52</v>
      </c>
      <c r="K46" s="2" t="s">
        <v>53</v>
      </c>
    </row>
    <row r="47" spans="9:11" hidden="1" x14ac:dyDescent="0.15">
      <c r="I47" s="2" t="s">
        <v>54</v>
      </c>
      <c r="K47" s="2" t="s">
        <v>55</v>
      </c>
    </row>
    <row r="48" spans="9:11" hidden="1" x14ac:dyDescent="0.15">
      <c r="I48" s="2" t="s">
        <v>56</v>
      </c>
      <c r="K48" s="2" t="s">
        <v>57</v>
      </c>
    </row>
    <row r="49" spans="9:11" hidden="1" x14ac:dyDescent="0.15">
      <c r="I49" s="2" t="s">
        <v>58</v>
      </c>
      <c r="K49" s="2" t="s">
        <v>59</v>
      </c>
    </row>
    <row r="50" spans="9:11" hidden="1" x14ac:dyDescent="0.15">
      <c r="I50" s="2" t="s">
        <v>60</v>
      </c>
      <c r="K50" s="2" t="s">
        <v>61</v>
      </c>
    </row>
    <row r="51" spans="9:11" hidden="1" x14ac:dyDescent="0.15">
      <c r="K51" s="2" t="s">
        <v>62</v>
      </c>
    </row>
    <row r="52" spans="9:11" hidden="1" x14ac:dyDescent="0.15">
      <c r="K52" s="2" t="s">
        <v>63</v>
      </c>
    </row>
    <row r="53" spans="9:11" hidden="1" x14ac:dyDescent="0.15">
      <c r="K53" s="2" t="s">
        <v>64</v>
      </c>
    </row>
    <row r="54" spans="9:11" hidden="1" x14ac:dyDescent="0.15">
      <c r="K54" s="2" t="s">
        <v>65</v>
      </c>
    </row>
    <row r="55" spans="9:11" hidden="1" x14ac:dyDescent="0.15">
      <c r="K55" s="2" t="s">
        <v>66</v>
      </c>
    </row>
    <row r="56" spans="9:11" hidden="1" x14ac:dyDescent="0.15">
      <c r="K56" s="2" t="s">
        <v>67</v>
      </c>
    </row>
    <row r="57" spans="9:11" hidden="1" x14ac:dyDescent="0.15">
      <c r="K57" s="2" t="s">
        <v>68</v>
      </c>
    </row>
    <row r="58" spans="9:11" hidden="1" x14ac:dyDescent="0.15">
      <c r="K58" s="2" t="s">
        <v>69</v>
      </c>
    </row>
    <row r="59" spans="9:11" hidden="1" x14ac:dyDescent="0.15">
      <c r="K59" s="2" t="s">
        <v>70</v>
      </c>
    </row>
    <row r="60" spans="9:11" hidden="1" x14ac:dyDescent="0.15">
      <c r="K60" s="2" t="s">
        <v>71</v>
      </c>
    </row>
    <row r="61" spans="9:11" hidden="1" x14ac:dyDescent="0.15">
      <c r="K61" s="2" t="s">
        <v>72</v>
      </c>
    </row>
    <row r="62" spans="9:11" hidden="1" x14ac:dyDescent="0.15">
      <c r="K62" s="2" t="s">
        <v>73</v>
      </c>
    </row>
    <row r="63" spans="9:11" hidden="1" x14ac:dyDescent="0.15">
      <c r="K63" s="2" t="s">
        <v>67</v>
      </c>
    </row>
    <row r="64" spans="9:11" hidden="1" x14ac:dyDescent="0.15">
      <c r="K64" s="2" t="s">
        <v>74</v>
      </c>
    </row>
    <row r="65" spans="11:11" hidden="1" x14ac:dyDescent="0.15">
      <c r="K65" s="2" t="s">
        <v>75</v>
      </c>
    </row>
    <row r="66" spans="11:11" hidden="1" x14ac:dyDescent="0.15">
      <c r="K66" s="2" t="s">
        <v>76</v>
      </c>
    </row>
    <row r="67" spans="11:11" hidden="1" x14ac:dyDescent="0.15">
      <c r="K67" s="2" t="s">
        <v>77</v>
      </c>
    </row>
    <row r="68" spans="11:11" hidden="1" x14ac:dyDescent="0.15">
      <c r="K68" s="2" t="s">
        <v>78</v>
      </c>
    </row>
    <row r="69" spans="11:11" hidden="1" x14ac:dyDescent="0.15">
      <c r="K69" s="2" t="s">
        <v>79</v>
      </c>
    </row>
    <row r="70" spans="11:11" hidden="1" x14ac:dyDescent="0.15">
      <c r="K70" s="2" t="s">
        <v>80</v>
      </c>
    </row>
    <row r="71" spans="11:11" hidden="1" x14ac:dyDescent="0.15">
      <c r="K71" s="2" t="s">
        <v>81</v>
      </c>
    </row>
    <row r="72" spans="11:11" hidden="1" x14ac:dyDescent="0.15">
      <c r="K72" s="2" t="s">
        <v>82</v>
      </c>
    </row>
    <row r="73" spans="11:11" hidden="1" x14ac:dyDescent="0.15">
      <c r="K73" s="2" t="s">
        <v>83</v>
      </c>
    </row>
    <row r="74" spans="11:11" hidden="1" x14ac:dyDescent="0.15">
      <c r="K74" s="2" t="s">
        <v>84</v>
      </c>
    </row>
    <row r="75" spans="11:11" hidden="1" x14ac:dyDescent="0.15">
      <c r="K75" s="2" t="s">
        <v>85</v>
      </c>
    </row>
    <row r="76" spans="11:11" hidden="1" x14ac:dyDescent="0.15">
      <c r="K76" s="2" t="s">
        <v>86</v>
      </c>
    </row>
    <row r="77" spans="11:11" hidden="1" x14ac:dyDescent="0.15">
      <c r="K77" s="2" t="s">
        <v>87</v>
      </c>
    </row>
    <row r="78" spans="11:11" hidden="1" x14ac:dyDescent="0.15">
      <c r="K78" s="2" t="s">
        <v>88</v>
      </c>
    </row>
    <row r="79" spans="11:11" hidden="1" x14ac:dyDescent="0.15">
      <c r="K79" s="2" t="s">
        <v>89</v>
      </c>
    </row>
    <row r="80" spans="11:11" hidden="1" x14ac:dyDescent="0.15">
      <c r="K80" s="2" t="s">
        <v>90</v>
      </c>
    </row>
    <row r="81" spans="11:11" hidden="1" x14ac:dyDescent="0.15">
      <c r="K81" s="2" t="s">
        <v>91</v>
      </c>
    </row>
    <row r="82" spans="11:11" hidden="1" x14ac:dyDescent="0.15">
      <c r="K82" s="2" t="s">
        <v>92</v>
      </c>
    </row>
    <row r="83" spans="11:11" hidden="1" x14ac:dyDescent="0.15">
      <c r="K83" s="2" t="s">
        <v>93</v>
      </c>
    </row>
    <row r="84" spans="11:11" hidden="1" x14ac:dyDescent="0.15">
      <c r="K84" s="2" t="s">
        <v>94</v>
      </c>
    </row>
    <row r="85" spans="11:11" hidden="1" x14ac:dyDescent="0.15">
      <c r="K85" s="2" t="s">
        <v>47</v>
      </c>
    </row>
  </sheetData>
  <dataValidations count="3">
    <dataValidation type="list" allowBlank="1" showInputMessage="1" showErrorMessage="1" sqref="B16:B19" xr:uid="{4278860E-A001-4C55-9D07-BA48EC694459}">
      <formula1>$K$29:$K$85</formula1>
    </dataValidation>
    <dataValidation type="list" allowBlank="1" showInputMessage="1" showErrorMessage="1" sqref="B20:B21" xr:uid="{65D7049E-3658-46CB-A7EF-158F4D1FAC89}">
      <formula1>$K$29:$K$40</formula1>
    </dataValidation>
    <dataValidation type="list" allowBlank="1" showInputMessage="1" showErrorMessage="1" sqref="I50 K15:K21" xr:uid="{8A88C2E4-7692-4B13-95B3-33F974FDD623}">
      <formula1>$I$41:$I$50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AFDA69-BC8A-4FF9-80DD-957011472E83}">
  <dimension ref="A1:K85"/>
  <sheetViews>
    <sheetView workbookViewId="0">
      <selection sqref="A1:XFD1048576"/>
    </sheetView>
  </sheetViews>
  <sheetFormatPr baseColWidth="10" defaultColWidth="9.1640625" defaultRowHeight="14" x14ac:dyDescent="0.15"/>
  <cols>
    <col min="1" max="1" width="5.1640625" style="2" customWidth="1"/>
    <col min="2" max="2" width="22.5" style="2" customWidth="1"/>
    <col min="3" max="3" width="6.1640625" style="2" customWidth="1"/>
    <col min="4" max="4" width="12.5" style="2" bestFit="1" customWidth="1"/>
    <col min="5" max="5" width="9.83203125" style="2" customWidth="1"/>
    <col min="6" max="6" width="9.33203125" style="2" bestFit="1" customWidth="1"/>
    <col min="7" max="7" width="8.6640625" style="2" customWidth="1"/>
    <col min="8" max="8" width="9.5" style="2" bestFit="1" customWidth="1"/>
    <col min="9" max="9" width="17.83203125" style="2" bestFit="1" customWidth="1"/>
    <col min="10" max="10" width="10.33203125" style="2" bestFit="1" customWidth="1"/>
    <col min="11" max="11" width="75" style="2" bestFit="1" customWidth="1"/>
    <col min="12" max="16384" width="9.1640625" style="2"/>
  </cols>
  <sheetData>
    <row r="1" spans="1:11" x14ac:dyDescent="0.15">
      <c r="A1" s="1" t="s">
        <v>0</v>
      </c>
      <c r="I1" s="3"/>
    </row>
    <row r="2" spans="1:11" x14ac:dyDescent="0.15">
      <c r="J2" s="4"/>
    </row>
    <row r="3" spans="1:11" x14ac:dyDescent="0.15">
      <c r="A3" s="3" t="s">
        <v>1</v>
      </c>
      <c r="I3" s="1"/>
      <c r="J3" s="1"/>
    </row>
    <row r="4" spans="1:11" x14ac:dyDescent="0.15">
      <c r="A4" s="3"/>
      <c r="I4" s="4" t="s">
        <v>2</v>
      </c>
      <c r="J4" s="76">
        <v>45786</v>
      </c>
    </row>
    <row r="5" spans="1:11" x14ac:dyDescent="0.15">
      <c r="J5" s="2" t="s">
        <v>3</v>
      </c>
    </row>
    <row r="6" spans="1:11" ht="30" x14ac:dyDescent="0.15">
      <c r="A6" s="5" t="s">
        <v>4</v>
      </c>
      <c r="B6" s="5" t="s">
        <v>5</v>
      </c>
      <c r="C6" s="5" t="s">
        <v>6</v>
      </c>
      <c r="D6" s="5" t="s">
        <v>7</v>
      </c>
      <c r="E6" s="5" t="s">
        <v>8</v>
      </c>
      <c r="F6" s="5" t="s">
        <v>9</v>
      </c>
      <c r="G6" s="6" t="s">
        <v>10</v>
      </c>
      <c r="H6" s="6" t="s">
        <v>11</v>
      </c>
      <c r="I6" s="6" t="s">
        <v>12</v>
      </c>
      <c r="J6" s="7"/>
      <c r="K6" s="5" t="s">
        <v>13</v>
      </c>
    </row>
    <row r="7" spans="1:11" ht="30" x14ac:dyDescent="0.15">
      <c r="A7" s="6"/>
      <c r="B7" s="8"/>
      <c r="C7" s="5"/>
      <c r="D7" s="5" t="s">
        <v>14</v>
      </c>
      <c r="E7" s="5" t="s">
        <v>15</v>
      </c>
      <c r="F7" s="9" t="s">
        <v>16</v>
      </c>
      <c r="G7" s="9" t="s">
        <v>15</v>
      </c>
      <c r="H7" s="9" t="s">
        <v>17</v>
      </c>
      <c r="I7" s="5" t="s">
        <v>18</v>
      </c>
      <c r="J7" s="9" t="s">
        <v>19</v>
      </c>
      <c r="K7" s="9"/>
    </row>
    <row r="8" spans="1:11" ht="16" x14ac:dyDescent="0.2">
      <c r="A8" s="10"/>
      <c r="B8" s="11"/>
      <c r="C8" s="12"/>
      <c r="D8" s="11"/>
      <c r="E8" s="11"/>
      <c r="F8" s="10"/>
      <c r="G8" s="10"/>
      <c r="H8" s="10"/>
      <c r="I8" s="10"/>
      <c r="J8" s="13"/>
      <c r="K8" s="10"/>
    </row>
    <row r="9" spans="1:11" ht="17" x14ac:dyDescent="0.15">
      <c r="A9" s="192">
        <v>1</v>
      </c>
      <c r="B9" s="187" t="s">
        <v>252</v>
      </c>
      <c r="C9" s="188">
        <v>17</v>
      </c>
      <c r="D9" s="15">
        <v>2.85</v>
      </c>
      <c r="E9" s="193">
        <v>711</v>
      </c>
      <c r="F9" s="189">
        <v>11</v>
      </c>
      <c r="G9" s="16">
        <f t="shared" ref="G9" si="0">E9*F9</f>
        <v>7821</v>
      </c>
      <c r="H9" s="17">
        <f t="shared" ref="H9" si="1">F9*C9</f>
        <v>187</v>
      </c>
      <c r="I9" s="211" t="s">
        <v>247</v>
      </c>
      <c r="J9" s="212">
        <v>0.75</v>
      </c>
      <c r="K9" s="213" t="s">
        <v>253</v>
      </c>
    </row>
    <row r="10" spans="1:11" ht="16" x14ac:dyDescent="0.15">
      <c r="A10" s="23"/>
      <c r="B10" s="187"/>
      <c r="C10" s="188"/>
      <c r="D10" s="15"/>
      <c r="E10" s="193"/>
      <c r="F10" s="189"/>
      <c r="G10" s="16"/>
      <c r="H10" s="17"/>
      <c r="I10" s="214"/>
      <c r="J10" s="215"/>
      <c r="K10" s="216"/>
    </row>
    <row r="11" spans="1:11" ht="16" x14ac:dyDescent="0.15">
      <c r="A11" s="192"/>
      <c r="B11" s="187"/>
      <c r="C11" s="188"/>
      <c r="D11" s="15"/>
      <c r="E11" s="193"/>
      <c r="F11" s="207"/>
      <c r="G11" s="16"/>
      <c r="H11" s="17"/>
      <c r="I11" s="217"/>
      <c r="J11" s="215"/>
      <c r="K11" s="216"/>
    </row>
    <row r="12" spans="1:11" ht="19.25" customHeight="1" x14ac:dyDescent="0.15">
      <c r="A12" s="23"/>
      <c r="B12" s="187"/>
      <c r="C12" s="208"/>
      <c r="D12" s="15"/>
      <c r="E12" s="209"/>
      <c r="F12" s="210"/>
      <c r="G12" s="16"/>
      <c r="H12" s="17"/>
      <c r="I12" s="217"/>
      <c r="J12" s="215"/>
      <c r="K12" s="216"/>
    </row>
    <row r="13" spans="1:11" ht="16" x14ac:dyDescent="0.15">
      <c r="A13" s="14"/>
      <c r="B13" s="19"/>
      <c r="C13" s="31"/>
      <c r="D13" s="15"/>
      <c r="E13" s="32"/>
      <c r="F13" s="33"/>
      <c r="G13" s="16"/>
      <c r="H13" s="17"/>
      <c r="I13" s="217"/>
      <c r="J13" s="215"/>
      <c r="K13" s="216"/>
    </row>
    <row r="14" spans="1:11" ht="16" x14ac:dyDescent="0.15">
      <c r="A14" s="34"/>
      <c r="B14" s="28"/>
      <c r="C14" s="35"/>
      <c r="D14" s="11"/>
      <c r="E14" s="32"/>
      <c r="F14" s="36"/>
      <c r="G14" s="27"/>
      <c r="H14" s="12"/>
      <c r="I14" s="28"/>
      <c r="J14" s="37"/>
      <c r="K14" s="30"/>
    </row>
    <row r="15" spans="1:11" ht="16" x14ac:dyDescent="0.2">
      <c r="A15" s="38"/>
      <c r="B15" s="39"/>
      <c r="C15" s="40"/>
      <c r="D15" s="11"/>
      <c r="E15" s="25"/>
      <c r="F15" s="40"/>
      <c r="G15" s="27"/>
      <c r="H15" s="12"/>
      <c r="I15" s="41"/>
      <c r="J15" s="37"/>
      <c r="K15" s="30"/>
    </row>
    <row r="16" spans="1:11" ht="16" x14ac:dyDescent="0.2">
      <c r="A16" s="38"/>
      <c r="B16" s="39"/>
      <c r="C16" s="40"/>
      <c r="D16" s="11"/>
      <c r="E16" s="32"/>
      <c r="F16" s="40"/>
      <c r="G16" s="27"/>
      <c r="H16" s="12"/>
      <c r="I16" s="41"/>
      <c r="J16" s="37"/>
      <c r="K16" s="42"/>
    </row>
    <row r="17" spans="1:11" ht="16" x14ac:dyDescent="0.2">
      <c r="A17" s="38"/>
      <c r="B17" s="39"/>
      <c r="C17" s="40"/>
      <c r="D17" s="11"/>
      <c r="E17" s="32"/>
      <c r="F17" s="40"/>
      <c r="G17" s="27"/>
      <c r="H17" s="12"/>
      <c r="I17" s="41"/>
      <c r="J17" s="37"/>
      <c r="K17" s="42"/>
    </row>
    <row r="18" spans="1:11" ht="16" x14ac:dyDescent="0.2">
      <c r="A18" s="43"/>
      <c r="B18" s="44"/>
      <c r="C18" s="40"/>
      <c r="D18" s="11"/>
      <c r="E18" s="45"/>
      <c r="F18" s="46"/>
      <c r="G18" s="27"/>
      <c r="H18" s="12"/>
      <c r="I18" s="10"/>
      <c r="J18" s="13"/>
      <c r="K18" s="10"/>
    </row>
    <row r="19" spans="1:11" x14ac:dyDescent="0.15">
      <c r="A19" s="47"/>
      <c r="B19" s="48"/>
      <c r="C19" s="49"/>
      <c r="D19" s="50"/>
      <c r="E19" s="47"/>
      <c r="F19" s="49"/>
      <c r="G19" s="51"/>
      <c r="H19" s="49"/>
      <c r="I19" s="48"/>
      <c r="J19" s="52"/>
      <c r="K19" s="48"/>
    </row>
    <row r="20" spans="1:11" x14ac:dyDescent="0.15">
      <c r="A20" s="47"/>
      <c r="B20" s="48"/>
      <c r="C20" s="49"/>
      <c r="D20" s="50"/>
      <c r="E20" s="47"/>
      <c r="F20" s="49"/>
      <c r="G20" s="51"/>
      <c r="H20" s="49"/>
      <c r="I20" s="48"/>
      <c r="J20" s="52"/>
      <c r="K20" s="48"/>
    </row>
    <row r="21" spans="1:11" x14ac:dyDescent="0.15">
      <c r="A21" s="47"/>
      <c r="B21" s="48"/>
      <c r="C21" s="53"/>
      <c r="D21" s="47"/>
      <c r="E21" s="52"/>
      <c r="F21" s="53"/>
      <c r="G21" s="51"/>
      <c r="H21" s="49"/>
      <c r="I21" s="48"/>
      <c r="J21" s="52"/>
      <c r="K21" s="48"/>
    </row>
    <row r="22" spans="1:11" x14ac:dyDescent="0.15">
      <c r="A22" s="54"/>
      <c r="B22" s="55"/>
      <c r="C22" s="56"/>
      <c r="D22" s="56"/>
      <c r="E22" s="57" t="s">
        <v>21</v>
      </c>
      <c r="F22" s="58">
        <f>SUM(F9:F21)</f>
        <v>11</v>
      </c>
      <c r="G22" s="59">
        <f>SUM(G9:G21)/F22</f>
        <v>711</v>
      </c>
      <c r="H22" s="60">
        <f>SUM(H9:H21)/F22</f>
        <v>17</v>
      </c>
      <c r="I22" s="61" t="s">
        <v>22</v>
      </c>
      <c r="J22" s="186">
        <v>0.75</v>
      </c>
      <c r="K22" s="55"/>
    </row>
    <row r="23" spans="1:11" x14ac:dyDescent="0.15">
      <c r="E23" s="62"/>
      <c r="F23" s="63"/>
      <c r="I23" s="64" t="s">
        <v>23</v>
      </c>
      <c r="J23" s="65">
        <v>18</v>
      </c>
    </row>
    <row r="24" spans="1:11" x14ac:dyDescent="0.15">
      <c r="A24" s="1"/>
      <c r="I24" s="66"/>
      <c r="J24" s="67"/>
    </row>
    <row r="25" spans="1:11" x14ac:dyDescent="0.15">
      <c r="A25" s="68" t="s">
        <v>24</v>
      </c>
      <c r="B25" s="68"/>
      <c r="C25" s="68"/>
      <c r="D25" s="53"/>
      <c r="H25" s="4" t="s">
        <v>25</v>
      </c>
      <c r="I25" s="4"/>
      <c r="J25" s="62">
        <f>F22</f>
        <v>11</v>
      </c>
      <c r="K25" s="1" t="s">
        <v>16</v>
      </c>
    </row>
    <row r="26" spans="1:11" x14ac:dyDescent="0.15">
      <c r="A26" s="68" t="s">
        <v>26</v>
      </c>
      <c r="B26" s="68"/>
      <c r="C26" s="68"/>
      <c r="D26" s="53"/>
      <c r="H26" s="4" t="s">
        <v>27</v>
      </c>
      <c r="I26" s="4"/>
      <c r="J26" s="62">
        <f>66+72+68+62+66+58+59+11</f>
        <v>462</v>
      </c>
      <c r="K26" s="1" t="s">
        <v>16</v>
      </c>
    </row>
    <row r="27" spans="1:11" ht="15" thickBot="1" x14ac:dyDescent="0.2">
      <c r="A27" s="69"/>
      <c r="B27" s="69"/>
      <c r="C27" s="69"/>
      <c r="D27" s="69"/>
      <c r="E27" s="70"/>
      <c r="F27" s="70"/>
      <c r="G27" s="69"/>
      <c r="H27" s="71" t="s">
        <v>28</v>
      </c>
      <c r="I27" s="71"/>
      <c r="J27" s="72">
        <v>70.42</v>
      </c>
      <c r="K27" s="73" t="s">
        <v>29</v>
      </c>
    </row>
    <row r="28" spans="1:11" x14ac:dyDescent="0.15">
      <c r="J28" s="2" t="s">
        <v>3</v>
      </c>
    </row>
    <row r="29" spans="1:11" hidden="1" x14ac:dyDescent="0.15">
      <c r="K29" s="2" t="s">
        <v>30</v>
      </c>
    </row>
    <row r="30" spans="1:11" hidden="1" x14ac:dyDescent="0.15">
      <c r="K30" s="2" t="s">
        <v>31</v>
      </c>
    </row>
    <row r="31" spans="1:11" hidden="1" x14ac:dyDescent="0.15">
      <c r="K31" s="2" t="s">
        <v>32</v>
      </c>
    </row>
    <row r="32" spans="1:11" hidden="1" x14ac:dyDescent="0.15">
      <c r="K32" s="2" t="s">
        <v>33</v>
      </c>
    </row>
    <row r="33" spans="9:11" hidden="1" x14ac:dyDescent="0.15">
      <c r="K33" s="2" t="s">
        <v>34</v>
      </c>
    </row>
    <row r="34" spans="9:11" hidden="1" x14ac:dyDescent="0.15">
      <c r="K34" s="2" t="s">
        <v>35</v>
      </c>
    </row>
    <row r="35" spans="9:11" hidden="1" x14ac:dyDescent="0.15">
      <c r="K35" s="2" t="s">
        <v>36</v>
      </c>
    </row>
    <row r="36" spans="9:11" hidden="1" x14ac:dyDescent="0.15">
      <c r="K36" s="2" t="s">
        <v>37</v>
      </c>
    </row>
    <row r="37" spans="9:11" hidden="1" x14ac:dyDescent="0.15">
      <c r="K37" s="2" t="s">
        <v>38</v>
      </c>
    </row>
    <row r="38" spans="9:11" hidden="1" x14ac:dyDescent="0.15">
      <c r="K38" s="2" t="s">
        <v>39</v>
      </c>
    </row>
    <row r="39" spans="9:11" hidden="1" x14ac:dyDescent="0.15">
      <c r="K39" s="2" t="s">
        <v>40</v>
      </c>
    </row>
    <row r="40" spans="9:11" hidden="1" x14ac:dyDescent="0.15">
      <c r="K40" s="2" t="s">
        <v>41</v>
      </c>
    </row>
    <row r="41" spans="9:11" ht="30" hidden="1" x14ac:dyDescent="0.15">
      <c r="I41" s="74" t="s">
        <v>42</v>
      </c>
      <c r="K41" s="2" t="s">
        <v>43</v>
      </c>
    </row>
    <row r="42" spans="9:11" ht="15" hidden="1" x14ac:dyDescent="0.15">
      <c r="I42" s="74" t="s">
        <v>44</v>
      </c>
      <c r="K42" s="2" t="s">
        <v>45</v>
      </c>
    </row>
    <row r="43" spans="9:11" hidden="1" x14ac:dyDescent="0.15">
      <c r="I43" s="75" t="s">
        <v>46</v>
      </c>
      <c r="K43" s="2" t="s">
        <v>47</v>
      </c>
    </row>
    <row r="44" spans="9:11" hidden="1" x14ac:dyDescent="0.15">
      <c r="I44" s="2" t="s">
        <v>48</v>
      </c>
      <c r="K44" s="2" t="s">
        <v>49</v>
      </c>
    </row>
    <row r="45" spans="9:11" hidden="1" x14ac:dyDescent="0.15">
      <c r="I45" s="2" t="s">
        <v>50</v>
      </c>
      <c r="K45" s="2" t="s">
        <v>51</v>
      </c>
    </row>
    <row r="46" spans="9:11" hidden="1" x14ac:dyDescent="0.15">
      <c r="I46" s="2" t="s">
        <v>52</v>
      </c>
      <c r="K46" s="2" t="s">
        <v>53</v>
      </c>
    </row>
    <row r="47" spans="9:11" hidden="1" x14ac:dyDescent="0.15">
      <c r="I47" s="2" t="s">
        <v>54</v>
      </c>
      <c r="K47" s="2" t="s">
        <v>55</v>
      </c>
    </row>
    <row r="48" spans="9:11" hidden="1" x14ac:dyDescent="0.15">
      <c r="I48" s="2" t="s">
        <v>56</v>
      </c>
      <c r="K48" s="2" t="s">
        <v>57</v>
      </c>
    </row>
    <row r="49" spans="9:11" hidden="1" x14ac:dyDescent="0.15">
      <c r="I49" s="2" t="s">
        <v>58</v>
      </c>
      <c r="K49" s="2" t="s">
        <v>59</v>
      </c>
    </row>
    <row r="50" spans="9:11" hidden="1" x14ac:dyDescent="0.15">
      <c r="I50" s="2" t="s">
        <v>60</v>
      </c>
      <c r="K50" s="2" t="s">
        <v>61</v>
      </c>
    </row>
    <row r="51" spans="9:11" hidden="1" x14ac:dyDescent="0.15">
      <c r="K51" s="2" t="s">
        <v>62</v>
      </c>
    </row>
    <row r="52" spans="9:11" hidden="1" x14ac:dyDescent="0.15">
      <c r="K52" s="2" t="s">
        <v>63</v>
      </c>
    </row>
    <row r="53" spans="9:11" hidden="1" x14ac:dyDescent="0.15">
      <c r="K53" s="2" t="s">
        <v>64</v>
      </c>
    </row>
    <row r="54" spans="9:11" hidden="1" x14ac:dyDescent="0.15">
      <c r="K54" s="2" t="s">
        <v>65</v>
      </c>
    </row>
    <row r="55" spans="9:11" hidden="1" x14ac:dyDescent="0.15">
      <c r="K55" s="2" t="s">
        <v>66</v>
      </c>
    </row>
    <row r="56" spans="9:11" hidden="1" x14ac:dyDescent="0.15">
      <c r="K56" s="2" t="s">
        <v>67</v>
      </c>
    </row>
    <row r="57" spans="9:11" hidden="1" x14ac:dyDescent="0.15">
      <c r="K57" s="2" t="s">
        <v>68</v>
      </c>
    </row>
    <row r="58" spans="9:11" hidden="1" x14ac:dyDescent="0.15">
      <c r="K58" s="2" t="s">
        <v>69</v>
      </c>
    </row>
    <row r="59" spans="9:11" hidden="1" x14ac:dyDescent="0.15">
      <c r="K59" s="2" t="s">
        <v>70</v>
      </c>
    </row>
    <row r="60" spans="9:11" hidden="1" x14ac:dyDescent="0.15">
      <c r="K60" s="2" t="s">
        <v>71</v>
      </c>
    </row>
    <row r="61" spans="9:11" hidden="1" x14ac:dyDescent="0.15">
      <c r="K61" s="2" t="s">
        <v>72</v>
      </c>
    </row>
    <row r="62" spans="9:11" hidden="1" x14ac:dyDescent="0.15">
      <c r="K62" s="2" t="s">
        <v>73</v>
      </c>
    </row>
    <row r="63" spans="9:11" hidden="1" x14ac:dyDescent="0.15">
      <c r="K63" s="2" t="s">
        <v>67</v>
      </c>
    </row>
    <row r="64" spans="9:11" hidden="1" x14ac:dyDescent="0.15">
      <c r="K64" s="2" t="s">
        <v>74</v>
      </c>
    </row>
    <row r="65" spans="11:11" hidden="1" x14ac:dyDescent="0.15">
      <c r="K65" s="2" t="s">
        <v>75</v>
      </c>
    </row>
    <row r="66" spans="11:11" hidden="1" x14ac:dyDescent="0.15">
      <c r="K66" s="2" t="s">
        <v>76</v>
      </c>
    </row>
    <row r="67" spans="11:11" hidden="1" x14ac:dyDescent="0.15">
      <c r="K67" s="2" t="s">
        <v>77</v>
      </c>
    </row>
    <row r="68" spans="11:11" hidden="1" x14ac:dyDescent="0.15">
      <c r="K68" s="2" t="s">
        <v>78</v>
      </c>
    </row>
    <row r="69" spans="11:11" hidden="1" x14ac:dyDescent="0.15">
      <c r="K69" s="2" t="s">
        <v>79</v>
      </c>
    </row>
    <row r="70" spans="11:11" hidden="1" x14ac:dyDescent="0.15">
      <c r="K70" s="2" t="s">
        <v>80</v>
      </c>
    </row>
    <row r="71" spans="11:11" hidden="1" x14ac:dyDescent="0.15">
      <c r="K71" s="2" t="s">
        <v>81</v>
      </c>
    </row>
    <row r="72" spans="11:11" hidden="1" x14ac:dyDescent="0.15">
      <c r="K72" s="2" t="s">
        <v>82</v>
      </c>
    </row>
    <row r="73" spans="11:11" hidden="1" x14ac:dyDescent="0.15">
      <c r="K73" s="2" t="s">
        <v>83</v>
      </c>
    </row>
    <row r="74" spans="11:11" hidden="1" x14ac:dyDescent="0.15">
      <c r="K74" s="2" t="s">
        <v>84</v>
      </c>
    </row>
    <row r="75" spans="11:11" hidden="1" x14ac:dyDescent="0.15">
      <c r="K75" s="2" t="s">
        <v>85</v>
      </c>
    </row>
    <row r="76" spans="11:11" hidden="1" x14ac:dyDescent="0.15">
      <c r="K76" s="2" t="s">
        <v>86</v>
      </c>
    </row>
    <row r="77" spans="11:11" hidden="1" x14ac:dyDescent="0.15">
      <c r="K77" s="2" t="s">
        <v>87</v>
      </c>
    </row>
    <row r="78" spans="11:11" hidden="1" x14ac:dyDescent="0.15">
      <c r="K78" s="2" t="s">
        <v>88</v>
      </c>
    </row>
    <row r="79" spans="11:11" hidden="1" x14ac:dyDescent="0.15">
      <c r="K79" s="2" t="s">
        <v>89</v>
      </c>
    </row>
    <row r="80" spans="11:11" hidden="1" x14ac:dyDescent="0.15">
      <c r="K80" s="2" t="s">
        <v>90</v>
      </c>
    </row>
    <row r="81" spans="11:11" hidden="1" x14ac:dyDescent="0.15">
      <c r="K81" s="2" t="s">
        <v>91</v>
      </c>
    </row>
    <row r="82" spans="11:11" hidden="1" x14ac:dyDescent="0.15">
      <c r="K82" s="2" t="s">
        <v>92</v>
      </c>
    </row>
    <row r="83" spans="11:11" hidden="1" x14ac:dyDescent="0.15">
      <c r="K83" s="2" t="s">
        <v>93</v>
      </c>
    </row>
    <row r="84" spans="11:11" hidden="1" x14ac:dyDescent="0.15">
      <c r="K84" s="2" t="s">
        <v>94</v>
      </c>
    </row>
    <row r="85" spans="11:11" hidden="1" x14ac:dyDescent="0.15">
      <c r="K85" s="2" t="s">
        <v>47</v>
      </c>
    </row>
  </sheetData>
  <dataValidations count="3">
    <dataValidation type="list" allowBlank="1" showInputMessage="1" showErrorMessage="1" sqref="B16:B19" xr:uid="{08BBE8E2-8CEF-4AAB-B54E-F2F32B4BD704}">
      <formula1>$K$29:$K$85</formula1>
    </dataValidation>
    <dataValidation type="list" allowBlank="1" showInputMessage="1" showErrorMessage="1" sqref="B20:B21" xr:uid="{CDF4E87C-FF96-4F0F-AD71-FE5C501FBC99}">
      <formula1>$K$29:$K$40</formula1>
    </dataValidation>
    <dataValidation type="list" allowBlank="1" showInputMessage="1" showErrorMessage="1" sqref="I50 K15:K21" xr:uid="{265544DC-7BF8-4C96-8AF6-A2F02EE0FCEA}">
      <formula1>$I$41:$I$50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062D65-D891-456C-BC69-B2F5F94EB5C0}">
  <dimension ref="A1:K85"/>
  <sheetViews>
    <sheetView workbookViewId="0">
      <selection sqref="A1:XFD1048576"/>
    </sheetView>
  </sheetViews>
  <sheetFormatPr baseColWidth="10" defaultColWidth="9.1640625" defaultRowHeight="14" x14ac:dyDescent="0.15"/>
  <cols>
    <col min="1" max="1" width="5.1640625" style="2" customWidth="1"/>
    <col min="2" max="2" width="22.5" style="2" customWidth="1"/>
    <col min="3" max="3" width="6.1640625" style="2" customWidth="1"/>
    <col min="4" max="4" width="12.5" style="2" bestFit="1" customWidth="1"/>
    <col min="5" max="5" width="9.83203125" style="2" customWidth="1"/>
    <col min="6" max="6" width="9.33203125" style="2" bestFit="1" customWidth="1"/>
    <col min="7" max="7" width="8.6640625" style="2" customWidth="1"/>
    <col min="8" max="8" width="9.5" style="2" bestFit="1" customWidth="1"/>
    <col min="9" max="9" width="17.83203125" style="2" bestFit="1" customWidth="1"/>
    <col min="10" max="10" width="10.33203125" style="2" bestFit="1" customWidth="1"/>
    <col min="11" max="11" width="75" style="2" bestFit="1" customWidth="1"/>
    <col min="12" max="16384" width="9.1640625" style="2"/>
  </cols>
  <sheetData>
    <row r="1" spans="1:11" x14ac:dyDescent="0.15">
      <c r="A1" s="1" t="s">
        <v>0</v>
      </c>
      <c r="I1" s="3"/>
    </row>
    <row r="2" spans="1:11" x14ac:dyDescent="0.15">
      <c r="J2" s="4"/>
    </row>
    <row r="3" spans="1:11" x14ac:dyDescent="0.15">
      <c r="A3" s="3" t="s">
        <v>1</v>
      </c>
      <c r="I3" s="1"/>
      <c r="J3" s="1"/>
    </row>
    <row r="4" spans="1:11" x14ac:dyDescent="0.15">
      <c r="A4" s="3"/>
      <c r="I4" s="4" t="s">
        <v>2</v>
      </c>
      <c r="J4" s="76">
        <v>45787</v>
      </c>
    </row>
    <row r="5" spans="1:11" x14ac:dyDescent="0.15">
      <c r="J5" s="2" t="s">
        <v>3</v>
      </c>
    </row>
    <row r="6" spans="1:11" ht="30" x14ac:dyDescent="0.15">
      <c r="A6" s="5" t="s">
        <v>4</v>
      </c>
      <c r="B6" s="5" t="s">
        <v>5</v>
      </c>
      <c r="C6" s="5" t="s">
        <v>6</v>
      </c>
      <c r="D6" s="5" t="s">
        <v>7</v>
      </c>
      <c r="E6" s="5" t="s">
        <v>8</v>
      </c>
      <c r="F6" s="5" t="s">
        <v>9</v>
      </c>
      <c r="G6" s="6" t="s">
        <v>10</v>
      </c>
      <c r="H6" s="6" t="s">
        <v>11</v>
      </c>
      <c r="I6" s="6" t="s">
        <v>12</v>
      </c>
      <c r="J6" s="7"/>
      <c r="K6" s="5" t="s">
        <v>13</v>
      </c>
    </row>
    <row r="7" spans="1:11" ht="30" x14ac:dyDescent="0.15">
      <c r="A7" s="6"/>
      <c r="B7" s="8"/>
      <c r="C7" s="5"/>
      <c r="D7" s="5" t="s">
        <v>14</v>
      </c>
      <c r="E7" s="5" t="s">
        <v>15</v>
      </c>
      <c r="F7" s="9" t="s">
        <v>16</v>
      </c>
      <c r="G7" s="9" t="s">
        <v>15</v>
      </c>
      <c r="H7" s="9" t="s">
        <v>17</v>
      </c>
      <c r="I7" s="5" t="s">
        <v>18</v>
      </c>
      <c r="J7" s="9" t="s">
        <v>19</v>
      </c>
      <c r="K7" s="9"/>
    </row>
    <row r="8" spans="1:11" ht="16" x14ac:dyDescent="0.2">
      <c r="A8" s="10"/>
      <c r="B8" s="11"/>
      <c r="C8" s="12"/>
      <c r="D8" s="11"/>
      <c r="E8" s="11"/>
      <c r="F8" s="10"/>
      <c r="G8" s="10"/>
      <c r="H8" s="10"/>
      <c r="I8" s="10"/>
      <c r="J8" s="13"/>
      <c r="K8" s="10"/>
    </row>
    <row r="9" spans="1:11" ht="17" x14ac:dyDescent="0.15">
      <c r="A9" s="192">
        <v>1</v>
      </c>
      <c r="B9" s="187" t="s">
        <v>252</v>
      </c>
      <c r="C9" s="188">
        <v>17</v>
      </c>
      <c r="D9" s="15">
        <v>2.85</v>
      </c>
      <c r="E9" s="193">
        <v>1320</v>
      </c>
      <c r="F9" s="189">
        <v>70</v>
      </c>
      <c r="G9" s="16">
        <f t="shared" ref="G9" si="0">E9*F9</f>
        <v>92400</v>
      </c>
      <c r="H9" s="17">
        <f t="shared" ref="H9" si="1">F9*C9</f>
        <v>1190</v>
      </c>
      <c r="I9" s="211" t="s">
        <v>20</v>
      </c>
      <c r="J9" s="212">
        <v>2.0833333333333332E-2</v>
      </c>
      <c r="K9" s="213" t="s">
        <v>254</v>
      </c>
    </row>
    <row r="10" spans="1:11" ht="16" x14ac:dyDescent="0.15">
      <c r="A10" s="23"/>
      <c r="B10" s="187"/>
      <c r="C10" s="188"/>
      <c r="D10" s="15"/>
      <c r="E10" s="193"/>
      <c r="F10" s="189"/>
      <c r="G10" s="16"/>
      <c r="H10" s="17"/>
      <c r="I10" s="214" t="s">
        <v>255</v>
      </c>
      <c r="J10" s="215">
        <v>1.7361111111111112E-2</v>
      </c>
      <c r="K10" s="216" t="s">
        <v>256</v>
      </c>
    </row>
    <row r="11" spans="1:11" ht="16" x14ac:dyDescent="0.15">
      <c r="A11" s="192"/>
      <c r="B11" s="187"/>
      <c r="C11" s="188"/>
      <c r="D11" s="15"/>
      <c r="E11" s="193"/>
      <c r="F11" s="207"/>
      <c r="G11" s="16"/>
      <c r="H11" s="17"/>
      <c r="I11" s="217" t="s">
        <v>243</v>
      </c>
      <c r="J11" s="215">
        <v>2.0833333333333332E-2</v>
      </c>
      <c r="K11" s="216" t="s">
        <v>243</v>
      </c>
    </row>
    <row r="12" spans="1:11" ht="19.25" customHeight="1" x14ac:dyDescent="0.15">
      <c r="A12" s="23"/>
      <c r="B12" s="187"/>
      <c r="C12" s="208"/>
      <c r="D12" s="15"/>
      <c r="E12" s="209"/>
      <c r="F12" s="210"/>
      <c r="G12" s="16"/>
      <c r="H12" s="17"/>
      <c r="I12" s="217" t="s">
        <v>257</v>
      </c>
      <c r="J12" s="215">
        <v>3.125E-2</v>
      </c>
      <c r="K12" s="216" t="s">
        <v>258</v>
      </c>
    </row>
    <row r="13" spans="1:11" ht="16" x14ac:dyDescent="0.15">
      <c r="A13" s="14"/>
      <c r="B13" s="19"/>
      <c r="C13" s="31"/>
      <c r="D13" s="15"/>
      <c r="E13" s="32"/>
      <c r="F13" s="33"/>
      <c r="G13" s="16"/>
      <c r="H13" s="17"/>
      <c r="I13" s="217"/>
      <c r="J13" s="215"/>
      <c r="K13" s="216"/>
    </row>
    <row r="14" spans="1:11" ht="16" x14ac:dyDescent="0.15">
      <c r="A14" s="34"/>
      <c r="B14" s="28"/>
      <c r="C14" s="35"/>
      <c r="D14" s="11"/>
      <c r="E14" s="32"/>
      <c r="F14" s="36"/>
      <c r="G14" s="27"/>
      <c r="H14" s="12"/>
      <c r="I14" s="28"/>
      <c r="J14" s="37"/>
      <c r="K14" s="30"/>
    </row>
    <row r="15" spans="1:11" ht="16" x14ac:dyDescent="0.2">
      <c r="A15" s="38"/>
      <c r="B15" s="39"/>
      <c r="C15" s="40"/>
      <c r="D15" s="11"/>
      <c r="E15" s="25"/>
      <c r="F15" s="40"/>
      <c r="G15" s="27"/>
      <c r="H15" s="12"/>
      <c r="I15" s="41"/>
      <c r="J15" s="37"/>
      <c r="K15" s="30"/>
    </row>
    <row r="16" spans="1:11" ht="16" x14ac:dyDescent="0.2">
      <c r="A16" s="38"/>
      <c r="B16" s="39"/>
      <c r="C16" s="40"/>
      <c r="D16" s="11"/>
      <c r="E16" s="32"/>
      <c r="F16" s="40"/>
      <c r="G16" s="27"/>
      <c r="H16" s="12"/>
      <c r="I16" s="41"/>
      <c r="J16" s="37"/>
      <c r="K16" s="42"/>
    </row>
    <row r="17" spans="1:11" ht="16" x14ac:dyDescent="0.2">
      <c r="A17" s="38"/>
      <c r="B17" s="39"/>
      <c r="C17" s="40"/>
      <c r="D17" s="11"/>
      <c r="E17" s="32"/>
      <c r="F17" s="40"/>
      <c r="G17" s="27"/>
      <c r="H17" s="12"/>
      <c r="I17" s="41"/>
      <c r="J17" s="37"/>
      <c r="K17" s="42"/>
    </row>
    <row r="18" spans="1:11" ht="16" x14ac:dyDescent="0.2">
      <c r="A18" s="43"/>
      <c r="B18" s="44"/>
      <c r="C18" s="40"/>
      <c r="D18" s="11"/>
      <c r="E18" s="45"/>
      <c r="F18" s="46"/>
      <c r="G18" s="27"/>
      <c r="H18" s="12"/>
      <c r="I18" s="10"/>
      <c r="J18" s="13"/>
      <c r="K18" s="10"/>
    </row>
    <row r="19" spans="1:11" x14ac:dyDescent="0.15">
      <c r="A19" s="47"/>
      <c r="B19" s="48"/>
      <c r="C19" s="49"/>
      <c r="D19" s="50"/>
      <c r="E19" s="47"/>
      <c r="F19" s="49"/>
      <c r="G19" s="51"/>
      <c r="H19" s="49"/>
      <c r="I19" s="48"/>
      <c r="J19" s="52"/>
      <c r="K19" s="48"/>
    </row>
    <row r="20" spans="1:11" x14ac:dyDescent="0.15">
      <c r="A20" s="47"/>
      <c r="B20" s="48"/>
      <c r="C20" s="49"/>
      <c r="D20" s="50"/>
      <c r="E20" s="47"/>
      <c r="F20" s="49"/>
      <c r="G20" s="51"/>
      <c r="H20" s="49"/>
      <c r="I20" s="48"/>
      <c r="J20" s="52"/>
      <c r="K20" s="48"/>
    </row>
    <row r="21" spans="1:11" x14ac:dyDescent="0.15">
      <c r="A21" s="47"/>
      <c r="B21" s="48"/>
      <c r="C21" s="53"/>
      <c r="D21" s="47"/>
      <c r="E21" s="52"/>
      <c r="F21" s="53"/>
      <c r="G21" s="51"/>
      <c r="H21" s="49"/>
      <c r="I21" s="48"/>
      <c r="J21" s="52"/>
      <c r="K21" s="48"/>
    </row>
    <row r="22" spans="1:11" x14ac:dyDescent="0.15">
      <c r="A22" s="54"/>
      <c r="B22" s="55"/>
      <c r="C22" s="56"/>
      <c r="D22" s="56"/>
      <c r="E22" s="57" t="s">
        <v>21</v>
      </c>
      <c r="F22" s="58">
        <f>SUM(F9:F21)</f>
        <v>70</v>
      </c>
      <c r="G22" s="59">
        <f>SUM(G9:G21)/F22</f>
        <v>1320</v>
      </c>
      <c r="H22" s="60">
        <f>SUM(H9:H21)/F22</f>
        <v>17</v>
      </c>
      <c r="I22" s="61" t="s">
        <v>22</v>
      </c>
      <c r="J22" s="186">
        <v>9.0277777777777776E-2</v>
      </c>
      <c r="K22" s="55"/>
    </row>
    <row r="23" spans="1:11" x14ac:dyDescent="0.15">
      <c r="E23" s="62"/>
      <c r="F23" s="63"/>
      <c r="I23" s="64" t="s">
        <v>23</v>
      </c>
      <c r="J23" s="65">
        <v>2.17</v>
      </c>
    </row>
    <row r="24" spans="1:11" x14ac:dyDescent="0.15">
      <c r="A24" s="1"/>
      <c r="I24" s="66"/>
      <c r="J24" s="67"/>
    </row>
    <row r="25" spans="1:11" x14ac:dyDescent="0.15">
      <c r="A25" s="68" t="s">
        <v>24</v>
      </c>
      <c r="B25" s="68"/>
      <c r="C25" s="68"/>
      <c r="D25" s="53"/>
      <c r="H25" s="4" t="s">
        <v>25</v>
      </c>
      <c r="I25" s="4"/>
      <c r="J25" s="62">
        <f>F22</f>
        <v>70</v>
      </c>
      <c r="K25" s="1" t="s">
        <v>16</v>
      </c>
    </row>
    <row r="26" spans="1:11" x14ac:dyDescent="0.15">
      <c r="A26" s="68" t="s">
        <v>26</v>
      </c>
      <c r="B26" s="68"/>
      <c r="C26" s="68"/>
      <c r="D26" s="53"/>
      <c r="H26" s="4" t="s">
        <v>27</v>
      </c>
      <c r="I26" s="4"/>
      <c r="J26" s="62">
        <f>66+72+68+62+66+58+59+11+70</f>
        <v>532</v>
      </c>
      <c r="K26" s="1" t="s">
        <v>16</v>
      </c>
    </row>
    <row r="27" spans="1:11" ht="15" thickBot="1" x14ac:dyDescent="0.2">
      <c r="A27" s="69"/>
      <c r="B27" s="69"/>
      <c r="C27" s="69"/>
      <c r="D27" s="69"/>
      <c r="E27" s="70"/>
      <c r="F27" s="70"/>
      <c r="G27" s="69"/>
      <c r="H27" s="71" t="s">
        <v>28</v>
      </c>
      <c r="I27" s="71"/>
      <c r="J27" s="72">
        <v>72.58</v>
      </c>
      <c r="K27" s="73" t="s">
        <v>29</v>
      </c>
    </row>
    <row r="28" spans="1:11" x14ac:dyDescent="0.15">
      <c r="J28" s="2" t="s">
        <v>3</v>
      </c>
    </row>
    <row r="29" spans="1:11" hidden="1" x14ac:dyDescent="0.15">
      <c r="K29" s="2" t="s">
        <v>30</v>
      </c>
    </row>
    <row r="30" spans="1:11" hidden="1" x14ac:dyDescent="0.15">
      <c r="K30" s="2" t="s">
        <v>31</v>
      </c>
    </row>
    <row r="31" spans="1:11" hidden="1" x14ac:dyDescent="0.15">
      <c r="K31" s="2" t="s">
        <v>32</v>
      </c>
    </row>
    <row r="32" spans="1:11" hidden="1" x14ac:dyDescent="0.15">
      <c r="K32" s="2" t="s">
        <v>33</v>
      </c>
    </row>
    <row r="33" spans="9:11" hidden="1" x14ac:dyDescent="0.15">
      <c r="K33" s="2" t="s">
        <v>34</v>
      </c>
    </row>
    <row r="34" spans="9:11" hidden="1" x14ac:dyDescent="0.15">
      <c r="K34" s="2" t="s">
        <v>35</v>
      </c>
    </row>
    <row r="35" spans="9:11" hidden="1" x14ac:dyDescent="0.15">
      <c r="K35" s="2" t="s">
        <v>36</v>
      </c>
    </row>
    <row r="36" spans="9:11" hidden="1" x14ac:dyDescent="0.15">
      <c r="K36" s="2" t="s">
        <v>37</v>
      </c>
    </row>
    <row r="37" spans="9:11" hidden="1" x14ac:dyDescent="0.15">
      <c r="K37" s="2" t="s">
        <v>38</v>
      </c>
    </row>
    <row r="38" spans="9:11" hidden="1" x14ac:dyDescent="0.15">
      <c r="K38" s="2" t="s">
        <v>39</v>
      </c>
    </row>
    <row r="39" spans="9:11" hidden="1" x14ac:dyDescent="0.15">
      <c r="K39" s="2" t="s">
        <v>40</v>
      </c>
    </row>
    <row r="40" spans="9:11" hidden="1" x14ac:dyDescent="0.15">
      <c r="K40" s="2" t="s">
        <v>41</v>
      </c>
    </row>
    <row r="41" spans="9:11" ht="30" hidden="1" x14ac:dyDescent="0.15">
      <c r="I41" s="74" t="s">
        <v>42</v>
      </c>
      <c r="K41" s="2" t="s">
        <v>43</v>
      </c>
    </row>
    <row r="42" spans="9:11" ht="15" hidden="1" x14ac:dyDescent="0.15">
      <c r="I42" s="74" t="s">
        <v>44</v>
      </c>
      <c r="K42" s="2" t="s">
        <v>45</v>
      </c>
    </row>
    <row r="43" spans="9:11" hidden="1" x14ac:dyDescent="0.15">
      <c r="I43" s="75" t="s">
        <v>46</v>
      </c>
      <c r="K43" s="2" t="s">
        <v>47</v>
      </c>
    </row>
    <row r="44" spans="9:11" hidden="1" x14ac:dyDescent="0.15">
      <c r="I44" s="2" t="s">
        <v>48</v>
      </c>
      <c r="K44" s="2" t="s">
        <v>49</v>
      </c>
    </row>
    <row r="45" spans="9:11" hidden="1" x14ac:dyDescent="0.15">
      <c r="I45" s="2" t="s">
        <v>50</v>
      </c>
      <c r="K45" s="2" t="s">
        <v>51</v>
      </c>
    </row>
    <row r="46" spans="9:11" hidden="1" x14ac:dyDescent="0.15">
      <c r="I46" s="2" t="s">
        <v>52</v>
      </c>
      <c r="K46" s="2" t="s">
        <v>53</v>
      </c>
    </row>
    <row r="47" spans="9:11" hidden="1" x14ac:dyDescent="0.15">
      <c r="I47" s="2" t="s">
        <v>54</v>
      </c>
      <c r="K47" s="2" t="s">
        <v>55</v>
      </c>
    </row>
    <row r="48" spans="9:11" hidden="1" x14ac:dyDescent="0.15">
      <c r="I48" s="2" t="s">
        <v>56</v>
      </c>
      <c r="K48" s="2" t="s">
        <v>57</v>
      </c>
    </row>
    <row r="49" spans="9:11" hidden="1" x14ac:dyDescent="0.15">
      <c r="I49" s="2" t="s">
        <v>58</v>
      </c>
      <c r="K49" s="2" t="s">
        <v>59</v>
      </c>
    </row>
    <row r="50" spans="9:11" hidden="1" x14ac:dyDescent="0.15">
      <c r="I50" s="2" t="s">
        <v>60</v>
      </c>
      <c r="K50" s="2" t="s">
        <v>61</v>
      </c>
    </row>
    <row r="51" spans="9:11" hidden="1" x14ac:dyDescent="0.15">
      <c r="K51" s="2" t="s">
        <v>62</v>
      </c>
    </row>
    <row r="52" spans="9:11" hidden="1" x14ac:dyDescent="0.15">
      <c r="K52" s="2" t="s">
        <v>63</v>
      </c>
    </row>
    <row r="53" spans="9:11" hidden="1" x14ac:dyDescent="0.15">
      <c r="K53" s="2" t="s">
        <v>64</v>
      </c>
    </row>
    <row r="54" spans="9:11" hidden="1" x14ac:dyDescent="0.15">
      <c r="K54" s="2" t="s">
        <v>65</v>
      </c>
    </row>
    <row r="55" spans="9:11" hidden="1" x14ac:dyDescent="0.15">
      <c r="K55" s="2" t="s">
        <v>66</v>
      </c>
    </row>
    <row r="56" spans="9:11" hidden="1" x14ac:dyDescent="0.15">
      <c r="K56" s="2" t="s">
        <v>67</v>
      </c>
    </row>
    <row r="57" spans="9:11" hidden="1" x14ac:dyDescent="0.15">
      <c r="K57" s="2" t="s">
        <v>68</v>
      </c>
    </row>
    <row r="58" spans="9:11" hidden="1" x14ac:dyDescent="0.15">
      <c r="K58" s="2" t="s">
        <v>69</v>
      </c>
    </row>
    <row r="59" spans="9:11" hidden="1" x14ac:dyDescent="0.15">
      <c r="K59" s="2" t="s">
        <v>70</v>
      </c>
    </row>
    <row r="60" spans="9:11" hidden="1" x14ac:dyDescent="0.15">
      <c r="K60" s="2" t="s">
        <v>71</v>
      </c>
    </row>
    <row r="61" spans="9:11" hidden="1" x14ac:dyDescent="0.15">
      <c r="K61" s="2" t="s">
        <v>72</v>
      </c>
    </row>
    <row r="62" spans="9:11" hidden="1" x14ac:dyDescent="0.15">
      <c r="K62" s="2" t="s">
        <v>73</v>
      </c>
    </row>
    <row r="63" spans="9:11" hidden="1" x14ac:dyDescent="0.15">
      <c r="K63" s="2" t="s">
        <v>67</v>
      </c>
    </row>
    <row r="64" spans="9:11" hidden="1" x14ac:dyDescent="0.15">
      <c r="K64" s="2" t="s">
        <v>74</v>
      </c>
    </row>
    <row r="65" spans="11:11" hidden="1" x14ac:dyDescent="0.15">
      <c r="K65" s="2" t="s">
        <v>75</v>
      </c>
    </row>
    <row r="66" spans="11:11" hidden="1" x14ac:dyDescent="0.15">
      <c r="K66" s="2" t="s">
        <v>76</v>
      </c>
    </row>
    <row r="67" spans="11:11" hidden="1" x14ac:dyDescent="0.15">
      <c r="K67" s="2" t="s">
        <v>77</v>
      </c>
    </row>
    <row r="68" spans="11:11" hidden="1" x14ac:dyDescent="0.15">
      <c r="K68" s="2" t="s">
        <v>78</v>
      </c>
    </row>
    <row r="69" spans="11:11" hidden="1" x14ac:dyDescent="0.15">
      <c r="K69" s="2" t="s">
        <v>79</v>
      </c>
    </row>
    <row r="70" spans="11:11" hidden="1" x14ac:dyDescent="0.15">
      <c r="K70" s="2" t="s">
        <v>80</v>
      </c>
    </row>
    <row r="71" spans="11:11" hidden="1" x14ac:dyDescent="0.15">
      <c r="K71" s="2" t="s">
        <v>81</v>
      </c>
    </row>
    <row r="72" spans="11:11" hidden="1" x14ac:dyDescent="0.15">
      <c r="K72" s="2" t="s">
        <v>82</v>
      </c>
    </row>
    <row r="73" spans="11:11" hidden="1" x14ac:dyDescent="0.15">
      <c r="K73" s="2" t="s">
        <v>83</v>
      </c>
    </row>
    <row r="74" spans="11:11" hidden="1" x14ac:dyDescent="0.15">
      <c r="K74" s="2" t="s">
        <v>84</v>
      </c>
    </row>
    <row r="75" spans="11:11" hidden="1" x14ac:dyDescent="0.15">
      <c r="K75" s="2" t="s">
        <v>85</v>
      </c>
    </row>
    <row r="76" spans="11:11" hidden="1" x14ac:dyDescent="0.15">
      <c r="K76" s="2" t="s">
        <v>86</v>
      </c>
    </row>
    <row r="77" spans="11:11" hidden="1" x14ac:dyDescent="0.15">
      <c r="K77" s="2" t="s">
        <v>87</v>
      </c>
    </row>
    <row r="78" spans="11:11" hidden="1" x14ac:dyDescent="0.15">
      <c r="K78" s="2" t="s">
        <v>88</v>
      </c>
    </row>
    <row r="79" spans="11:11" hidden="1" x14ac:dyDescent="0.15">
      <c r="K79" s="2" t="s">
        <v>89</v>
      </c>
    </row>
    <row r="80" spans="11:11" hidden="1" x14ac:dyDescent="0.15">
      <c r="K80" s="2" t="s">
        <v>90</v>
      </c>
    </row>
    <row r="81" spans="11:11" hidden="1" x14ac:dyDescent="0.15">
      <c r="K81" s="2" t="s">
        <v>91</v>
      </c>
    </row>
    <row r="82" spans="11:11" hidden="1" x14ac:dyDescent="0.15">
      <c r="K82" s="2" t="s">
        <v>92</v>
      </c>
    </row>
    <row r="83" spans="11:11" hidden="1" x14ac:dyDescent="0.15">
      <c r="K83" s="2" t="s">
        <v>93</v>
      </c>
    </row>
    <row r="84" spans="11:11" hidden="1" x14ac:dyDescent="0.15">
      <c r="K84" s="2" t="s">
        <v>94</v>
      </c>
    </row>
    <row r="85" spans="11:11" hidden="1" x14ac:dyDescent="0.15">
      <c r="K85" s="2" t="s">
        <v>47</v>
      </c>
    </row>
  </sheetData>
  <dataValidations count="3">
    <dataValidation type="list" allowBlank="1" showInputMessage="1" showErrorMessage="1" sqref="I50 K15:K21" xr:uid="{13F3E421-90BD-4575-B6ED-27281992B2C5}">
      <formula1>$I$41:$I$50</formula1>
    </dataValidation>
    <dataValidation type="list" allowBlank="1" showInputMessage="1" showErrorMessage="1" sqref="B20:B21" xr:uid="{7733E1DE-E466-4D3E-AAD4-B30341C6A328}">
      <formula1>$K$29:$K$40</formula1>
    </dataValidation>
    <dataValidation type="list" allowBlank="1" showInputMessage="1" showErrorMessage="1" sqref="B16:B19" xr:uid="{1DE3E827-AD77-4156-950B-F5FB47E12534}">
      <formula1>$K$29:$K$85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4AF376-3256-4986-A167-DE03BEF3DE12}">
  <dimension ref="A1:K85"/>
  <sheetViews>
    <sheetView workbookViewId="0">
      <selection sqref="A1:XFD1048576"/>
    </sheetView>
  </sheetViews>
  <sheetFormatPr baseColWidth="10" defaultColWidth="9.1640625" defaultRowHeight="14" x14ac:dyDescent="0.15"/>
  <cols>
    <col min="1" max="1" width="5.1640625" style="2" customWidth="1"/>
    <col min="2" max="2" width="22.5" style="2" customWidth="1"/>
    <col min="3" max="3" width="6.1640625" style="2" customWidth="1"/>
    <col min="4" max="4" width="12.5" style="2" bestFit="1" customWidth="1"/>
    <col min="5" max="5" width="9.83203125" style="2" customWidth="1"/>
    <col min="6" max="6" width="9.33203125" style="2" bestFit="1" customWidth="1"/>
    <col min="7" max="7" width="8.6640625" style="2" customWidth="1"/>
    <col min="8" max="8" width="9.5" style="2" bestFit="1" customWidth="1"/>
    <col min="9" max="9" width="17.83203125" style="2" bestFit="1" customWidth="1"/>
    <col min="10" max="10" width="10.33203125" style="2" bestFit="1" customWidth="1"/>
    <col min="11" max="11" width="75" style="2" bestFit="1" customWidth="1"/>
    <col min="12" max="16384" width="9.1640625" style="2"/>
  </cols>
  <sheetData>
    <row r="1" spans="1:11" x14ac:dyDescent="0.15">
      <c r="A1" s="1" t="s">
        <v>0</v>
      </c>
      <c r="I1" s="3"/>
    </row>
    <row r="2" spans="1:11" x14ac:dyDescent="0.15">
      <c r="J2" s="4"/>
    </row>
    <row r="3" spans="1:11" x14ac:dyDescent="0.15">
      <c r="A3" s="3" t="s">
        <v>1</v>
      </c>
      <c r="I3" s="1"/>
      <c r="J3" s="1"/>
    </row>
    <row r="4" spans="1:11" x14ac:dyDescent="0.15">
      <c r="A4" s="3"/>
      <c r="I4" s="4" t="s">
        <v>2</v>
      </c>
      <c r="J4" s="76">
        <v>45788</v>
      </c>
    </row>
    <row r="5" spans="1:11" x14ac:dyDescent="0.15">
      <c r="J5" s="2" t="s">
        <v>3</v>
      </c>
    </row>
    <row r="6" spans="1:11" ht="30" x14ac:dyDescent="0.15">
      <c r="A6" s="5" t="s">
        <v>4</v>
      </c>
      <c r="B6" s="5" t="s">
        <v>5</v>
      </c>
      <c r="C6" s="5" t="s">
        <v>6</v>
      </c>
      <c r="D6" s="5" t="s">
        <v>7</v>
      </c>
      <c r="E6" s="5" t="s">
        <v>8</v>
      </c>
      <c r="F6" s="5" t="s">
        <v>9</v>
      </c>
      <c r="G6" s="6" t="s">
        <v>10</v>
      </c>
      <c r="H6" s="6" t="s">
        <v>11</v>
      </c>
      <c r="I6" s="6" t="s">
        <v>12</v>
      </c>
      <c r="J6" s="7"/>
      <c r="K6" s="5" t="s">
        <v>13</v>
      </c>
    </row>
    <row r="7" spans="1:11" ht="30" x14ac:dyDescent="0.15">
      <c r="A7" s="6"/>
      <c r="B7" s="8"/>
      <c r="C7" s="5"/>
      <c r="D7" s="5" t="s">
        <v>14</v>
      </c>
      <c r="E7" s="5" t="s">
        <v>15</v>
      </c>
      <c r="F7" s="9" t="s">
        <v>16</v>
      </c>
      <c r="G7" s="9" t="s">
        <v>15</v>
      </c>
      <c r="H7" s="9" t="s">
        <v>17</v>
      </c>
      <c r="I7" s="5" t="s">
        <v>18</v>
      </c>
      <c r="J7" s="9" t="s">
        <v>19</v>
      </c>
      <c r="K7" s="9"/>
    </row>
    <row r="8" spans="1:11" ht="16" x14ac:dyDescent="0.2">
      <c r="A8" s="10"/>
      <c r="B8" s="11"/>
      <c r="C8" s="12"/>
      <c r="D8" s="11"/>
      <c r="E8" s="11"/>
      <c r="F8" s="10"/>
      <c r="G8" s="10"/>
      <c r="H8" s="10"/>
      <c r="I8" s="10"/>
      <c r="J8" s="13"/>
      <c r="K8" s="10"/>
    </row>
    <row r="9" spans="1:11" ht="17" x14ac:dyDescent="0.15">
      <c r="A9" s="192">
        <v>1</v>
      </c>
      <c r="B9" s="187" t="s">
        <v>252</v>
      </c>
      <c r="C9" s="188">
        <v>17</v>
      </c>
      <c r="D9" s="15">
        <v>2.85</v>
      </c>
      <c r="E9" s="193">
        <v>1360</v>
      </c>
      <c r="F9" s="189">
        <v>80</v>
      </c>
      <c r="G9" s="16">
        <f t="shared" ref="G9:G10" si="0">E9*F9</f>
        <v>108800</v>
      </c>
      <c r="H9" s="17">
        <f t="shared" ref="H9:H10" si="1">F9*C9</f>
        <v>1360</v>
      </c>
      <c r="I9" s="211" t="s">
        <v>20</v>
      </c>
      <c r="J9" s="212">
        <v>2.4305555555555556E-2</v>
      </c>
      <c r="K9" s="213" t="s">
        <v>254</v>
      </c>
    </row>
    <row r="10" spans="1:11" ht="17" x14ac:dyDescent="0.15">
      <c r="A10" s="23">
        <v>2</v>
      </c>
      <c r="B10" s="187" t="s">
        <v>252</v>
      </c>
      <c r="C10" s="188">
        <v>16</v>
      </c>
      <c r="D10" s="15">
        <v>2.85</v>
      </c>
      <c r="E10" s="193">
        <v>1384</v>
      </c>
      <c r="F10" s="189">
        <v>9</v>
      </c>
      <c r="G10" s="16">
        <f t="shared" si="0"/>
        <v>12456</v>
      </c>
      <c r="H10" s="17">
        <f t="shared" si="1"/>
        <v>144</v>
      </c>
      <c r="I10" s="214" t="s">
        <v>44</v>
      </c>
      <c r="J10" s="215">
        <v>6.9444444444444441E-3</v>
      </c>
      <c r="K10" s="216" t="s">
        <v>44</v>
      </c>
    </row>
    <row r="11" spans="1:11" ht="16" x14ac:dyDescent="0.15">
      <c r="A11" s="192"/>
      <c r="B11" s="187"/>
      <c r="C11" s="188"/>
      <c r="D11" s="15"/>
      <c r="E11" s="193"/>
      <c r="F11" s="207"/>
      <c r="G11" s="16"/>
      <c r="H11" s="17"/>
      <c r="I11" s="217" t="s">
        <v>243</v>
      </c>
      <c r="J11" s="215">
        <v>6.9444444444444441E-3</v>
      </c>
      <c r="K11" s="216" t="s">
        <v>243</v>
      </c>
    </row>
    <row r="12" spans="1:11" ht="19.25" customHeight="1" x14ac:dyDescent="0.15">
      <c r="A12" s="23"/>
      <c r="B12" s="187"/>
      <c r="C12" s="208"/>
      <c r="D12" s="15"/>
      <c r="E12" s="209"/>
      <c r="F12" s="210"/>
      <c r="G12" s="16"/>
      <c r="H12" s="17"/>
      <c r="I12" s="217"/>
      <c r="J12" s="215"/>
      <c r="K12" s="216"/>
    </row>
    <row r="13" spans="1:11" ht="16" x14ac:dyDescent="0.15">
      <c r="A13" s="14"/>
      <c r="B13" s="19"/>
      <c r="C13" s="31"/>
      <c r="D13" s="15"/>
      <c r="E13" s="32"/>
      <c r="F13" s="33"/>
      <c r="G13" s="16"/>
      <c r="H13" s="17"/>
      <c r="I13" s="217"/>
      <c r="J13" s="215"/>
      <c r="K13" s="216"/>
    </row>
    <row r="14" spans="1:11" ht="16" x14ac:dyDescent="0.15">
      <c r="A14" s="34"/>
      <c r="B14" s="28"/>
      <c r="C14" s="35"/>
      <c r="D14" s="11"/>
      <c r="E14" s="32"/>
      <c r="F14" s="36"/>
      <c r="G14" s="27"/>
      <c r="H14" s="12"/>
      <c r="I14" s="28"/>
      <c r="J14" s="37"/>
      <c r="K14" s="30"/>
    </row>
    <row r="15" spans="1:11" ht="16" x14ac:dyDescent="0.2">
      <c r="A15" s="38"/>
      <c r="B15" s="39"/>
      <c r="C15" s="40"/>
      <c r="D15" s="11"/>
      <c r="E15" s="25"/>
      <c r="F15" s="40"/>
      <c r="G15" s="27"/>
      <c r="H15" s="12"/>
      <c r="I15" s="41"/>
      <c r="J15" s="37"/>
      <c r="K15" s="30"/>
    </row>
    <row r="16" spans="1:11" ht="16" x14ac:dyDescent="0.2">
      <c r="A16" s="38"/>
      <c r="B16" s="39"/>
      <c r="C16" s="40"/>
      <c r="D16" s="11"/>
      <c r="E16" s="32"/>
      <c r="F16" s="40"/>
      <c r="G16" s="27"/>
      <c r="H16" s="12"/>
      <c r="I16" s="41"/>
      <c r="J16" s="37"/>
      <c r="K16" s="42"/>
    </row>
    <row r="17" spans="1:11" ht="16" x14ac:dyDescent="0.2">
      <c r="A17" s="38"/>
      <c r="B17" s="39"/>
      <c r="C17" s="40"/>
      <c r="D17" s="11"/>
      <c r="E17" s="32"/>
      <c r="F17" s="40"/>
      <c r="G17" s="27"/>
      <c r="H17" s="12"/>
      <c r="I17" s="41"/>
      <c r="J17" s="37"/>
      <c r="K17" s="42"/>
    </row>
    <row r="18" spans="1:11" ht="16" x14ac:dyDescent="0.2">
      <c r="A18" s="43"/>
      <c r="B18" s="44"/>
      <c r="C18" s="40"/>
      <c r="D18" s="11"/>
      <c r="E18" s="45"/>
      <c r="F18" s="46"/>
      <c r="G18" s="27"/>
      <c r="H18" s="12"/>
      <c r="I18" s="10"/>
      <c r="J18" s="13"/>
      <c r="K18" s="10"/>
    </row>
    <row r="19" spans="1:11" x14ac:dyDescent="0.15">
      <c r="A19" s="47"/>
      <c r="B19" s="48"/>
      <c r="C19" s="49"/>
      <c r="D19" s="50"/>
      <c r="E19" s="47"/>
      <c r="F19" s="49"/>
      <c r="G19" s="51"/>
      <c r="H19" s="49"/>
      <c r="I19" s="48"/>
      <c r="J19" s="52"/>
      <c r="K19" s="48"/>
    </row>
    <row r="20" spans="1:11" x14ac:dyDescent="0.15">
      <c r="A20" s="47"/>
      <c r="B20" s="48"/>
      <c r="C20" s="49"/>
      <c r="D20" s="50"/>
      <c r="E20" s="47"/>
      <c r="F20" s="49"/>
      <c r="G20" s="51"/>
      <c r="H20" s="49"/>
      <c r="I20" s="48"/>
      <c r="J20" s="52"/>
      <c r="K20" s="48"/>
    </row>
    <row r="21" spans="1:11" x14ac:dyDescent="0.15">
      <c r="A21" s="47"/>
      <c r="B21" s="48"/>
      <c r="C21" s="53"/>
      <c r="D21" s="47"/>
      <c r="E21" s="52"/>
      <c r="F21" s="53"/>
      <c r="G21" s="51"/>
      <c r="H21" s="49"/>
      <c r="I21" s="48"/>
      <c r="J21" s="52"/>
      <c r="K21" s="48"/>
    </row>
    <row r="22" spans="1:11" x14ac:dyDescent="0.15">
      <c r="A22" s="54"/>
      <c r="B22" s="55"/>
      <c r="C22" s="56"/>
      <c r="D22" s="56"/>
      <c r="E22" s="57" t="s">
        <v>21</v>
      </c>
      <c r="F22" s="58">
        <f>SUM(F9:F21)</f>
        <v>89</v>
      </c>
      <c r="G22" s="59">
        <f>SUM(G9:G21)/F22</f>
        <v>1362.4269662921349</v>
      </c>
      <c r="H22" s="60">
        <f>SUM(H9:H21)/F22</f>
        <v>16.898876404494381</v>
      </c>
      <c r="I22" s="61" t="s">
        <v>22</v>
      </c>
      <c r="J22" s="186">
        <v>3.8194444444444448E-2</v>
      </c>
      <c r="K22" s="55"/>
    </row>
    <row r="23" spans="1:11" x14ac:dyDescent="0.15">
      <c r="E23" s="62"/>
      <c r="F23" s="63"/>
      <c r="I23" s="64" t="s">
        <v>23</v>
      </c>
      <c r="J23" s="65">
        <v>0.92</v>
      </c>
    </row>
    <row r="24" spans="1:11" x14ac:dyDescent="0.15">
      <c r="A24" s="1"/>
      <c r="I24" s="66"/>
      <c r="J24" s="67"/>
    </row>
    <row r="25" spans="1:11" x14ac:dyDescent="0.15">
      <c r="A25" s="68" t="s">
        <v>24</v>
      </c>
      <c r="B25" s="68"/>
      <c r="C25" s="68"/>
      <c r="D25" s="53"/>
      <c r="H25" s="4" t="s">
        <v>25</v>
      </c>
      <c r="I25" s="4"/>
      <c r="J25" s="62">
        <f>F22</f>
        <v>89</v>
      </c>
      <c r="K25" s="1" t="s">
        <v>16</v>
      </c>
    </row>
    <row r="26" spans="1:11" x14ac:dyDescent="0.15">
      <c r="A26" s="68" t="s">
        <v>26</v>
      </c>
      <c r="B26" s="68"/>
      <c r="C26" s="68"/>
      <c r="D26" s="53"/>
      <c r="H26" s="4" t="s">
        <v>27</v>
      </c>
      <c r="I26" s="4"/>
      <c r="J26" s="62">
        <f>66+72+68+62+66+58+59+11+70+89</f>
        <v>621</v>
      </c>
      <c r="K26" s="1" t="s">
        <v>16</v>
      </c>
    </row>
    <row r="27" spans="1:11" ht="15" thickBot="1" x14ac:dyDescent="0.2">
      <c r="A27" s="69"/>
      <c r="B27" s="69"/>
      <c r="C27" s="69"/>
      <c r="D27" s="69"/>
      <c r="E27" s="70"/>
      <c r="F27" s="70"/>
      <c r="G27" s="69"/>
      <c r="H27" s="71" t="s">
        <v>28</v>
      </c>
      <c r="I27" s="71"/>
      <c r="J27" s="72">
        <v>73.5</v>
      </c>
      <c r="K27" s="73" t="s">
        <v>29</v>
      </c>
    </row>
    <row r="28" spans="1:11" x14ac:dyDescent="0.15">
      <c r="J28" s="2" t="s">
        <v>3</v>
      </c>
    </row>
    <row r="29" spans="1:11" hidden="1" x14ac:dyDescent="0.15">
      <c r="K29" s="2" t="s">
        <v>30</v>
      </c>
    </row>
    <row r="30" spans="1:11" hidden="1" x14ac:dyDescent="0.15">
      <c r="K30" s="2" t="s">
        <v>31</v>
      </c>
    </row>
    <row r="31" spans="1:11" hidden="1" x14ac:dyDescent="0.15">
      <c r="K31" s="2" t="s">
        <v>32</v>
      </c>
    </row>
    <row r="32" spans="1:11" hidden="1" x14ac:dyDescent="0.15">
      <c r="K32" s="2" t="s">
        <v>33</v>
      </c>
    </row>
    <row r="33" spans="9:11" hidden="1" x14ac:dyDescent="0.15">
      <c r="K33" s="2" t="s">
        <v>34</v>
      </c>
    </row>
    <row r="34" spans="9:11" hidden="1" x14ac:dyDescent="0.15">
      <c r="K34" s="2" t="s">
        <v>35</v>
      </c>
    </row>
    <row r="35" spans="9:11" hidden="1" x14ac:dyDescent="0.15">
      <c r="K35" s="2" t="s">
        <v>36</v>
      </c>
    </row>
    <row r="36" spans="9:11" hidden="1" x14ac:dyDescent="0.15">
      <c r="K36" s="2" t="s">
        <v>37</v>
      </c>
    </row>
    <row r="37" spans="9:11" hidden="1" x14ac:dyDescent="0.15">
      <c r="K37" s="2" t="s">
        <v>38</v>
      </c>
    </row>
    <row r="38" spans="9:11" hidden="1" x14ac:dyDescent="0.15">
      <c r="K38" s="2" t="s">
        <v>39</v>
      </c>
    </row>
    <row r="39" spans="9:11" hidden="1" x14ac:dyDescent="0.15">
      <c r="K39" s="2" t="s">
        <v>40</v>
      </c>
    </row>
    <row r="40" spans="9:11" hidden="1" x14ac:dyDescent="0.15">
      <c r="K40" s="2" t="s">
        <v>41</v>
      </c>
    </row>
    <row r="41" spans="9:11" ht="30" hidden="1" x14ac:dyDescent="0.15">
      <c r="I41" s="74" t="s">
        <v>42</v>
      </c>
      <c r="K41" s="2" t="s">
        <v>43</v>
      </c>
    </row>
    <row r="42" spans="9:11" ht="15" hidden="1" x14ac:dyDescent="0.15">
      <c r="I42" s="74" t="s">
        <v>44</v>
      </c>
      <c r="K42" s="2" t="s">
        <v>45</v>
      </c>
    </row>
    <row r="43" spans="9:11" hidden="1" x14ac:dyDescent="0.15">
      <c r="I43" s="75" t="s">
        <v>46</v>
      </c>
      <c r="K43" s="2" t="s">
        <v>47</v>
      </c>
    </row>
    <row r="44" spans="9:11" hidden="1" x14ac:dyDescent="0.15">
      <c r="I44" s="2" t="s">
        <v>48</v>
      </c>
      <c r="K44" s="2" t="s">
        <v>49</v>
      </c>
    </row>
    <row r="45" spans="9:11" hidden="1" x14ac:dyDescent="0.15">
      <c r="I45" s="2" t="s">
        <v>50</v>
      </c>
      <c r="K45" s="2" t="s">
        <v>51</v>
      </c>
    </row>
    <row r="46" spans="9:11" hidden="1" x14ac:dyDescent="0.15">
      <c r="I46" s="2" t="s">
        <v>52</v>
      </c>
      <c r="K46" s="2" t="s">
        <v>53</v>
      </c>
    </row>
    <row r="47" spans="9:11" hidden="1" x14ac:dyDescent="0.15">
      <c r="I47" s="2" t="s">
        <v>54</v>
      </c>
      <c r="K47" s="2" t="s">
        <v>55</v>
      </c>
    </row>
    <row r="48" spans="9:11" hidden="1" x14ac:dyDescent="0.15">
      <c r="I48" s="2" t="s">
        <v>56</v>
      </c>
      <c r="K48" s="2" t="s">
        <v>57</v>
      </c>
    </row>
    <row r="49" spans="9:11" hidden="1" x14ac:dyDescent="0.15">
      <c r="I49" s="2" t="s">
        <v>58</v>
      </c>
      <c r="K49" s="2" t="s">
        <v>59</v>
      </c>
    </row>
    <row r="50" spans="9:11" hidden="1" x14ac:dyDescent="0.15">
      <c r="I50" s="2" t="s">
        <v>60</v>
      </c>
      <c r="K50" s="2" t="s">
        <v>61</v>
      </c>
    </row>
    <row r="51" spans="9:11" hidden="1" x14ac:dyDescent="0.15">
      <c r="K51" s="2" t="s">
        <v>62</v>
      </c>
    </row>
    <row r="52" spans="9:11" hidden="1" x14ac:dyDescent="0.15">
      <c r="K52" s="2" t="s">
        <v>63</v>
      </c>
    </row>
    <row r="53" spans="9:11" hidden="1" x14ac:dyDescent="0.15">
      <c r="K53" s="2" t="s">
        <v>64</v>
      </c>
    </row>
    <row r="54" spans="9:11" hidden="1" x14ac:dyDescent="0.15">
      <c r="K54" s="2" t="s">
        <v>65</v>
      </c>
    </row>
    <row r="55" spans="9:11" hidden="1" x14ac:dyDescent="0.15">
      <c r="K55" s="2" t="s">
        <v>66</v>
      </c>
    </row>
    <row r="56" spans="9:11" hidden="1" x14ac:dyDescent="0.15">
      <c r="K56" s="2" t="s">
        <v>67</v>
      </c>
    </row>
    <row r="57" spans="9:11" hidden="1" x14ac:dyDescent="0.15">
      <c r="K57" s="2" t="s">
        <v>68</v>
      </c>
    </row>
    <row r="58" spans="9:11" hidden="1" x14ac:dyDescent="0.15">
      <c r="K58" s="2" t="s">
        <v>69</v>
      </c>
    </row>
    <row r="59" spans="9:11" hidden="1" x14ac:dyDescent="0.15">
      <c r="K59" s="2" t="s">
        <v>70</v>
      </c>
    </row>
    <row r="60" spans="9:11" hidden="1" x14ac:dyDescent="0.15">
      <c r="K60" s="2" t="s">
        <v>71</v>
      </c>
    </row>
    <row r="61" spans="9:11" hidden="1" x14ac:dyDescent="0.15">
      <c r="K61" s="2" t="s">
        <v>72</v>
      </c>
    </row>
    <row r="62" spans="9:11" hidden="1" x14ac:dyDescent="0.15">
      <c r="K62" s="2" t="s">
        <v>73</v>
      </c>
    </row>
    <row r="63" spans="9:11" hidden="1" x14ac:dyDescent="0.15">
      <c r="K63" s="2" t="s">
        <v>67</v>
      </c>
    </row>
    <row r="64" spans="9:11" hidden="1" x14ac:dyDescent="0.15">
      <c r="K64" s="2" t="s">
        <v>74</v>
      </c>
    </row>
    <row r="65" spans="11:11" hidden="1" x14ac:dyDescent="0.15">
      <c r="K65" s="2" t="s">
        <v>75</v>
      </c>
    </row>
    <row r="66" spans="11:11" hidden="1" x14ac:dyDescent="0.15">
      <c r="K66" s="2" t="s">
        <v>76</v>
      </c>
    </row>
    <row r="67" spans="11:11" hidden="1" x14ac:dyDescent="0.15">
      <c r="K67" s="2" t="s">
        <v>77</v>
      </c>
    </row>
    <row r="68" spans="11:11" hidden="1" x14ac:dyDescent="0.15">
      <c r="K68" s="2" t="s">
        <v>78</v>
      </c>
    </row>
    <row r="69" spans="11:11" hidden="1" x14ac:dyDescent="0.15">
      <c r="K69" s="2" t="s">
        <v>79</v>
      </c>
    </row>
    <row r="70" spans="11:11" hidden="1" x14ac:dyDescent="0.15">
      <c r="K70" s="2" t="s">
        <v>80</v>
      </c>
    </row>
    <row r="71" spans="11:11" hidden="1" x14ac:dyDescent="0.15">
      <c r="K71" s="2" t="s">
        <v>81</v>
      </c>
    </row>
    <row r="72" spans="11:11" hidden="1" x14ac:dyDescent="0.15">
      <c r="K72" s="2" t="s">
        <v>82</v>
      </c>
    </row>
    <row r="73" spans="11:11" hidden="1" x14ac:dyDescent="0.15">
      <c r="K73" s="2" t="s">
        <v>83</v>
      </c>
    </row>
    <row r="74" spans="11:11" hidden="1" x14ac:dyDescent="0.15">
      <c r="K74" s="2" t="s">
        <v>84</v>
      </c>
    </row>
    <row r="75" spans="11:11" hidden="1" x14ac:dyDescent="0.15">
      <c r="K75" s="2" t="s">
        <v>85</v>
      </c>
    </row>
    <row r="76" spans="11:11" hidden="1" x14ac:dyDescent="0.15">
      <c r="K76" s="2" t="s">
        <v>86</v>
      </c>
    </row>
    <row r="77" spans="11:11" hidden="1" x14ac:dyDescent="0.15">
      <c r="K77" s="2" t="s">
        <v>87</v>
      </c>
    </row>
    <row r="78" spans="11:11" hidden="1" x14ac:dyDescent="0.15">
      <c r="K78" s="2" t="s">
        <v>88</v>
      </c>
    </row>
    <row r="79" spans="11:11" hidden="1" x14ac:dyDescent="0.15">
      <c r="K79" s="2" t="s">
        <v>89</v>
      </c>
    </row>
    <row r="80" spans="11:11" hidden="1" x14ac:dyDescent="0.15">
      <c r="K80" s="2" t="s">
        <v>90</v>
      </c>
    </row>
    <row r="81" spans="11:11" hidden="1" x14ac:dyDescent="0.15">
      <c r="K81" s="2" t="s">
        <v>91</v>
      </c>
    </row>
    <row r="82" spans="11:11" hidden="1" x14ac:dyDescent="0.15">
      <c r="K82" s="2" t="s">
        <v>92</v>
      </c>
    </row>
    <row r="83" spans="11:11" hidden="1" x14ac:dyDescent="0.15">
      <c r="K83" s="2" t="s">
        <v>93</v>
      </c>
    </row>
    <row r="84" spans="11:11" hidden="1" x14ac:dyDescent="0.15">
      <c r="K84" s="2" t="s">
        <v>94</v>
      </c>
    </row>
    <row r="85" spans="11:11" hidden="1" x14ac:dyDescent="0.15">
      <c r="K85" s="2" t="s">
        <v>47</v>
      </c>
    </row>
  </sheetData>
  <dataValidations count="3">
    <dataValidation type="list" allowBlank="1" showInputMessage="1" showErrorMessage="1" sqref="B16:B19" xr:uid="{43574088-8117-4357-AB77-71C355EC6CFC}">
      <formula1>$K$29:$K$85</formula1>
    </dataValidation>
    <dataValidation type="list" allowBlank="1" showInputMessage="1" showErrorMessage="1" sqref="B20:B21" xr:uid="{3886FD97-6DE3-4DE1-B51C-BC3069772EF8}">
      <formula1>$K$29:$K$40</formula1>
    </dataValidation>
    <dataValidation type="list" allowBlank="1" showInputMessage="1" showErrorMessage="1" sqref="I50 K15:K21" xr:uid="{726E2E5E-2F3F-42C9-A5E9-9E1E2FC92DE3}">
      <formula1>$I$41:$I$50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739B1-E2C0-478D-8BC5-290F8E37C2A2}">
  <dimension ref="A1:K85"/>
  <sheetViews>
    <sheetView workbookViewId="0">
      <selection activeCell="K13" sqref="K13"/>
    </sheetView>
  </sheetViews>
  <sheetFormatPr baseColWidth="10" defaultColWidth="9.1640625" defaultRowHeight="14" x14ac:dyDescent="0.15"/>
  <cols>
    <col min="1" max="1" width="5.1640625" style="2" customWidth="1"/>
    <col min="2" max="2" width="22.5" style="2" customWidth="1"/>
    <col min="3" max="3" width="6.1640625" style="2" customWidth="1"/>
    <col min="4" max="4" width="12.5" style="2" bestFit="1" customWidth="1"/>
    <col min="5" max="5" width="9.83203125" style="2" customWidth="1"/>
    <col min="6" max="6" width="9.33203125" style="2" bestFit="1" customWidth="1"/>
    <col min="7" max="7" width="8.6640625" style="2" customWidth="1"/>
    <col min="8" max="8" width="9.5" style="2" bestFit="1" customWidth="1"/>
    <col min="9" max="9" width="17.83203125" style="2" bestFit="1" customWidth="1"/>
    <col min="10" max="10" width="10.33203125" style="2" bestFit="1" customWidth="1"/>
    <col min="11" max="11" width="75" style="2" bestFit="1" customWidth="1"/>
    <col min="12" max="16384" width="9.1640625" style="2"/>
  </cols>
  <sheetData>
    <row r="1" spans="1:11" x14ac:dyDescent="0.15">
      <c r="A1" s="1" t="s">
        <v>0</v>
      </c>
      <c r="I1" s="3"/>
    </row>
    <row r="2" spans="1:11" x14ac:dyDescent="0.15">
      <c r="J2" s="4"/>
    </row>
    <row r="3" spans="1:11" x14ac:dyDescent="0.15">
      <c r="A3" s="3" t="s">
        <v>1</v>
      </c>
      <c r="I3" s="1"/>
      <c r="J3" s="1"/>
    </row>
    <row r="4" spans="1:11" x14ac:dyDescent="0.15">
      <c r="A4" s="3"/>
      <c r="I4" s="4" t="s">
        <v>2</v>
      </c>
      <c r="J4" s="76">
        <v>45789</v>
      </c>
    </row>
    <row r="5" spans="1:11" x14ac:dyDescent="0.15">
      <c r="J5" s="2" t="s">
        <v>3</v>
      </c>
    </row>
    <row r="6" spans="1:11" ht="30" x14ac:dyDescent="0.15">
      <c r="A6" s="5" t="s">
        <v>4</v>
      </c>
      <c r="B6" s="5" t="s">
        <v>5</v>
      </c>
      <c r="C6" s="5" t="s">
        <v>6</v>
      </c>
      <c r="D6" s="5" t="s">
        <v>7</v>
      </c>
      <c r="E6" s="5" t="s">
        <v>8</v>
      </c>
      <c r="F6" s="5" t="s">
        <v>9</v>
      </c>
      <c r="G6" s="6" t="s">
        <v>10</v>
      </c>
      <c r="H6" s="6" t="s">
        <v>11</v>
      </c>
      <c r="I6" s="6" t="s">
        <v>12</v>
      </c>
      <c r="J6" s="7"/>
      <c r="K6" s="5" t="s">
        <v>13</v>
      </c>
    </row>
    <row r="7" spans="1:11" ht="30" x14ac:dyDescent="0.15">
      <c r="A7" s="6"/>
      <c r="B7" s="8"/>
      <c r="C7" s="5"/>
      <c r="D7" s="5" t="s">
        <v>14</v>
      </c>
      <c r="E7" s="5" t="s">
        <v>15</v>
      </c>
      <c r="F7" s="9" t="s">
        <v>16</v>
      </c>
      <c r="G7" s="9" t="s">
        <v>15</v>
      </c>
      <c r="H7" s="9" t="s">
        <v>17</v>
      </c>
      <c r="I7" s="5" t="s">
        <v>18</v>
      </c>
      <c r="J7" s="9" t="s">
        <v>19</v>
      </c>
      <c r="K7" s="9"/>
    </row>
    <row r="8" spans="1:11" ht="16" x14ac:dyDescent="0.2">
      <c r="A8" s="10"/>
      <c r="B8" s="11"/>
      <c r="C8" s="12"/>
      <c r="D8" s="11"/>
      <c r="E8" s="11"/>
      <c r="F8" s="10"/>
      <c r="G8" s="10"/>
      <c r="H8" s="10"/>
      <c r="I8" s="10"/>
      <c r="J8" s="13"/>
      <c r="K8" s="10"/>
    </row>
    <row r="9" spans="1:11" ht="17" x14ac:dyDescent="0.15">
      <c r="A9" s="192">
        <v>1</v>
      </c>
      <c r="B9" s="187" t="s">
        <v>252</v>
      </c>
      <c r="C9" s="188">
        <v>17</v>
      </c>
      <c r="D9" s="15">
        <v>2.85</v>
      </c>
      <c r="E9" s="193">
        <v>1422</v>
      </c>
      <c r="F9" s="189">
        <v>5</v>
      </c>
      <c r="G9" s="16">
        <f t="shared" ref="G9:G13" si="0">E9*F9</f>
        <v>7110</v>
      </c>
      <c r="H9" s="17">
        <f t="shared" ref="H9:H13" si="1">F9*C9</f>
        <v>85</v>
      </c>
      <c r="I9" s="211" t="s">
        <v>20</v>
      </c>
      <c r="J9" s="212">
        <v>2.0833333333333332E-2</v>
      </c>
      <c r="K9" s="213" t="s">
        <v>254</v>
      </c>
    </row>
    <row r="10" spans="1:11" ht="17" x14ac:dyDescent="0.15">
      <c r="A10" s="23">
        <v>2</v>
      </c>
      <c r="B10" s="187" t="s">
        <v>252</v>
      </c>
      <c r="C10" s="188">
        <v>15</v>
      </c>
      <c r="D10" s="15">
        <v>2.85</v>
      </c>
      <c r="E10" s="193">
        <v>1422</v>
      </c>
      <c r="F10" s="189">
        <v>4.5</v>
      </c>
      <c r="G10" s="16">
        <f t="shared" si="0"/>
        <v>6399</v>
      </c>
      <c r="H10" s="17">
        <f t="shared" si="1"/>
        <v>67.5</v>
      </c>
      <c r="I10" s="214" t="s">
        <v>44</v>
      </c>
      <c r="J10" s="215">
        <v>2.4305555555555556E-2</v>
      </c>
      <c r="K10" s="216" t="s">
        <v>44</v>
      </c>
    </row>
    <row r="11" spans="1:11" ht="17" x14ac:dyDescent="0.15">
      <c r="A11" s="192">
        <v>3</v>
      </c>
      <c r="B11" s="187" t="s">
        <v>252</v>
      </c>
      <c r="C11" s="188">
        <v>14</v>
      </c>
      <c r="D11" s="15">
        <v>2.85</v>
      </c>
      <c r="E11" s="193">
        <v>1422</v>
      </c>
      <c r="F11" s="207">
        <v>11</v>
      </c>
      <c r="G11" s="16">
        <f t="shared" si="0"/>
        <v>15642</v>
      </c>
      <c r="H11" s="17">
        <f t="shared" si="1"/>
        <v>154</v>
      </c>
      <c r="I11" s="217" t="s">
        <v>243</v>
      </c>
      <c r="J11" s="215">
        <v>6.9444444444444441E-3</v>
      </c>
      <c r="K11" s="216" t="s">
        <v>243</v>
      </c>
    </row>
    <row r="12" spans="1:11" ht="19.25" customHeight="1" x14ac:dyDescent="0.15">
      <c r="A12" s="23">
        <v>4</v>
      </c>
      <c r="B12" s="187" t="s">
        <v>231</v>
      </c>
      <c r="C12" s="208">
        <v>17</v>
      </c>
      <c r="D12" s="15">
        <v>2.85</v>
      </c>
      <c r="E12" s="209">
        <v>1404</v>
      </c>
      <c r="F12" s="210">
        <v>24</v>
      </c>
      <c r="G12" s="16">
        <f t="shared" si="0"/>
        <v>33696</v>
      </c>
      <c r="H12" s="17">
        <f t="shared" si="1"/>
        <v>408</v>
      </c>
      <c r="I12" s="217"/>
      <c r="J12" s="215"/>
      <c r="K12" s="216"/>
    </row>
    <row r="13" spans="1:11" ht="17" x14ac:dyDescent="0.15">
      <c r="A13" s="219">
        <v>5</v>
      </c>
      <c r="B13" s="187" t="s">
        <v>231</v>
      </c>
      <c r="C13" s="208">
        <v>15</v>
      </c>
      <c r="D13" s="15">
        <v>2.85</v>
      </c>
      <c r="E13" s="209">
        <v>1404</v>
      </c>
      <c r="F13" s="210">
        <v>40.5</v>
      </c>
      <c r="G13" s="16">
        <f t="shared" si="0"/>
        <v>56862</v>
      </c>
      <c r="H13" s="17">
        <f t="shared" si="1"/>
        <v>607.5</v>
      </c>
      <c r="I13" s="217"/>
      <c r="J13" s="215"/>
      <c r="K13" s="216"/>
    </row>
    <row r="14" spans="1:11" ht="16" x14ac:dyDescent="0.15">
      <c r="A14" s="34"/>
      <c r="B14" s="28"/>
      <c r="C14" s="35"/>
      <c r="D14" s="11"/>
      <c r="E14" s="32"/>
      <c r="F14" s="36"/>
      <c r="G14" s="27"/>
      <c r="H14" s="12"/>
      <c r="I14" s="28"/>
      <c r="J14" s="37"/>
      <c r="K14" s="30"/>
    </row>
    <row r="15" spans="1:11" ht="16" x14ac:dyDescent="0.2">
      <c r="A15" s="38"/>
      <c r="B15" s="39"/>
      <c r="C15" s="40"/>
      <c r="D15" s="11"/>
      <c r="E15" s="25"/>
      <c r="F15" s="40"/>
      <c r="G15" s="27"/>
      <c r="H15" s="12"/>
      <c r="I15" s="41"/>
      <c r="J15" s="37"/>
      <c r="K15" s="30"/>
    </row>
    <row r="16" spans="1:11" ht="16" x14ac:dyDescent="0.2">
      <c r="A16" s="38"/>
      <c r="B16" s="39"/>
      <c r="C16" s="40"/>
      <c r="D16" s="11"/>
      <c r="E16" s="32"/>
      <c r="F16" s="40"/>
      <c r="G16" s="27"/>
      <c r="H16" s="12"/>
      <c r="I16" s="41"/>
      <c r="J16" s="37"/>
      <c r="K16" s="42"/>
    </row>
    <row r="17" spans="1:11" ht="16" x14ac:dyDescent="0.2">
      <c r="A17" s="38"/>
      <c r="B17" s="39"/>
      <c r="C17" s="40"/>
      <c r="D17" s="11"/>
      <c r="E17" s="32"/>
      <c r="F17" s="40"/>
      <c r="G17" s="27"/>
      <c r="H17" s="12"/>
      <c r="I17" s="41"/>
      <c r="J17" s="37"/>
      <c r="K17" s="42"/>
    </row>
    <row r="18" spans="1:11" ht="16" x14ac:dyDescent="0.2">
      <c r="A18" s="43"/>
      <c r="B18" s="44"/>
      <c r="C18" s="40"/>
      <c r="D18" s="11"/>
      <c r="E18" s="45"/>
      <c r="F18" s="46"/>
      <c r="G18" s="27"/>
      <c r="H18" s="12"/>
      <c r="I18" s="10"/>
      <c r="J18" s="13"/>
      <c r="K18" s="10"/>
    </row>
    <row r="19" spans="1:11" x14ac:dyDescent="0.15">
      <c r="A19" s="47"/>
      <c r="B19" s="48"/>
      <c r="C19" s="49"/>
      <c r="D19" s="50"/>
      <c r="E19" s="47"/>
      <c r="F19" s="49"/>
      <c r="G19" s="51"/>
      <c r="H19" s="49"/>
      <c r="I19" s="48"/>
      <c r="J19" s="52"/>
      <c r="K19" s="48"/>
    </row>
    <row r="20" spans="1:11" x14ac:dyDescent="0.15">
      <c r="A20" s="47"/>
      <c r="B20" s="48"/>
      <c r="C20" s="49"/>
      <c r="D20" s="50"/>
      <c r="E20" s="47"/>
      <c r="F20" s="49"/>
      <c r="G20" s="51"/>
      <c r="H20" s="49"/>
      <c r="I20" s="48"/>
      <c r="J20" s="52"/>
      <c r="K20" s="48"/>
    </row>
    <row r="21" spans="1:11" x14ac:dyDescent="0.15">
      <c r="A21" s="47"/>
      <c r="B21" s="48"/>
      <c r="C21" s="53"/>
      <c r="D21" s="47"/>
      <c r="E21" s="52"/>
      <c r="F21" s="53"/>
      <c r="G21" s="51"/>
      <c r="H21" s="49"/>
      <c r="I21" s="48"/>
      <c r="J21" s="52"/>
      <c r="K21" s="48"/>
    </row>
    <row r="22" spans="1:11" x14ac:dyDescent="0.15">
      <c r="A22" s="54"/>
      <c r="B22" s="55"/>
      <c r="C22" s="56"/>
      <c r="D22" s="56"/>
      <c r="E22" s="57" t="s">
        <v>21</v>
      </c>
      <c r="F22" s="58">
        <f>SUM(F9:F21)</f>
        <v>85</v>
      </c>
      <c r="G22" s="59">
        <f>SUM(G9:G21)/F22</f>
        <v>1408.3411764705882</v>
      </c>
      <c r="H22" s="60">
        <f>SUM(H9:H21)/F22</f>
        <v>15.552941176470588</v>
      </c>
      <c r="I22" s="61" t="s">
        <v>22</v>
      </c>
      <c r="J22" s="186">
        <v>5.2083333333333336E-2</v>
      </c>
      <c r="K22" s="55"/>
    </row>
    <row r="23" spans="1:11" x14ac:dyDescent="0.15">
      <c r="E23" s="62"/>
      <c r="F23" s="63"/>
      <c r="I23" s="64" t="s">
        <v>23</v>
      </c>
      <c r="J23" s="65">
        <v>1.25</v>
      </c>
    </row>
    <row r="24" spans="1:11" x14ac:dyDescent="0.15">
      <c r="A24" s="1"/>
      <c r="I24" s="66"/>
      <c r="J24" s="67"/>
    </row>
    <row r="25" spans="1:11" x14ac:dyDescent="0.15">
      <c r="A25" s="68" t="s">
        <v>24</v>
      </c>
      <c r="B25" s="68"/>
      <c r="C25" s="68"/>
      <c r="D25" s="53"/>
      <c r="H25" s="4" t="s">
        <v>25</v>
      </c>
      <c r="I25" s="4"/>
      <c r="J25" s="62">
        <f>F22</f>
        <v>85</v>
      </c>
      <c r="K25" s="1" t="s">
        <v>16</v>
      </c>
    </row>
    <row r="26" spans="1:11" x14ac:dyDescent="0.15">
      <c r="A26" s="68" t="s">
        <v>26</v>
      </c>
      <c r="B26" s="68"/>
      <c r="C26" s="68"/>
      <c r="D26" s="53"/>
      <c r="H26" s="4" t="s">
        <v>27</v>
      </c>
      <c r="I26" s="4"/>
      <c r="J26" s="62">
        <f>66+72+68+62+66+58+59+11+70+89+85+85</f>
        <v>791</v>
      </c>
      <c r="K26" s="1" t="s">
        <v>16</v>
      </c>
    </row>
    <row r="27" spans="1:11" ht="15" thickBot="1" x14ac:dyDescent="0.2">
      <c r="A27" s="69"/>
      <c r="B27" s="69"/>
      <c r="C27" s="69"/>
      <c r="D27" s="69"/>
      <c r="E27" s="70"/>
      <c r="F27" s="70"/>
      <c r="G27" s="69"/>
      <c r="H27" s="71" t="s">
        <v>28</v>
      </c>
      <c r="I27" s="71"/>
      <c r="J27" s="72">
        <v>76.33</v>
      </c>
      <c r="K27" s="73" t="s">
        <v>29</v>
      </c>
    </row>
    <row r="28" spans="1:11" x14ac:dyDescent="0.15">
      <c r="J28" s="2" t="s">
        <v>3</v>
      </c>
    </row>
    <row r="29" spans="1:11" hidden="1" x14ac:dyDescent="0.15">
      <c r="K29" s="2" t="s">
        <v>30</v>
      </c>
    </row>
    <row r="30" spans="1:11" hidden="1" x14ac:dyDescent="0.15">
      <c r="K30" s="2" t="s">
        <v>31</v>
      </c>
    </row>
    <row r="31" spans="1:11" hidden="1" x14ac:dyDescent="0.15">
      <c r="K31" s="2" t="s">
        <v>32</v>
      </c>
    </row>
    <row r="32" spans="1:11" hidden="1" x14ac:dyDescent="0.15">
      <c r="K32" s="2" t="s">
        <v>33</v>
      </c>
    </row>
    <row r="33" spans="9:11" hidden="1" x14ac:dyDescent="0.15">
      <c r="K33" s="2" t="s">
        <v>34</v>
      </c>
    </row>
    <row r="34" spans="9:11" hidden="1" x14ac:dyDescent="0.15">
      <c r="K34" s="2" t="s">
        <v>35</v>
      </c>
    </row>
    <row r="35" spans="9:11" hidden="1" x14ac:dyDescent="0.15">
      <c r="K35" s="2" t="s">
        <v>36</v>
      </c>
    </row>
    <row r="36" spans="9:11" hidden="1" x14ac:dyDescent="0.15">
      <c r="K36" s="2" t="s">
        <v>37</v>
      </c>
    </row>
    <row r="37" spans="9:11" hidden="1" x14ac:dyDescent="0.15">
      <c r="K37" s="2" t="s">
        <v>38</v>
      </c>
    </row>
    <row r="38" spans="9:11" hidden="1" x14ac:dyDescent="0.15">
      <c r="K38" s="2" t="s">
        <v>39</v>
      </c>
    </row>
    <row r="39" spans="9:11" hidden="1" x14ac:dyDescent="0.15">
      <c r="K39" s="2" t="s">
        <v>40</v>
      </c>
    </row>
    <row r="40" spans="9:11" hidden="1" x14ac:dyDescent="0.15">
      <c r="K40" s="2" t="s">
        <v>41</v>
      </c>
    </row>
    <row r="41" spans="9:11" ht="30" hidden="1" x14ac:dyDescent="0.15">
      <c r="I41" s="74" t="s">
        <v>42</v>
      </c>
      <c r="K41" s="2" t="s">
        <v>43</v>
      </c>
    </row>
    <row r="42" spans="9:11" ht="15" hidden="1" x14ac:dyDescent="0.15">
      <c r="I42" s="74" t="s">
        <v>44</v>
      </c>
      <c r="K42" s="2" t="s">
        <v>45</v>
      </c>
    </row>
    <row r="43" spans="9:11" hidden="1" x14ac:dyDescent="0.15">
      <c r="I43" s="75" t="s">
        <v>46</v>
      </c>
      <c r="K43" s="2" t="s">
        <v>47</v>
      </c>
    </row>
    <row r="44" spans="9:11" hidden="1" x14ac:dyDescent="0.15">
      <c r="I44" s="2" t="s">
        <v>48</v>
      </c>
      <c r="K44" s="2" t="s">
        <v>49</v>
      </c>
    </row>
    <row r="45" spans="9:11" hidden="1" x14ac:dyDescent="0.15">
      <c r="I45" s="2" t="s">
        <v>50</v>
      </c>
      <c r="K45" s="2" t="s">
        <v>51</v>
      </c>
    </row>
    <row r="46" spans="9:11" hidden="1" x14ac:dyDescent="0.15">
      <c r="I46" s="2" t="s">
        <v>52</v>
      </c>
      <c r="K46" s="2" t="s">
        <v>53</v>
      </c>
    </row>
    <row r="47" spans="9:11" hidden="1" x14ac:dyDescent="0.15">
      <c r="I47" s="2" t="s">
        <v>54</v>
      </c>
      <c r="K47" s="2" t="s">
        <v>55</v>
      </c>
    </row>
    <row r="48" spans="9:11" hidden="1" x14ac:dyDescent="0.15">
      <c r="I48" s="2" t="s">
        <v>56</v>
      </c>
      <c r="K48" s="2" t="s">
        <v>57</v>
      </c>
    </row>
    <row r="49" spans="9:11" hidden="1" x14ac:dyDescent="0.15">
      <c r="I49" s="2" t="s">
        <v>58</v>
      </c>
      <c r="K49" s="2" t="s">
        <v>59</v>
      </c>
    </row>
    <row r="50" spans="9:11" hidden="1" x14ac:dyDescent="0.15">
      <c r="I50" s="2" t="s">
        <v>60</v>
      </c>
      <c r="K50" s="2" t="s">
        <v>61</v>
      </c>
    </row>
    <row r="51" spans="9:11" hidden="1" x14ac:dyDescent="0.15">
      <c r="K51" s="2" t="s">
        <v>62</v>
      </c>
    </row>
    <row r="52" spans="9:11" hidden="1" x14ac:dyDescent="0.15">
      <c r="K52" s="2" t="s">
        <v>63</v>
      </c>
    </row>
    <row r="53" spans="9:11" hidden="1" x14ac:dyDescent="0.15">
      <c r="K53" s="2" t="s">
        <v>64</v>
      </c>
    </row>
    <row r="54" spans="9:11" hidden="1" x14ac:dyDescent="0.15">
      <c r="K54" s="2" t="s">
        <v>65</v>
      </c>
    </row>
    <row r="55" spans="9:11" hidden="1" x14ac:dyDescent="0.15">
      <c r="K55" s="2" t="s">
        <v>66</v>
      </c>
    </row>
    <row r="56" spans="9:11" hidden="1" x14ac:dyDescent="0.15">
      <c r="K56" s="2" t="s">
        <v>67</v>
      </c>
    </row>
    <row r="57" spans="9:11" hidden="1" x14ac:dyDescent="0.15">
      <c r="K57" s="2" t="s">
        <v>68</v>
      </c>
    </row>
    <row r="58" spans="9:11" hidden="1" x14ac:dyDescent="0.15">
      <c r="K58" s="2" t="s">
        <v>69</v>
      </c>
    </row>
    <row r="59" spans="9:11" hidden="1" x14ac:dyDescent="0.15">
      <c r="K59" s="2" t="s">
        <v>70</v>
      </c>
    </row>
    <row r="60" spans="9:11" hidden="1" x14ac:dyDescent="0.15">
      <c r="K60" s="2" t="s">
        <v>71</v>
      </c>
    </row>
    <row r="61" spans="9:11" hidden="1" x14ac:dyDescent="0.15">
      <c r="K61" s="2" t="s">
        <v>72</v>
      </c>
    </row>
    <row r="62" spans="9:11" hidden="1" x14ac:dyDescent="0.15">
      <c r="K62" s="2" t="s">
        <v>73</v>
      </c>
    </row>
    <row r="63" spans="9:11" hidden="1" x14ac:dyDescent="0.15">
      <c r="K63" s="2" t="s">
        <v>67</v>
      </c>
    </row>
    <row r="64" spans="9:11" hidden="1" x14ac:dyDescent="0.15">
      <c r="K64" s="2" t="s">
        <v>74</v>
      </c>
    </row>
    <row r="65" spans="11:11" hidden="1" x14ac:dyDescent="0.15">
      <c r="K65" s="2" t="s">
        <v>75</v>
      </c>
    </row>
    <row r="66" spans="11:11" hidden="1" x14ac:dyDescent="0.15">
      <c r="K66" s="2" t="s">
        <v>76</v>
      </c>
    </row>
    <row r="67" spans="11:11" hidden="1" x14ac:dyDescent="0.15">
      <c r="K67" s="2" t="s">
        <v>77</v>
      </c>
    </row>
    <row r="68" spans="11:11" hidden="1" x14ac:dyDescent="0.15">
      <c r="K68" s="2" t="s">
        <v>78</v>
      </c>
    </row>
    <row r="69" spans="11:11" hidden="1" x14ac:dyDescent="0.15">
      <c r="K69" s="2" t="s">
        <v>79</v>
      </c>
    </row>
    <row r="70" spans="11:11" hidden="1" x14ac:dyDescent="0.15">
      <c r="K70" s="2" t="s">
        <v>80</v>
      </c>
    </row>
    <row r="71" spans="11:11" hidden="1" x14ac:dyDescent="0.15">
      <c r="K71" s="2" t="s">
        <v>81</v>
      </c>
    </row>
    <row r="72" spans="11:11" hidden="1" x14ac:dyDescent="0.15">
      <c r="K72" s="2" t="s">
        <v>82</v>
      </c>
    </row>
    <row r="73" spans="11:11" hidden="1" x14ac:dyDescent="0.15">
      <c r="K73" s="2" t="s">
        <v>83</v>
      </c>
    </row>
    <row r="74" spans="11:11" hidden="1" x14ac:dyDescent="0.15">
      <c r="K74" s="2" t="s">
        <v>84</v>
      </c>
    </row>
    <row r="75" spans="11:11" hidden="1" x14ac:dyDescent="0.15">
      <c r="K75" s="2" t="s">
        <v>85</v>
      </c>
    </row>
    <row r="76" spans="11:11" hidden="1" x14ac:dyDescent="0.15">
      <c r="K76" s="2" t="s">
        <v>86</v>
      </c>
    </row>
    <row r="77" spans="11:11" hidden="1" x14ac:dyDescent="0.15">
      <c r="K77" s="2" t="s">
        <v>87</v>
      </c>
    </row>
    <row r="78" spans="11:11" hidden="1" x14ac:dyDescent="0.15">
      <c r="K78" s="2" t="s">
        <v>88</v>
      </c>
    </row>
    <row r="79" spans="11:11" hidden="1" x14ac:dyDescent="0.15">
      <c r="K79" s="2" t="s">
        <v>89</v>
      </c>
    </row>
    <row r="80" spans="11:11" hidden="1" x14ac:dyDescent="0.15">
      <c r="K80" s="2" t="s">
        <v>90</v>
      </c>
    </row>
    <row r="81" spans="11:11" hidden="1" x14ac:dyDescent="0.15">
      <c r="K81" s="2" t="s">
        <v>91</v>
      </c>
    </row>
    <row r="82" spans="11:11" hidden="1" x14ac:dyDescent="0.15">
      <c r="K82" s="2" t="s">
        <v>92</v>
      </c>
    </row>
    <row r="83" spans="11:11" hidden="1" x14ac:dyDescent="0.15">
      <c r="K83" s="2" t="s">
        <v>93</v>
      </c>
    </row>
    <row r="84" spans="11:11" hidden="1" x14ac:dyDescent="0.15">
      <c r="K84" s="2" t="s">
        <v>94</v>
      </c>
    </row>
    <row r="85" spans="11:11" hidden="1" x14ac:dyDescent="0.15">
      <c r="K85" s="2" t="s">
        <v>47</v>
      </c>
    </row>
  </sheetData>
  <dataValidations count="3">
    <dataValidation type="list" allowBlank="1" showInputMessage="1" showErrorMessage="1" sqref="I50 K15:K21" xr:uid="{DA43E78F-6305-4D3D-A7E6-FBD1A87A1C26}">
      <formula1>$I$41:$I$50</formula1>
    </dataValidation>
    <dataValidation type="list" allowBlank="1" showInputMessage="1" showErrorMessage="1" sqref="B20:B21" xr:uid="{0B36EF31-46C2-4DDF-B823-E90557B69017}">
      <formula1>$K$29:$K$40</formula1>
    </dataValidation>
    <dataValidation type="list" allowBlank="1" showInputMessage="1" showErrorMessage="1" sqref="B16:B19" xr:uid="{802A9FB9-7A64-40D3-A774-2338A687F65A}">
      <formula1>$K$29:$K$85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BB438C-D772-4492-91CD-6F2A9B8C96C0}">
  <dimension ref="A1:K85"/>
  <sheetViews>
    <sheetView workbookViewId="0">
      <selection sqref="A1:XFD1048576"/>
    </sheetView>
  </sheetViews>
  <sheetFormatPr baseColWidth="10" defaultColWidth="9.1640625" defaultRowHeight="14" x14ac:dyDescent="0.15"/>
  <cols>
    <col min="1" max="1" width="5.1640625" style="2" customWidth="1"/>
    <col min="2" max="2" width="22.5" style="2" customWidth="1"/>
    <col min="3" max="3" width="6.1640625" style="2" customWidth="1"/>
    <col min="4" max="4" width="12.5" style="2" bestFit="1" customWidth="1"/>
    <col min="5" max="5" width="9.83203125" style="2" customWidth="1"/>
    <col min="6" max="6" width="9.33203125" style="2" bestFit="1" customWidth="1"/>
    <col min="7" max="7" width="8.6640625" style="2" customWidth="1"/>
    <col min="8" max="8" width="9.5" style="2" bestFit="1" customWidth="1"/>
    <col min="9" max="9" width="17.83203125" style="2" bestFit="1" customWidth="1"/>
    <col min="10" max="10" width="10.33203125" style="2" bestFit="1" customWidth="1"/>
    <col min="11" max="11" width="75" style="2" bestFit="1" customWidth="1"/>
    <col min="12" max="16384" width="9.1640625" style="2"/>
  </cols>
  <sheetData>
    <row r="1" spans="1:11" x14ac:dyDescent="0.15">
      <c r="A1" s="1" t="s">
        <v>0</v>
      </c>
      <c r="I1" s="3"/>
    </row>
    <row r="2" spans="1:11" x14ac:dyDescent="0.15">
      <c r="J2" s="4"/>
    </row>
    <row r="3" spans="1:11" x14ac:dyDescent="0.15">
      <c r="A3" s="3" t="s">
        <v>1</v>
      </c>
      <c r="I3" s="1"/>
      <c r="J3" s="1"/>
    </row>
    <row r="4" spans="1:11" x14ac:dyDescent="0.15">
      <c r="A4" s="3"/>
      <c r="I4" s="4" t="s">
        <v>2</v>
      </c>
      <c r="J4" s="76">
        <v>45790</v>
      </c>
    </row>
    <row r="5" spans="1:11" x14ac:dyDescent="0.15">
      <c r="J5" s="2" t="s">
        <v>3</v>
      </c>
    </row>
    <row r="6" spans="1:11" ht="30" x14ac:dyDescent="0.15">
      <c r="A6" s="5" t="s">
        <v>4</v>
      </c>
      <c r="B6" s="5" t="s">
        <v>5</v>
      </c>
      <c r="C6" s="5" t="s">
        <v>6</v>
      </c>
      <c r="D6" s="5" t="s">
        <v>7</v>
      </c>
      <c r="E6" s="5" t="s">
        <v>8</v>
      </c>
      <c r="F6" s="5" t="s">
        <v>9</v>
      </c>
      <c r="G6" s="6" t="s">
        <v>10</v>
      </c>
      <c r="H6" s="6" t="s">
        <v>11</v>
      </c>
      <c r="I6" s="6" t="s">
        <v>12</v>
      </c>
      <c r="J6" s="7"/>
      <c r="K6" s="5" t="s">
        <v>13</v>
      </c>
    </row>
    <row r="7" spans="1:11" ht="30" x14ac:dyDescent="0.15">
      <c r="A7" s="6"/>
      <c r="B7" s="8"/>
      <c r="C7" s="5"/>
      <c r="D7" s="5" t="s">
        <v>14</v>
      </c>
      <c r="E7" s="5" t="s">
        <v>15</v>
      </c>
      <c r="F7" s="9" t="s">
        <v>16</v>
      </c>
      <c r="G7" s="9" t="s">
        <v>15</v>
      </c>
      <c r="H7" s="9" t="s">
        <v>17</v>
      </c>
      <c r="I7" s="5" t="s">
        <v>18</v>
      </c>
      <c r="J7" s="9" t="s">
        <v>19</v>
      </c>
      <c r="K7" s="9"/>
    </row>
    <row r="8" spans="1:11" ht="16" x14ac:dyDescent="0.2">
      <c r="A8" s="10"/>
      <c r="B8" s="11"/>
      <c r="C8" s="12"/>
      <c r="D8" s="11"/>
      <c r="E8" s="11"/>
      <c r="F8" s="10"/>
      <c r="G8" s="10"/>
      <c r="H8" s="10"/>
      <c r="I8" s="10"/>
      <c r="J8" s="13"/>
      <c r="K8" s="10"/>
    </row>
    <row r="9" spans="1:11" ht="17" x14ac:dyDescent="0.15">
      <c r="A9" s="192">
        <v>1</v>
      </c>
      <c r="B9" s="187" t="s">
        <v>252</v>
      </c>
      <c r="C9" s="188">
        <v>17</v>
      </c>
      <c r="D9" s="15">
        <v>2.85</v>
      </c>
      <c r="E9" s="193">
        <v>1422</v>
      </c>
      <c r="F9" s="189">
        <v>5</v>
      </c>
      <c r="G9" s="16">
        <f t="shared" ref="G9:G13" si="0">E9*F9</f>
        <v>7110</v>
      </c>
      <c r="H9" s="17">
        <f t="shared" ref="H9:H13" si="1">F9*C9</f>
        <v>85</v>
      </c>
      <c r="I9" s="211" t="s">
        <v>20</v>
      </c>
      <c r="J9" s="212">
        <v>2.0833333333333332E-2</v>
      </c>
      <c r="K9" s="213" t="s">
        <v>254</v>
      </c>
    </row>
    <row r="10" spans="1:11" ht="17" x14ac:dyDescent="0.15">
      <c r="A10" s="23">
        <v>2</v>
      </c>
      <c r="B10" s="187" t="s">
        <v>252</v>
      </c>
      <c r="C10" s="188">
        <v>15</v>
      </c>
      <c r="D10" s="15">
        <v>2.85</v>
      </c>
      <c r="E10" s="193">
        <v>1422</v>
      </c>
      <c r="F10" s="189">
        <v>4.5</v>
      </c>
      <c r="G10" s="16">
        <f t="shared" si="0"/>
        <v>6399</v>
      </c>
      <c r="H10" s="17">
        <f t="shared" si="1"/>
        <v>67.5</v>
      </c>
      <c r="I10" s="214" t="s">
        <v>44</v>
      </c>
      <c r="J10" s="215">
        <v>2.4305555555555556E-2</v>
      </c>
      <c r="K10" s="216" t="s">
        <v>44</v>
      </c>
    </row>
    <row r="11" spans="1:11" ht="17" x14ac:dyDescent="0.15">
      <c r="A11" s="192">
        <v>3</v>
      </c>
      <c r="B11" s="187" t="s">
        <v>252</v>
      </c>
      <c r="C11" s="188">
        <v>14</v>
      </c>
      <c r="D11" s="15">
        <v>2.85</v>
      </c>
      <c r="E11" s="193">
        <v>1422</v>
      </c>
      <c r="F11" s="207">
        <v>11</v>
      </c>
      <c r="G11" s="16">
        <f t="shared" si="0"/>
        <v>15642</v>
      </c>
      <c r="H11" s="17">
        <f t="shared" si="1"/>
        <v>154</v>
      </c>
      <c r="I11" s="217" t="s">
        <v>243</v>
      </c>
      <c r="J11" s="215">
        <v>6.9444444444444441E-3</v>
      </c>
      <c r="K11" s="216" t="s">
        <v>243</v>
      </c>
    </row>
    <row r="12" spans="1:11" ht="19.25" customHeight="1" x14ac:dyDescent="0.15">
      <c r="A12" s="23">
        <v>4</v>
      </c>
      <c r="B12" s="187" t="s">
        <v>231</v>
      </c>
      <c r="C12" s="208">
        <v>17</v>
      </c>
      <c r="D12" s="15">
        <v>2.85</v>
      </c>
      <c r="E12" s="209">
        <v>1404</v>
      </c>
      <c r="F12" s="210">
        <v>24</v>
      </c>
      <c r="G12" s="16">
        <f t="shared" si="0"/>
        <v>33696</v>
      </c>
      <c r="H12" s="17">
        <f t="shared" si="1"/>
        <v>408</v>
      </c>
      <c r="I12" s="217"/>
      <c r="J12" s="215"/>
      <c r="K12" s="216"/>
    </row>
    <row r="13" spans="1:11" ht="17" x14ac:dyDescent="0.15">
      <c r="A13" s="219">
        <v>5</v>
      </c>
      <c r="B13" s="187" t="s">
        <v>231</v>
      </c>
      <c r="C13" s="208">
        <v>15</v>
      </c>
      <c r="D13" s="15">
        <v>2.85</v>
      </c>
      <c r="E13" s="209">
        <v>1404</v>
      </c>
      <c r="F13" s="210">
        <v>40.5</v>
      </c>
      <c r="G13" s="16">
        <f t="shared" si="0"/>
        <v>56862</v>
      </c>
      <c r="H13" s="17">
        <f t="shared" si="1"/>
        <v>607.5</v>
      </c>
      <c r="I13" s="217"/>
      <c r="J13" s="215"/>
      <c r="K13" s="216"/>
    </row>
    <row r="14" spans="1:11" ht="16" x14ac:dyDescent="0.15">
      <c r="A14" s="34"/>
      <c r="B14" s="28"/>
      <c r="C14" s="35"/>
      <c r="D14" s="11"/>
      <c r="E14" s="32"/>
      <c r="F14" s="36"/>
      <c r="G14" s="27"/>
      <c r="H14" s="12"/>
      <c r="I14" s="28"/>
      <c r="J14" s="37"/>
      <c r="K14" s="30"/>
    </row>
    <row r="15" spans="1:11" ht="16" x14ac:dyDescent="0.2">
      <c r="A15" s="38"/>
      <c r="B15" s="39"/>
      <c r="C15" s="40"/>
      <c r="D15" s="11"/>
      <c r="E15" s="25"/>
      <c r="F15" s="40"/>
      <c r="G15" s="27"/>
      <c r="H15" s="12"/>
      <c r="I15" s="41"/>
      <c r="J15" s="37"/>
      <c r="K15" s="30"/>
    </row>
    <row r="16" spans="1:11" ht="16" x14ac:dyDescent="0.2">
      <c r="A16" s="38"/>
      <c r="B16" s="39"/>
      <c r="C16" s="40"/>
      <c r="D16" s="11"/>
      <c r="E16" s="32"/>
      <c r="F16" s="40"/>
      <c r="G16" s="27"/>
      <c r="H16" s="12"/>
      <c r="I16" s="41"/>
      <c r="J16" s="37"/>
      <c r="K16" s="42"/>
    </row>
    <row r="17" spans="1:11" ht="16" x14ac:dyDescent="0.2">
      <c r="A17" s="38"/>
      <c r="B17" s="39"/>
      <c r="C17" s="40"/>
      <c r="D17" s="11"/>
      <c r="E17" s="32"/>
      <c r="F17" s="40"/>
      <c r="G17" s="27"/>
      <c r="H17" s="12"/>
      <c r="I17" s="41"/>
      <c r="J17" s="37"/>
      <c r="K17" s="42"/>
    </row>
    <row r="18" spans="1:11" ht="16" x14ac:dyDescent="0.2">
      <c r="A18" s="43"/>
      <c r="B18" s="44"/>
      <c r="C18" s="40"/>
      <c r="D18" s="11"/>
      <c r="E18" s="45"/>
      <c r="F18" s="46"/>
      <c r="G18" s="27"/>
      <c r="H18" s="12"/>
      <c r="I18" s="10"/>
      <c r="J18" s="13"/>
      <c r="K18" s="10"/>
    </row>
    <row r="19" spans="1:11" x14ac:dyDescent="0.15">
      <c r="A19" s="47"/>
      <c r="B19" s="48"/>
      <c r="C19" s="49"/>
      <c r="D19" s="50"/>
      <c r="E19" s="47"/>
      <c r="F19" s="49"/>
      <c r="G19" s="51"/>
      <c r="H19" s="49"/>
      <c r="I19" s="48"/>
      <c r="J19" s="52"/>
      <c r="K19" s="48"/>
    </row>
    <row r="20" spans="1:11" x14ac:dyDescent="0.15">
      <c r="A20" s="47"/>
      <c r="B20" s="48"/>
      <c r="C20" s="49"/>
      <c r="D20" s="50"/>
      <c r="E20" s="47"/>
      <c r="F20" s="49"/>
      <c r="G20" s="51"/>
      <c r="H20" s="49"/>
      <c r="I20" s="48"/>
      <c r="J20" s="52"/>
      <c r="K20" s="48"/>
    </row>
    <row r="21" spans="1:11" x14ac:dyDescent="0.15">
      <c r="A21" s="47"/>
      <c r="B21" s="48"/>
      <c r="C21" s="53"/>
      <c r="D21" s="47"/>
      <c r="E21" s="52"/>
      <c r="F21" s="53"/>
      <c r="G21" s="51"/>
      <c r="H21" s="49"/>
      <c r="I21" s="48"/>
      <c r="J21" s="52"/>
      <c r="K21" s="48"/>
    </row>
    <row r="22" spans="1:11" x14ac:dyDescent="0.15">
      <c r="A22" s="54"/>
      <c r="B22" s="55"/>
      <c r="C22" s="56"/>
      <c r="D22" s="56"/>
      <c r="E22" s="57" t="s">
        <v>21</v>
      </c>
      <c r="F22" s="58">
        <f>SUM(F9:F21)</f>
        <v>85</v>
      </c>
      <c r="G22" s="59">
        <f>SUM(G9:G21)/F22</f>
        <v>1408.3411764705882</v>
      </c>
      <c r="H22" s="60">
        <f>SUM(H9:H21)/F22</f>
        <v>15.552941176470588</v>
      </c>
      <c r="I22" s="61" t="s">
        <v>22</v>
      </c>
      <c r="J22" s="186">
        <v>5.2083333333333336E-2</v>
      </c>
      <c r="K22" s="55"/>
    </row>
    <row r="23" spans="1:11" x14ac:dyDescent="0.15">
      <c r="E23" s="62"/>
      <c r="F23" s="63"/>
      <c r="I23" s="64" t="s">
        <v>23</v>
      </c>
      <c r="J23" s="65">
        <v>1.25</v>
      </c>
    </row>
    <row r="24" spans="1:11" x14ac:dyDescent="0.15">
      <c r="A24" s="1"/>
      <c r="I24" s="66"/>
      <c r="J24" s="67"/>
    </row>
    <row r="25" spans="1:11" x14ac:dyDescent="0.15">
      <c r="A25" s="68" t="s">
        <v>24</v>
      </c>
      <c r="B25" s="68"/>
      <c r="C25" s="68"/>
      <c r="D25" s="53"/>
      <c r="H25" s="4" t="s">
        <v>25</v>
      </c>
      <c r="I25" s="4"/>
      <c r="J25" s="62">
        <f>F22</f>
        <v>85</v>
      </c>
      <c r="K25" s="1" t="s">
        <v>16</v>
      </c>
    </row>
    <row r="26" spans="1:11" x14ac:dyDescent="0.15">
      <c r="A26" s="68" t="s">
        <v>26</v>
      </c>
      <c r="B26" s="68"/>
      <c r="C26" s="68"/>
      <c r="D26" s="53"/>
      <c r="H26" s="4" t="s">
        <v>27</v>
      </c>
      <c r="I26" s="4"/>
      <c r="J26" s="62">
        <f>66+72+68+62+66+58+59+11+70+89+85+85</f>
        <v>791</v>
      </c>
      <c r="K26" s="1" t="s">
        <v>16</v>
      </c>
    </row>
    <row r="27" spans="1:11" ht="15" thickBot="1" x14ac:dyDescent="0.2">
      <c r="A27" s="69"/>
      <c r="B27" s="69"/>
      <c r="C27" s="69"/>
      <c r="D27" s="69"/>
      <c r="E27" s="70"/>
      <c r="F27" s="70"/>
      <c r="G27" s="69"/>
      <c r="H27" s="71" t="s">
        <v>28</v>
      </c>
      <c r="I27" s="71"/>
      <c r="J27" s="72">
        <v>76.33</v>
      </c>
      <c r="K27" s="73" t="s">
        <v>29</v>
      </c>
    </row>
    <row r="28" spans="1:11" x14ac:dyDescent="0.15">
      <c r="J28" s="2" t="s">
        <v>3</v>
      </c>
    </row>
    <row r="29" spans="1:11" hidden="1" x14ac:dyDescent="0.15">
      <c r="K29" s="2" t="s">
        <v>30</v>
      </c>
    </row>
    <row r="30" spans="1:11" hidden="1" x14ac:dyDescent="0.15">
      <c r="K30" s="2" t="s">
        <v>31</v>
      </c>
    </row>
    <row r="31" spans="1:11" hidden="1" x14ac:dyDescent="0.15">
      <c r="K31" s="2" t="s">
        <v>32</v>
      </c>
    </row>
    <row r="32" spans="1:11" hidden="1" x14ac:dyDescent="0.15">
      <c r="K32" s="2" t="s">
        <v>33</v>
      </c>
    </row>
    <row r="33" spans="9:11" hidden="1" x14ac:dyDescent="0.15">
      <c r="K33" s="2" t="s">
        <v>34</v>
      </c>
    </row>
    <row r="34" spans="9:11" hidden="1" x14ac:dyDescent="0.15">
      <c r="K34" s="2" t="s">
        <v>35</v>
      </c>
    </row>
    <row r="35" spans="9:11" hidden="1" x14ac:dyDescent="0.15">
      <c r="K35" s="2" t="s">
        <v>36</v>
      </c>
    </row>
    <row r="36" spans="9:11" hidden="1" x14ac:dyDescent="0.15">
      <c r="K36" s="2" t="s">
        <v>37</v>
      </c>
    </row>
    <row r="37" spans="9:11" hidden="1" x14ac:dyDescent="0.15">
      <c r="K37" s="2" t="s">
        <v>38</v>
      </c>
    </row>
    <row r="38" spans="9:11" hidden="1" x14ac:dyDescent="0.15">
      <c r="K38" s="2" t="s">
        <v>39</v>
      </c>
    </row>
    <row r="39" spans="9:11" hidden="1" x14ac:dyDescent="0.15">
      <c r="K39" s="2" t="s">
        <v>40</v>
      </c>
    </row>
    <row r="40" spans="9:11" hidden="1" x14ac:dyDescent="0.15">
      <c r="K40" s="2" t="s">
        <v>41</v>
      </c>
    </row>
    <row r="41" spans="9:11" ht="30" hidden="1" x14ac:dyDescent="0.15">
      <c r="I41" s="74" t="s">
        <v>42</v>
      </c>
      <c r="K41" s="2" t="s">
        <v>43</v>
      </c>
    </row>
    <row r="42" spans="9:11" ht="15" hidden="1" x14ac:dyDescent="0.15">
      <c r="I42" s="74" t="s">
        <v>44</v>
      </c>
      <c r="K42" s="2" t="s">
        <v>45</v>
      </c>
    </row>
    <row r="43" spans="9:11" hidden="1" x14ac:dyDescent="0.15">
      <c r="I43" s="75" t="s">
        <v>46</v>
      </c>
      <c r="K43" s="2" t="s">
        <v>47</v>
      </c>
    </row>
    <row r="44" spans="9:11" hidden="1" x14ac:dyDescent="0.15">
      <c r="I44" s="2" t="s">
        <v>48</v>
      </c>
      <c r="K44" s="2" t="s">
        <v>49</v>
      </c>
    </row>
    <row r="45" spans="9:11" hidden="1" x14ac:dyDescent="0.15">
      <c r="I45" s="2" t="s">
        <v>50</v>
      </c>
      <c r="K45" s="2" t="s">
        <v>51</v>
      </c>
    </row>
    <row r="46" spans="9:11" hidden="1" x14ac:dyDescent="0.15">
      <c r="I46" s="2" t="s">
        <v>52</v>
      </c>
      <c r="K46" s="2" t="s">
        <v>53</v>
      </c>
    </row>
    <row r="47" spans="9:11" hidden="1" x14ac:dyDescent="0.15">
      <c r="I47" s="2" t="s">
        <v>54</v>
      </c>
      <c r="K47" s="2" t="s">
        <v>55</v>
      </c>
    </row>
    <row r="48" spans="9:11" hidden="1" x14ac:dyDescent="0.15">
      <c r="I48" s="2" t="s">
        <v>56</v>
      </c>
      <c r="K48" s="2" t="s">
        <v>57</v>
      </c>
    </row>
    <row r="49" spans="9:11" hidden="1" x14ac:dyDescent="0.15">
      <c r="I49" s="2" t="s">
        <v>58</v>
      </c>
      <c r="K49" s="2" t="s">
        <v>59</v>
      </c>
    </row>
    <row r="50" spans="9:11" hidden="1" x14ac:dyDescent="0.15">
      <c r="I50" s="2" t="s">
        <v>60</v>
      </c>
      <c r="K50" s="2" t="s">
        <v>61</v>
      </c>
    </row>
    <row r="51" spans="9:11" hidden="1" x14ac:dyDescent="0.15">
      <c r="K51" s="2" t="s">
        <v>62</v>
      </c>
    </row>
    <row r="52" spans="9:11" hidden="1" x14ac:dyDescent="0.15">
      <c r="K52" s="2" t="s">
        <v>63</v>
      </c>
    </row>
    <row r="53" spans="9:11" hidden="1" x14ac:dyDescent="0.15">
      <c r="K53" s="2" t="s">
        <v>64</v>
      </c>
    </row>
    <row r="54" spans="9:11" hidden="1" x14ac:dyDescent="0.15">
      <c r="K54" s="2" t="s">
        <v>65</v>
      </c>
    </row>
    <row r="55" spans="9:11" hidden="1" x14ac:dyDescent="0.15">
      <c r="K55" s="2" t="s">
        <v>66</v>
      </c>
    </row>
    <row r="56" spans="9:11" hidden="1" x14ac:dyDescent="0.15">
      <c r="K56" s="2" t="s">
        <v>67</v>
      </c>
    </row>
    <row r="57" spans="9:11" hidden="1" x14ac:dyDescent="0.15">
      <c r="K57" s="2" t="s">
        <v>68</v>
      </c>
    </row>
    <row r="58" spans="9:11" hidden="1" x14ac:dyDescent="0.15">
      <c r="K58" s="2" t="s">
        <v>69</v>
      </c>
    </row>
    <row r="59" spans="9:11" hidden="1" x14ac:dyDescent="0.15">
      <c r="K59" s="2" t="s">
        <v>70</v>
      </c>
    </row>
    <row r="60" spans="9:11" hidden="1" x14ac:dyDescent="0.15">
      <c r="K60" s="2" t="s">
        <v>71</v>
      </c>
    </row>
    <row r="61" spans="9:11" hidden="1" x14ac:dyDescent="0.15">
      <c r="K61" s="2" t="s">
        <v>72</v>
      </c>
    </row>
    <row r="62" spans="9:11" hidden="1" x14ac:dyDescent="0.15">
      <c r="K62" s="2" t="s">
        <v>73</v>
      </c>
    </row>
    <row r="63" spans="9:11" hidden="1" x14ac:dyDescent="0.15">
      <c r="K63" s="2" t="s">
        <v>67</v>
      </c>
    </row>
    <row r="64" spans="9:11" hidden="1" x14ac:dyDescent="0.15">
      <c r="K64" s="2" t="s">
        <v>74</v>
      </c>
    </row>
    <row r="65" spans="11:11" hidden="1" x14ac:dyDescent="0.15">
      <c r="K65" s="2" t="s">
        <v>75</v>
      </c>
    </row>
    <row r="66" spans="11:11" hidden="1" x14ac:dyDescent="0.15">
      <c r="K66" s="2" t="s">
        <v>76</v>
      </c>
    </row>
    <row r="67" spans="11:11" hidden="1" x14ac:dyDescent="0.15">
      <c r="K67" s="2" t="s">
        <v>77</v>
      </c>
    </row>
    <row r="68" spans="11:11" hidden="1" x14ac:dyDescent="0.15">
      <c r="K68" s="2" t="s">
        <v>78</v>
      </c>
    </row>
    <row r="69" spans="11:11" hidden="1" x14ac:dyDescent="0.15">
      <c r="K69" s="2" t="s">
        <v>79</v>
      </c>
    </row>
    <row r="70" spans="11:11" hidden="1" x14ac:dyDescent="0.15">
      <c r="K70" s="2" t="s">
        <v>80</v>
      </c>
    </row>
    <row r="71" spans="11:11" hidden="1" x14ac:dyDescent="0.15">
      <c r="K71" s="2" t="s">
        <v>81</v>
      </c>
    </row>
    <row r="72" spans="11:11" hidden="1" x14ac:dyDescent="0.15">
      <c r="K72" s="2" t="s">
        <v>82</v>
      </c>
    </row>
    <row r="73" spans="11:11" hidden="1" x14ac:dyDescent="0.15">
      <c r="K73" s="2" t="s">
        <v>83</v>
      </c>
    </row>
    <row r="74" spans="11:11" hidden="1" x14ac:dyDescent="0.15">
      <c r="K74" s="2" t="s">
        <v>84</v>
      </c>
    </row>
    <row r="75" spans="11:11" hidden="1" x14ac:dyDescent="0.15">
      <c r="K75" s="2" t="s">
        <v>85</v>
      </c>
    </row>
    <row r="76" spans="11:11" hidden="1" x14ac:dyDescent="0.15">
      <c r="K76" s="2" t="s">
        <v>86</v>
      </c>
    </row>
    <row r="77" spans="11:11" hidden="1" x14ac:dyDescent="0.15">
      <c r="K77" s="2" t="s">
        <v>87</v>
      </c>
    </row>
    <row r="78" spans="11:11" hidden="1" x14ac:dyDescent="0.15">
      <c r="K78" s="2" t="s">
        <v>88</v>
      </c>
    </row>
    <row r="79" spans="11:11" hidden="1" x14ac:dyDescent="0.15">
      <c r="K79" s="2" t="s">
        <v>89</v>
      </c>
    </row>
    <row r="80" spans="11:11" hidden="1" x14ac:dyDescent="0.15">
      <c r="K80" s="2" t="s">
        <v>90</v>
      </c>
    </row>
    <row r="81" spans="11:11" hidden="1" x14ac:dyDescent="0.15">
      <c r="K81" s="2" t="s">
        <v>91</v>
      </c>
    </row>
    <row r="82" spans="11:11" hidden="1" x14ac:dyDescent="0.15">
      <c r="K82" s="2" t="s">
        <v>92</v>
      </c>
    </row>
    <row r="83" spans="11:11" hidden="1" x14ac:dyDescent="0.15">
      <c r="K83" s="2" t="s">
        <v>93</v>
      </c>
    </row>
    <row r="84" spans="11:11" hidden="1" x14ac:dyDescent="0.15">
      <c r="K84" s="2" t="s">
        <v>94</v>
      </c>
    </row>
    <row r="85" spans="11:11" hidden="1" x14ac:dyDescent="0.15">
      <c r="K85" s="2" t="s">
        <v>47</v>
      </c>
    </row>
  </sheetData>
  <dataValidations count="3">
    <dataValidation type="list" allowBlank="1" showInputMessage="1" showErrorMessage="1" sqref="B16:B19" xr:uid="{DA1708D8-3722-40EA-BE25-816FEE5145DB}">
      <formula1>$K$29:$K$85</formula1>
    </dataValidation>
    <dataValidation type="list" allowBlank="1" showInputMessage="1" showErrorMessage="1" sqref="B20:B21" xr:uid="{E6D054C8-837D-4A1F-B624-7963BF69E8DC}">
      <formula1>$K$29:$K$40</formula1>
    </dataValidation>
    <dataValidation type="list" allowBlank="1" showInputMessage="1" showErrorMessage="1" sqref="I50 K15:K21" xr:uid="{0D1ADF2B-59FD-4619-A863-F434AA3F0F16}">
      <formula1>$I$41:$I$50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EAD890-A40C-47F1-9DAA-B05E2236C5AA}">
  <dimension ref="A1:K85"/>
  <sheetViews>
    <sheetView workbookViewId="0">
      <selection sqref="A1:XFD1048576"/>
    </sheetView>
  </sheetViews>
  <sheetFormatPr baseColWidth="10" defaultColWidth="9.1640625" defaultRowHeight="14" x14ac:dyDescent="0.15"/>
  <cols>
    <col min="1" max="1" width="5.1640625" style="2" customWidth="1"/>
    <col min="2" max="2" width="22.5" style="2" customWidth="1"/>
    <col min="3" max="3" width="6.1640625" style="2" customWidth="1"/>
    <col min="4" max="4" width="12.5" style="2" bestFit="1" customWidth="1"/>
    <col min="5" max="5" width="9.83203125" style="2" customWidth="1"/>
    <col min="6" max="6" width="9.33203125" style="2" bestFit="1" customWidth="1"/>
    <col min="7" max="7" width="8.6640625" style="2" customWidth="1"/>
    <col min="8" max="8" width="9.5" style="2" bestFit="1" customWidth="1"/>
    <col min="9" max="9" width="17.83203125" style="2" bestFit="1" customWidth="1"/>
    <col min="10" max="10" width="10.33203125" style="2" bestFit="1" customWidth="1"/>
    <col min="11" max="11" width="75" style="2" bestFit="1" customWidth="1"/>
    <col min="12" max="16384" width="9.1640625" style="2"/>
  </cols>
  <sheetData>
    <row r="1" spans="1:11" x14ac:dyDescent="0.15">
      <c r="A1" s="1" t="s">
        <v>0</v>
      </c>
      <c r="I1" s="3"/>
    </row>
    <row r="2" spans="1:11" x14ac:dyDescent="0.15">
      <c r="J2" s="4"/>
    </row>
    <row r="3" spans="1:11" x14ac:dyDescent="0.15">
      <c r="A3" s="3" t="s">
        <v>1</v>
      </c>
      <c r="I3" s="1"/>
      <c r="J3" s="1"/>
    </row>
    <row r="4" spans="1:11" x14ac:dyDescent="0.15">
      <c r="A4" s="3"/>
      <c r="I4" s="4" t="s">
        <v>2</v>
      </c>
      <c r="J4" s="76">
        <v>45791</v>
      </c>
    </row>
    <row r="5" spans="1:11" x14ac:dyDescent="0.15">
      <c r="J5" s="2" t="s">
        <v>3</v>
      </c>
    </row>
    <row r="6" spans="1:11" ht="30" x14ac:dyDescent="0.15">
      <c r="A6" s="5" t="s">
        <v>4</v>
      </c>
      <c r="B6" s="5" t="s">
        <v>5</v>
      </c>
      <c r="C6" s="5" t="s">
        <v>6</v>
      </c>
      <c r="D6" s="5" t="s">
        <v>7</v>
      </c>
      <c r="E6" s="5" t="s">
        <v>8</v>
      </c>
      <c r="F6" s="5" t="s">
        <v>9</v>
      </c>
      <c r="G6" s="6" t="s">
        <v>10</v>
      </c>
      <c r="H6" s="6" t="s">
        <v>11</v>
      </c>
      <c r="I6" s="6" t="s">
        <v>12</v>
      </c>
      <c r="J6" s="7"/>
      <c r="K6" s="5" t="s">
        <v>13</v>
      </c>
    </row>
    <row r="7" spans="1:11" ht="30" x14ac:dyDescent="0.15">
      <c r="A7" s="6"/>
      <c r="B7" s="8"/>
      <c r="C7" s="5"/>
      <c r="D7" s="5" t="s">
        <v>14</v>
      </c>
      <c r="E7" s="5" t="s">
        <v>15</v>
      </c>
      <c r="F7" s="9" t="s">
        <v>16</v>
      </c>
      <c r="G7" s="9" t="s">
        <v>15</v>
      </c>
      <c r="H7" s="9" t="s">
        <v>17</v>
      </c>
      <c r="I7" s="5" t="s">
        <v>18</v>
      </c>
      <c r="J7" s="9" t="s">
        <v>19</v>
      </c>
      <c r="K7" s="9"/>
    </row>
    <row r="8" spans="1:11" ht="16" x14ac:dyDescent="0.2">
      <c r="A8" s="10"/>
      <c r="B8" s="11"/>
      <c r="C8" s="12"/>
      <c r="D8" s="11"/>
      <c r="E8" s="11"/>
      <c r="F8" s="10"/>
      <c r="G8" s="10"/>
      <c r="H8" s="10"/>
      <c r="I8" s="10"/>
      <c r="J8" s="13"/>
      <c r="K8" s="10"/>
    </row>
    <row r="9" spans="1:11" ht="17" x14ac:dyDescent="0.15">
      <c r="A9" s="192">
        <v>1</v>
      </c>
      <c r="B9" s="187" t="s">
        <v>231</v>
      </c>
      <c r="C9" s="188">
        <v>14</v>
      </c>
      <c r="D9" s="15">
        <v>2.85</v>
      </c>
      <c r="E9" s="193">
        <v>1422</v>
      </c>
      <c r="F9" s="189">
        <v>11</v>
      </c>
      <c r="G9" s="16">
        <f t="shared" ref="G9:G14" si="0">E9*F9</f>
        <v>15642</v>
      </c>
      <c r="H9" s="17">
        <f t="shared" ref="H9:H14" si="1">F9*C9</f>
        <v>154</v>
      </c>
      <c r="I9" s="211" t="s">
        <v>20</v>
      </c>
      <c r="J9" s="212">
        <v>2.0833333333333332E-2</v>
      </c>
      <c r="K9" s="213" t="s">
        <v>254</v>
      </c>
    </row>
    <row r="10" spans="1:11" ht="17" x14ac:dyDescent="0.15">
      <c r="A10" s="23">
        <v>2</v>
      </c>
      <c r="B10" s="187" t="s">
        <v>231</v>
      </c>
      <c r="C10" s="188">
        <v>16</v>
      </c>
      <c r="D10" s="15">
        <v>2.85</v>
      </c>
      <c r="E10" s="193">
        <v>1422</v>
      </c>
      <c r="F10" s="189">
        <v>12</v>
      </c>
      <c r="G10" s="16">
        <f t="shared" si="0"/>
        <v>17064</v>
      </c>
      <c r="H10" s="17">
        <f t="shared" si="1"/>
        <v>192</v>
      </c>
      <c r="I10" s="214" t="s">
        <v>44</v>
      </c>
      <c r="J10" s="215">
        <v>2.7777777777777776E-2</v>
      </c>
      <c r="K10" s="216" t="s">
        <v>44</v>
      </c>
    </row>
    <row r="11" spans="1:11" ht="17" x14ac:dyDescent="0.15">
      <c r="A11" s="192">
        <v>3</v>
      </c>
      <c r="B11" s="187" t="s">
        <v>231</v>
      </c>
      <c r="C11" s="188">
        <v>17</v>
      </c>
      <c r="D11" s="15">
        <v>2.85</v>
      </c>
      <c r="E11" s="193">
        <v>1413</v>
      </c>
      <c r="F11" s="207">
        <v>3.6</v>
      </c>
      <c r="G11" s="16">
        <f t="shared" si="0"/>
        <v>5086.8</v>
      </c>
      <c r="H11" s="17">
        <f t="shared" si="1"/>
        <v>61.2</v>
      </c>
      <c r="I11" s="217"/>
      <c r="J11" s="215"/>
      <c r="K11" s="216"/>
    </row>
    <row r="12" spans="1:11" ht="19.25" customHeight="1" x14ac:dyDescent="0.15">
      <c r="A12" s="23">
        <v>4</v>
      </c>
      <c r="B12" s="187" t="s">
        <v>231</v>
      </c>
      <c r="C12" s="208">
        <v>19</v>
      </c>
      <c r="D12" s="15">
        <v>2.85</v>
      </c>
      <c r="E12" s="209">
        <v>1312</v>
      </c>
      <c r="F12" s="210">
        <v>7.2</v>
      </c>
      <c r="G12" s="16">
        <f t="shared" si="0"/>
        <v>9446.4</v>
      </c>
      <c r="H12" s="17">
        <f t="shared" si="1"/>
        <v>136.80000000000001</v>
      </c>
      <c r="I12" s="217"/>
      <c r="J12" s="215"/>
      <c r="K12" s="216"/>
    </row>
    <row r="13" spans="1:11" ht="17" x14ac:dyDescent="0.15">
      <c r="A13" s="219">
        <v>5</v>
      </c>
      <c r="B13" s="187" t="s">
        <v>259</v>
      </c>
      <c r="C13" s="208">
        <v>17</v>
      </c>
      <c r="D13" s="15">
        <v>2.85</v>
      </c>
      <c r="E13" s="209">
        <v>1413</v>
      </c>
      <c r="F13" s="210">
        <v>7.1</v>
      </c>
      <c r="G13" s="16">
        <f t="shared" si="0"/>
        <v>10032.299999999999</v>
      </c>
      <c r="H13" s="17">
        <f t="shared" si="1"/>
        <v>120.69999999999999</v>
      </c>
      <c r="I13" s="217"/>
      <c r="J13" s="215"/>
      <c r="K13" s="216"/>
    </row>
    <row r="14" spans="1:11" ht="17" x14ac:dyDescent="0.15">
      <c r="A14" s="192">
        <v>6</v>
      </c>
      <c r="B14" s="187" t="s">
        <v>259</v>
      </c>
      <c r="C14" s="220">
        <v>20</v>
      </c>
      <c r="D14" s="11">
        <v>2.85</v>
      </c>
      <c r="E14" s="221">
        <v>1201</v>
      </c>
      <c r="F14" s="222">
        <v>51.1</v>
      </c>
      <c r="G14" s="16">
        <f t="shared" si="0"/>
        <v>61371.1</v>
      </c>
      <c r="H14" s="17">
        <f t="shared" si="1"/>
        <v>1022</v>
      </c>
      <c r="I14" s="28"/>
      <c r="J14" s="37"/>
      <c r="K14" s="30"/>
    </row>
    <row r="15" spans="1:11" ht="16" x14ac:dyDescent="0.2">
      <c r="A15" s="38"/>
      <c r="B15" s="39"/>
      <c r="C15" s="40"/>
      <c r="D15" s="11"/>
      <c r="E15" s="25"/>
      <c r="F15" s="40"/>
      <c r="G15" s="27"/>
      <c r="H15" s="12"/>
      <c r="I15" s="41"/>
      <c r="J15" s="37"/>
      <c r="K15" s="30"/>
    </row>
    <row r="16" spans="1:11" ht="16" x14ac:dyDescent="0.2">
      <c r="A16" s="38"/>
      <c r="B16" s="39"/>
      <c r="C16" s="40"/>
      <c r="D16" s="11"/>
      <c r="E16" s="32"/>
      <c r="F16" s="40"/>
      <c r="G16" s="27"/>
      <c r="H16" s="12"/>
      <c r="I16" s="41"/>
      <c r="J16" s="37"/>
      <c r="K16" s="42"/>
    </row>
    <row r="17" spans="1:11" ht="16" x14ac:dyDescent="0.2">
      <c r="A17" s="38"/>
      <c r="B17" s="39"/>
      <c r="C17" s="40"/>
      <c r="D17" s="11"/>
      <c r="E17" s="32"/>
      <c r="F17" s="40"/>
      <c r="G17" s="27"/>
      <c r="H17" s="12"/>
      <c r="I17" s="41"/>
      <c r="J17" s="37"/>
      <c r="K17" s="42"/>
    </row>
    <row r="18" spans="1:11" ht="16" x14ac:dyDescent="0.2">
      <c r="A18" s="43"/>
      <c r="B18" s="44"/>
      <c r="C18" s="40"/>
      <c r="D18" s="11"/>
      <c r="E18" s="45"/>
      <c r="F18" s="46"/>
      <c r="G18" s="27"/>
      <c r="H18" s="12"/>
      <c r="I18" s="10"/>
      <c r="J18" s="13"/>
      <c r="K18" s="10"/>
    </row>
    <row r="19" spans="1:11" x14ac:dyDescent="0.15">
      <c r="A19" s="47"/>
      <c r="B19" s="48"/>
      <c r="C19" s="49"/>
      <c r="D19" s="50"/>
      <c r="E19" s="47"/>
      <c r="F19" s="49"/>
      <c r="G19" s="51"/>
      <c r="H19" s="49"/>
      <c r="I19" s="48"/>
      <c r="J19" s="52"/>
      <c r="K19" s="48"/>
    </row>
    <row r="20" spans="1:11" x14ac:dyDescent="0.15">
      <c r="A20" s="47"/>
      <c r="B20" s="48"/>
      <c r="C20" s="49"/>
      <c r="D20" s="50"/>
      <c r="E20" s="47"/>
      <c r="F20" s="49"/>
      <c r="G20" s="51"/>
      <c r="H20" s="49"/>
      <c r="I20" s="48"/>
      <c r="J20" s="52"/>
      <c r="K20" s="48"/>
    </row>
    <row r="21" spans="1:11" x14ac:dyDescent="0.15">
      <c r="A21" s="47"/>
      <c r="B21" s="48"/>
      <c r="C21" s="53"/>
      <c r="D21" s="47"/>
      <c r="E21" s="52"/>
      <c r="F21" s="53"/>
      <c r="G21" s="51"/>
      <c r="H21" s="49"/>
      <c r="I21" s="48"/>
      <c r="J21" s="52"/>
      <c r="K21" s="48"/>
    </row>
    <row r="22" spans="1:11" x14ac:dyDescent="0.15">
      <c r="A22" s="54"/>
      <c r="B22" s="55"/>
      <c r="C22" s="56"/>
      <c r="D22" s="56"/>
      <c r="E22" s="57" t="s">
        <v>21</v>
      </c>
      <c r="F22" s="58">
        <f>SUM(F9:F21)</f>
        <v>92</v>
      </c>
      <c r="G22" s="59">
        <f>SUM(G9:G21)/F22</f>
        <v>1289.5934782608697</v>
      </c>
      <c r="H22" s="60">
        <f>SUM(H9:H21)/F22</f>
        <v>18.333695652173912</v>
      </c>
      <c r="I22" s="61" t="s">
        <v>22</v>
      </c>
      <c r="J22" s="186">
        <v>4.8611111111111112E-2</v>
      </c>
      <c r="K22" s="55"/>
    </row>
    <row r="23" spans="1:11" x14ac:dyDescent="0.15">
      <c r="E23" s="62"/>
      <c r="F23" s="63"/>
      <c r="I23" s="64" t="s">
        <v>23</v>
      </c>
      <c r="J23" s="65">
        <v>1.17</v>
      </c>
    </row>
    <row r="24" spans="1:11" x14ac:dyDescent="0.15">
      <c r="A24" s="1"/>
      <c r="I24" s="66"/>
      <c r="J24" s="67"/>
    </row>
    <row r="25" spans="1:11" x14ac:dyDescent="0.15">
      <c r="A25" s="68" t="s">
        <v>24</v>
      </c>
      <c r="B25" s="68"/>
      <c r="C25" s="68"/>
      <c r="D25" s="53"/>
      <c r="H25" s="4" t="s">
        <v>25</v>
      </c>
      <c r="I25" s="4"/>
      <c r="J25" s="62">
        <f>F22</f>
        <v>92</v>
      </c>
      <c r="K25" s="1" t="s">
        <v>16</v>
      </c>
    </row>
    <row r="26" spans="1:11" x14ac:dyDescent="0.15">
      <c r="A26" s="68" t="s">
        <v>26</v>
      </c>
      <c r="B26" s="68"/>
      <c r="C26" s="68"/>
      <c r="D26" s="53"/>
      <c r="H26" s="4" t="s">
        <v>27</v>
      </c>
      <c r="I26" s="4"/>
      <c r="J26" s="62">
        <f>66+72+68+62+66+58+59+11+70+89+85+85+92</f>
        <v>883</v>
      </c>
      <c r="K26" s="1" t="s">
        <v>16</v>
      </c>
    </row>
    <row r="27" spans="1:11" ht="15" thickBot="1" x14ac:dyDescent="0.2">
      <c r="A27" s="69"/>
      <c r="B27" s="69"/>
      <c r="C27" s="69"/>
      <c r="D27" s="69"/>
      <c r="E27" s="70"/>
      <c r="F27" s="70"/>
      <c r="G27" s="69"/>
      <c r="H27" s="71" t="s">
        <v>28</v>
      </c>
      <c r="I27" s="71"/>
      <c r="J27" s="72">
        <v>77.5</v>
      </c>
      <c r="K27" s="73" t="s">
        <v>29</v>
      </c>
    </row>
    <row r="28" spans="1:11" x14ac:dyDescent="0.15">
      <c r="J28" s="2" t="s">
        <v>3</v>
      </c>
    </row>
    <row r="29" spans="1:11" hidden="1" x14ac:dyDescent="0.15">
      <c r="K29" s="2" t="s">
        <v>30</v>
      </c>
    </row>
    <row r="30" spans="1:11" hidden="1" x14ac:dyDescent="0.15">
      <c r="K30" s="2" t="s">
        <v>31</v>
      </c>
    </row>
    <row r="31" spans="1:11" hidden="1" x14ac:dyDescent="0.15">
      <c r="K31" s="2" t="s">
        <v>32</v>
      </c>
    </row>
    <row r="32" spans="1:11" hidden="1" x14ac:dyDescent="0.15">
      <c r="K32" s="2" t="s">
        <v>33</v>
      </c>
    </row>
    <row r="33" spans="9:11" hidden="1" x14ac:dyDescent="0.15">
      <c r="K33" s="2" t="s">
        <v>34</v>
      </c>
    </row>
    <row r="34" spans="9:11" hidden="1" x14ac:dyDescent="0.15">
      <c r="K34" s="2" t="s">
        <v>35</v>
      </c>
    </row>
    <row r="35" spans="9:11" hidden="1" x14ac:dyDescent="0.15">
      <c r="K35" s="2" t="s">
        <v>36</v>
      </c>
    </row>
    <row r="36" spans="9:11" hidden="1" x14ac:dyDescent="0.15">
      <c r="K36" s="2" t="s">
        <v>37</v>
      </c>
    </row>
    <row r="37" spans="9:11" hidden="1" x14ac:dyDescent="0.15">
      <c r="K37" s="2" t="s">
        <v>38</v>
      </c>
    </row>
    <row r="38" spans="9:11" hidden="1" x14ac:dyDescent="0.15">
      <c r="K38" s="2" t="s">
        <v>39</v>
      </c>
    </row>
    <row r="39" spans="9:11" hidden="1" x14ac:dyDescent="0.15">
      <c r="K39" s="2" t="s">
        <v>40</v>
      </c>
    </row>
    <row r="40" spans="9:11" hidden="1" x14ac:dyDescent="0.15">
      <c r="K40" s="2" t="s">
        <v>41</v>
      </c>
    </row>
    <row r="41" spans="9:11" ht="30" hidden="1" x14ac:dyDescent="0.15">
      <c r="I41" s="74" t="s">
        <v>42</v>
      </c>
      <c r="K41" s="2" t="s">
        <v>43</v>
      </c>
    </row>
    <row r="42" spans="9:11" ht="15" hidden="1" x14ac:dyDescent="0.15">
      <c r="I42" s="74" t="s">
        <v>44</v>
      </c>
      <c r="K42" s="2" t="s">
        <v>45</v>
      </c>
    </row>
    <row r="43" spans="9:11" hidden="1" x14ac:dyDescent="0.15">
      <c r="I43" s="75" t="s">
        <v>46</v>
      </c>
      <c r="K43" s="2" t="s">
        <v>47</v>
      </c>
    </row>
    <row r="44" spans="9:11" hidden="1" x14ac:dyDescent="0.15">
      <c r="I44" s="2" t="s">
        <v>48</v>
      </c>
      <c r="K44" s="2" t="s">
        <v>49</v>
      </c>
    </row>
    <row r="45" spans="9:11" hidden="1" x14ac:dyDescent="0.15">
      <c r="I45" s="2" t="s">
        <v>50</v>
      </c>
      <c r="K45" s="2" t="s">
        <v>51</v>
      </c>
    </row>
    <row r="46" spans="9:11" hidden="1" x14ac:dyDescent="0.15">
      <c r="I46" s="2" t="s">
        <v>52</v>
      </c>
      <c r="K46" s="2" t="s">
        <v>53</v>
      </c>
    </row>
    <row r="47" spans="9:11" hidden="1" x14ac:dyDescent="0.15">
      <c r="I47" s="2" t="s">
        <v>54</v>
      </c>
      <c r="K47" s="2" t="s">
        <v>55</v>
      </c>
    </row>
    <row r="48" spans="9:11" hidden="1" x14ac:dyDescent="0.15">
      <c r="I48" s="2" t="s">
        <v>56</v>
      </c>
      <c r="K48" s="2" t="s">
        <v>57</v>
      </c>
    </row>
    <row r="49" spans="9:11" hidden="1" x14ac:dyDescent="0.15">
      <c r="I49" s="2" t="s">
        <v>58</v>
      </c>
      <c r="K49" s="2" t="s">
        <v>59</v>
      </c>
    </row>
    <row r="50" spans="9:11" hidden="1" x14ac:dyDescent="0.15">
      <c r="I50" s="2" t="s">
        <v>60</v>
      </c>
      <c r="K50" s="2" t="s">
        <v>61</v>
      </c>
    </row>
    <row r="51" spans="9:11" hidden="1" x14ac:dyDescent="0.15">
      <c r="K51" s="2" t="s">
        <v>62</v>
      </c>
    </row>
    <row r="52" spans="9:11" hidden="1" x14ac:dyDescent="0.15">
      <c r="K52" s="2" t="s">
        <v>63</v>
      </c>
    </row>
    <row r="53" spans="9:11" hidden="1" x14ac:dyDescent="0.15">
      <c r="K53" s="2" t="s">
        <v>64</v>
      </c>
    </row>
    <row r="54" spans="9:11" hidden="1" x14ac:dyDescent="0.15">
      <c r="K54" s="2" t="s">
        <v>65</v>
      </c>
    </row>
    <row r="55" spans="9:11" hidden="1" x14ac:dyDescent="0.15">
      <c r="K55" s="2" t="s">
        <v>66</v>
      </c>
    </row>
    <row r="56" spans="9:11" hidden="1" x14ac:dyDescent="0.15">
      <c r="K56" s="2" t="s">
        <v>67</v>
      </c>
    </row>
    <row r="57" spans="9:11" hidden="1" x14ac:dyDescent="0.15">
      <c r="K57" s="2" t="s">
        <v>68</v>
      </c>
    </row>
    <row r="58" spans="9:11" hidden="1" x14ac:dyDescent="0.15">
      <c r="K58" s="2" t="s">
        <v>69</v>
      </c>
    </row>
    <row r="59" spans="9:11" hidden="1" x14ac:dyDescent="0.15">
      <c r="K59" s="2" t="s">
        <v>70</v>
      </c>
    </row>
    <row r="60" spans="9:11" hidden="1" x14ac:dyDescent="0.15">
      <c r="K60" s="2" t="s">
        <v>71</v>
      </c>
    </row>
    <row r="61" spans="9:11" hidden="1" x14ac:dyDescent="0.15">
      <c r="K61" s="2" t="s">
        <v>72</v>
      </c>
    </row>
    <row r="62" spans="9:11" hidden="1" x14ac:dyDescent="0.15">
      <c r="K62" s="2" t="s">
        <v>73</v>
      </c>
    </row>
    <row r="63" spans="9:11" hidden="1" x14ac:dyDescent="0.15">
      <c r="K63" s="2" t="s">
        <v>67</v>
      </c>
    </row>
    <row r="64" spans="9:11" hidden="1" x14ac:dyDescent="0.15">
      <c r="K64" s="2" t="s">
        <v>74</v>
      </c>
    </row>
    <row r="65" spans="11:11" hidden="1" x14ac:dyDescent="0.15">
      <c r="K65" s="2" t="s">
        <v>75</v>
      </c>
    </row>
    <row r="66" spans="11:11" hidden="1" x14ac:dyDescent="0.15">
      <c r="K66" s="2" t="s">
        <v>76</v>
      </c>
    </row>
    <row r="67" spans="11:11" hidden="1" x14ac:dyDescent="0.15">
      <c r="K67" s="2" t="s">
        <v>77</v>
      </c>
    </row>
    <row r="68" spans="11:11" hidden="1" x14ac:dyDescent="0.15">
      <c r="K68" s="2" t="s">
        <v>78</v>
      </c>
    </row>
    <row r="69" spans="11:11" hidden="1" x14ac:dyDescent="0.15">
      <c r="K69" s="2" t="s">
        <v>79</v>
      </c>
    </row>
    <row r="70" spans="11:11" hidden="1" x14ac:dyDescent="0.15">
      <c r="K70" s="2" t="s">
        <v>80</v>
      </c>
    </row>
    <row r="71" spans="11:11" hidden="1" x14ac:dyDescent="0.15">
      <c r="K71" s="2" t="s">
        <v>81</v>
      </c>
    </row>
    <row r="72" spans="11:11" hidden="1" x14ac:dyDescent="0.15">
      <c r="K72" s="2" t="s">
        <v>82</v>
      </c>
    </row>
    <row r="73" spans="11:11" hidden="1" x14ac:dyDescent="0.15">
      <c r="K73" s="2" t="s">
        <v>83</v>
      </c>
    </row>
    <row r="74" spans="11:11" hidden="1" x14ac:dyDescent="0.15">
      <c r="K74" s="2" t="s">
        <v>84</v>
      </c>
    </row>
    <row r="75" spans="11:11" hidden="1" x14ac:dyDescent="0.15">
      <c r="K75" s="2" t="s">
        <v>85</v>
      </c>
    </row>
    <row r="76" spans="11:11" hidden="1" x14ac:dyDescent="0.15">
      <c r="K76" s="2" t="s">
        <v>86</v>
      </c>
    </row>
    <row r="77" spans="11:11" hidden="1" x14ac:dyDescent="0.15">
      <c r="K77" s="2" t="s">
        <v>87</v>
      </c>
    </row>
    <row r="78" spans="11:11" hidden="1" x14ac:dyDescent="0.15">
      <c r="K78" s="2" t="s">
        <v>88</v>
      </c>
    </row>
    <row r="79" spans="11:11" hidden="1" x14ac:dyDescent="0.15">
      <c r="K79" s="2" t="s">
        <v>89</v>
      </c>
    </row>
    <row r="80" spans="11:11" hidden="1" x14ac:dyDescent="0.15">
      <c r="K80" s="2" t="s">
        <v>90</v>
      </c>
    </row>
    <row r="81" spans="11:11" hidden="1" x14ac:dyDescent="0.15">
      <c r="K81" s="2" t="s">
        <v>91</v>
      </c>
    </row>
    <row r="82" spans="11:11" hidden="1" x14ac:dyDescent="0.15">
      <c r="K82" s="2" t="s">
        <v>92</v>
      </c>
    </row>
    <row r="83" spans="11:11" hidden="1" x14ac:dyDescent="0.15">
      <c r="K83" s="2" t="s">
        <v>93</v>
      </c>
    </row>
    <row r="84" spans="11:11" hidden="1" x14ac:dyDescent="0.15">
      <c r="K84" s="2" t="s">
        <v>94</v>
      </c>
    </row>
    <row r="85" spans="11:11" hidden="1" x14ac:dyDescent="0.15">
      <c r="K85" s="2" t="s">
        <v>47</v>
      </c>
    </row>
  </sheetData>
  <dataValidations count="3">
    <dataValidation type="list" allowBlank="1" showInputMessage="1" showErrorMessage="1" sqref="I50 K15:K21" xr:uid="{D10336FE-8D47-404D-B455-E5B4CA5FF9A1}">
      <formula1>$I$41:$I$50</formula1>
    </dataValidation>
    <dataValidation type="list" allowBlank="1" showInputMessage="1" showErrorMessage="1" sqref="B20:B21" xr:uid="{2E3E4D93-59F7-4DEA-B762-50019D17A624}">
      <formula1>$K$29:$K$40</formula1>
    </dataValidation>
    <dataValidation type="list" allowBlank="1" showInputMessage="1" showErrorMessage="1" sqref="B16:B19" xr:uid="{505D0FC3-6789-4555-A0F3-175FBAF84CAA}">
      <formula1>$K$29:$K$85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B3A6A8-4262-4A40-BF8F-D7B3DBD2D94D}">
  <dimension ref="A1:K85"/>
  <sheetViews>
    <sheetView workbookViewId="0">
      <selection sqref="A1:XFD1048576"/>
    </sheetView>
  </sheetViews>
  <sheetFormatPr baseColWidth="10" defaultColWidth="9.1640625" defaultRowHeight="14" x14ac:dyDescent="0.15"/>
  <cols>
    <col min="1" max="1" width="5.1640625" style="2" customWidth="1"/>
    <col min="2" max="2" width="22.5" style="2" customWidth="1"/>
    <col min="3" max="3" width="6.1640625" style="2" customWidth="1"/>
    <col min="4" max="4" width="12.5" style="2" bestFit="1" customWidth="1"/>
    <col min="5" max="5" width="9.83203125" style="2" customWidth="1"/>
    <col min="6" max="6" width="9.33203125" style="2" bestFit="1" customWidth="1"/>
    <col min="7" max="7" width="8.6640625" style="2" customWidth="1"/>
    <col min="8" max="8" width="9.5" style="2" bestFit="1" customWidth="1"/>
    <col min="9" max="9" width="17.83203125" style="2" bestFit="1" customWidth="1"/>
    <col min="10" max="10" width="10.33203125" style="2" bestFit="1" customWidth="1"/>
    <col min="11" max="11" width="75" style="2" bestFit="1" customWidth="1"/>
    <col min="12" max="16384" width="9.1640625" style="2"/>
  </cols>
  <sheetData>
    <row r="1" spans="1:11" x14ac:dyDescent="0.15">
      <c r="A1" s="1" t="s">
        <v>0</v>
      </c>
      <c r="I1" s="3"/>
    </row>
    <row r="2" spans="1:11" x14ac:dyDescent="0.15">
      <c r="J2" s="4"/>
    </row>
    <row r="3" spans="1:11" x14ac:dyDescent="0.15">
      <c r="A3" s="3" t="s">
        <v>1</v>
      </c>
      <c r="I3" s="1"/>
      <c r="J3" s="1"/>
    </row>
    <row r="4" spans="1:11" x14ac:dyDescent="0.15">
      <c r="A4" s="3"/>
      <c r="I4" s="4" t="s">
        <v>2</v>
      </c>
      <c r="J4" s="76">
        <v>45792</v>
      </c>
    </row>
    <row r="5" spans="1:11" x14ac:dyDescent="0.15">
      <c r="J5" s="2" t="s">
        <v>3</v>
      </c>
    </row>
    <row r="6" spans="1:11" ht="30" x14ac:dyDescent="0.15">
      <c r="A6" s="5" t="s">
        <v>4</v>
      </c>
      <c r="B6" s="5" t="s">
        <v>5</v>
      </c>
      <c r="C6" s="5" t="s">
        <v>6</v>
      </c>
      <c r="D6" s="5" t="s">
        <v>7</v>
      </c>
      <c r="E6" s="5" t="s">
        <v>8</v>
      </c>
      <c r="F6" s="5" t="s">
        <v>9</v>
      </c>
      <c r="G6" s="6" t="s">
        <v>10</v>
      </c>
      <c r="H6" s="6" t="s">
        <v>11</v>
      </c>
      <c r="I6" s="6" t="s">
        <v>12</v>
      </c>
      <c r="J6" s="7"/>
      <c r="K6" s="5" t="s">
        <v>13</v>
      </c>
    </row>
    <row r="7" spans="1:11" ht="30" x14ac:dyDescent="0.15">
      <c r="A7" s="6"/>
      <c r="B7" s="8"/>
      <c r="C7" s="5"/>
      <c r="D7" s="5" t="s">
        <v>14</v>
      </c>
      <c r="E7" s="5" t="s">
        <v>15</v>
      </c>
      <c r="F7" s="9" t="s">
        <v>16</v>
      </c>
      <c r="G7" s="9" t="s">
        <v>15</v>
      </c>
      <c r="H7" s="9" t="s">
        <v>17</v>
      </c>
      <c r="I7" s="5" t="s">
        <v>18</v>
      </c>
      <c r="J7" s="9" t="s">
        <v>19</v>
      </c>
      <c r="K7" s="9"/>
    </row>
    <row r="8" spans="1:11" ht="16" x14ac:dyDescent="0.2">
      <c r="A8" s="10"/>
      <c r="B8" s="11"/>
      <c r="C8" s="12"/>
      <c r="D8" s="11"/>
      <c r="E8" s="11"/>
      <c r="F8" s="10"/>
      <c r="G8" s="10"/>
      <c r="H8" s="10"/>
      <c r="I8" s="10"/>
      <c r="J8" s="13"/>
      <c r="K8" s="10"/>
    </row>
    <row r="9" spans="1:11" ht="17" x14ac:dyDescent="0.15">
      <c r="A9" s="192">
        <v>1</v>
      </c>
      <c r="B9" s="187" t="s">
        <v>231</v>
      </c>
      <c r="C9" s="188">
        <v>17</v>
      </c>
      <c r="D9" s="15">
        <v>2.85</v>
      </c>
      <c r="E9" s="193">
        <v>1458</v>
      </c>
      <c r="F9" s="189">
        <v>14.3</v>
      </c>
      <c r="G9" s="16">
        <f t="shared" ref="G9:G13" si="0">E9*F9</f>
        <v>20849.400000000001</v>
      </c>
      <c r="H9" s="17">
        <f t="shared" ref="H9:H13" si="1">F9*C9</f>
        <v>243.10000000000002</v>
      </c>
      <c r="I9" s="211" t="s">
        <v>20</v>
      </c>
      <c r="J9" s="212">
        <v>2.0833333333333332E-2</v>
      </c>
      <c r="K9" s="213" t="s">
        <v>254</v>
      </c>
    </row>
    <row r="10" spans="1:11" ht="17" x14ac:dyDescent="0.15">
      <c r="A10" s="23">
        <v>2</v>
      </c>
      <c r="B10" s="187" t="s">
        <v>259</v>
      </c>
      <c r="C10" s="188">
        <v>17</v>
      </c>
      <c r="D10" s="15">
        <v>2.85</v>
      </c>
      <c r="E10" s="193">
        <v>1386</v>
      </c>
      <c r="F10" s="189">
        <v>14</v>
      </c>
      <c r="G10" s="16">
        <f t="shared" si="0"/>
        <v>19404</v>
      </c>
      <c r="H10" s="17">
        <f t="shared" si="1"/>
        <v>238</v>
      </c>
      <c r="I10" s="214" t="s">
        <v>44</v>
      </c>
      <c r="J10" s="215">
        <v>1.3888888888888888E-2</v>
      </c>
      <c r="K10" s="216" t="s">
        <v>44</v>
      </c>
    </row>
    <row r="11" spans="1:11" ht="17" x14ac:dyDescent="0.15">
      <c r="A11" s="192">
        <v>3</v>
      </c>
      <c r="B11" s="187" t="s">
        <v>259</v>
      </c>
      <c r="C11" s="188">
        <v>20</v>
      </c>
      <c r="D11" s="15">
        <v>2.85</v>
      </c>
      <c r="E11" s="193">
        <v>1201</v>
      </c>
      <c r="F11" s="207">
        <v>0.5</v>
      </c>
      <c r="G11" s="16">
        <f t="shared" si="0"/>
        <v>600.5</v>
      </c>
      <c r="H11" s="17">
        <f t="shared" si="1"/>
        <v>10</v>
      </c>
      <c r="I11" s="217" t="s">
        <v>255</v>
      </c>
      <c r="J11" s="215">
        <v>9.0277777777777776E-2</v>
      </c>
      <c r="K11" s="216" t="s">
        <v>261</v>
      </c>
    </row>
    <row r="12" spans="1:11" ht="19.25" customHeight="1" x14ac:dyDescent="0.15">
      <c r="A12" s="23">
        <v>4</v>
      </c>
      <c r="B12" s="187" t="s">
        <v>260</v>
      </c>
      <c r="C12" s="208">
        <v>22</v>
      </c>
      <c r="D12" s="15">
        <v>2.85</v>
      </c>
      <c r="E12" s="209">
        <v>1218</v>
      </c>
      <c r="F12" s="210">
        <v>14.2</v>
      </c>
      <c r="G12" s="16">
        <f t="shared" si="0"/>
        <v>17295.599999999999</v>
      </c>
      <c r="H12" s="17">
        <f t="shared" si="1"/>
        <v>312.39999999999998</v>
      </c>
      <c r="I12" s="217"/>
      <c r="J12" s="215"/>
      <c r="K12" s="216"/>
    </row>
    <row r="13" spans="1:11" ht="17" x14ac:dyDescent="0.15">
      <c r="A13" s="219">
        <v>5</v>
      </c>
      <c r="B13" s="187" t="s">
        <v>260</v>
      </c>
      <c r="C13" s="208">
        <v>32</v>
      </c>
      <c r="D13" s="15">
        <v>2.85</v>
      </c>
      <c r="E13" s="209">
        <v>824</v>
      </c>
      <c r="F13" s="210">
        <v>46</v>
      </c>
      <c r="G13" s="16">
        <f t="shared" si="0"/>
        <v>37904</v>
      </c>
      <c r="H13" s="17">
        <f t="shared" si="1"/>
        <v>1472</v>
      </c>
      <c r="I13" s="217"/>
      <c r="J13" s="215"/>
      <c r="K13" s="216"/>
    </row>
    <row r="14" spans="1:11" ht="16" x14ac:dyDescent="0.15">
      <c r="A14" s="192"/>
      <c r="B14" s="187"/>
      <c r="C14" s="220"/>
      <c r="D14" s="11"/>
      <c r="E14" s="221"/>
      <c r="F14" s="222"/>
      <c r="G14" s="16"/>
      <c r="H14" s="17"/>
      <c r="I14" s="28"/>
      <c r="J14" s="37"/>
      <c r="K14" s="30"/>
    </row>
    <row r="15" spans="1:11" ht="16" x14ac:dyDescent="0.2">
      <c r="A15" s="38"/>
      <c r="B15" s="39"/>
      <c r="C15" s="40"/>
      <c r="D15" s="11"/>
      <c r="E15" s="25"/>
      <c r="F15" s="40"/>
      <c r="G15" s="27"/>
      <c r="H15" s="12"/>
      <c r="I15" s="41"/>
      <c r="J15" s="37"/>
      <c r="K15" s="30"/>
    </row>
    <row r="16" spans="1:11" ht="16" x14ac:dyDescent="0.2">
      <c r="A16" s="38"/>
      <c r="B16" s="39"/>
      <c r="C16" s="40"/>
      <c r="D16" s="11"/>
      <c r="E16" s="32"/>
      <c r="F16" s="40"/>
      <c r="G16" s="27"/>
      <c r="H16" s="12"/>
      <c r="I16" s="41"/>
      <c r="J16" s="37"/>
      <c r="K16" s="42"/>
    </row>
    <row r="17" spans="1:11" ht="16" x14ac:dyDescent="0.2">
      <c r="A17" s="38"/>
      <c r="B17" s="39"/>
      <c r="C17" s="40"/>
      <c r="D17" s="11"/>
      <c r="E17" s="32"/>
      <c r="F17" s="40"/>
      <c r="G17" s="27"/>
      <c r="H17" s="12"/>
      <c r="I17" s="41"/>
      <c r="J17" s="37"/>
      <c r="K17" s="42"/>
    </row>
    <row r="18" spans="1:11" ht="16" x14ac:dyDescent="0.2">
      <c r="A18" s="43"/>
      <c r="B18" s="44"/>
      <c r="C18" s="40"/>
      <c r="D18" s="11"/>
      <c r="E18" s="45"/>
      <c r="F18" s="46"/>
      <c r="G18" s="27"/>
      <c r="H18" s="12"/>
      <c r="I18" s="10"/>
      <c r="J18" s="13"/>
      <c r="K18" s="10"/>
    </row>
    <row r="19" spans="1:11" x14ac:dyDescent="0.15">
      <c r="A19" s="47"/>
      <c r="B19" s="48"/>
      <c r="C19" s="49"/>
      <c r="D19" s="50"/>
      <c r="E19" s="47"/>
      <c r="F19" s="49"/>
      <c r="G19" s="51"/>
      <c r="H19" s="49"/>
      <c r="I19" s="48"/>
      <c r="J19" s="52"/>
      <c r="K19" s="48"/>
    </row>
    <row r="20" spans="1:11" x14ac:dyDescent="0.15">
      <c r="A20" s="47"/>
      <c r="B20" s="48"/>
      <c r="C20" s="49"/>
      <c r="D20" s="50"/>
      <c r="E20" s="47"/>
      <c r="F20" s="49"/>
      <c r="G20" s="51"/>
      <c r="H20" s="49"/>
      <c r="I20" s="48"/>
      <c r="J20" s="52"/>
      <c r="K20" s="48"/>
    </row>
    <row r="21" spans="1:11" x14ac:dyDescent="0.15">
      <c r="A21" s="47"/>
      <c r="B21" s="48"/>
      <c r="C21" s="53"/>
      <c r="D21" s="47"/>
      <c r="E21" s="52"/>
      <c r="F21" s="53"/>
      <c r="G21" s="51"/>
      <c r="H21" s="49"/>
      <c r="I21" s="48"/>
      <c r="J21" s="52"/>
      <c r="K21" s="48"/>
    </row>
    <row r="22" spans="1:11" x14ac:dyDescent="0.15">
      <c r="A22" s="54"/>
      <c r="B22" s="55"/>
      <c r="C22" s="56"/>
      <c r="D22" s="56"/>
      <c r="E22" s="57" t="s">
        <v>21</v>
      </c>
      <c r="F22" s="58">
        <f>SUM(F9:F21)</f>
        <v>89</v>
      </c>
      <c r="G22" s="59">
        <f>SUM(G9:G21)/F22</f>
        <v>1079.2528089887639</v>
      </c>
      <c r="H22" s="60">
        <f>SUM(H9:H21)/F22</f>
        <v>25.567415730337078</v>
      </c>
      <c r="I22" s="61" t="s">
        <v>22</v>
      </c>
      <c r="J22" s="186">
        <v>0.125</v>
      </c>
      <c r="K22" s="55"/>
    </row>
    <row r="23" spans="1:11" x14ac:dyDescent="0.15">
      <c r="E23" s="62"/>
      <c r="F23" s="63"/>
      <c r="I23" s="64" t="s">
        <v>23</v>
      </c>
      <c r="J23" s="65">
        <v>3</v>
      </c>
    </row>
    <row r="24" spans="1:11" x14ac:dyDescent="0.15">
      <c r="A24" s="1"/>
      <c r="I24" s="66"/>
      <c r="J24" s="67"/>
    </row>
    <row r="25" spans="1:11" x14ac:dyDescent="0.15">
      <c r="A25" s="68" t="s">
        <v>24</v>
      </c>
      <c r="B25" s="68"/>
      <c r="C25" s="68"/>
      <c r="D25" s="53"/>
      <c r="H25" s="4" t="s">
        <v>25</v>
      </c>
      <c r="I25" s="4"/>
      <c r="J25" s="62">
        <f>F22</f>
        <v>89</v>
      </c>
      <c r="K25" s="1" t="s">
        <v>16</v>
      </c>
    </row>
    <row r="26" spans="1:11" x14ac:dyDescent="0.15">
      <c r="A26" s="68" t="s">
        <v>26</v>
      </c>
      <c r="B26" s="68"/>
      <c r="C26" s="68"/>
      <c r="D26" s="53"/>
      <c r="H26" s="4" t="s">
        <v>27</v>
      </c>
      <c r="I26" s="4"/>
      <c r="J26" s="62">
        <f>66+72+68+62+66+58+59+11+70+89+85+85+92+89</f>
        <v>972</v>
      </c>
      <c r="K26" s="1" t="s">
        <v>16</v>
      </c>
    </row>
    <row r="27" spans="1:11" ht="15" thickBot="1" x14ac:dyDescent="0.2">
      <c r="A27" s="69"/>
      <c r="B27" s="69"/>
      <c r="C27" s="69"/>
      <c r="D27" s="69"/>
      <c r="E27" s="70"/>
      <c r="F27" s="70"/>
      <c r="G27" s="69"/>
      <c r="H27" s="71" t="s">
        <v>28</v>
      </c>
      <c r="I27" s="71"/>
      <c r="J27" s="72">
        <v>80.5</v>
      </c>
      <c r="K27" s="73" t="s">
        <v>29</v>
      </c>
    </row>
    <row r="28" spans="1:11" x14ac:dyDescent="0.15">
      <c r="J28" s="2" t="s">
        <v>3</v>
      </c>
    </row>
    <row r="29" spans="1:11" hidden="1" x14ac:dyDescent="0.15">
      <c r="K29" s="2" t="s">
        <v>30</v>
      </c>
    </row>
    <row r="30" spans="1:11" hidden="1" x14ac:dyDescent="0.15">
      <c r="K30" s="2" t="s">
        <v>31</v>
      </c>
    </row>
    <row r="31" spans="1:11" hidden="1" x14ac:dyDescent="0.15">
      <c r="K31" s="2" t="s">
        <v>32</v>
      </c>
    </row>
    <row r="32" spans="1:11" hidden="1" x14ac:dyDescent="0.15">
      <c r="K32" s="2" t="s">
        <v>33</v>
      </c>
    </row>
    <row r="33" spans="9:11" hidden="1" x14ac:dyDescent="0.15">
      <c r="K33" s="2" t="s">
        <v>34</v>
      </c>
    </row>
    <row r="34" spans="9:11" hidden="1" x14ac:dyDescent="0.15">
      <c r="K34" s="2" t="s">
        <v>35</v>
      </c>
    </row>
    <row r="35" spans="9:11" hidden="1" x14ac:dyDescent="0.15">
      <c r="K35" s="2" t="s">
        <v>36</v>
      </c>
    </row>
    <row r="36" spans="9:11" hidden="1" x14ac:dyDescent="0.15">
      <c r="K36" s="2" t="s">
        <v>37</v>
      </c>
    </row>
    <row r="37" spans="9:11" hidden="1" x14ac:dyDescent="0.15">
      <c r="K37" s="2" t="s">
        <v>38</v>
      </c>
    </row>
    <row r="38" spans="9:11" hidden="1" x14ac:dyDescent="0.15">
      <c r="K38" s="2" t="s">
        <v>39</v>
      </c>
    </row>
    <row r="39" spans="9:11" hidden="1" x14ac:dyDescent="0.15">
      <c r="K39" s="2" t="s">
        <v>40</v>
      </c>
    </row>
    <row r="40" spans="9:11" hidden="1" x14ac:dyDescent="0.15">
      <c r="K40" s="2" t="s">
        <v>41</v>
      </c>
    </row>
    <row r="41" spans="9:11" ht="30" hidden="1" x14ac:dyDescent="0.15">
      <c r="I41" s="74" t="s">
        <v>42</v>
      </c>
      <c r="K41" s="2" t="s">
        <v>43</v>
      </c>
    </row>
    <row r="42" spans="9:11" ht="15" hidden="1" x14ac:dyDescent="0.15">
      <c r="I42" s="74" t="s">
        <v>44</v>
      </c>
      <c r="K42" s="2" t="s">
        <v>45</v>
      </c>
    </row>
    <row r="43" spans="9:11" hidden="1" x14ac:dyDescent="0.15">
      <c r="I43" s="75" t="s">
        <v>46</v>
      </c>
      <c r="K43" s="2" t="s">
        <v>47</v>
      </c>
    </row>
    <row r="44" spans="9:11" hidden="1" x14ac:dyDescent="0.15">
      <c r="I44" s="2" t="s">
        <v>48</v>
      </c>
      <c r="K44" s="2" t="s">
        <v>49</v>
      </c>
    </row>
    <row r="45" spans="9:11" hidden="1" x14ac:dyDescent="0.15">
      <c r="I45" s="2" t="s">
        <v>50</v>
      </c>
      <c r="K45" s="2" t="s">
        <v>51</v>
      </c>
    </row>
    <row r="46" spans="9:11" hidden="1" x14ac:dyDescent="0.15">
      <c r="I46" s="2" t="s">
        <v>52</v>
      </c>
      <c r="K46" s="2" t="s">
        <v>53</v>
      </c>
    </row>
    <row r="47" spans="9:11" hidden="1" x14ac:dyDescent="0.15">
      <c r="I47" s="2" t="s">
        <v>54</v>
      </c>
      <c r="K47" s="2" t="s">
        <v>55</v>
      </c>
    </row>
    <row r="48" spans="9:11" hidden="1" x14ac:dyDescent="0.15">
      <c r="I48" s="2" t="s">
        <v>56</v>
      </c>
      <c r="K48" s="2" t="s">
        <v>57</v>
      </c>
    </row>
    <row r="49" spans="9:11" hidden="1" x14ac:dyDescent="0.15">
      <c r="I49" s="2" t="s">
        <v>58</v>
      </c>
      <c r="K49" s="2" t="s">
        <v>59</v>
      </c>
    </row>
    <row r="50" spans="9:11" hidden="1" x14ac:dyDescent="0.15">
      <c r="I50" s="2" t="s">
        <v>60</v>
      </c>
      <c r="K50" s="2" t="s">
        <v>61</v>
      </c>
    </row>
    <row r="51" spans="9:11" hidden="1" x14ac:dyDescent="0.15">
      <c r="K51" s="2" t="s">
        <v>62</v>
      </c>
    </row>
    <row r="52" spans="9:11" hidden="1" x14ac:dyDescent="0.15">
      <c r="K52" s="2" t="s">
        <v>63</v>
      </c>
    </row>
    <row r="53" spans="9:11" hidden="1" x14ac:dyDescent="0.15">
      <c r="K53" s="2" t="s">
        <v>64</v>
      </c>
    </row>
    <row r="54" spans="9:11" hidden="1" x14ac:dyDescent="0.15">
      <c r="K54" s="2" t="s">
        <v>65</v>
      </c>
    </row>
    <row r="55" spans="9:11" hidden="1" x14ac:dyDescent="0.15">
      <c r="K55" s="2" t="s">
        <v>66</v>
      </c>
    </row>
    <row r="56" spans="9:11" hidden="1" x14ac:dyDescent="0.15">
      <c r="K56" s="2" t="s">
        <v>67</v>
      </c>
    </row>
    <row r="57" spans="9:11" hidden="1" x14ac:dyDescent="0.15">
      <c r="K57" s="2" t="s">
        <v>68</v>
      </c>
    </row>
    <row r="58" spans="9:11" hidden="1" x14ac:dyDescent="0.15">
      <c r="K58" s="2" t="s">
        <v>69</v>
      </c>
    </row>
    <row r="59" spans="9:11" hidden="1" x14ac:dyDescent="0.15">
      <c r="K59" s="2" t="s">
        <v>70</v>
      </c>
    </row>
    <row r="60" spans="9:11" hidden="1" x14ac:dyDescent="0.15">
      <c r="K60" s="2" t="s">
        <v>71</v>
      </c>
    </row>
    <row r="61" spans="9:11" hidden="1" x14ac:dyDescent="0.15">
      <c r="K61" s="2" t="s">
        <v>72</v>
      </c>
    </row>
    <row r="62" spans="9:11" hidden="1" x14ac:dyDescent="0.15">
      <c r="K62" s="2" t="s">
        <v>73</v>
      </c>
    </row>
    <row r="63" spans="9:11" hidden="1" x14ac:dyDescent="0.15">
      <c r="K63" s="2" t="s">
        <v>67</v>
      </c>
    </row>
    <row r="64" spans="9:11" hidden="1" x14ac:dyDescent="0.15">
      <c r="K64" s="2" t="s">
        <v>74</v>
      </c>
    </row>
    <row r="65" spans="11:11" hidden="1" x14ac:dyDescent="0.15">
      <c r="K65" s="2" t="s">
        <v>75</v>
      </c>
    </row>
    <row r="66" spans="11:11" hidden="1" x14ac:dyDescent="0.15">
      <c r="K66" s="2" t="s">
        <v>76</v>
      </c>
    </row>
    <row r="67" spans="11:11" hidden="1" x14ac:dyDescent="0.15">
      <c r="K67" s="2" t="s">
        <v>77</v>
      </c>
    </row>
    <row r="68" spans="11:11" hidden="1" x14ac:dyDescent="0.15">
      <c r="K68" s="2" t="s">
        <v>78</v>
      </c>
    </row>
    <row r="69" spans="11:11" hidden="1" x14ac:dyDescent="0.15">
      <c r="K69" s="2" t="s">
        <v>79</v>
      </c>
    </row>
    <row r="70" spans="11:11" hidden="1" x14ac:dyDescent="0.15">
      <c r="K70" s="2" t="s">
        <v>80</v>
      </c>
    </row>
    <row r="71" spans="11:11" hidden="1" x14ac:dyDescent="0.15">
      <c r="K71" s="2" t="s">
        <v>81</v>
      </c>
    </row>
    <row r="72" spans="11:11" hidden="1" x14ac:dyDescent="0.15">
      <c r="K72" s="2" t="s">
        <v>82</v>
      </c>
    </row>
    <row r="73" spans="11:11" hidden="1" x14ac:dyDescent="0.15">
      <c r="K73" s="2" t="s">
        <v>83</v>
      </c>
    </row>
    <row r="74" spans="11:11" hidden="1" x14ac:dyDescent="0.15">
      <c r="K74" s="2" t="s">
        <v>84</v>
      </c>
    </row>
    <row r="75" spans="11:11" hidden="1" x14ac:dyDescent="0.15">
      <c r="K75" s="2" t="s">
        <v>85</v>
      </c>
    </row>
    <row r="76" spans="11:11" hidden="1" x14ac:dyDescent="0.15">
      <c r="K76" s="2" t="s">
        <v>86</v>
      </c>
    </row>
    <row r="77" spans="11:11" hidden="1" x14ac:dyDescent="0.15">
      <c r="K77" s="2" t="s">
        <v>87</v>
      </c>
    </row>
    <row r="78" spans="11:11" hidden="1" x14ac:dyDescent="0.15">
      <c r="K78" s="2" t="s">
        <v>88</v>
      </c>
    </row>
    <row r="79" spans="11:11" hidden="1" x14ac:dyDescent="0.15">
      <c r="K79" s="2" t="s">
        <v>89</v>
      </c>
    </row>
    <row r="80" spans="11:11" hidden="1" x14ac:dyDescent="0.15">
      <c r="K80" s="2" t="s">
        <v>90</v>
      </c>
    </row>
    <row r="81" spans="11:11" hidden="1" x14ac:dyDescent="0.15">
      <c r="K81" s="2" t="s">
        <v>91</v>
      </c>
    </row>
    <row r="82" spans="11:11" hidden="1" x14ac:dyDescent="0.15">
      <c r="K82" s="2" t="s">
        <v>92</v>
      </c>
    </row>
    <row r="83" spans="11:11" hidden="1" x14ac:dyDescent="0.15">
      <c r="K83" s="2" t="s">
        <v>93</v>
      </c>
    </row>
    <row r="84" spans="11:11" hidden="1" x14ac:dyDescent="0.15">
      <c r="K84" s="2" t="s">
        <v>94</v>
      </c>
    </row>
    <row r="85" spans="11:11" hidden="1" x14ac:dyDescent="0.15">
      <c r="K85" s="2" t="s">
        <v>47</v>
      </c>
    </row>
  </sheetData>
  <dataValidations count="3">
    <dataValidation type="list" allowBlank="1" showInputMessage="1" showErrorMessage="1" sqref="B16:B19" xr:uid="{707FCA10-E625-4060-A852-05DA856FFDFC}">
      <formula1>$K$29:$K$85</formula1>
    </dataValidation>
    <dataValidation type="list" allowBlank="1" showInputMessage="1" showErrorMessage="1" sqref="B20:B21" xr:uid="{56A2A946-1782-46F4-9DAD-BB3F182D5B25}">
      <formula1>$K$29:$K$40</formula1>
    </dataValidation>
    <dataValidation type="list" allowBlank="1" showInputMessage="1" showErrorMessage="1" sqref="I50 K15:K21" xr:uid="{1CFA01CC-FC0F-4EB1-8023-A9D89996145F}">
      <formula1>$I$41:$I$50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6F3724-B626-4383-92C9-44E06215957B}">
  <dimension ref="A1:K85"/>
  <sheetViews>
    <sheetView workbookViewId="0">
      <selection sqref="A1:XFD1048576"/>
    </sheetView>
  </sheetViews>
  <sheetFormatPr baseColWidth="10" defaultColWidth="9.1640625" defaultRowHeight="14" x14ac:dyDescent="0.15"/>
  <cols>
    <col min="1" max="1" width="5.1640625" style="2" customWidth="1"/>
    <col min="2" max="2" width="22.5" style="2" customWidth="1"/>
    <col min="3" max="3" width="6.1640625" style="2" customWidth="1"/>
    <col min="4" max="4" width="12.5" style="2" bestFit="1" customWidth="1"/>
    <col min="5" max="5" width="9.83203125" style="2" customWidth="1"/>
    <col min="6" max="6" width="9.33203125" style="2" bestFit="1" customWidth="1"/>
    <col min="7" max="7" width="8.6640625" style="2" customWidth="1"/>
    <col min="8" max="8" width="9.5" style="2" bestFit="1" customWidth="1"/>
    <col min="9" max="9" width="17.83203125" style="2" bestFit="1" customWidth="1"/>
    <col min="10" max="10" width="10.33203125" style="2" bestFit="1" customWidth="1"/>
    <col min="11" max="11" width="75" style="2" bestFit="1" customWidth="1"/>
    <col min="12" max="16384" width="9.1640625" style="2"/>
  </cols>
  <sheetData>
    <row r="1" spans="1:11" x14ac:dyDescent="0.15">
      <c r="A1" s="1" t="s">
        <v>0</v>
      </c>
      <c r="I1" s="3"/>
    </row>
    <row r="2" spans="1:11" x14ac:dyDescent="0.15">
      <c r="J2" s="4"/>
    </row>
    <row r="3" spans="1:11" x14ac:dyDescent="0.15">
      <c r="A3" s="3" t="s">
        <v>1</v>
      </c>
      <c r="I3" s="1"/>
      <c r="J3" s="1"/>
    </row>
    <row r="4" spans="1:11" x14ac:dyDescent="0.15">
      <c r="A4" s="3"/>
      <c r="I4" s="4" t="s">
        <v>2</v>
      </c>
      <c r="J4" s="76">
        <v>45793</v>
      </c>
    </row>
    <row r="5" spans="1:11" x14ac:dyDescent="0.15">
      <c r="J5" s="2" t="s">
        <v>3</v>
      </c>
    </row>
    <row r="6" spans="1:11" ht="30" x14ac:dyDescent="0.15">
      <c r="A6" s="5" t="s">
        <v>4</v>
      </c>
      <c r="B6" s="5" t="s">
        <v>5</v>
      </c>
      <c r="C6" s="5" t="s">
        <v>6</v>
      </c>
      <c r="D6" s="5" t="s">
        <v>7</v>
      </c>
      <c r="E6" s="5" t="s">
        <v>8</v>
      </c>
      <c r="F6" s="5" t="s">
        <v>9</v>
      </c>
      <c r="G6" s="6" t="s">
        <v>10</v>
      </c>
      <c r="H6" s="6" t="s">
        <v>11</v>
      </c>
      <c r="I6" s="6" t="s">
        <v>12</v>
      </c>
      <c r="J6" s="7"/>
      <c r="K6" s="5" t="s">
        <v>13</v>
      </c>
    </row>
    <row r="7" spans="1:11" ht="30" x14ac:dyDescent="0.15">
      <c r="A7" s="6"/>
      <c r="B7" s="8"/>
      <c r="C7" s="5"/>
      <c r="D7" s="5" t="s">
        <v>14</v>
      </c>
      <c r="E7" s="5" t="s">
        <v>15</v>
      </c>
      <c r="F7" s="9" t="s">
        <v>16</v>
      </c>
      <c r="G7" s="9" t="s">
        <v>15</v>
      </c>
      <c r="H7" s="9" t="s">
        <v>17</v>
      </c>
      <c r="I7" s="5" t="s">
        <v>18</v>
      </c>
      <c r="J7" s="9" t="s">
        <v>19</v>
      </c>
      <c r="K7" s="9"/>
    </row>
    <row r="8" spans="1:11" ht="16" x14ac:dyDescent="0.2">
      <c r="A8" s="10"/>
      <c r="B8" s="11"/>
      <c r="C8" s="12"/>
      <c r="D8" s="11"/>
      <c r="E8" s="11"/>
      <c r="F8" s="10"/>
      <c r="G8" s="10"/>
      <c r="H8" s="10"/>
      <c r="I8" s="10"/>
      <c r="J8" s="13"/>
      <c r="K8" s="10"/>
    </row>
    <row r="9" spans="1:11" ht="17" x14ac:dyDescent="0.15">
      <c r="A9" s="192">
        <v>1</v>
      </c>
      <c r="B9" s="187" t="s">
        <v>260</v>
      </c>
      <c r="C9" s="188">
        <v>24</v>
      </c>
      <c r="D9" s="15">
        <v>2.85</v>
      </c>
      <c r="E9" s="193">
        <v>1148</v>
      </c>
      <c r="F9" s="189">
        <v>25.5</v>
      </c>
      <c r="G9" s="16">
        <f t="shared" ref="G9:G13" si="0">E9*F9</f>
        <v>29274</v>
      </c>
      <c r="H9" s="17">
        <f t="shared" ref="H9:H13" si="1">F9*C9</f>
        <v>612</v>
      </c>
      <c r="I9" s="211" t="s">
        <v>20</v>
      </c>
      <c r="J9" s="212">
        <v>2.0833333333333332E-2</v>
      </c>
      <c r="K9" s="213" t="s">
        <v>254</v>
      </c>
    </row>
    <row r="10" spans="1:11" ht="17" x14ac:dyDescent="0.15">
      <c r="A10" s="23">
        <v>2</v>
      </c>
      <c r="B10" s="187" t="s">
        <v>260</v>
      </c>
      <c r="C10" s="188">
        <v>32</v>
      </c>
      <c r="D10" s="15">
        <v>2.85</v>
      </c>
      <c r="E10" s="193">
        <v>865</v>
      </c>
      <c r="F10" s="189">
        <v>15</v>
      </c>
      <c r="G10" s="16">
        <f t="shared" si="0"/>
        <v>12975</v>
      </c>
      <c r="H10" s="17">
        <f t="shared" si="1"/>
        <v>480</v>
      </c>
      <c r="I10" s="214" t="s">
        <v>44</v>
      </c>
      <c r="J10" s="215">
        <v>4.1666666666666664E-2</v>
      </c>
      <c r="K10" s="216" t="s">
        <v>44</v>
      </c>
    </row>
    <row r="11" spans="1:11" ht="17" x14ac:dyDescent="0.15">
      <c r="A11" s="192">
        <v>3</v>
      </c>
      <c r="B11" s="187" t="s">
        <v>260</v>
      </c>
      <c r="C11" s="188">
        <v>38</v>
      </c>
      <c r="D11" s="15">
        <v>2.85</v>
      </c>
      <c r="E11" s="193">
        <v>670</v>
      </c>
      <c r="F11" s="207">
        <v>28</v>
      </c>
      <c r="G11" s="16">
        <f t="shared" si="0"/>
        <v>18760</v>
      </c>
      <c r="H11" s="17">
        <f t="shared" si="1"/>
        <v>1064</v>
      </c>
      <c r="I11" s="217" t="s">
        <v>255</v>
      </c>
      <c r="J11" s="215">
        <v>6.25E-2</v>
      </c>
      <c r="K11" s="216" t="s">
        <v>262</v>
      </c>
    </row>
    <row r="12" spans="1:11" ht="19.25" customHeight="1" x14ac:dyDescent="0.15">
      <c r="A12" s="23">
        <v>4</v>
      </c>
      <c r="B12" s="187" t="s">
        <v>260</v>
      </c>
      <c r="C12" s="208">
        <v>40</v>
      </c>
      <c r="D12" s="15">
        <v>2.85</v>
      </c>
      <c r="E12" s="209">
        <v>636</v>
      </c>
      <c r="F12" s="210">
        <v>11</v>
      </c>
      <c r="G12" s="16">
        <f t="shared" si="0"/>
        <v>6996</v>
      </c>
      <c r="H12" s="17">
        <f t="shared" si="1"/>
        <v>440</v>
      </c>
      <c r="I12" s="217" t="s">
        <v>263</v>
      </c>
      <c r="J12" s="215">
        <v>2.7777777777777776E-2</v>
      </c>
      <c r="K12" s="216" t="s">
        <v>264</v>
      </c>
    </row>
    <row r="13" spans="1:11" ht="17" x14ac:dyDescent="0.15">
      <c r="A13" s="219">
        <v>5</v>
      </c>
      <c r="B13" s="187" t="s">
        <v>260</v>
      </c>
      <c r="C13" s="208">
        <v>42</v>
      </c>
      <c r="D13" s="15">
        <v>2.85</v>
      </c>
      <c r="E13" s="209">
        <v>602</v>
      </c>
      <c r="F13" s="210">
        <v>12.5</v>
      </c>
      <c r="G13" s="16">
        <f t="shared" si="0"/>
        <v>7525</v>
      </c>
      <c r="H13" s="17">
        <f t="shared" si="1"/>
        <v>525</v>
      </c>
      <c r="I13" s="217"/>
      <c r="J13" s="215"/>
      <c r="K13" s="216"/>
    </row>
    <row r="14" spans="1:11" ht="16" x14ac:dyDescent="0.15">
      <c r="A14" s="192"/>
      <c r="B14" s="187"/>
      <c r="C14" s="220"/>
      <c r="D14" s="11"/>
      <c r="E14" s="221"/>
      <c r="F14" s="222"/>
      <c r="G14" s="16"/>
      <c r="H14" s="17"/>
      <c r="I14" s="28"/>
      <c r="J14" s="37"/>
      <c r="K14" s="30"/>
    </row>
    <row r="15" spans="1:11" ht="16" x14ac:dyDescent="0.2">
      <c r="A15" s="38"/>
      <c r="B15" s="39"/>
      <c r="C15" s="40"/>
      <c r="D15" s="11"/>
      <c r="E15" s="25"/>
      <c r="F15" s="40"/>
      <c r="G15" s="27"/>
      <c r="H15" s="12"/>
      <c r="I15" s="41"/>
      <c r="J15" s="37"/>
      <c r="K15" s="30"/>
    </row>
    <row r="16" spans="1:11" ht="16" x14ac:dyDescent="0.2">
      <c r="A16" s="38"/>
      <c r="B16" s="39"/>
      <c r="C16" s="40"/>
      <c r="D16" s="11"/>
      <c r="E16" s="32"/>
      <c r="F16" s="40"/>
      <c r="G16" s="27"/>
      <c r="H16" s="12"/>
      <c r="I16" s="41"/>
      <c r="J16" s="37"/>
      <c r="K16" s="42"/>
    </row>
    <row r="17" spans="1:11" ht="16" x14ac:dyDescent="0.2">
      <c r="A17" s="38"/>
      <c r="B17" s="39"/>
      <c r="C17" s="40"/>
      <c r="D17" s="11"/>
      <c r="E17" s="32"/>
      <c r="F17" s="40"/>
      <c r="G17" s="27"/>
      <c r="H17" s="12"/>
      <c r="I17" s="41"/>
      <c r="J17" s="37"/>
      <c r="K17" s="42"/>
    </row>
    <row r="18" spans="1:11" ht="16" x14ac:dyDescent="0.2">
      <c r="A18" s="43"/>
      <c r="B18" s="44"/>
      <c r="C18" s="40"/>
      <c r="D18" s="11"/>
      <c r="E18" s="45"/>
      <c r="F18" s="46"/>
      <c r="G18" s="27"/>
      <c r="H18" s="12"/>
      <c r="I18" s="10"/>
      <c r="J18" s="13"/>
      <c r="K18" s="10"/>
    </row>
    <row r="19" spans="1:11" x14ac:dyDescent="0.15">
      <c r="A19" s="47"/>
      <c r="B19" s="48"/>
      <c r="C19" s="49"/>
      <c r="D19" s="50"/>
      <c r="E19" s="47"/>
      <c r="F19" s="49"/>
      <c r="G19" s="51"/>
      <c r="H19" s="49"/>
      <c r="I19" s="48"/>
      <c r="J19" s="52"/>
      <c r="K19" s="48"/>
    </row>
    <row r="20" spans="1:11" x14ac:dyDescent="0.15">
      <c r="A20" s="47"/>
      <c r="B20" s="48"/>
      <c r="C20" s="49"/>
      <c r="D20" s="50"/>
      <c r="E20" s="47"/>
      <c r="F20" s="49"/>
      <c r="G20" s="51"/>
      <c r="H20" s="49"/>
      <c r="I20" s="48"/>
      <c r="J20" s="52"/>
      <c r="K20" s="48"/>
    </row>
    <row r="21" spans="1:11" x14ac:dyDescent="0.15">
      <c r="A21" s="47"/>
      <c r="B21" s="48"/>
      <c r="C21" s="53"/>
      <c r="D21" s="47"/>
      <c r="E21" s="52"/>
      <c r="F21" s="53"/>
      <c r="G21" s="51"/>
      <c r="H21" s="49"/>
      <c r="I21" s="48"/>
      <c r="J21" s="52"/>
      <c r="K21" s="48"/>
    </row>
    <row r="22" spans="1:11" x14ac:dyDescent="0.15">
      <c r="A22" s="54"/>
      <c r="B22" s="55"/>
      <c r="C22" s="56"/>
      <c r="D22" s="56"/>
      <c r="E22" s="57" t="s">
        <v>21</v>
      </c>
      <c r="F22" s="58">
        <f>SUM(F9:F21)</f>
        <v>92</v>
      </c>
      <c r="G22" s="59">
        <f>SUM(G9:G21)/F22</f>
        <v>820.97826086956525</v>
      </c>
      <c r="H22" s="60">
        <f>SUM(H9:H21)/F22</f>
        <v>33.923913043478258</v>
      </c>
      <c r="I22" s="61" t="s">
        <v>22</v>
      </c>
      <c r="J22" s="186">
        <v>0.15277777777777779</v>
      </c>
      <c r="K22" s="55"/>
    </row>
    <row r="23" spans="1:11" x14ac:dyDescent="0.15">
      <c r="E23" s="62"/>
      <c r="F23" s="63"/>
      <c r="I23" s="64" t="s">
        <v>23</v>
      </c>
      <c r="J23" s="65">
        <v>3.67</v>
      </c>
    </row>
    <row r="24" spans="1:11" x14ac:dyDescent="0.15">
      <c r="A24" s="1"/>
      <c r="I24" s="66"/>
      <c r="J24" s="67"/>
    </row>
    <row r="25" spans="1:11" x14ac:dyDescent="0.15">
      <c r="A25" s="68" t="s">
        <v>24</v>
      </c>
      <c r="B25" s="68"/>
      <c r="C25" s="68"/>
      <c r="D25" s="53"/>
      <c r="H25" s="4" t="s">
        <v>25</v>
      </c>
      <c r="I25" s="4"/>
      <c r="J25" s="62">
        <f>F22</f>
        <v>92</v>
      </c>
      <c r="K25" s="1" t="s">
        <v>16</v>
      </c>
    </row>
    <row r="26" spans="1:11" x14ac:dyDescent="0.15">
      <c r="A26" s="68" t="s">
        <v>26</v>
      </c>
      <c r="B26" s="68"/>
      <c r="C26" s="68"/>
      <c r="D26" s="53"/>
      <c r="H26" s="4" t="s">
        <v>27</v>
      </c>
      <c r="I26" s="4"/>
      <c r="J26" s="62">
        <f>66+72+68+62+66+58+59+11+70+89+85+85+92+89+92</f>
        <v>1064</v>
      </c>
      <c r="K26" s="1" t="s">
        <v>16</v>
      </c>
    </row>
    <row r="27" spans="1:11" ht="15" thickBot="1" x14ac:dyDescent="0.2">
      <c r="A27" s="69"/>
      <c r="B27" s="69"/>
      <c r="C27" s="69"/>
      <c r="D27" s="69"/>
      <c r="E27" s="70"/>
      <c r="F27" s="70"/>
      <c r="G27" s="69"/>
      <c r="H27" s="71" t="s">
        <v>28</v>
      </c>
      <c r="I27" s="71"/>
      <c r="J27" s="72">
        <v>84.17</v>
      </c>
      <c r="K27" s="73" t="s">
        <v>29</v>
      </c>
    </row>
    <row r="28" spans="1:11" x14ac:dyDescent="0.15">
      <c r="J28" s="2" t="s">
        <v>3</v>
      </c>
    </row>
    <row r="29" spans="1:11" hidden="1" x14ac:dyDescent="0.15">
      <c r="K29" s="2" t="s">
        <v>30</v>
      </c>
    </row>
    <row r="30" spans="1:11" hidden="1" x14ac:dyDescent="0.15">
      <c r="K30" s="2" t="s">
        <v>31</v>
      </c>
    </row>
    <row r="31" spans="1:11" hidden="1" x14ac:dyDescent="0.15">
      <c r="K31" s="2" t="s">
        <v>32</v>
      </c>
    </row>
    <row r="32" spans="1:11" hidden="1" x14ac:dyDescent="0.15">
      <c r="K32" s="2" t="s">
        <v>33</v>
      </c>
    </row>
    <row r="33" spans="9:11" hidden="1" x14ac:dyDescent="0.15">
      <c r="K33" s="2" t="s">
        <v>34</v>
      </c>
    </row>
    <row r="34" spans="9:11" hidden="1" x14ac:dyDescent="0.15">
      <c r="K34" s="2" t="s">
        <v>35</v>
      </c>
    </row>
    <row r="35" spans="9:11" hidden="1" x14ac:dyDescent="0.15">
      <c r="K35" s="2" t="s">
        <v>36</v>
      </c>
    </row>
    <row r="36" spans="9:11" hidden="1" x14ac:dyDescent="0.15">
      <c r="K36" s="2" t="s">
        <v>37</v>
      </c>
    </row>
    <row r="37" spans="9:11" hidden="1" x14ac:dyDescent="0.15">
      <c r="K37" s="2" t="s">
        <v>38</v>
      </c>
    </row>
    <row r="38" spans="9:11" hidden="1" x14ac:dyDescent="0.15">
      <c r="K38" s="2" t="s">
        <v>39</v>
      </c>
    </row>
    <row r="39" spans="9:11" hidden="1" x14ac:dyDescent="0.15">
      <c r="K39" s="2" t="s">
        <v>40</v>
      </c>
    </row>
    <row r="40" spans="9:11" hidden="1" x14ac:dyDescent="0.15">
      <c r="K40" s="2" t="s">
        <v>41</v>
      </c>
    </row>
    <row r="41" spans="9:11" ht="30" hidden="1" x14ac:dyDescent="0.15">
      <c r="I41" s="74" t="s">
        <v>42</v>
      </c>
      <c r="K41" s="2" t="s">
        <v>43</v>
      </c>
    </row>
    <row r="42" spans="9:11" ht="15" hidden="1" x14ac:dyDescent="0.15">
      <c r="I42" s="74" t="s">
        <v>44</v>
      </c>
      <c r="K42" s="2" t="s">
        <v>45</v>
      </c>
    </row>
    <row r="43" spans="9:11" hidden="1" x14ac:dyDescent="0.15">
      <c r="I43" s="75" t="s">
        <v>46</v>
      </c>
      <c r="K43" s="2" t="s">
        <v>47</v>
      </c>
    </row>
    <row r="44" spans="9:11" hidden="1" x14ac:dyDescent="0.15">
      <c r="I44" s="2" t="s">
        <v>48</v>
      </c>
      <c r="K44" s="2" t="s">
        <v>49</v>
      </c>
    </row>
    <row r="45" spans="9:11" hidden="1" x14ac:dyDescent="0.15">
      <c r="I45" s="2" t="s">
        <v>50</v>
      </c>
      <c r="K45" s="2" t="s">
        <v>51</v>
      </c>
    </row>
    <row r="46" spans="9:11" hidden="1" x14ac:dyDescent="0.15">
      <c r="I46" s="2" t="s">
        <v>52</v>
      </c>
      <c r="K46" s="2" t="s">
        <v>53</v>
      </c>
    </row>
    <row r="47" spans="9:11" hidden="1" x14ac:dyDescent="0.15">
      <c r="I47" s="2" t="s">
        <v>54</v>
      </c>
      <c r="K47" s="2" t="s">
        <v>55</v>
      </c>
    </row>
    <row r="48" spans="9:11" hidden="1" x14ac:dyDescent="0.15">
      <c r="I48" s="2" t="s">
        <v>56</v>
      </c>
      <c r="K48" s="2" t="s">
        <v>57</v>
      </c>
    </row>
    <row r="49" spans="9:11" hidden="1" x14ac:dyDescent="0.15">
      <c r="I49" s="2" t="s">
        <v>58</v>
      </c>
      <c r="K49" s="2" t="s">
        <v>59</v>
      </c>
    </row>
    <row r="50" spans="9:11" hidden="1" x14ac:dyDescent="0.15">
      <c r="I50" s="2" t="s">
        <v>60</v>
      </c>
      <c r="K50" s="2" t="s">
        <v>61</v>
      </c>
    </row>
    <row r="51" spans="9:11" hidden="1" x14ac:dyDescent="0.15">
      <c r="K51" s="2" t="s">
        <v>62</v>
      </c>
    </row>
    <row r="52" spans="9:11" hidden="1" x14ac:dyDescent="0.15">
      <c r="K52" s="2" t="s">
        <v>63</v>
      </c>
    </row>
    <row r="53" spans="9:11" hidden="1" x14ac:dyDescent="0.15">
      <c r="K53" s="2" t="s">
        <v>64</v>
      </c>
    </row>
    <row r="54" spans="9:11" hidden="1" x14ac:dyDescent="0.15">
      <c r="K54" s="2" t="s">
        <v>65</v>
      </c>
    </row>
    <row r="55" spans="9:11" hidden="1" x14ac:dyDescent="0.15">
      <c r="K55" s="2" t="s">
        <v>66</v>
      </c>
    </row>
    <row r="56" spans="9:11" hidden="1" x14ac:dyDescent="0.15">
      <c r="K56" s="2" t="s">
        <v>67</v>
      </c>
    </row>
    <row r="57" spans="9:11" hidden="1" x14ac:dyDescent="0.15">
      <c r="K57" s="2" t="s">
        <v>68</v>
      </c>
    </row>
    <row r="58" spans="9:11" hidden="1" x14ac:dyDescent="0.15">
      <c r="K58" s="2" t="s">
        <v>69</v>
      </c>
    </row>
    <row r="59" spans="9:11" hidden="1" x14ac:dyDescent="0.15">
      <c r="K59" s="2" t="s">
        <v>70</v>
      </c>
    </row>
    <row r="60" spans="9:11" hidden="1" x14ac:dyDescent="0.15">
      <c r="K60" s="2" t="s">
        <v>71</v>
      </c>
    </row>
    <row r="61" spans="9:11" hidden="1" x14ac:dyDescent="0.15">
      <c r="K61" s="2" t="s">
        <v>72</v>
      </c>
    </row>
    <row r="62" spans="9:11" hidden="1" x14ac:dyDescent="0.15">
      <c r="K62" s="2" t="s">
        <v>73</v>
      </c>
    </row>
    <row r="63" spans="9:11" hidden="1" x14ac:dyDescent="0.15">
      <c r="K63" s="2" t="s">
        <v>67</v>
      </c>
    </row>
    <row r="64" spans="9:11" hidden="1" x14ac:dyDescent="0.15">
      <c r="K64" s="2" t="s">
        <v>74</v>
      </c>
    </row>
    <row r="65" spans="11:11" hidden="1" x14ac:dyDescent="0.15">
      <c r="K65" s="2" t="s">
        <v>75</v>
      </c>
    </row>
    <row r="66" spans="11:11" hidden="1" x14ac:dyDescent="0.15">
      <c r="K66" s="2" t="s">
        <v>76</v>
      </c>
    </row>
    <row r="67" spans="11:11" hidden="1" x14ac:dyDescent="0.15">
      <c r="K67" s="2" t="s">
        <v>77</v>
      </c>
    </row>
    <row r="68" spans="11:11" hidden="1" x14ac:dyDescent="0.15">
      <c r="K68" s="2" t="s">
        <v>78</v>
      </c>
    </row>
    <row r="69" spans="11:11" hidden="1" x14ac:dyDescent="0.15">
      <c r="K69" s="2" t="s">
        <v>79</v>
      </c>
    </row>
    <row r="70" spans="11:11" hidden="1" x14ac:dyDescent="0.15">
      <c r="K70" s="2" t="s">
        <v>80</v>
      </c>
    </row>
    <row r="71" spans="11:11" hidden="1" x14ac:dyDescent="0.15">
      <c r="K71" s="2" t="s">
        <v>81</v>
      </c>
    </row>
    <row r="72" spans="11:11" hidden="1" x14ac:dyDescent="0.15">
      <c r="K72" s="2" t="s">
        <v>82</v>
      </c>
    </row>
    <row r="73" spans="11:11" hidden="1" x14ac:dyDescent="0.15">
      <c r="K73" s="2" t="s">
        <v>83</v>
      </c>
    </row>
    <row r="74" spans="11:11" hidden="1" x14ac:dyDescent="0.15">
      <c r="K74" s="2" t="s">
        <v>84</v>
      </c>
    </row>
    <row r="75" spans="11:11" hidden="1" x14ac:dyDescent="0.15">
      <c r="K75" s="2" t="s">
        <v>85</v>
      </c>
    </row>
    <row r="76" spans="11:11" hidden="1" x14ac:dyDescent="0.15">
      <c r="K76" s="2" t="s">
        <v>86</v>
      </c>
    </row>
    <row r="77" spans="11:11" hidden="1" x14ac:dyDescent="0.15">
      <c r="K77" s="2" t="s">
        <v>87</v>
      </c>
    </row>
    <row r="78" spans="11:11" hidden="1" x14ac:dyDescent="0.15">
      <c r="K78" s="2" t="s">
        <v>88</v>
      </c>
    </row>
    <row r="79" spans="11:11" hidden="1" x14ac:dyDescent="0.15">
      <c r="K79" s="2" t="s">
        <v>89</v>
      </c>
    </row>
    <row r="80" spans="11:11" hidden="1" x14ac:dyDescent="0.15">
      <c r="K80" s="2" t="s">
        <v>90</v>
      </c>
    </row>
    <row r="81" spans="11:11" hidden="1" x14ac:dyDescent="0.15">
      <c r="K81" s="2" t="s">
        <v>91</v>
      </c>
    </row>
    <row r="82" spans="11:11" hidden="1" x14ac:dyDescent="0.15">
      <c r="K82" s="2" t="s">
        <v>92</v>
      </c>
    </row>
    <row r="83" spans="11:11" hidden="1" x14ac:dyDescent="0.15">
      <c r="K83" s="2" t="s">
        <v>93</v>
      </c>
    </row>
    <row r="84" spans="11:11" hidden="1" x14ac:dyDescent="0.15">
      <c r="K84" s="2" t="s">
        <v>94</v>
      </c>
    </row>
    <row r="85" spans="11:11" hidden="1" x14ac:dyDescent="0.15">
      <c r="K85" s="2" t="s">
        <v>47</v>
      </c>
    </row>
  </sheetData>
  <dataValidations count="3">
    <dataValidation type="list" allowBlank="1" showInputMessage="1" showErrorMessage="1" sqref="I50 K15:K21" xr:uid="{535F6605-FD95-439E-980E-E3E71F25C14B}">
      <formula1>$I$41:$I$50</formula1>
    </dataValidation>
    <dataValidation type="list" allowBlank="1" showInputMessage="1" showErrorMessage="1" sqref="B20:B21" xr:uid="{E28B3622-5108-498F-B7FE-C075FA9CFBC8}">
      <formula1>$K$29:$K$40</formula1>
    </dataValidation>
    <dataValidation type="list" allowBlank="1" showInputMessage="1" showErrorMessage="1" sqref="B16:B19" xr:uid="{73D12267-9029-42D3-AF1B-382A74CB2858}">
      <formula1>$K$29:$K$85</formula1>
    </dataValidation>
  </dataValidation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A643A4-0A19-4253-AF7D-467C3923E30E}">
  <dimension ref="A1:K85"/>
  <sheetViews>
    <sheetView workbookViewId="0">
      <selection activeCell="E14" sqref="E14"/>
    </sheetView>
  </sheetViews>
  <sheetFormatPr baseColWidth="10" defaultColWidth="9.1640625" defaultRowHeight="14" x14ac:dyDescent="0.15"/>
  <cols>
    <col min="1" max="1" width="5.1640625" style="2" customWidth="1"/>
    <col min="2" max="2" width="22.5" style="2" customWidth="1"/>
    <col min="3" max="3" width="6.1640625" style="2" customWidth="1"/>
    <col min="4" max="4" width="12.5" style="2" bestFit="1" customWidth="1"/>
    <col min="5" max="5" width="9.83203125" style="2" customWidth="1"/>
    <col min="6" max="6" width="9.33203125" style="2" bestFit="1" customWidth="1"/>
    <col min="7" max="7" width="8.6640625" style="2" customWidth="1"/>
    <col min="8" max="8" width="9.5" style="2" bestFit="1" customWidth="1"/>
    <col min="9" max="9" width="17.83203125" style="2" bestFit="1" customWidth="1"/>
    <col min="10" max="10" width="10.33203125" style="2" bestFit="1" customWidth="1"/>
    <col min="11" max="11" width="75" style="2" bestFit="1" customWidth="1"/>
    <col min="12" max="16384" width="9.1640625" style="2"/>
  </cols>
  <sheetData>
    <row r="1" spans="1:11" x14ac:dyDescent="0.15">
      <c r="A1" s="1" t="s">
        <v>0</v>
      </c>
      <c r="I1" s="3"/>
    </row>
    <row r="2" spans="1:11" x14ac:dyDescent="0.15">
      <c r="J2" s="4"/>
    </row>
    <row r="3" spans="1:11" x14ac:dyDescent="0.15">
      <c r="A3" s="3" t="s">
        <v>1</v>
      </c>
      <c r="I3" s="1"/>
      <c r="J3" s="1"/>
    </row>
    <row r="4" spans="1:11" x14ac:dyDescent="0.15">
      <c r="A4" s="3"/>
      <c r="I4" s="4" t="s">
        <v>2</v>
      </c>
      <c r="J4" s="76">
        <v>45794</v>
      </c>
    </row>
    <row r="5" spans="1:11" x14ac:dyDescent="0.15">
      <c r="J5" s="2" t="s">
        <v>3</v>
      </c>
    </row>
    <row r="6" spans="1:11" ht="30" x14ac:dyDescent="0.15">
      <c r="A6" s="5" t="s">
        <v>4</v>
      </c>
      <c r="B6" s="5" t="s">
        <v>5</v>
      </c>
      <c r="C6" s="5" t="s">
        <v>6</v>
      </c>
      <c r="D6" s="5" t="s">
        <v>7</v>
      </c>
      <c r="E6" s="5" t="s">
        <v>8</v>
      </c>
      <c r="F6" s="5" t="s">
        <v>9</v>
      </c>
      <c r="G6" s="6" t="s">
        <v>10</v>
      </c>
      <c r="H6" s="6" t="s">
        <v>11</v>
      </c>
      <c r="I6" s="6" t="s">
        <v>12</v>
      </c>
      <c r="J6" s="7"/>
      <c r="K6" s="5" t="s">
        <v>13</v>
      </c>
    </row>
    <row r="7" spans="1:11" ht="30" x14ac:dyDescent="0.15">
      <c r="A7" s="6"/>
      <c r="B7" s="8"/>
      <c r="C7" s="5"/>
      <c r="D7" s="5" t="s">
        <v>14</v>
      </c>
      <c r="E7" s="5" t="s">
        <v>15</v>
      </c>
      <c r="F7" s="9" t="s">
        <v>16</v>
      </c>
      <c r="G7" s="9" t="s">
        <v>15</v>
      </c>
      <c r="H7" s="9" t="s">
        <v>17</v>
      </c>
      <c r="I7" s="5" t="s">
        <v>18</v>
      </c>
      <c r="J7" s="9" t="s">
        <v>19</v>
      </c>
      <c r="K7" s="9"/>
    </row>
    <row r="8" spans="1:11" ht="16" x14ac:dyDescent="0.2">
      <c r="A8" s="10"/>
      <c r="B8" s="11"/>
      <c r="C8" s="12"/>
      <c r="D8" s="11"/>
      <c r="E8" s="11"/>
      <c r="F8" s="10"/>
      <c r="G8" s="10"/>
      <c r="H8" s="10"/>
      <c r="I8" s="10"/>
      <c r="J8" s="13"/>
      <c r="K8" s="10"/>
    </row>
    <row r="9" spans="1:11" ht="17" x14ac:dyDescent="0.15">
      <c r="A9" s="192">
        <v>1</v>
      </c>
      <c r="B9" s="187" t="s">
        <v>260</v>
      </c>
      <c r="C9" s="188">
        <v>34</v>
      </c>
      <c r="D9" s="15">
        <v>2.85</v>
      </c>
      <c r="E9" s="193">
        <v>774</v>
      </c>
      <c r="F9" s="189">
        <v>67.8</v>
      </c>
      <c r="G9" s="16">
        <f t="shared" ref="G9:G12" si="0">E9*F9</f>
        <v>52477.2</v>
      </c>
      <c r="H9" s="17">
        <f t="shared" ref="H9:H12" si="1">F9*C9</f>
        <v>2305.1999999999998</v>
      </c>
      <c r="I9" s="211" t="s">
        <v>20</v>
      </c>
      <c r="J9" s="212">
        <v>2.0833333333333332E-2</v>
      </c>
      <c r="K9" s="213" t="s">
        <v>265</v>
      </c>
    </row>
    <row r="10" spans="1:11" ht="17" x14ac:dyDescent="0.15">
      <c r="A10" s="23">
        <v>2</v>
      </c>
      <c r="B10" s="187" t="s">
        <v>260</v>
      </c>
      <c r="C10" s="188">
        <v>35</v>
      </c>
      <c r="D10" s="15">
        <v>2.85</v>
      </c>
      <c r="E10" s="193">
        <v>739</v>
      </c>
      <c r="F10" s="189">
        <v>8.5</v>
      </c>
      <c r="G10" s="16">
        <f t="shared" si="0"/>
        <v>6281.5</v>
      </c>
      <c r="H10" s="17">
        <f t="shared" si="1"/>
        <v>297.5</v>
      </c>
      <c r="I10" s="214" t="s">
        <v>44</v>
      </c>
      <c r="J10" s="215">
        <v>2.0833333333333332E-2</v>
      </c>
      <c r="K10" s="216" t="s">
        <v>44</v>
      </c>
    </row>
    <row r="11" spans="1:11" ht="17" x14ac:dyDescent="0.15">
      <c r="A11" s="192">
        <v>3</v>
      </c>
      <c r="B11" s="187" t="s">
        <v>260</v>
      </c>
      <c r="C11" s="188">
        <v>36</v>
      </c>
      <c r="D11" s="15">
        <v>2.85</v>
      </c>
      <c r="E11" s="193">
        <v>718</v>
      </c>
      <c r="F11" s="207">
        <v>12.2</v>
      </c>
      <c r="G11" s="16">
        <f t="shared" si="0"/>
        <v>8759.6</v>
      </c>
      <c r="H11" s="17">
        <f t="shared" si="1"/>
        <v>439.2</v>
      </c>
      <c r="I11" s="217"/>
      <c r="J11" s="215"/>
      <c r="K11" s="216"/>
    </row>
    <row r="12" spans="1:11" ht="19.25" customHeight="1" x14ac:dyDescent="0.15">
      <c r="A12" s="23">
        <v>4</v>
      </c>
      <c r="B12" s="187" t="s">
        <v>260</v>
      </c>
      <c r="C12" s="208">
        <v>38</v>
      </c>
      <c r="D12" s="15">
        <v>2.85</v>
      </c>
      <c r="E12" s="209">
        <v>670</v>
      </c>
      <c r="F12" s="210">
        <v>11.5</v>
      </c>
      <c r="G12" s="16">
        <f t="shared" si="0"/>
        <v>7705</v>
      </c>
      <c r="H12" s="17">
        <f t="shared" si="1"/>
        <v>437</v>
      </c>
      <c r="I12" s="217"/>
      <c r="J12" s="215"/>
      <c r="K12" s="216"/>
    </row>
    <row r="13" spans="1:11" ht="16" x14ac:dyDescent="0.15">
      <c r="A13" s="219"/>
      <c r="B13" s="187"/>
      <c r="C13" s="208"/>
      <c r="D13" s="15"/>
      <c r="E13" s="209"/>
      <c r="F13" s="210"/>
      <c r="G13" s="16"/>
      <c r="H13" s="17"/>
      <c r="I13" s="217"/>
      <c r="J13" s="215"/>
      <c r="K13" s="216"/>
    </row>
    <row r="14" spans="1:11" ht="16" x14ac:dyDescent="0.15">
      <c r="A14" s="192"/>
      <c r="B14" s="187"/>
      <c r="C14" s="220"/>
      <c r="D14" s="11"/>
      <c r="E14" s="221"/>
      <c r="F14" s="222"/>
      <c r="G14" s="16"/>
      <c r="H14" s="17"/>
      <c r="I14" s="28"/>
      <c r="J14" s="37"/>
      <c r="K14" s="30"/>
    </row>
    <row r="15" spans="1:11" ht="16" x14ac:dyDescent="0.2">
      <c r="A15" s="38"/>
      <c r="B15" s="39"/>
      <c r="C15" s="40"/>
      <c r="D15" s="11"/>
      <c r="E15" s="25"/>
      <c r="F15" s="40"/>
      <c r="G15" s="27"/>
      <c r="H15" s="12"/>
      <c r="I15" s="41"/>
      <c r="J15" s="37"/>
      <c r="K15" s="30"/>
    </row>
    <row r="16" spans="1:11" ht="16" x14ac:dyDescent="0.2">
      <c r="A16" s="38"/>
      <c r="B16" s="39"/>
      <c r="C16" s="40"/>
      <c r="D16" s="11"/>
      <c r="E16" s="32"/>
      <c r="F16" s="40"/>
      <c r="G16" s="27"/>
      <c r="H16" s="12"/>
      <c r="I16" s="41"/>
      <c r="J16" s="37"/>
      <c r="K16" s="42"/>
    </row>
    <row r="17" spans="1:11" ht="16" x14ac:dyDescent="0.2">
      <c r="A17" s="38"/>
      <c r="B17" s="39"/>
      <c r="C17" s="40"/>
      <c r="D17" s="11"/>
      <c r="E17" s="32"/>
      <c r="F17" s="40"/>
      <c r="G17" s="27"/>
      <c r="H17" s="12"/>
      <c r="I17" s="41"/>
      <c r="J17" s="37"/>
      <c r="K17" s="42"/>
    </row>
    <row r="18" spans="1:11" ht="16" x14ac:dyDescent="0.2">
      <c r="A18" s="43"/>
      <c r="B18" s="44"/>
      <c r="C18" s="40"/>
      <c r="D18" s="11"/>
      <c r="E18" s="45"/>
      <c r="F18" s="46"/>
      <c r="G18" s="27"/>
      <c r="H18" s="12"/>
      <c r="I18" s="10"/>
      <c r="J18" s="13"/>
      <c r="K18" s="10"/>
    </row>
    <row r="19" spans="1:11" x14ac:dyDescent="0.15">
      <c r="A19" s="47"/>
      <c r="B19" s="48"/>
      <c r="C19" s="49"/>
      <c r="D19" s="50"/>
      <c r="E19" s="47"/>
      <c r="F19" s="49"/>
      <c r="G19" s="51"/>
      <c r="H19" s="49"/>
      <c r="I19" s="48"/>
      <c r="J19" s="52"/>
      <c r="K19" s="48"/>
    </row>
    <row r="20" spans="1:11" x14ac:dyDescent="0.15">
      <c r="A20" s="47"/>
      <c r="B20" s="48"/>
      <c r="C20" s="49"/>
      <c r="D20" s="50"/>
      <c r="E20" s="47"/>
      <c r="F20" s="49"/>
      <c r="G20" s="51"/>
      <c r="H20" s="49"/>
      <c r="I20" s="48"/>
      <c r="J20" s="52"/>
      <c r="K20" s="48"/>
    </row>
    <row r="21" spans="1:11" x14ac:dyDescent="0.15">
      <c r="A21" s="47"/>
      <c r="B21" s="48"/>
      <c r="C21" s="53"/>
      <c r="D21" s="47"/>
      <c r="E21" s="52"/>
      <c r="F21" s="53"/>
      <c r="G21" s="51"/>
      <c r="H21" s="49"/>
      <c r="I21" s="48"/>
      <c r="J21" s="52"/>
      <c r="K21" s="48"/>
    </row>
    <row r="22" spans="1:11" x14ac:dyDescent="0.15">
      <c r="A22" s="54"/>
      <c r="B22" s="55"/>
      <c r="C22" s="56"/>
      <c r="D22" s="56"/>
      <c r="E22" s="57" t="s">
        <v>21</v>
      </c>
      <c r="F22" s="58">
        <f>SUM(F9:F21)</f>
        <v>100</v>
      </c>
      <c r="G22" s="59">
        <f>SUM(G9:G21)/F22</f>
        <v>752.23300000000006</v>
      </c>
      <c r="H22" s="60">
        <f>SUM(H9:H21)/F22</f>
        <v>34.788999999999994</v>
      </c>
      <c r="I22" s="61" t="s">
        <v>22</v>
      </c>
      <c r="J22" s="186">
        <v>4.1666666666666664E-2</v>
      </c>
      <c r="K22" s="55"/>
    </row>
    <row r="23" spans="1:11" x14ac:dyDescent="0.15">
      <c r="E23" s="62"/>
      <c r="F23" s="63"/>
      <c r="I23" s="64" t="s">
        <v>23</v>
      </c>
      <c r="J23" s="65">
        <v>1</v>
      </c>
    </row>
    <row r="24" spans="1:11" x14ac:dyDescent="0.15">
      <c r="A24" s="1"/>
      <c r="I24" s="66"/>
      <c r="J24" s="67"/>
    </row>
    <row r="25" spans="1:11" x14ac:dyDescent="0.15">
      <c r="A25" s="68" t="s">
        <v>24</v>
      </c>
      <c r="B25" s="68"/>
      <c r="C25" s="68"/>
      <c r="D25" s="53"/>
      <c r="H25" s="4" t="s">
        <v>25</v>
      </c>
      <c r="I25" s="4"/>
      <c r="J25" s="62">
        <f>F22</f>
        <v>100</v>
      </c>
      <c r="K25" s="1" t="s">
        <v>16</v>
      </c>
    </row>
    <row r="26" spans="1:11" x14ac:dyDescent="0.15">
      <c r="A26" s="68" t="s">
        <v>26</v>
      </c>
      <c r="B26" s="68"/>
      <c r="C26" s="68"/>
      <c r="D26" s="53"/>
      <c r="H26" s="4" t="s">
        <v>27</v>
      </c>
      <c r="I26" s="4"/>
      <c r="J26" s="62">
        <f>66+72+68+62+66+58+59+11+70+89+85+85+92+89+92+100</f>
        <v>1164</v>
      </c>
      <c r="K26" s="1" t="s">
        <v>16</v>
      </c>
    </row>
    <row r="27" spans="1:11" ht="15" thickBot="1" x14ac:dyDescent="0.2">
      <c r="A27" s="69"/>
      <c r="B27" s="69"/>
      <c r="C27" s="69"/>
      <c r="D27" s="69"/>
      <c r="E27" s="70"/>
      <c r="F27" s="70"/>
      <c r="G27" s="69"/>
      <c r="H27" s="71" t="s">
        <v>28</v>
      </c>
      <c r="I27" s="71"/>
      <c r="J27" s="72">
        <v>85.17</v>
      </c>
      <c r="K27" s="73" t="s">
        <v>29</v>
      </c>
    </row>
    <row r="28" spans="1:11" x14ac:dyDescent="0.15">
      <c r="J28" s="2" t="s">
        <v>3</v>
      </c>
    </row>
    <row r="29" spans="1:11" hidden="1" x14ac:dyDescent="0.15">
      <c r="K29" s="2" t="s">
        <v>30</v>
      </c>
    </row>
    <row r="30" spans="1:11" hidden="1" x14ac:dyDescent="0.15">
      <c r="K30" s="2" t="s">
        <v>31</v>
      </c>
    </row>
    <row r="31" spans="1:11" hidden="1" x14ac:dyDescent="0.15">
      <c r="K31" s="2" t="s">
        <v>32</v>
      </c>
    </row>
    <row r="32" spans="1:11" hidden="1" x14ac:dyDescent="0.15">
      <c r="K32" s="2" t="s">
        <v>33</v>
      </c>
    </row>
    <row r="33" spans="9:11" hidden="1" x14ac:dyDescent="0.15">
      <c r="K33" s="2" t="s">
        <v>34</v>
      </c>
    </row>
    <row r="34" spans="9:11" hidden="1" x14ac:dyDescent="0.15">
      <c r="K34" s="2" t="s">
        <v>35</v>
      </c>
    </row>
    <row r="35" spans="9:11" hidden="1" x14ac:dyDescent="0.15">
      <c r="K35" s="2" t="s">
        <v>36</v>
      </c>
    </row>
    <row r="36" spans="9:11" hidden="1" x14ac:dyDescent="0.15">
      <c r="K36" s="2" t="s">
        <v>37</v>
      </c>
    </row>
    <row r="37" spans="9:11" hidden="1" x14ac:dyDescent="0.15">
      <c r="K37" s="2" t="s">
        <v>38</v>
      </c>
    </row>
    <row r="38" spans="9:11" hidden="1" x14ac:dyDescent="0.15">
      <c r="K38" s="2" t="s">
        <v>39</v>
      </c>
    </row>
    <row r="39" spans="9:11" hidden="1" x14ac:dyDescent="0.15">
      <c r="K39" s="2" t="s">
        <v>40</v>
      </c>
    </row>
    <row r="40" spans="9:11" hidden="1" x14ac:dyDescent="0.15">
      <c r="K40" s="2" t="s">
        <v>41</v>
      </c>
    </row>
    <row r="41" spans="9:11" ht="30" hidden="1" x14ac:dyDescent="0.15">
      <c r="I41" s="74" t="s">
        <v>42</v>
      </c>
      <c r="K41" s="2" t="s">
        <v>43</v>
      </c>
    </row>
    <row r="42" spans="9:11" ht="15" hidden="1" x14ac:dyDescent="0.15">
      <c r="I42" s="74" t="s">
        <v>44</v>
      </c>
      <c r="K42" s="2" t="s">
        <v>45</v>
      </c>
    </row>
    <row r="43" spans="9:11" hidden="1" x14ac:dyDescent="0.15">
      <c r="I43" s="75" t="s">
        <v>46</v>
      </c>
      <c r="K43" s="2" t="s">
        <v>47</v>
      </c>
    </row>
    <row r="44" spans="9:11" hidden="1" x14ac:dyDescent="0.15">
      <c r="I44" s="2" t="s">
        <v>48</v>
      </c>
      <c r="K44" s="2" t="s">
        <v>49</v>
      </c>
    </row>
    <row r="45" spans="9:11" hidden="1" x14ac:dyDescent="0.15">
      <c r="I45" s="2" t="s">
        <v>50</v>
      </c>
      <c r="K45" s="2" t="s">
        <v>51</v>
      </c>
    </row>
    <row r="46" spans="9:11" hidden="1" x14ac:dyDescent="0.15">
      <c r="I46" s="2" t="s">
        <v>52</v>
      </c>
      <c r="K46" s="2" t="s">
        <v>53</v>
      </c>
    </row>
    <row r="47" spans="9:11" hidden="1" x14ac:dyDescent="0.15">
      <c r="I47" s="2" t="s">
        <v>54</v>
      </c>
      <c r="K47" s="2" t="s">
        <v>55</v>
      </c>
    </row>
    <row r="48" spans="9:11" hidden="1" x14ac:dyDescent="0.15">
      <c r="I48" s="2" t="s">
        <v>56</v>
      </c>
      <c r="K48" s="2" t="s">
        <v>57</v>
      </c>
    </row>
    <row r="49" spans="9:11" hidden="1" x14ac:dyDescent="0.15">
      <c r="I49" s="2" t="s">
        <v>58</v>
      </c>
      <c r="K49" s="2" t="s">
        <v>59</v>
      </c>
    </row>
    <row r="50" spans="9:11" hidden="1" x14ac:dyDescent="0.15">
      <c r="I50" s="2" t="s">
        <v>60</v>
      </c>
      <c r="K50" s="2" t="s">
        <v>61</v>
      </c>
    </row>
    <row r="51" spans="9:11" hidden="1" x14ac:dyDescent="0.15">
      <c r="K51" s="2" t="s">
        <v>62</v>
      </c>
    </row>
    <row r="52" spans="9:11" hidden="1" x14ac:dyDescent="0.15">
      <c r="K52" s="2" t="s">
        <v>63</v>
      </c>
    </row>
    <row r="53" spans="9:11" hidden="1" x14ac:dyDescent="0.15">
      <c r="K53" s="2" t="s">
        <v>64</v>
      </c>
    </row>
    <row r="54" spans="9:11" hidden="1" x14ac:dyDescent="0.15">
      <c r="K54" s="2" t="s">
        <v>65</v>
      </c>
    </row>
    <row r="55" spans="9:11" hidden="1" x14ac:dyDescent="0.15">
      <c r="K55" s="2" t="s">
        <v>66</v>
      </c>
    </row>
    <row r="56" spans="9:11" hidden="1" x14ac:dyDescent="0.15">
      <c r="K56" s="2" t="s">
        <v>67</v>
      </c>
    </row>
    <row r="57" spans="9:11" hidden="1" x14ac:dyDescent="0.15">
      <c r="K57" s="2" t="s">
        <v>68</v>
      </c>
    </row>
    <row r="58" spans="9:11" hidden="1" x14ac:dyDescent="0.15">
      <c r="K58" s="2" t="s">
        <v>69</v>
      </c>
    </row>
    <row r="59" spans="9:11" hidden="1" x14ac:dyDescent="0.15">
      <c r="K59" s="2" t="s">
        <v>70</v>
      </c>
    </row>
    <row r="60" spans="9:11" hidden="1" x14ac:dyDescent="0.15">
      <c r="K60" s="2" t="s">
        <v>71</v>
      </c>
    </row>
    <row r="61" spans="9:11" hidden="1" x14ac:dyDescent="0.15">
      <c r="K61" s="2" t="s">
        <v>72</v>
      </c>
    </row>
    <row r="62" spans="9:11" hidden="1" x14ac:dyDescent="0.15">
      <c r="K62" s="2" t="s">
        <v>73</v>
      </c>
    </row>
    <row r="63" spans="9:11" hidden="1" x14ac:dyDescent="0.15">
      <c r="K63" s="2" t="s">
        <v>67</v>
      </c>
    </row>
    <row r="64" spans="9:11" hidden="1" x14ac:dyDescent="0.15">
      <c r="K64" s="2" t="s">
        <v>74</v>
      </c>
    </row>
    <row r="65" spans="11:11" hidden="1" x14ac:dyDescent="0.15">
      <c r="K65" s="2" t="s">
        <v>75</v>
      </c>
    </row>
    <row r="66" spans="11:11" hidden="1" x14ac:dyDescent="0.15">
      <c r="K66" s="2" t="s">
        <v>76</v>
      </c>
    </row>
    <row r="67" spans="11:11" hidden="1" x14ac:dyDescent="0.15">
      <c r="K67" s="2" t="s">
        <v>77</v>
      </c>
    </row>
    <row r="68" spans="11:11" hidden="1" x14ac:dyDescent="0.15">
      <c r="K68" s="2" t="s">
        <v>78</v>
      </c>
    </row>
    <row r="69" spans="11:11" hidden="1" x14ac:dyDescent="0.15">
      <c r="K69" s="2" t="s">
        <v>79</v>
      </c>
    </row>
    <row r="70" spans="11:11" hidden="1" x14ac:dyDescent="0.15">
      <c r="K70" s="2" t="s">
        <v>80</v>
      </c>
    </row>
    <row r="71" spans="11:11" hidden="1" x14ac:dyDescent="0.15">
      <c r="K71" s="2" t="s">
        <v>81</v>
      </c>
    </row>
    <row r="72" spans="11:11" hidden="1" x14ac:dyDescent="0.15">
      <c r="K72" s="2" t="s">
        <v>82</v>
      </c>
    </row>
    <row r="73" spans="11:11" hidden="1" x14ac:dyDescent="0.15">
      <c r="K73" s="2" t="s">
        <v>83</v>
      </c>
    </row>
    <row r="74" spans="11:11" hidden="1" x14ac:dyDescent="0.15">
      <c r="K74" s="2" t="s">
        <v>84</v>
      </c>
    </row>
    <row r="75" spans="11:11" hidden="1" x14ac:dyDescent="0.15">
      <c r="K75" s="2" t="s">
        <v>85</v>
      </c>
    </row>
    <row r="76" spans="11:11" hidden="1" x14ac:dyDescent="0.15">
      <c r="K76" s="2" t="s">
        <v>86</v>
      </c>
    </row>
    <row r="77" spans="11:11" hidden="1" x14ac:dyDescent="0.15">
      <c r="K77" s="2" t="s">
        <v>87</v>
      </c>
    </row>
    <row r="78" spans="11:11" hidden="1" x14ac:dyDescent="0.15">
      <c r="K78" s="2" t="s">
        <v>88</v>
      </c>
    </row>
    <row r="79" spans="11:11" hidden="1" x14ac:dyDescent="0.15">
      <c r="K79" s="2" t="s">
        <v>89</v>
      </c>
    </row>
    <row r="80" spans="11:11" hidden="1" x14ac:dyDescent="0.15">
      <c r="K80" s="2" t="s">
        <v>90</v>
      </c>
    </row>
    <row r="81" spans="11:11" hidden="1" x14ac:dyDescent="0.15">
      <c r="K81" s="2" t="s">
        <v>91</v>
      </c>
    </row>
    <row r="82" spans="11:11" hidden="1" x14ac:dyDescent="0.15">
      <c r="K82" s="2" t="s">
        <v>92</v>
      </c>
    </row>
    <row r="83" spans="11:11" hidden="1" x14ac:dyDescent="0.15">
      <c r="K83" s="2" t="s">
        <v>93</v>
      </c>
    </row>
    <row r="84" spans="11:11" hidden="1" x14ac:dyDescent="0.15">
      <c r="K84" s="2" t="s">
        <v>94</v>
      </c>
    </row>
    <row r="85" spans="11:11" hidden="1" x14ac:dyDescent="0.15">
      <c r="K85" s="2" t="s">
        <v>47</v>
      </c>
    </row>
  </sheetData>
  <dataValidations count="3">
    <dataValidation type="list" allowBlank="1" showInputMessage="1" showErrorMessage="1" sqref="B16:B19" xr:uid="{2E14A92D-D373-4A94-84EB-C07000EA3924}">
      <formula1>$K$29:$K$85</formula1>
    </dataValidation>
    <dataValidation type="list" allowBlank="1" showInputMessage="1" showErrorMessage="1" sqref="B20:B21" xr:uid="{EC000679-393F-4A3F-9B2B-F7AD528B8E36}">
      <formula1>$K$29:$K$40</formula1>
    </dataValidation>
    <dataValidation type="list" allowBlank="1" showInputMessage="1" showErrorMessage="1" sqref="I50 K15:K21" xr:uid="{4B1A0750-0C17-4A76-ABCE-F93CAEBB9647}">
      <formula1>$I$41:$I$50</formula1>
    </dataValidation>
  </dataValidation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C37133-54B1-470B-99CD-F0295230A2AD}">
  <dimension ref="A1:K85"/>
  <sheetViews>
    <sheetView workbookViewId="0">
      <selection sqref="A1:XFD1048576"/>
    </sheetView>
  </sheetViews>
  <sheetFormatPr baseColWidth="10" defaultColWidth="9.1640625" defaultRowHeight="14" x14ac:dyDescent="0.15"/>
  <cols>
    <col min="1" max="1" width="5.1640625" style="2" customWidth="1"/>
    <col min="2" max="2" width="22.5" style="2" customWidth="1"/>
    <col min="3" max="3" width="6.1640625" style="2" customWidth="1"/>
    <col min="4" max="4" width="12.5" style="2" bestFit="1" customWidth="1"/>
    <col min="5" max="5" width="9.83203125" style="2" customWidth="1"/>
    <col min="6" max="6" width="9.33203125" style="2" bestFit="1" customWidth="1"/>
    <col min="7" max="7" width="8.6640625" style="2" customWidth="1"/>
    <col min="8" max="8" width="9.5" style="2" bestFit="1" customWidth="1"/>
    <col min="9" max="9" width="17.83203125" style="2" bestFit="1" customWidth="1"/>
    <col min="10" max="10" width="10.33203125" style="2" bestFit="1" customWidth="1"/>
    <col min="11" max="11" width="75" style="2" bestFit="1" customWidth="1"/>
    <col min="12" max="16384" width="9.1640625" style="2"/>
  </cols>
  <sheetData>
    <row r="1" spans="1:11" x14ac:dyDescent="0.15">
      <c r="A1" s="1" t="s">
        <v>0</v>
      </c>
      <c r="I1" s="3"/>
    </row>
    <row r="2" spans="1:11" x14ac:dyDescent="0.15">
      <c r="J2" s="4"/>
    </row>
    <row r="3" spans="1:11" x14ac:dyDescent="0.15">
      <c r="A3" s="3" t="s">
        <v>1</v>
      </c>
      <c r="I3" s="1"/>
      <c r="J3" s="1"/>
    </row>
    <row r="4" spans="1:11" x14ac:dyDescent="0.15">
      <c r="A4" s="3"/>
      <c r="I4" s="4" t="s">
        <v>2</v>
      </c>
      <c r="J4" s="76">
        <v>45795</v>
      </c>
    </row>
    <row r="5" spans="1:11" x14ac:dyDescent="0.15">
      <c r="J5" s="2" t="s">
        <v>3</v>
      </c>
    </row>
    <row r="6" spans="1:11" ht="30" x14ac:dyDescent="0.15">
      <c r="A6" s="5" t="s">
        <v>4</v>
      </c>
      <c r="B6" s="5" t="s">
        <v>5</v>
      </c>
      <c r="C6" s="5" t="s">
        <v>6</v>
      </c>
      <c r="D6" s="5" t="s">
        <v>7</v>
      </c>
      <c r="E6" s="5" t="s">
        <v>8</v>
      </c>
      <c r="F6" s="5" t="s">
        <v>9</v>
      </c>
      <c r="G6" s="6" t="s">
        <v>10</v>
      </c>
      <c r="H6" s="6" t="s">
        <v>11</v>
      </c>
      <c r="I6" s="6" t="s">
        <v>12</v>
      </c>
      <c r="J6" s="7"/>
      <c r="K6" s="5" t="s">
        <v>13</v>
      </c>
    </row>
    <row r="7" spans="1:11" ht="30" x14ac:dyDescent="0.15">
      <c r="A7" s="6"/>
      <c r="B7" s="8"/>
      <c r="C7" s="5"/>
      <c r="D7" s="5" t="s">
        <v>14</v>
      </c>
      <c r="E7" s="5" t="s">
        <v>15</v>
      </c>
      <c r="F7" s="9" t="s">
        <v>16</v>
      </c>
      <c r="G7" s="9" t="s">
        <v>15</v>
      </c>
      <c r="H7" s="9" t="s">
        <v>17</v>
      </c>
      <c r="I7" s="5" t="s">
        <v>18</v>
      </c>
      <c r="J7" s="9" t="s">
        <v>19</v>
      </c>
      <c r="K7" s="9"/>
    </row>
    <row r="8" spans="1:11" ht="16" x14ac:dyDescent="0.2">
      <c r="A8" s="10"/>
      <c r="B8" s="11"/>
      <c r="C8" s="12"/>
      <c r="D8" s="11"/>
      <c r="E8" s="11"/>
      <c r="F8" s="10"/>
      <c r="G8" s="10"/>
      <c r="H8" s="10"/>
      <c r="I8" s="10"/>
      <c r="J8" s="13"/>
      <c r="K8" s="10"/>
    </row>
    <row r="9" spans="1:11" ht="17" x14ac:dyDescent="0.15">
      <c r="A9" s="192">
        <v>1</v>
      </c>
      <c r="B9" s="187" t="s">
        <v>260</v>
      </c>
      <c r="C9" s="188">
        <v>34</v>
      </c>
      <c r="D9" s="15">
        <v>2.85</v>
      </c>
      <c r="E9" s="193">
        <v>778</v>
      </c>
      <c r="F9" s="189">
        <v>79</v>
      </c>
      <c r="G9" s="16">
        <f t="shared" ref="G9:G10" si="0">E9*F9</f>
        <v>61462</v>
      </c>
      <c r="H9" s="17">
        <f t="shared" ref="H9:H10" si="1">F9*C9</f>
        <v>2686</v>
      </c>
      <c r="I9" s="211" t="s">
        <v>20</v>
      </c>
      <c r="J9" s="212">
        <v>2.0833333333333332E-2</v>
      </c>
      <c r="K9" s="213" t="s">
        <v>265</v>
      </c>
    </row>
    <row r="10" spans="1:11" ht="17" x14ac:dyDescent="0.15">
      <c r="A10" s="23">
        <v>2</v>
      </c>
      <c r="B10" s="187" t="s">
        <v>260</v>
      </c>
      <c r="C10" s="188">
        <v>36</v>
      </c>
      <c r="D10" s="15">
        <v>2.85</v>
      </c>
      <c r="E10" s="193">
        <v>731</v>
      </c>
      <c r="F10" s="189">
        <v>21</v>
      </c>
      <c r="G10" s="16">
        <f t="shared" si="0"/>
        <v>15351</v>
      </c>
      <c r="H10" s="17">
        <f t="shared" si="1"/>
        <v>756</v>
      </c>
      <c r="I10" s="214" t="s">
        <v>44</v>
      </c>
      <c r="J10" s="215">
        <v>6.9444444444444441E-3</v>
      </c>
      <c r="K10" s="216" t="s">
        <v>44</v>
      </c>
    </row>
    <row r="11" spans="1:11" ht="16" x14ac:dyDescent="0.15">
      <c r="A11" s="192"/>
      <c r="B11" s="187"/>
      <c r="C11" s="188"/>
      <c r="D11" s="15"/>
      <c r="E11" s="193"/>
      <c r="F11" s="207"/>
      <c r="G11" s="16"/>
      <c r="H11" s="17"/>
      <c r="I11" s="217" t="s">
        <v>247</v>
      </c>
      <c r="J11" s="215">
        <v>2.7777777777777776E-2</v>
      </c>
      <c r="K11" s="216" t="s">
        <v>266</v>
      </c>
    </row>
    <row r="12" spans="1:11" ht="19.25" customHeight="1" x14ac:dyDescent="0.15">
      <c r="A12" s="23"/>
      <c r="B12" s="187"/>
      <c r="C12" s="208"/>
      <c r="D12" s="15"/>
      <c r="E12" s="209"/>
      <c r="F12" s="210"/>
      <c r="G12" s="16"/>
      <c r="H12" s="17"/>
      <c r="I12" s="217"/>
      <c r="J12" s="215"/>
      <c r="K12" s="216"/>
    </row>
    <row r="13" spans="1:11" ht="16" x14ac:dyDescent="0.15">
      <c r="A13" s="219"/>
      <c r="B13" s="187"/>
      <c r="C13" s="208"/>
      <c r="D13" s="15"/>
      <c r="E13" s="209"/>
      <c r="F13" s="210"/>
      <c r="G13" s="16"/>
      <c r="H13" s="17"/>
      <c r="I13" s="217"/>
      <c r="J13" s="215"/>
      <c r="K13" s="216"/>
    </row>
    <row r="14" spans="1:11" ht="16" x14ac:dyDescent="0.15">
      <c r="A14" s="192"/>
      <c r="B14" s="187"/>
      <c r="C14" s="220"/>
      <c r="D14" s="11"/>
      <c r="E14" s="221"/>
      <c r="F14" s="222"/>
      <c r="G14" s="16"/>
      <c r="H14" s="17"/>
      <c r="I14" s="28"/>
      <c r="J14" s="37"/>
      <c r="K14" s="30"/>
    </row>
    <row r="15" spans="1:11" ht="16" x14ac:dyDescent="0.2">
      <c r="A15" s="38"/>
      <c r="B15" s="39"/>
      <c r="C15" s="40"/>
      <c r="D15" s="11"/>
      <c r="E15" s="25"/>
      <c r="F15" s="40"/>
      <c r="G15" s="27"/>
      <c r="H15" s="12"/>
      <c r="I15" s="41"/>
      <c r="J15" s="37"/>
      <c r="K15" s="30"/>
    </row>
    <row r="16" spans="1:11" ht="16" x14ac:dyDescent="0.2">
      <c r="A16" s="38"/>
      <c r="B16" s="39"/>
      <c r="C16" s="40"/>
      <c r="D16" s="11"/>
      <c r="E16" s="32"/>
      <c r="F16" s="40"/>
      <c r="G16" s="27"/>
      <c r="H16" s="12"/>
      <c r="I16" s="41"/>
      <c r="J16" s="37"/>
      <c r="K16" s="42"/>
    </row>
    <row r="17" spans="1:11" ht="16" x14ac:dyDescent="0.2">
      <c r="A17" s="38"/>
      <c r="B17" s="39"/>
      <c r="C17" s="40"/>
      <c r="D17" s="11"/>
      <c r="E17" s="32"/>
      <c r="F17" s="40"/>
      <c r="G17" s="27"/>
      <c r="H17" s="12"/>
      <c r="I17" s="41"/>
      <c r="J17" s="37"/>
      <c r="K17" s="42"/>
    </row>
    <row r="18" spans="1:11" ht="16" x14ac:dyDescent="0.2">
      <c r="A18" s="43"/>
      <c r="B18" s="44"/>
      <c r="C18" s="40"/>
      <c r="D18" s="11"/>
      <c r="E18" s="45"/>
      <c r="F18" s="46"/>
      <c r="G18" s="27"/>
      <c r="H18" s="12"/>
      <c r="I18" s="10"/>
      <c r="J18" s="13"/>
      <c r="K18" s="10"/>
    </row>
    <row r="19" spans="1:11" x14ac:dyDescent="0.15">
      <c r="A19" s="47"/>
      <c r="B19" s="48"/>
      <c r="C19" s="49"/>
      <c r="D19" s="50"/>
      <c r="E19" s="47"/>
      <c r="F19" s="49"/>
      <c r="G19" s="51"/>
      <c r="H19" s="49"/>
      <c r="I19" s="48"/>
      <c r="J19" s="52"/>
      <c r="K19" s="48"/>
    </row>
    <row r="20" spans="1:11" x14ac:dyDescent="0.15">
      <c r="A20" s="47"/>
      <c r="B20" s="48"/>
      <c r="C20" s="49"/>
      <c r="D20" s="50"/>
      <c r="E20" s="47"/>
      <c r="F20" s="49"/>
      <c r="G20" s="51"/>
      <c r="H20" s="49"/>
      <c r="I20" s="48"/>
      <c r="J20" s="52"/>
      <c r="K20" s="48"/>
    </row>
    <row r="21" spans="1:11" x14ac:dyDescent="0.15">
      <c r="A21" s="47"/>
      <c r="B21" s="48"/>
      <c r="C21" s="53"/>
      <c r="D21" s="47"/>
      <c r="E21" s="52"/>
      <c r="F21" s="53"/>
      <c r="G21" s="51"/>
      <c r="H21" s="49"/>
      <c r="I21" s="48"/>
      <c r="J21" s="52"/>
      <c r="K21" s="48"/>
    </row>
    <row r="22" spans="1:11" x14ac:dyDescent="0.15">
      <c r="A22" s="54"/>
      <c r="B22" s="55"/>
      <c r="C22" s="56"/>
      <c r="D22" s="56"/>
      <c r="E22" s="57" t="s">
        <v>21</v>
      </c>
      <c r="F22" s="58">
        <f>SUM(F9:F21)</f>
        <v>100</v>
      </c>
      <c r="G22" s="59">
        <f>SUM(G9:G21)/F22</f>
        <v>768.13</v>
      </c>
      <c r="H22" s="60">
        <f>SUM(H9:H21)/F22</f>
        <v>34.42</v>
      </c>
      <c r="I22" s="61" t="s">
        <v>22</v>
      </c>
      <c r="J22" s="186">
        <v>5.5555555555555552E-2</v>
      </c>
      <c r="K22" s="55"/>
    </row>
    <row r="23" spans="1:11" x14ac:dyDescent="0.15">
      <c r="E23" s="62"/>
      <c r="F23" s="63"/>
      <c r="I23" s="64" t="s">
        <v>23</v>
      </c>
      <c r="J23" s="65">
        <v>1.33</v>
      </c>
    </row>
    <row r="24" spans="1:11" x14ac:dyDescent="0.15">
      <c r="A24" s="1"/>
      <c r="I24" s="66"/>
      <c r="J24" s="67"/>
    </row>
    <row r="25" spans="1:11" x14ac:dyDescent="0.15">
      <c r="A25" s="68" t="s">
        <v>24</v>
      </c>
      <c r="B25" s="68"/>
      <c r="C25" s="68"/>
      <c r="D25" s="53"/>
      <c r="H25" s="4" t="s">
        <v>25</v>
      </c>
      <c r="I25" s="4"/>
      <c r="J25" s="62">
        <f>F22</f>
        <v>100</v>
      </c>
      <c r="K25" s="1" t="s">
        <v>16</v>
      </c>
    </row>
    <row r="26" spans="1:11" x14ac:dyDescent="0.15">
      <c r="A26" s="68" t="s">
        <v>26</v>
      </c>
      <c r="B26" s="68"/>
      <c r="C26" s="68"/>
      <c r="D26" s="53"/>
      <c r="H26" s="4" t="s">
        <v>27</v>
      </c>
      <c r="I26" s="4"/>
      <c r="J26" s="62">
        <f>66+72+68+62+66+58+59+11+70+89+85+85+92+89+92+100+100</f>
        <v>1264</v>
      </c>
      <c r="K26" s="1" t="s">
        <v>16</v>
      </c>
    </row>
    <row r="27" spans="1:11" ht="15" thickBot="1" x14ac:dyDescent="0.2">
      <c r="A27" s="69"/>
      <c r="B27" s="69"/>
      <c r="C27" s="69"/>
      <c r="D27" s="69"/>
      <c r="E27" s="70"/>
      <c r="F27" s="70"/>
      <c r="G27" s="69"/>
      <c r="H27" s="71" t="s">
        <v>28</v>
      </c>
      <c r="I27" s="71"/>
      <c r="J27" s="72">
        <v>86.5</v>
      </c>
      <c r="K27" s="73" t="s">
        <v>29</v>
      </c>
    </row>
    <row r="28" spans="1:11" x14ac:dyDescent="0.15">
      <c r="J28" s="2" t="s">
        <v>3</v>
      </c>
    </row>
    <row r="29" spans="1:11" hidden="1" x14ac:dyDescent="0.15">
      <c r="K29" s="2" t="s">
        <v>30</v>
      </c>
    </row>
    <row r="30" spans="1:11" hidden="1" x14ac:dyDescent="0.15">
      <c r="K30" s="2" t="s">
        <v>31</v>
      </c>
    </row>
    <row r="31" spans="1:11" hidden="1" x14ac:dyDescent="0.15">
      <c r="K31" s="2" t="s">
        <v>32</v>
      </c>
    </row>
    <row r="32" spans="1:11" hidden="1" x14ac:dyDescent="0.15">
      <c r="K32" s="2" t="s">
        <v>33</v>
      </c>
    </row>
    <row r="33" spans="9:11" hidden="1" x14ac:dyDescent="0.15">
      <c r="K33" s="2" t="s">
        <v>34</v>
      </c>
    </row>
    <row r="34" spans="9:11" hidden="1" x14ac:dyDescent="0.15">
      <c r="K34" s="2" t="s">
        <v>35</v>
      </c>
    </row>
    <row r="35" spans="9:11" hidden="1" x14ac:dyDescent="0.15">
      <c r="K35" s="2" t="s">
        <v>36</v>
      </c>
    </row>
    <row r="36" spans="9:11" hidden="1" x14ac:dyDescent="0.15">
      <c r="K36" s="2" t="s">
        <v>37</v>
      </c>
    </row>
    <row r="37" spans="9:11" hidden="1" x14ac:dyDescent="0.15">
      <c r="K37" s="2" t="s">
        <v>38</v>
      </c>
    </row>
    <row r="38" spans="9:11" hidden="1" x14ac:dyDescent="0.15">
      <c r="K38" s="2" t="s">
        <v>39</v>
      </c>
    </row>
    <row r="39" spans="9:11" hidden="1" x14ac:dyDescent="0.15">
      <c r="K39" s="2" t="s">
        <v>40</v>
      </c>
    </row>
    <row r="40" spans="9:11" hidden="1" x14ac:dyDescent="0.15">
      <c r="K40" s="2" t="s">
        <v>41</v>
      </c>
    </row>
    <row r="41" spans="9:11" ht="30" hidden="1" x14ac:dyDescent="0.15">
      <c r="I41" s="74" t="s">
        <v>42</v>
      </c>
      <c r="K41" s="2" t="s">
        <v>43</v>
      </c>
    </row>
    <row r="42" spans="9:11" ht="15" hidden="1" x14ac:dyDescent="0.15">
      <c r="I42" s="74" t="s">
        <v>44</v>
      </c>
      <c r="K42" s="2" t="s">
        <v>45</v>
      </c>
    </row>
    <row r="43" spans="9:11" hidden="1" x14ac:dyDescent="0.15">
      <c r="I43" s="75" t="s">
        <v>46</v>
      </c>
      <c r="K43" s="2" t="s">
        <v>47</v>
      </c>
    </row>
    <row r="44" spans="9:11" hidden="1" x14ac:dyDescent="0.15">
      <c r="I44" s="2" t="s">
        <v>48</v>
      </c>
      <c r="K44" s="2" t="s">
        <v>49</v>
      </c>
    </row>
    <row r="45" spans="9:11" hidden="1" x14ac:dyDescent="0.15">
      <c r="I45" s="2" t="s">
        <v>50</v>
      </c>
      <c r="K45" s="2" t="s">
        <v>51</v>
      </c>
    </row>
    <row r="46" spans="9:11" hidden="1" x14ac:dyDescent="0.15">
      <c r="I46" s="2" t="s">
        <v>52</v>
      </c>
      <c r="K46" s="2" t="s">
        <v>53</v>
      </c>
    </row>
    <row r="47" spans="9:11" hidden="1" x14ac:dyDescent="0.15">
      <c r="I47" s="2" t="s">
        <v>54</v>
      </c>
      <c r="K47" s="2" t="s">
        <v>55</v>
      </c>
    </row>
    <row r="48" spans="9:11" hidden="1" x14ac:dyDescent="0.15">
      <c r="I48" s="2" t="s">
        <v>56</v>
      </c>
      <c r="K48" s="2" t="s">
        <v>57</v>
      </c>
    </row>
    <row r="49" spans="9:11" hidden="1" x14ac:dyDescent="0.15">
      <c r="I49" s="2" t="s">
        <v>58</v>
      </c>
      <c r="K49" s="2" t="s">
        <v>59</v>
      </c>
    </row>
    <row r="50" spans="9:11" hidden="1" x14ac:dyDescent="0.15">
      <c r="I50" s="2" t="s">
        <v>60</v>
      </c>
      <c r="K50" s="2" t="s">
        <v>61</v>
      </c>
    </row>
    <row r="51" spans="9:11" hidden="1" x14ac:dyDescent="0.15">
      <c r="K51" s="2" t="s">
        <v>62</v>
      </c>
    </row>
    <row r="52" spans="9:11" hidden="1" x14ac:dyDescent="0.15">
      <c r="K52" s="2" t="s">
        <v>63</v>
      </c>
    </row>
    <row r="53" spans="9:11" hidden="1" x14ac:dyDescent="0.15">
      <c r="K53" s="2" t="s">
        <v>64</v>
      </c>
    </row>
    <row r="54" spans="9:11" hidden="1" x14ac:dyDescent="0.15">
      <c r="K54" s="2" t="s">
        <v>65</v>
      </c>
    </row>
    <row r="55" spans="9:11" hidden="1" x14ac:dyDescent="0.15">
      <c r="K55" s="2" t="s">
        <v>66</v>
      </c>
    </row>
    <row r="56" spans="9:11" hidden="1" x14ac:dyDescent="0.15">
      <c r="K56" s="2" t="s">
        <v>67</v>
      </c>
    </row>
    <row r="57" spans="9:11" hidden="1" x14ac:dyDescent="0.15">
      <c r="K57" s="2" t="s">
        <v>68</v>
      </c>
    </row>
    <row r="58" spans="9:11" hidden="1" x14ac:dyDescent="0.15">
      <c r="K58" s="2" t="s">
        <v>69</v>
      </c>
    </row>
    <row r="59" spans="9:11" hidden="1" x14ac:dyDescent="0.15">
      <c r="K59" s="2" t="s">
        <v>70</v>
      </c>
    </row>
    <row r="60" spans="9:11" hidden="1" x14ac:dyDescent="0.15">
      <c r="K60" s="2" t="s">
        <v>71</v>
      </c>
    </row>
    <row r="61" spans="9:11" hidden="1" x14ac:dyDescent="0.15">
      <c r="K61" s="2" t="s">
        <v>72</v>
      </c>
    </row>
    <row r="62" spans="9:11" hidden="1" x14ac:dyDescent="0.15">
      <c r="K62" s="2" t="s">
        <v>73</v>
      </c>
    </row>
    <row r="63" spans="9:11" hidden="1" x14ac:dyDescent="0.15">
      <c r="K63" s="2" t="s">
        <v>67</v>
      </c>
    </row>
    <row r="64" spans="9:11" hidden="1" x14ac:dyDescent="0.15">
      <c r="K64" s="2" t="s">
        <v>74</v>
      </c>
    </row>
    <row r="65" spans="11:11" hidden="1" x14ac:dyDescent="0.15">
      <c r="K65" s="2" t="s">
        <v>75</v>
      </c>
    </row>
    <row r="66" spans="11:11" hidden="1" x14ac:dyDescent="0.15">
      <c r="K66" s="2" t="s">
        <v>76</v>
      </c>
    </row>
    <row r="67" spans="11:11" hidden="1" x14ac:dyDescent="0.15">
      <c r="K67" s="2" t="s">
        <v>77</v>
      </c>
    </row>
    <row r="68" spans="11:11" hidden="1" x14ac:dyDescent="0.15">
      <c r="K68" s="2" t="s">
        <v>78</v>
      </c>
    </row>
    <row r="69" spans="11:11" hidden="1" x14ac:dyDescent="0.15">
      <c r="K69" s="2" t="s">
        <v>79</v>
      </c>
    </row>
    <row r="70" spans="11:11" hidden="1" x14ac:dyDescent="0.15">
      <c r="K70" s="2" t="s">
        <v>80</v>
      </c>
    </row>
    <row r="71" spans="11:11" hidden="1" x14ac:dyDescent="0.15">
      <c r="K71" s="2" t="s">
        <v>81</v>
      </c>
    </row>
    <row r="72" spans="11:11" hidden="1" x14ac:dyDescent="0.15">
      <c r="K72" s="2" t="s">
        <v>82</v>
      </c>
    </row>
    <row r="73" spans="11:11" hidden="1" x14ac:dyDescent="0.15">
      <c r="K73" s="2" t="s">
        <v>83</v>
      </c>
    </row>
    <row r="74" spans="11:11" hidden="1" x14ac:dyDescent="0.15">
      <c r="K74" s="2" t="s">
        <v>84</v>
      </c>
    </row>
    <row r="75" spans="11:11" hidden="1" x14ac:dyDescent="0.15">
      <c r="K75" s="2" t="s">
        <v>85</v>
      </c>
    </row>
    <row r="76" spans="11:11" hidden="1" x14ac:dyDescent="0.15">
      <c r="K76" s="2" t="s">
        <v>86</v>
      </c>
    </row>
    <row r="77" spans="11:11" hidden="1" x14ac:dyDescent="0.15">
      <c r="K77" s="2" t="s">
        <v>87</v>
      </c>
    </row>
    <row r="78" spans="11:11" hidden="1" x14ac:dyDescent="0.15">
      <c r="K78" s="2" t="s">
        <v>88</v>
      </c>
    </row>
    <row r="79" spans="11:11" hidden="1" x14ac:dyDescent="0.15">
      <c r="K79" s="2" t="s">
        <v>89</v>
      </c>
    </row>
    <row r="80" spans="11:11" hidden="1" x14ac:dyDescent="0.15">
      <c r="K80" s="2" t="s">
        <v>90</v>
      </c>
    </row>
    <row r="81" spans="11:11" hidden="1" x14ac:dyDescent="0.15">
      <c r="K81" s="2" t="s">
        <v>91</v>
      </c>
    </row>
    <row r="82" spans="11:11" hidden="1" x14ac:dyDescent="0.15">
      <c r="K82" s="2" t="s">
        <v>92</v>
      </c>
    </row>
    <row r="83" spans="11:11" hidden="1" x14ac:dyDescent="0.15">
      <c r="K83" s="2" t="s">
        <v>93</v>
      </c>
    </row>
    <row r="84" spans="11:11" hidden="1" x14ac:dyDescent="0.15">
      <c r="K84" s="2" t="s">
        <v>94</v>
      </c>
    </row>
    <row r="85" spans="11:11" hidden="1" x14ac:dyDescent="0.15">
      <c r="K85" s="2" t="s">
        <v>47</v>
      </c>
    </row>
  </sheetData>
  <dataValidations count="3">
    <dataValidation type="list" allowBlank="1" showInputMessage="1" showErrorMessage="1" sqref="I50 K15:K21" xr:uid="{BB2F0CA0-54F6-411D-BDA0-AB8BBAC1732D}">
      <formula1>$I$41:$I$50</formula1>
    </dataValidation>
    <dataValidation type="list" allowBlank="1" showInputMessage="1" showErrorMessage="1" sqref="B20:B21" xr:uid="{8727840C-04F3-4533-ADFD-052BD259F7F4}">
      <formula1>$K$29:$K$40</formula1>
    </dataValidation>
    <dataValidation type="list" allowBlank="1" showInputMessage="1" showErrorMessage="1" sqref="B16:B19" xr:uid="{BAD68C5E-E56C-407D-9798-8B0FC76E7A7A}">
      <formula1>$K$29:$K$85</formula1>
    </dataValidation>
  </dataValidation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F16525-3C96-4D08-A5C2-942E724921D5}">
  <dimension ref="A1:K85"/>
  <sheetViews>
    <sheetView workbookViewId="0">
      <selection sqref="A1:XFD1048576"/>
    </sheetView>
  </sheetViews>
  <sheetFormatPr baseColWidth="10" defaultColWidth="9.1640625" defaultRowHeight="14" x14ac:dyDescent="0.15"/>
  <cols>
    <col min="1" max="1" width="5.1640625" style="2" customWidth="1"/>
    <col min="2" max="2" width="22.5" style="2" customWidth="1"/>
    <col min="3" max="3" width="6.1640625" style="2" customWidth="1"/>
    <col min="4" max="4" width="12.5" style="2" bestFit="1" customWidth="1"/>
    <col min="5" max="5" width="9.83203125" style="2" customWidth="1"/>
    <col min="6" max="6" width="9.33203125" style="2" bestFit="1" customWidth="1"/>
    <col min="7" max="7" width="8.6640625" style="2" customWidth="1"/>
    <col min="8" max="8" width="9.5" style="2" bestFit="1" customWidth="1"/>
    <col min="9" max="9" width="17.83203125" style="2" bestFit="1" customWidth="1"/>
    <col min="10" max="10" width="10.33203125" style="2" bestFit="1" customWidth="1"/>
    <col min="11" max="11" width="75" style="2" bestFit="1" customWidth="1"/>
    <col min="12" max="16384" width="9.1640625" style="2"/>
  </cols>
  <sheetData>
    <row r="1" spans="1:11" x14ac:dyDescent="0.15">
      <c r="A1" s="1" t="s">
        <v>0</v>
      </c>
      <c r="I1" s="3"/>
    </row>
    <row r="2" spans="1:11" x14ac:dyDescent="0.15">
      <c r="J2" s="4"/>
    </row>
    <row r="3" spans="1:11" x14ac:dyDescent="0.15">
      <c r="A3" s="3" t="s">
        <v>1</v>
      </c>
      <c r="I3" s="1"/>
      <c r="J3" s="1"/>
    </row>
    <row r="4" spans="1:11" x14ac:dyDescent="0.15">
      <c r="A4" s="3"/>
      <c r="I4" s="4" t="s">
        <v>2</v>
      </c>
      <c r="J4" s="76">
        <v>45796</v>
      </c>
    </row>
    <row r="5" spans="1:11" x14ac:dyDescent="0.15">
      <c r="J5" s="2" t="s">
        <v>3</v>
      </c>
    </row>
    <row r="6" spans="1:11" ht="30" x14ac:dyDescent="0.15">
      <c r="A6" s="5" t="s">
        <v>4</v>
      </c>
      <c r="B6" s="5" t="s">
        <v>5</v>
      </c>
      <c r="C6" s="5" t="s">
        <v>6</v>
      </c>
      <c r="D6" s="5" t="s">
        <v>7</v>
      </c>
      <c r="E6" s="5" t="s">
        <v>8</v>
      </c>
      <c r="F6" s="5" t="s">
        <v>9</v>
      </c>
      <c r="G6" s="6" t="s">
        <v>10</v>
      </c>
      <c r="H6" s="6" t="s">
        <v>11</v>
      </c>
      <c r="I6" s="6" t="s">
        <v>12</v>
      </c>
      <c r="J6" s="7"/>
      <c r="K6" s="5" t="s">
        <v>13</v>
      </c>
    </row>
    <row r="7" spans="1:11" ht="30" x14ac:dyDescent="0.15">
      <c r="A7" s="6"/>
      <c r="B7" s="8"/>
      <c r="C7" s="5"/>
      <c r="D7" s="5" t="s">
        <v>14</v>
      </c>
      <c r="E7" s="5" t="s">
        <v>15</v>
      </c>
      <c r="F7" s="9" t="s">
        <v>16</v>
      </c>
      <c r="G7" s="9" t="s">
        <v>15</v>
      </c>
      <c r="H7" s="9" t="s">
        <v>17</v>
      </c>
      <c r="I7" s="5" t="s">
        <v>18</v>
      </c>
      <c r="J7" s="9" t="s">
        <v>19</v>
      </c>
      <c r="K7" s="9"/>
    </row>
    <row r="8" spans="1:11" ht="16" x14ac:dyDescent="0.2">
      <c r="A8" s="10"/>
      <c r="B8" s="11"/>
      <c r="C8" s="12"/>
      <c r="D8" s="11"/>
      <c r="E8" s="11"/>
      <c r="F8" s="10"/>
      <c r="G8" s="10"/>
      <c r="H8" s="10"/>
      <c r="I8" s="10"/>
      <c r="J8" s="13"/>
      <c r="K8" s="10"/>
    </row>
    <row r="9" spans="1:11" ht="17" x14ac:dyDescent="0.15">
      <c r="A9" s="192">
        <v>1</v>
      </c>
      <c r="B9" s="187" t="s">
        <v>260</v>
      </c>
      <c r="C9" s="188">
        <v>20</v>
      </c>
      <c r="D9" s="15">
        <v>2.85</v>
      </c>
      <c r="E9" s="193">
        <v>1318</v>
      </c>
      <c r="F9" s="189">
        <v>14</v>
      </c>
      <c r="G9" s="16">
        <f t="shared" ref="G9:G14" si="0">E9*F9</f>
        <v>18452</v>
      </c>
      <c r="H9" s="17">
        <f t="shared" ref="H9:H14" si="1">F9*C9</f>
        <v>280</v>
      </c>
      <c r="I9" s="211" t="s">
        <v>20</v>
      </c>
      <c r="J9" s="212">
        <v>2.0833333333333332E-2</v>
      </c>
      <c r="K9" s="213" t="s">
        <v>265</v>
      </c>
    </row>
    <row r="10" spans="1:11" ht="17" x14ac:dyDescent="0.15">
      <c r="A10" s="23">
        <v>2</v>
      </c>
      <c r="B10" s="187" t="s">
        <v>260</v>
      </c>
      <c r="C10" s="188">
        <v>22</v>
      </c>
      <c r="D10" s="15">
        <v>2.85</v>
      </c>
      <c r="E10" s="193">
        <v>1198</v>
      </c>
      <c r="F10" s="189">
        <v>11</v>
      </c>
      <c r="G10" s="16">
        <f t="shared" si="0"/>
        <v>13178</v>
      </c>
      <c r="H10" s="17">
        <f t="shared" si="1"/>
        <v>242</v>
      </c>
      <c r="I10" s="214" t="s">
        <v>44</v>
      </c>
      <c r="J10" s="215">
        <v>3.8194444444444448E-2</v>
      </c>
      <c r="K10" s="216" t="s">
        <v>44</v>
      </c>
    </row>
    <row r="11" spans="1:11" ht="17" x14ac:dyDescent="0.15">
      <c r="A11" s="192">
        <v>3</v>
      </c>
      <c r="B11" s="187" t="s">
        <v>260</v>
      </c>
      <c r="C11" s="188">
        <v>24</v>
      </c>
      <c r="D11" s="15">
        <v>2.85</v>
      </c>
      <c r="E11" s="193">
        <v>1101</v>
      </c>
      <c r="F11" s="207">
        <v>18.5</v>
      </c>
      <c r="G11" s="16">
        <f t="shared" si="0"/>
        <v>20368.5</v>
      </c>
      <c r="H11" s="17">
        <f t="shared" si="1"/>
        <v>444</v>
      </c>
      <c r="I11" s="217" t="s">
        <v>247</v>
      </c>
      <c r="J11" s="215">
        <v>1.0416666666666666E-2</v>
      </c>
      <c r="K11" s="216" t="s">
        <v>266</v>
      </c>
    </row>
    <row r="12" spans="1:11" ht="19.25" customHeight="1" x14ac:dyDescent="0.15">
      <c r="A12" s="23">
        <v>4</v>
      </c>
      <c r="B12" s="187" t="s">
        <v>260</v>
      </c>
      <c r="C12" s="208">
        <v>30</v>
      </c>
      <c r="D12" s="15">
        <v>2.85</v>
      </c>
      <c r="E12" s="209">
        <v>895</v>
      </c>
      <c r="F12" s="210">
        <v>24.5</v>
      </c>
      <c r="G12" s="16">
        <f t="shared" si="0"/>
        <v>21927.5</v>
      </c>
      <c r="H12" s="17">
        <f t="shared" si="1"/>
        <v>735</v>
      </c>
      <c r="I12" s="217" t="s">
        <v>230</v>
      </c>
      <c r="J12" s="215">
        <v>1.3888888888888888E-2</v>
      </c>
      <c r="K12" s="216" t="s">
        <v>267</v>
      </c>
    </row>
    <row r="13" spans="1:11" ht="17" x14ac:dyDescent="0.15">
      <c r="A13" s="219">
        <v>5</v>
      </c>
      <c r="B13" s="187" t="s">
        <v>260</v>
      </c>
      <c r="C13" s="208">
        <v>32</v>
      </c>
      <c r="D13" s="15">
        <v>2.85</v>
      </c>
      <c r="E13" s="209">
        <v>834</v>
      </c>
      <c r="F13" s="210">
        <v>26.5</v>
      </c>
      <c r="G13" s="16">
        <f t="shared" si="0"/>
        <v>22101</v>
      </c>
      <c r="H13" s="17">
        <f t="shared" si="1"/>
        <v>848</v>
      </c>
      <c r="I13" s="217" t="s">
        <v>241</v>
      </c>
      <c r="J13" s="215">
        <v>4.1666666666666664E-2</v>
      </c>
      <c r="K13" s="216" t="s">
        <v>242</v>
      </c>
    </row>
    <row r="14" spans="1:11" ht="17" x14ac:dyDescent="0.15">
      <c r="A14" s="192">
        <v>6</v>
      </c>
      <c r="B14" s="187" t="s">
        <v>260</v>
      </c>
      <c r="C14" s="220">
        <v>35</v>
      </c>
      <c r="D14" s="11">
        <v>2.85</v>
      </c>
      <c r="E14" s="221">
        <v>756</v>
      </c>
      <c r="F14" s="222">
        <v>2.5</v>
      </c>
      <c r="G14" s="16">
        <f t="shared" si="0"/>
        <v>1890</v>
      </c>
      <c r="H14" s="17">
        <f t="shared" si="1"/>
        <v>87.5</v>
      </c>
      <c r="I14" s="28"/>
      <c r="J14" s="37"/>
      <c r="K14" s="30"/>
    </row>
    <row r="15" spans="1:11" ht="16" x14ac:dyDescent="0.2">
      <c r="A15" s="38"/>
      <c r="B15" s="39"/>
      <c r="C15" s="40"/>
      <c r="D15" s="11"/>
      <c r="E15" s="25"/>
      <c r="F15" s="40"/>
      <c r="G15" s="27"/>
      <c r="H15" s="12"/>
      <c r="I15" s="41"/>
      <c r="J15" s="37"/>
      <c r="K15" s="30"/>
    </row>
    <row r="16" spans="1:11" ht="16" x14ac:dyDescent="0.2">
      <c r="A16" s="38"/>
      <c r="B16" s="39"/>
      <c r="C16" s="40"/>
      <c r="D16" s="11"/>
      <c r="E16" s="32"/>
      <c r="F16" s="40"/>
      <c r="G16" s="27"/>
      <c r="H16" s="12"/>
      <c r="I16" s="41"/>
      <c r="J16" s="37"/>
      <c r="K16" s="42"/>
    </row>
    <row r="17" spans="1:11" ht="16" x14ac:dyDescent="0.2">
      <c r="A17" s="38"/>
      <c r="B17" s="39"/>
      <c r="C17" s="40"/>
      <c r="D17" s="11"/>
      <c r="E17" s="32"/>
      <c r="F17" s="40"/>
      <c r="G17" s="27"/>
      <c r="H17" s="12"/>
      <c r="I17" s="41"/>
      <c r="J17" s="37"/>
      <c r="K17" s="42"/>
    </row>
    <row r="18" spans="1:11" ht="16" x14ac:dyDescent="0.2">
      <c r="A18" s="43"/>
      <c r="B18" s="44"/>
      <c r="C18" s="40"/>
      <c r="D18" s="11"/>
      <c r="E18" s="45"/>
      <c r="F18" s="46"/>
      <c r="G18" s="27"/>
      <c r="H18" s="12"/>
      <c r="I18" s="10"/>
      <c r="J18" s="13"/>
      <c r="K18" s="10"/>
    </row>
    <row r="19" spans="1:11" x14ac:dyDescent="0.15">
      <c r="A19" s="47"/>
      <c r="B19" s="48"/>
      <c r="C19" s="49"/>
      <c r="D19" s="50"/>
      <c r="E19" s="47"/>
      <c r="F19" s="49"/>
      <c r="G19" s="51"/>
      <c r="H19" s="49"/>
      <c r="I19" s="48"/>
      <c r="J19" s="52"/>
      <c r="K19" s="48"/>
    </row>
    <row r="20" spans="1:11" x14ac:dyDescent="0.15">
      <c r="A20" s="47"/>
      <c r="B20" s="48"/>
      <c r="C20" s="49"/>
      <c r="D20" s="50"/>
      <c r="E20" s="47"/>
      <c r="F20" s="49"/>
      <c r="G20" s="51"/>
      <c r="H20" s="49"/>
      <c r="I20" s="48"/>
      <c r="J20" s="52"/>
      <c r="K20" s="48"/>
    </row>
    <row r="21" spans="1:11" x14ac:dyDescent="0.15">
      <c r="A21" s="47"/>
      <c r="B21" s="48"/>
      <c r="C21" s="53"/>
      <c r="D21" s="47"/>
      <c r="E21" s="52"/>
      <c r="F21" s="53"/>
      <c r="G21" s="51"/>
      <c r="H21" s="49"/>
      <c r="I21" s="48"/>
      <c r="J21" s="52"/>
      <c r="K21" s="48"/>
    </row>
    <row r="22" spans="1:11" x14ac:dyDescent="0.15">
      <c r="A22" s="54"/>
      <c r="B22" s="55"/>
      <c r="C22" s="56"/>
      <c r="D22" s="56"/>
      <c r="E22" s="57" t="s">
        <v>21</v>
      </c>
      <c r="F22" s="58">
        <f>SUM(F9:F21)</f>
        <v>97</v>
      </c>
      <c r="G22" s="59">
        <f>SUM(G9:G21)/F22</f>
        <v>1009.4536082474227</v>
      </c>
      <c r="H22" s="60">
        <f>SUM(H9:H21)/F22</f>
        <v>27.180412371134022</v>
      </c>
      <c r="I22" s="61" t="s">
        <v>22</v>
      </c>
      <c r="J22" s="186">
        <v>0.125</v>
      </c>
      <c r="K22" s="55"/>
    </row>
    <row r="23" spans="1:11" x14ac:dyDescent="0.15">
      <c r="E23" s="62"/>
      <c r="F23" s="63"/>
      <c r="I23" s="64" t="s">
        <v>23</v>
      </c>
      <c r="J23" s="65">
        <v>3</v>
      </c>
    </row>
    <row r="24" spans="1:11" x14ac:dyDescent="0.15">
      <c r="A24" s="1"/>
      <c r="I24" s="66"/>
      <c r="J24" s="67"/>
    </row>
    <row r="25" spans="1:11" x14ac:dyDescent="0.15">
      <c r="A25" s="68" t="s">
        <v>24</v>
      </c>
      <c r="B25" s="68"/>
      <c r="C25" s="68"/>
      <c r="D25" s="53"/>
      <c r="H25" s="4" t="s">
        <v>25</v>
      </c>
      <c r="I25" s="4"/>
      <c r="J25" s="62">
        <f>F22</f>
        <v>97</v>
      </c>
      <c r="K25" s="1" t="s">
        <v>16</v>
      </c>
    </row>
    <row r="26" spans="1:11" x14ac:dyDescent="0.15">
      <c r="A26" s="68" t="s">
        <v>26</v>
      </c>
      <c r="B26" s="68"/>
      <c r="C26" s="68"/>
      <c r="D26" s="53"/>
      <c r="H26" s="4" t="s">
        <v>27</v>
      </c>
      <c r="I26" s="4"/>
      <c r="J26" s="62">
        <f>66+72+68+62+66+58+59+11+70+89+85+85+92+89+92+100+100+97</f>
        <v>1361</v>
      </c>
      <c r="K26" s="1" t="s">
        <v>16</v>
      </c>
    </row>
    <row r="27" spans="1:11" ht="15" thickBot="1" x14ac:dyDescent="0.2">
      <c r="A27" s="69"/>
      <c r="B27" s="69"/>
      <c r="C27" s="69"/>
      <c r="D27" s="69"/>
      <c r="E27" s="70"/>
      <c r="F27" s="70"/>
      <c r="G27" s="69"/>
      <c r="H27" s="71" t="s">
        <v>28</v>
      </c>
      <c r="I27" s="71"/>
      <c r="J27" s="72">
        <v>89.5</v>
      </c>
      <c r="K27" s="73" t="s">
        <v>29</v>
      </c>
    </row>
    <row r="28" spans="1:11" x14ac:dyDescent="0.15">
      <c r="J28" s="2" t="s">
        <v>3</v>
      </c>
    </row>
    <row r="29" spans="1:11" hidden="1" x14ac:dyDescent="0.15">
      <c r="K29" s="2" t="s">
        <v>30</v>
      </c>
    </row>
    <row r="30" spans="1:11" hidden="1" x14ac:dyDescent="0.15">
      <c r="K30" s="2" t="s">
        <v>31</v>
      </c>
    </row>
    <row r="31" spans="1:11" hidden="1" x14ac:dyDescent="0.15">
      <c r="K31" s="2" t="s">
        <v>32</v>
      </c>
    </row>
    <row r="32" spans="1:11" hidden="1" x14ac:dyDescent="0.15">
      <c r="K32" s="2" t="s">
        <v>33</v>
      </c>
    </row>
    <row r="33" spans="9:11" hidden="1" x14ac:dyDescent="0.15">
      <c r="K33" s="2" t="s">
        <v>34</v>
      </c>
    </row>
    <row r="34" spans="9:11" hidden="1" x14ac:dyDescent="0.15">
      <c r="K34" s="2" t="s">
        <v>35</v>
      </c>
    </row>
    <row r="35" spans="9:11" hidden="1" x14ac:dyDescent="0.15">
      <c r="K35" s="2" t="s">
        <v>36</v>
      </c>
    </row>
    <row r="36" spans="9:11" hidden="1" x14ac:dyDescent="0.15">
      <c r="K36" s="2" t="s">
        <v>37</v>
      </c>
    </row>
    <row r="37" spans="9:11" hidden="1" x14ac:dyDescent="0.15">
      <c r="K37" s="2" t="s">
        <v>38</v>
      </c>
    </row>
    <row r="38" spans="9:11" hidden="1" x14ac:dyDescent="0.15">
      <c r="K38" s="2" t="s">
        <v>39</v>
      </c>
    </row>
    <row r="39" spans="9:11" hidden="1" x14ac:dyDescent="0.15">
      <c r="K39" s="2" t="s">
        <v>40</v>
      </c>
    </row>
    <row r="40" spans="9:11" hidden="1" x14ac:dyDescent="0.15">
      <c r="K40" s="2" t="s">
        <v>41</v>
      </c>
    </row>
    <row r="41" spans="9:11" ht="30" hidden="1" x14ac:dyDescent="0.15">
      <c r="I41" s="74" t="s">
        <v>42</v>
      </c>
      <c r="K41" s="2" t="s">
        <v>43</v>
      </c>
    </row>
    <row r="42" spans="9:11" ht="15" hidden="1" x14ac:dyDescent="0.15">
      <c r="I42" s="74" t="s">
        <v>44</v>
      </c>
      <c r="K42" s="2" t="s">
        <v>45</v>
      </c>
    </row>
    <row r="43" spans="9:11" hidden="1" x14ac:dyDescent="0.15">
      <c r="I43" s="75" t="s">
        <v>46</v>
      </c>
      <c r="K43" s="2" t="s">
        <v>47</v>
      </c>
    </row>
    <row r="44" spans="9:11" hidden="1" x14ac:dyDescent="0.15">
      <c r="I44" s="2" t="s">
        <v>48</v>
      </c>
      <c r="K44" s="2" t="s">
        <v>49</v>
      </c>
    </row>
    <row r="45" spans="9:11" hidden="1" x14ac:dyDescent="0.15">
      <c r="I45" s="2" t="s">
        <v>50</v>
      </c>
      <c r="K45" s="2" t="s">
        <v>51</v>
      </c>
    </row>
    <row r="46" spans="9:11" hidden="1" x14ac:dyDescent="0.15">
      <c r="I46" s="2" t="s">
        <v>52</v>
      </c>
      <c r="K46" s="2" t="s">
        <v>53</v>
      </c>
    </row>
    <row r="47" spans="9:11" hidden="1" x14ac:dyDescent="0.15">
      <c r="I47" s="2" t="s">
        <v>54</v>
      </c>
      <c r="K47" s="2" t="s">
        <v>55</v>
      </c>
    </row>
    <row r="48" spans="9:11" hidden="1" x14ac:dyDescent="0.15">
      <c r="I48" s="2" t="s">
        <v>56</v>
      </c>
      <c r="K48" s="2" t="s">
        <v>57</v>
      </c>
    </row>
    <row r="49" spans="9:11" hidden="1" x14ac:dyDescent="0.15">
      <c r="I49" s="2" t="s">
        <v>58</v>
      </c>
      <c r="K49" s="2" t="s">
        <v>59</v>
      </c>
    </row>
    <row r="50" spans="9:11" hidden="1" x14ac:dyDescent="0.15">
      <c r="I50" s="2" t="s">
        <v>60</v>
      </c>
      <c r="K50" s="2" t="s">
        <v>61</v>
      </c>
    </row>
    <row r="51" spans="9:11" hidden="1" x14ac:dyDescent="0.15">
      <c r="K51" s="2" t="s">
        <v>62</v>
      </c>
    </row>
    <row r="52" spans="9:11" hidden="1" x14ac:dyDescent="0.15">
      <c r="K52" s="2" t="s">
        <v>63</v>
      </c>
    </row>
    <row r="53" spans="9:11" hidden="1" x14ac:dyDescent="0.15">
      <c r="K53" s="2" t="s">
        <v>64</v>
      </c>
    </row>
    <row r="54" spans="9:11" hidden="1" x14ac:dyDescent="0.15">
      <c r="K54" s="2" t="s">
        <v>65</v>
      </c>
    </row>
    <row r="55" spans="9:11" hidden="1" x14ac:dyDescent="0.15">
      <c r="K55" s="2" t="s">
        <v>66</v>
      </c>
    </row>
    <row r="56" spans="9:11" hidden="1" x14ac:dyDescent="0.15">
      <c r="K56" s="2" t="s">
        <v>67</v>
      </c>
    </row>
    <row r="57" spans="9:11" hidden="1" x14ac:dyDescent="0.15">
      <c r="K57" s="2" t="s">
        <v>68</v>
      </c>
    </row>
    <row r="58" spans="9:11" hidden="1" x14ac:dyDescent="0.15">
      <c r="K58" s="2" t="s">
        <v>69</v>
      </c>
    </row>
    <row r="59" spans="9:11" hidden="1" x14ac:dyDescent="0.15">
      <c r="K59" s="2" t="s">
        <v>70</v>
      </c>
    </row>
    <row r="60" spans="9:11" hidden="1" x14ac:dyDescent="0.15">
      <c r="K60" s="2" t="s">
        <v>71</v>
      </c>
    </row>
    <row r="61" spans="9:11" hidden="1" x14ac:dyDescent="0.15">
      <c r="K61" s="2" t="s">
        <v>72</v>
      </c>
    </row>
    <row r="62" spans="9:11" hidden="1" x14ac:dyDescent="0.15">
      <c r="K62" s="2" t="s">
        <v>73</v>
      </c>
    </row>
    <row r="63" spans="9:11" hidden="1" x14ac:dyDescent="0.15">
      <c r="K63" s="2" t="s">
        <v>67</v>
      </c>
    </row>
    <row r="64" spans="9:11" hidden="1" x14ac:dyDescent="0.15">
      <c r="K64" s="2" t="s">
        <v>74</v>
      </c>
    </row>
    <row r="65" spans="11:11" hidden="1" x14ac:dyDescent="0.15">
      <c r="K65" s="2" t="s">
        <v>75</v>
      </c>
    </row>
    <row r="66" spans="11:11" hidden="1" x14ac:dyDescent="0.15">
      <c r="K66" s="2" t="s">
        <v>76</v>
      </c>
    </row>
    <row r="67" spans="11:11" hidden="1" x14ac:dyDescent="0.15">
      <c r="K67" s="2" t="s">
        <v>77</v>
      </c>
    </row>
    <row r="68" spans="11:11" hidden="1" x14ac:dyDescent="0.15">
      <c r="K68" s="2" t="s">
        <v>78</v>
      </c>
    </row>
    <row r="69" spans="11:11" hidden="1" x14ac:dyDescent="0.15">
      <c r="K69" s="2" t="s">
        <v>79</v>
      </c>
    </row>
    <row r="70" spans="11:11" hidden="1" x14ac:dyDescent="0.15">
      <c r="K70" s="2" t="s">
        <v>80</v>
      </c>
    </row>
    <row r="71" spans="11:11" hidden="1" x14ac:dyDescent="0.15">
      <c r="K71" s="2" t="s">
        <v>81</v>
      </c>
    </row>
    <row r="72" spans="11:11" hidden="1" x14ac:dyDescent="0.15">
      <c r="K72" s="2" t="s">
        <v>82</v>
      </c>
    </row>
    <row r="73" spans="11:11" hidden="1" x14ac:dyDescent="0.15">
      <c r="K73" s="2" t="s">
        <v>83</v>
      </c>
    </row>
    <row r="74" spans="11:11" hidden="1" x14ac:dyDescent="0.15">
      <c r="K74" s="2" t="s">
        <v>84</v>
      </c>
    </row>
    <row r="75" spans="11:11" hidden="1" x14ac:dyDescent="0.15">
      <c r="K75" s="2" t="s">
        <v>85</v>
      </c>
    </row>
    <row r="76" spans="11:11" hidden="1" x14ac:dyDescent="0.15">
      <c r="K76" s="2" t="s">
        <v>86</v>
      </c>
    </row>
    <row r="77" spans="11:11" hidden="1" x14ac:dyDescent="0.15">
      <c r="K77" s="2" t="s">
        <v>87</v>
      </c>
    </row>
    <row r="78" spans="11:11" hidden="1" x14ac:dyDescent="0.15">
      <c r="K78" s="2" t="s">
        <v>88</v>
      </c>
    </row>
    <row r="79" spans="11:11" hidden="1" x14ac:dyDescent="0.15">
      <c r="K79" s="2" t="s">
        <v>89</v>
      </c>
    </row>
    <row r="80" spans="11:11" hidden="1" x14ac:dyDescent="0.15">
      <c r="K80" s="2" t="s">
        <v>90</v>
      </c>
    </row>
    <row r="81" spans="11:11" hidden="1" x14ac:dyDescent="0.15">
      <c r="K81" s="2" t="s">
        <v>91</v>
      </c>
    </row>
    <row r="82" spans="11:11" hidden="1" x14ac:dyDescent="0.15">
      <c r="K82" s="2" t="s">
        <v>92</v>
      </c>
    </row>
    <row r="83" spans="11:11" hidden="1" x14ac:dyDescent="0.15">
      <c r="K83" s="2" t="s">
        <v>93</v>
      </c>
    </row>
    <row r="84" spans="11:11" hidden="1" x14ac:dyDescent="0.15">
      <c r="K84" s="2" t="s">
        <v>94</v>
      </c>
    </row>
    <row r="85" spans="11:11" hidden="1" x14ac:dyDescent="0.15">
      <c r="K85" s="2" t="s">
        <v>47</v>
      </c>
    </row>
  </sheetData>
  <dataValidations count="3">
    <dataValidation type="list" allowBlank="1" showInputMessage="1" showErrorMessage="1" sqref="B16:B19" xr:uid="{BA76578B-181C-473C-81A9-F710F18E66E3}">
      <formula1>$K$29:$K$85</formula1>
    </dataValidation>
    <dataValidation type="list" allowBlank="1" showInputMessage="1" showErrorMessage="1" sqref="B20:B21" xr:uid="{C926B7CB-F519-4876-9816-841874719161}">
      <formula1>$K$29:$K$40</formula1>
    </dataValidation>
    <dataValidation type="list" allowBlank="1" showInputMessage="1" showErrorMessage="1" sqref="I50 K15:K21" xr:uid="{44138325-261F-4BC6-A88D-E7D9DE95E36D}">
      <formula1>$I$41:$I$50</formula1>
    </dataValidation>
  </dataValidation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AD3F3-18AB-4DB0-A151-19A715C93998}">
  <dimension ref="A1:K85"/>
  <sheetViews>
    <sheetView workbookViewId="0">
      <selection sqref="A1:XFD1048576"/>
    </sheetView>
  </sheetViews>
  <sheetFormatPr baseColWidth="10" defaultColWidth="9.1640625" defaultRowHeight="14" x14ac:dyDescent="0.15"/>
  <cols>
    <col min="1" max="1" width="5.1640625" style="2" customWidth="1"/>
    <col min="2" max="2" width="22.5" style="2" customWidth="1"/>
    <col min="3" max="3" width="6.1640625" style="2" customWidth="1"/>
    <col min="4" max="4" width="12.5" style="2" bestFit="1" customWidth="1"/>
    <col min="5" max="5" width="9.83203125" style="2" customWidth="1"/>
    <col min="6" max="6" width="9.33203125" style="2" bestFit="1" customWidth="1"/>
    <col min="7" max="7" width="8.6640625" style="2" customWidth="1"/>
    <col min="8" max="8" width="9.5" style="2" bestFit="1" customWidth="1"/>
    <col min="9" max="9" width="17.83203125" style="2" bestFit="1" customWidth="1"/>
    <col min="10" max="10" width="10.33203125" style="2" bestFit="1" customWidth="1"/>
    <col min="11" max="11" width="75" style="2" bestFit="1" customWidth="1"/>
    <col min="12" max="16384" width="9.1640625" style="2"/>
  </cols>
  <sheetData>
    <row r="1" spans="1:11" x14ac:dyDescent="0.15">
      <c r="A1" s="1" t="s">
        <v>0</v>
      </c>
      <c r="I1" s="3"/>
    </row>
    <row r="2" spans="1:11" x14ac:dyDescent="0.15">
      <c r="J2" s="4"/>
    </row>
    <row r="3" spans="1:11" x14ac:dyDescent="0.15">
      <c r="A3" s="3" t="s">
        <v>1</v>
      </c>
      <c r="I3" s="1"/>
      <c r="J3" s="1"/>
    </row>
    <row r="4" spans="1:11" x14ac:dyDescent="0.15">
      <c r="A4" s="3"/>
      <c r="I4" s="4" t="s">
        <v>2</v>
      </c>
      <c r="J4" s="76">
        <v>45797</v>
      </c>
    </row>
    <row r="5" spans="1:11" x14ac:dyDescent="0.15">
      <c r="J5" s="2" t="s">
        <v>3</v>
      </c>
    </row>
    <row r="6" spans="1:11" ht="30" x14ac:dyDescent="0.15">
      <c r="A6" s="5" t="s">
        <v>4</v>
      </c>
      <c r="B6" s="5" t="s">
        <v>5</v>
      </c>
      <c r="C6" s="5" t="s">
        <v>6</v>
      </c>
      <c r="D6" s="5" t="s">
        <v>7</v>
      </c>
      <c r="E6" s="5" t="s">
        <v>8</v>
      </c>
      <c r="F6" s="5" t="s">
        <v>9</v>
      </c>
      <c r="G6" s="6" t="s">
        <v>10</v>
      </c>
      <c r="H6" s="6" t="s">
        <v>11</v>
      </c>
      <c r="I6" s="6" t="s">
        <v>12</v>
      </c>
      <c r="J6" s="7"/>
      <c r="K6" s="5" t="s">
        <v>13</v>
      </c>
    </row>
    <row r="7" spans="1:11" ht="30" x14ac:dyDescent="0.15">
      <c r="A7" s="6"/>
      <c r="B7" s="8"/>
      <c r="C7" s="5"/>
      <c r="D7" s="5" t="s">
        <v>14</v>
      </c>
      <c r="E7" s="5" t="s">
        <v>15</v>
      </c>
      <c r="F7" s="9" t="s">
        <v>16</v>
      </c>
      <c r="G7" s="9" t="s">
        <v>15</v>
      </c>
      <c r="H7" s="9" t="s">
        <v>17</v>
      </c>
      <c r="I7" s="5" t="s">
        <v>18</v>
      </c>
      <c r="J7" s="9" t="s">
        <v>19</v>
      </c>
      <c r="K7" s="9"/>
    </row>
    <row r="8" spans="1:11" ht="16" x14ac:dyDescent="0.2">
      <c r="A8" s="10"/>
      <c r="B8" s="11"/>
      <c r="C8" s="12"/>
      <c r="D8" s="11"/>
      <c r="E8" s="11"/>
      <c r="F8" s="10"/>
      <c r="G8" s="10"/>
      <c r="H8" s="10"/>
      <c r="I8" s="10"/>
      <c r="J8" s="13"/>
      <c r="K8" s="10"/>
    </row>
    <row r="9" spans="1:11" ht="17" x14ac:dyDescent="0.15">
      <c r="A9" s="192">
        <v>1</v>
      </c>
      <c r="B9" s="187" t="s">
        <v>260</v>
      </c>
      <c r="C9" s="188">
        <v>20</v>
      </c>
      <c r="D9" s="15">
        <v>2.85</v>
      </c>
      <c r="E9" s="193">
        <v>1335</v>
      </c>
      <c r="F9" s="189">
        <v>62</v>
      </c>
      <c r="G9" s="16">
        <f t="shared" ref="G9:G11" si="0">E9*F9</f>
        <v>82770</v>
      </c>
      <c r="H9" s="17">
        <f t="shared" ref="H9:H11" si="1">F9*C9</f>
        <v>1240</v>
      </c>
      <c r="I9" s="211" t="s">
        <v>20</v>
      </c>
      <c r="J9" s="212">
        <v>2.0833333333333332E-2</v>
      </c>
      <c r="K9" s="213" t="s">
        <v>265</v>
      </c>
    </row>
    <row r="10" spans="1:11" ht="17" x14ac:dyDescent="0.15">
      <c r="A10" s="23">
        <v>2</v>
      </c>
      <c r="B10" s="187" t="s">
        <v>260</v>
      </c>
      <c r="C10" s="188">
        <v>21</v>
      </c>
      <c r="D10" s="15">
        <v>2.85</v>
      </c>
      <c r="E10" s="193">
        <v>1280</v>
      </c>
      <c r="F10" s="189">
        <v>30</v>
      </c>
      <c r="G10" s="16">
        <f t="shared" si="0"/>
        <v>38400</v>
      </c>
      <c r="H10" s="17">
        <f t="shared" si="1"/>
        <v>630</v>
      </c>
      <c r="I10" s="214" t="s">
        <v>44</v>
      </c>
      <c r="J10" s="215">
        <v>1.3888888888888888E-2</v>
      </c>
      <c r="K10" s="216" t="s">
        <v>44</v>
      </c>
    </row>
    <row r="11" spans="1:11" ht="17" x14ac:dyDescent="0.15">
      <c r="A11" s="192">
        <v>3</v>
      </c>
      <c r="B11" s="187" t="s">
        <v>259</v>
      </c>
      <c r="C11" s="188">
        <v>19</v>
      </c>
      <c r="D11" s="15">
        <v>2.85</v>
      </c>
      <c r="E11" s="193">
        <v>1404</v>
      </c>
      <c r="F11" s="207">
        <v>13</v>
      </c>
      <c r="G11" s="16">
        <f t="shared" si="0"/>
        <v>18252</v>
      </c>
      <c r="H11" s="17">
        <f t="shared" si="1"/>
        <v>247</v>
      </c>
      <c r="I11" s="217"/>
      <c r="J11" s="215"/>
      <c r="K11" s="216"/>
    </row>
    <row r="12" spans="1:11" ht="19.25" customHeight="1" x14ac:dyDescent="0.15">
      <c r="A12" s="23"/>
      <c r="B12" s="187"/>
      <c r="C12" s="208"/>
      <c r="D12" s="15"/>
      <c r="E12" s="209"/>
      <c r="F12" s="210"/>
      <c r="G12" s="16"/>
      <c r="H12" s="17"/>
      <c r="I12" s="217"/>
      <c r="J12" s="215"/>
      <c r="K12" s="216"/>
    </row>
    <row r="13" spans="1:11" ht="16" x14ac:dyDescent="0.15">
      <c r="A13" s="219"/>
      <c r="B13" s="187"/>
      <c r="C13" s="208"/>
      <c r="D13" s="15"/>
      <c r="E13" s="209"/>
      <c r="F13" s="210"/>
      <c r="G13" s="16"/>
      <c r="H13" s="17"/>
      <c r="I13" s="217"/>
      <c r="J13" s="215"/>
      <c r="K13" s="216"/>
    </row>
    <row r="14" spans="1:11" ht="16" x14ac:dyDescent="0.15">
      <c r="A14" s="192"/>
      <c r="B14" s="187"/>
      <c r="C14" s="220"/>
      <c r="D14" s="11"/>
      <c r="E14" s="221"/>
      <c r="F14" s="222"/>
      <c r="G14" s="16"/>
      <c r="H14" s="17"/>
      <c r="I14" s="28"/>
      <c r="J14" s="37"/>
      <c r="K14" s="30"/>
    </row>
    <row r="15" spans="1:11" ht="16" x14ac:dyDescent="0.2">
      <c r="A15" s="38"/>
      <c r="B15" s="39"/>
      <c r="C15" s="40"/>
      <c r="D15" s="11"/>
      <c r="E15" s="25"/>
      <c r="F15" s="40"/>
      <c r="G15" s="27"/>
      <c r="H15" s="12"/>
      <c r="I15" s="41"/>
      <c r="J15" s="37"/>
      <c r="K15" s="30"/>
    </row>
    <row r="16" spans="1:11" ht="16" x14ac:dyDescent="0.2">
      <c r="A16" s="38"/>
      <c r="B16" s="39"/>
      <c r="C16" s="40"/>
      <c r="D16" s="11"/>
      <c r="E16" s="32"/>
      <c r="F16" s="40"/>
      <c r="G16" s="27"/>
      <c r="H16" s="12"/>
      <c r="I16" s="41"/>
      <c r="J16" s="37"/>
      <c r="K16" s="42"/>
    </row>
    <row r="17" spans="1:11" ht="16" x14ac:dyDescent="0.2">
      <c r="A17" s="38"/>
      <c r="B17" s="39"/>
      <c r="C17" s="40"/>
      <c r="D17" s="11"/>
      <c r="E17" s="32"/>
      <c r="F17" s="40"/>
      <c r="G17" s="27"/>
      <c r="H17" s="12"/>
      <c r="I17" s="41"/>
      <c r="J17" s="37"/>
      <c r="K17" s="42"/>
    </row>
    <row r="18" spans="1:11" ht="16" x14ac:dyDescent="0.2">
      <c r="A18" s="43"/>
      <c r="B18" s="44"/>
      <c r="C18" s="40"/>
      <c r="D18" s="11"/>
      <c r="E18" s="45"/>
      <c r="F18" s="46"/>
      <c r="G18" s="27"/>
      <c r="H18" s="12"/>
      <c r="I18" s="10"/>
      <c r="J18" s="13"/>
      <c r="K18" s="10"/>
    </row>
    <row r="19" spans="1:11" x14ac:dyDescent="0.15">
      <c r="A19" s="47"/>
      <c r="B19" s="48"/>
      <c r="C19" s="49"/>
      <c r="D19" s="50"/>
      <c r="E19" s="47"/>
      <c r="F19" s="49"/>
      <c r="G19" s="51"/>
      <c r="H19" s="49"/>
      <c r="I19" s="48"/>
      <c r="J19" s="52"/>
      <c r="K19" s="48"/>
    </row>
    <row r="20" spans="1:11" x14ac:dyDescent="0.15">
      <c r="A20" s="47"/>
      <c r="B20" s="48"/>
      <c r="C20" s="49"/>
      <c r="D20" s="50"/>
      <c r="E20" s="47"/>
      <c r="F20" s="49"/>
      <c r="G20" s="51"/>
      <c r="H20" s="49"/>
      <c r="I20" s="48"/>
      <c r="J20" s="52"/>
      <c r="K20" s="48"/>
    </row>
    <row r="21" spans="1:11" x14ac:dyDescent="0.15">
      <c r="A21" s="47"/>
      <c r="B21" s="48"/>
      <c r="C21" s="53"/>
      <c r="D21" s="47"/>
      <c r="E21" s="52"/>
      <c r="F21" s="53"/>
      <c r="G21" s="51"/>
      <c r="H21" s="49"/>
      <c r="I21" s="48"/>
      <c r="J21" s="52"/>
      <c r="K21" s="48"/>
    </row>
    <row r="22" spans="1:11" x14ac:dyDescent="0.15">
      <c r="A22" s="54"/>
      <c r="B22" s="55"/>
      <c r="C22" s="56"/>
      <c r="D22" s="56"/>
      <c r="E22" s="57" t="s">
        <v>21</v>
      </c>
      <c r="F22" s="58">
        <f>SUM(F9:F21)</f>
        <v>105</v>
      </c>
      <c r="G22" s="59">
        <f>SUM(G9:G21)/F22</f>
        <v>1327.8285714285714</v>
      </c>
      <c r="H22" s="60">
        <f>SUM(H9:H21)/F22</f>
        <v>20.161904761904761</v>
      </c>
      <c r="I22" s="61" t="s">
        <v>22</v>
      </c>
      <c r="J22" s="186">
        <v>3.4722222222222224E-2</v>
      </c>
      <c r="K22" s="55"/>
    </row>
    <row r="23" spans="1:11" x14ac:dyDescent="0.15">
      <c r="E23" s="62"/>
      <c r="F23" s="63"/>
      <c r="I23" s="64" t="s">
        <v>23</v>
      </c>
      <c r="J23" s="65">
        <v>0.83</v>
      </c>
    </row>
    <row r="24" spans="1:11" x14ac:dyDescent="0.15">
      <c r="A24" s="1"/>
      <c r="I24" s="66"/>
      <c r="J24" s="67"/>
    </row>
    <row r="25" spans="1:11" x14ac:dyDescent="0.15">
      <c r="A25" s="68" t="s">
        <v>24</v>
      </c>
      <c r="B25" s="68"/>
      <c r="C25" s="68"/>
      <c r="D25" s="53"/>
      <c r="H25" s="4" t="s">
        <v>25</v>
      </c>
      <c r="I25" s="4"/>
      <c r="J25" s="62">
        <f>F22</f>
        <v>105</v>
      </c>
      <c r="K25" s="1" t="s">
        <v>16</v>
      </c>
    </row>
    <row r="26" spans="1:11" x14ac:dyDescent="0.15">
      <c r="A26" s="68" t="s">
        <v>26</v>
      </c>
      <c r="B26" s="68"/>
      <c r="C26" s="68"/>
      <c r="D26" s="53"/>
      <c r="H26" s="4" t="s">
        <v>27</v>
      </c>
      <c r="I26" s="4"/>
      <c r="J26" s="62">
        <f>66+72+68+62+66+58+59+11+70+89+85+85+92+89+92+100+100+97+105</f>
        <v>1466</v>
      </c>
      <c r="K26" s="1" t="s">
        <v>16</v>
      </c>
    </row>
    <row r="27" spans="1:11" ht="15" thickBot="1" x14ac:dyDescent="0.2">
      <c r="A27" s="69"/>
      <c r="B27" s="69"/>
      <c r="C27" s="69"/>
      <c r="D27" s="69"/>
      <c r="E27" s="70"/>
      <c r="F27" s="70"/>
      <c r="G27" s="69"/>
      <c r="H27" s="71" t="s">
        <v>28</v>
      </c>
      <c r="I27" s="71"/>
      <c r="J27" s="72">
        <v>90.33</v>
      </c>
      <c r="K27" s="73" t="s">
        <v>29</v>
      </c>
    </row>
    <row r="28" spans="1:11" x14ac:dyDescent="0.15">
      <c r="J28" s="2" t="s">
        <v>3</v>
      </c>
    </row>
    <row r="29" spans="1:11" hidden="1" x14ac:dyDescent="0.15">
      <c r="K29" s="2" t="s">
        <v>30</v>
      </c>
    </row>
    <row r="30" spans="1:11" hidden="1" x14ac:dyDescent="0.15">
      <c r="K30" s="2" t="s">
        <v>31</v>
      </c>
    </row>
    <row r="31" spans="1:11" hidden="1" x14ac:dyDescent="0.15">
      <c r="K31" s="2" t="s">
        <v>32</v>
      </c>
    </row>
    <row r="32" spans="1:11" hidden="1" x14ac:dyDescent="0.15">
      <c r="K32" s="2" t="s">
        <v>33</v>
      </c>
    </row>
    <row r="33" spans="9:11" hidden="1" x14ac:dyDescent="0.15">
      <c r="K33" s="2" t="s">
        <v>34</v>
      </c>
    </row>
    <row r="34" spans="9:11" hidden="1" x14ac:dyDescent="0.15">
      <c r="K34" s="2" t="s">
        <v>35</v>
      </c>
    </row>
    <row r="35" spans="9:11" hidden="1" x14ac:dyDescent="0.15">
      <c r="K35" s="2" t="s">
        <v>36</v>
      </c>
    </row>
    <row r="36" spans="9:11" hidden="1" x14ac:dyDescent="0.15">
      <c r="K36" s="2" t="s">
        <v>37</v>
      </c>
    </row>
    <row r="37" spans="9:11" hidden="1" x14ac:dyDescent="0.15">
      <c r="K37" s="2" t="s">
        <v>38</v>
      </c>
    </row>
    <row r="38" spans="9:11" hidden="1" x14ac:dyDescent="0.15">
      <c r="K38" s="2" t="s">
        <v>39</v>
      </c>
    </row>
    <row r="39" spans="9:11" hidden="1" x14ac:dyDescent="0.15">
      <c r="K39" s="2" t="s">
        <v>40</v>
      </c>
    </row>
    <row r="40" spans="9:11" hidden="1" x14ac:dyDescent="0.15">
      <c r="K40" s="2" t="s">
        <v>41</v>
      </c>
    </row>
    <row r="41" spans="9:11" ht="30" hidden="1" x14ac:dyDescent="0.15">
      <c r="I41" s="74" t="s">
        <v>42</v>
      </c>
      <c r="K41" s="2" t="s">
        <v>43</v>
      </c>
    </row>
    <row r="42" spans="9:11" ht="15" hidden="1" x14ac:dyDescent="0.15">
      <c r="I42" s="74" t="s">
        <v>44</v>
      </c>
      <c r="K42" s="2" t="s">
        <v>45</v>
      </c>
    </row>
    <row r="43" spans="9:11" hidden="1" x14ac:dyDescent="0.15">
      <c r="I43" s="75" t="s">
        <v>46</v>
      </c>
      <c r="K43" s="2" t="s">
        <v>47</v>
      </c>
    </row>
    <row r="44" spans="9:11" hidden="1" x14ac:dyDescent="0.15">
      <c r="I44" s="2" t="s">
        <v>48</v>
      </c>
      <c r="K44" s="2" t="s">
        <v>49</v>
      </c>
    </row>
    <row r="45" spans="9:11" hidden="1" x14ac:dyDescent="0.15">
      <c r="I45" s="2" t="s">
        <v>50</v>
      </c>
      <c r="K45" s="2" t="s">
        <v>51</v>
      </c>
    </row>
    <row r="46" spans="9:11" hidden="1" x14ac:dyDescent="0.15">
      <c r="I46" s="2" t="s">
        <v>52</v>
      </c>
      <c r="K46" s="2" t="s">
        <v>53</v>
      </c>
    </row>
    <row r="47" spans="9:11" hidden="1" x14ac:dyDescent="0.15">
      <c r="I47" s="2" t="s">
        <v>54</v>
      </c>
      <c r="K47" s="2" t="s">
        <v>55</v>
      </c>
    </row>
    <row r="48" spans="9:11" hidden="1" x14ac:dyDescent="0.15">
      <c r="I48" s="2" t="s">
        <v>56</v>
      </c>
      <c r="K48" s="2" t="s">
        <v>57</v>
      </c>
    </row>
    <row r="49" spans="9:11" hidden="1" x14ac:dyDescent="0.15">
      <c r="I49" s="2" t="s">
        <v>58</v>
      </c>
      <c r="K49" s="2" t="s">
        <v>59</v>
      </c>
    </row>
    <row r="50" spans="9:11" hidden="1" x14ac:dyDescent="0.15">
      <c r="I50" s="2" t="s">
        <v>60</v>
      </c>
      <c r="K50" s="2" t="s">
        <v>61</v>
      </c>
    </row>
    <row r="51" spans="9:11" hidden="1" x14ac:dyDescent="0.15">
      <c r="K51" s="2" t="s">
        <v>62</v>
      </c>
    </row>
    <row r="52" spans="9:11" hidden="1" x14ac:dyDescent="0.15">
      <c r="K52" s="2" t="s">
        <v>63</v>
      </c>
    </row>
    <row r="53" spans="9:11" hidden="1" x14ac:dyDescent="0.15">
      <c r="K53" s="2" t="s">
        <v>64</v>
      </c>
    </row>
    <row r="54" spans="9:11" hidden="1" x14ac:dyDescent="0.15">
      <c r="K54" s="2" t="s">
        <v>65</v>
      </c>
    </row>
    <row r="55" spans="9:11" hidden="1" x14ac:dyDescent="0.15">
      <c r="K55" s="2" t="s">
        <v>66</v>
      </c>
    </row>
    <row r="56" spans="9:11" hidden="1" x14ac:dyDescent="0.15">
      <c r="K56" s="2" t="s">
        <v>67</v>
      </c>
    </row>
    <row r="57" spans="9:11" hidden="1" x14ac:dyDescent="0.15">
      <c r="K57" s="2" t="s">
        <v>68</v>
      </c>
    </row>
    <row r="58" spans="9:11" hidden="1" x14ac:dyDescent="0.15">
      <c r="K58" s="2" t="s">
        <v>69</v>
      </c>
    </row>
    <row r="59" spans="9:11" hidden="1" x14ac:dyDescent="0.15">
      <c r="K59" s="2" t="s">
        <v>70</v>
      </c>
    </row>
    <row r="60" spans="9:11" hidden="1" x14ac:dyDescent="0.15">
      <c r="K60" s="2" t="s">
        <v>71</v>
      </c>
    </row>
    <row r="61" spans="9:11" hidden="1" x14ac:dyDescent="0.15">
      <c r="K61" s="2" t="s">
        <v>72</v>
      </c>
    </row>
    <row r="62" spans="9:11" hidden="1" x14ac:dyDescent="0.15">
      <c r="K62" s="2" t="s">
        <v>73</v>
      </c>
    </row>
    <row r="63" spans="9:11" hidden="1" x14ac:dyDescent="0.15">
      <c r="K63" s="2" t="s">
        <v>67</v>
      </c>
    </row>
    <row r="64" spans="9:11" hidden="1" x14ac:dyDescent="0.15">
      <c r="K64" s="2" t="s">
        <v>74</v>
      </c>
    </row>
    <row r="65" spans="11:11" hidden="1" x14ac:dyDescent="0.15">
      <c r="K65" s="2" t="s">
        <v>75</v>
      </c>
    </row>
    <row r="66" spans="11:11" hidden="1" x14ac:dyDescent="0.15">
      <c r="K66" s="2" t="s">
        <v>76</v>
      </c>
    </row>
    <row r="67" spans="11:11" hidden="1" x14ac:dyDescent="0.15">
      <c r="K67" s="2" t="s">
        <v>77</v>
      </c>
    </row>
    <row r="68" spans="11:11" hidden="1" x14ac:dyDescent="0.15">
      <c r="K68" s="2" t="s">
        <v>78</v>
      </c>
    </row>
    <row r="69" spans="11:11" hidden="1" x14ac:dyDescent="0.15">
      <c r="K69" s="2" t="s">
        <v>79</v>
      </c>
    </row>
    <row r="70" spans="11:11" hidden="1" x14ac:dyDescent="0.15">
      <c r="K70" s="2" t="s">
        <v>80</v>
      </c>
    </row>
    <row r="71" spans="11:11" hidden="1" x14ac:dyDescent="0.15">
      <c r="K71" s="2" t="s">
        <v>81</v>
      </c>
    </row>
    <row r="72" spans="11:11" hidden="1" x14ac:dyDescent="0.15">
      <c r="K72" s="2" t="s">
        <v>82</v>
      </c>
    </row>
    <row r="73" spans="11:11" hidden="1" x14ac:dyDescent="0.15">
      <c r="K73" s="2" t="s">
        <v>83</v>
      </c>
    </row>
    <row r="74" spans="11:11" hidden="1" x14ac:dyDescent="0.15">
      <c r="K74" s="2" t="s">
        <v>84</v>
      </c>
    </row>
    <row r="75" spans="11:11" hidden="1" x14ac:dyDescent="0.15">
      <c r="K75" s="2" t="s">
        <v>85</v>
      </c>
    </row>
    <row r="76" spans="11:11" hidden="1" x14ac:dyDescent="0.15">
      <c r="K76" s="2" t="s">
        <v>86</v>
      </c>
    </row>
    <row r="77" spans="11:11" hidden="1" x14ac:dyDescent="0.15">
      <c r="K77" s="2" t="s">
        <v>87</v>
      </c>
    </row>
    <row r="78" spans="11:11" hidden="1" x14ac:dyDescent="0.15">
      <c r="K78" s="2" t="s">
        <v>88</v>
      </c>
    </row>
    <row r="79" spans="11:11" hidden="1" x14ac:dyDescent="0.15">
      <c r="K79" s="2" t="s">
        <v>89</v>
      </c>
    </row>
    <row r="80" spans="11:11" hidden="1" x14ac:dyDescent="0.15">
      <c r="K80" s="2" t="s">
        <v>90</v>
      </c>
    </row>
    <row r="81" spans="11:11" hidden="1" x14ac:dyDescent="0.15">
      <c r="K81" s="2" t="s">
        <v>91</v>
      </c>
    </row>
    <row r="82" spans="11:11" hidden="1" x14ac:dyDescent="0.15">
      <c r="K82" s="2" t="s">
        <v>92</v>
      </c>
    </row>
    <row r="83" spans="11:11" hidden="1" x14ac:dyDescent="0.15">
      <c r="K83" s="2" t="s">
        <v>93</v>
      </c>
    </row>
    <row r="84" spans="11:11" hidden="1" x14ac:dyDescent="0.15">
      <c r="K84" s="2" t="s">
        <v>94</v>
      </c>
    </row>
    <row r="85" spans="11:11" hidden="1" x14ac:dyDescent="0.15">
      <c r="K85" s="2" t="s">
        <v>47</v>
      </c>
    </row>
  </sheetData>
  <dataValidations count="3">
    <dataValidation type="list" allowBlank="1" showInputMessage="1" showErrorMessage="1" sqref="I50 K15:K21" xr:uid="{4F19E1DE-8CC6-4522-987E-ABBCAC5E28E5}">
      <formula1>$I$41:$I$50</formula1>
    </dataValidation>
    <dataValidation type="list" allowBlank="1" showInputMessage="1" showErrorMessage="1" sqref="B20:B21" xr:uid="{726CC115-8598-4280-A367-6BC1678C8185}">
      <formula1>$K$29:$K$40</formula1>
    </dataValidation>
    <dataValidation type="list" allowBlank="1" showInputMessage="1" showErrorMessage="1" sqref="B16:B19" xr:uid="{CB876B01-CB3A-4B31-BA97-F03D374DE689}">
      <formula1>$K$29:$K$85</formula1>
    </dataValidation>
  </dataValidation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3E3C6F-8FD2-4C56-98CA-8F1F472A40CC}">
  <dimension ref="A1:K85"/>
  <sheetViews>
    <sheetView workbookViewId="0">
      <selection sqref="A1:XFD1048576"/>
    </sheetView>
  </sheetViews>
  <sheetFormatPr baseColWidth="10" defaultColWidth="9.1640625" defaultRowHeight="14" x14ac:dyDescent="0.15"/>
  <cols>
    <col min="1" max="1" width="5.1640625" style="2" customWidth="1"/>
    <col min="2" max="2" width="22.5" style="2" customWidth="1"/>
    <col min="3" max="3" width="6.1640625" style="2" customWidth="1"/>
    <col min="4" max="4" width="12.5" style="2" bestFit="1" customWidth="1"/>
    <col min="5" max="5" width="9.83203125" style="2" customWidth="1"/>
    <col min="6" max="6" width="9.33203125" style="2" bestFit="1" customWidth="1"/>
    <col min="7" max="7" width="8.6640625" style="2" customWidth="1"/>
    <col min="8" max="8" width="9.5" style="2" bestFit="1" customWidth="1"/>
    <col min="9" max="9" width="17.83203125" style="2" bestFit="1" customWidth="1"/>
    <col min="10" max="10" width="10.33203125" style="2" bestFit="1" customWidth="1"/>
    <col min="11" max="11" width="75" style="2" bestFit="1" customWidth="1"/>
    <col min="12" max="16384" width="9.1640625" style="2"/>
  </cols>
  <sheetData>
    <row r="1" spans="1:11" x14ac:dyDescent="0.15">
      <c r="A1" s="1" t="s">
        <v>0</v>
      </c>
      <c r="I1" s="3"/>
    </row>
    <row r="2" spans="1:11" x14ac:dyDescent="0.15">
      <c r="J2" s="4"/>
    </row>
    <row r="3" spans="1:11" x14ac:dyDescent="0.15">
      <c r="A3" s="3" t="s">
        <v>1</v>
      </c>
      <c r="I3" s="1"/>
      <c r="J3" s="1"/>
    </row>
    <row r="4" spans="1:11" x14ac:dyDescent="0.15">
      <c r="A4" s="3"/>
      <c r="I4" s="4" t="s">
        <v>2</v>
      </c>
      <c r="J4" s="76">
        <v>45798</v>
      </c>
    </row>
    <row r="5" spans="1:11" x14ac:dyDescent="0.15">
      <c r="J5" s="2" t="s">
        <v>3</v>
      </c>
    </row>
    <row r="6" spans="1:11" ht="30" x14ac:dyDescent="0.15">
      <c r="A6" s="5" t="s">
        <v>4</v>
      </c>
      <c r="B6" s="5" t="s">
        <v>5</v>
      </c>
      <c r="C6" s="5" t="s">
        <v>6</v>
      </c>
      <c r="D6" s="5" t="s">
        <v>7</v>
      </c>
      <c r="E6" s="5" t="s">
        <v>8</v>
      </c>
      <c r="F6" s="5" t="s">
        <v>9</v>
      </c>
      <c r="G6" s="6" t="s">
        <v>10</v>
      </c>
      <c r="H6" s="6" t="s">
        <v>11</v>
      </c>
      <c r="I6" s="6" t="s">
        <v>12</v>
      </c>
      <c r="J6" s="7"/>
      <c r="K6" s="5" t="s">
        <v>13</v>
      </c>
    </row>
    <row r="7" spans="1:11" ht="30" x14ac:dyDescent="0.15">
      <c r="A7" s="6"/>
      <c r="B7" s="8"/>
      <c r="C7" s="5"/>
      <c r="D7" s="5" t="s">
        <v>14</v>
      </c>
      <c r="E7" s="5" t="s">
        <v>15</v>
      </c>
      <c r="F7" s="9" t="s">
        <v>16</v>
      </c>
      <c r="G7" s="9" t="s">
        <v>15</v>
      </c>
      <c r="H7" s="9" t="s">
        <v>17</v>
      </c>
      <c r="I7" s="5" t="s">
        <v>18</v>
      </c>
      <c r="J7" s="9" t="s">
        <v>19</v>
      </c>
      <c r="K7" s="9"/>
    </row>
    <row r="8" spans="1:11" ht="16" x14ac:dyDescent="0.2">
      <c r="A8" s="10"/>
      <c r="B8" s="11"/>
      <c r="C8" s="12"/>
      <c r="D8" s="11"/>
      <c r="E8" s="11"/>
      <c r="F8" s="10"/>
      <c r="G8" s="10"/>
      <c r="H8" s="10"/>
      <c r="I8" s="10"/>
      <c r="J8" s="13"/>
      <c r="K8" s="10"/>
    </row>
    <row r="9" spans="1:11" ht="19" x14ac:dyDescent="0.15">
      <c r="A9" s="224">
        <v>1</v>
      </c>
      <c r="B9" s="225" t="s">
        <v>259</v>
      </c>
      <c r="C9" s="226">
        <v>19</v>
      </c>
      <c r="D9" s="15">
        <v>2.85</v>
      </c>
      <c r="E9" s="193">
        <v>1350</v>
      </c>
      <c r="F9" s="189">
        <v>102</v>
      </c>
      <c r="G9" s="16">
        <f t="shared" ref="G9" si="0">E9*F9</f>
        <v>137700</v>
      </c>
      <c r="H9" s="17">
        <f t="shared" ref="H9" si="1">F9*C9</f>
        <v>1938</v>
      </c>
      <c r="I9" s="211" t="s">
        <v>20</v>
      </c>
      <c r="J9" s="212">
        <v>2.4305555555555556E-2</v>
      </c>
      <c r="K9" s="213" t="s">
        <v>265</v>
      </c>
    </row>
    <row r="10" spans="1:11" ht="16" x14ac:dyDescent="0.15">
      <c r="A10" s="23"/>
      <c r="B10" s="187"/>
      <c r="C10" s="188"/>
      <c r="D10" s="15"/>
      <c r="E10" s="193"/>
      <c r="F10" s="189"/>
      <c r="G10" s="16"/>
      <c r="H10" s="17"/>
      <c r="I10" s="214"/>
      <c r="J10" s="215"/>
      <c r="K10" s="216"/>
    </row>
    <row r="11" spans="1:11" ht="16" x14ac:dyDescent="0.15">
      <c r="A11" s="192"/>
      <c r="B11" s="187"/>
      <c r="C11" s="188"/>
      <c r="D11" s="15"/>
      <c r="E11" s="193"/>
      <c r="F11" s="207"/>
      <c r="G11" s="16"/>
      <c r="H11" s="17"/>
      <c r="I11" s="217"/>
      <c r="J11" s="215"/>
      <c r="K11" s="216"/>
    </row>
    <row r="12" spans="1:11" ht="19.25" customHeight="1" x14ac:dyDescent="0.15">
      <c r="A12" s="23"/>
      <c r="B12" s="187"/>
      <c r="C12" s="208"/>
      <c r="D12" s="15"/>
      <c r="E12" s="209"/>
      <c r="F12" s="210"/>
      <c r="G12" s="16"/>
      <c r="H12" s="17"/>
      <c r="I12" s="217"/>
      <c r="J12" s="215"/>
      <c r="K12" s="216"/>
    </row>
    <row r="13" spans="1:11" ht="16" x14ac:dyDescent="0.15">
      <c r="A13" s="219"/>
      <c r="B13" s="187"/>
      <c r="C13" s="208"/>
      <c r="D13" s="15"/>
      <c r="E13" s="209"/>
      <c r="F13" s="210"/>
      <c r="G13" s="16"/>
      <c r="H13" s="17"/>
      <c r="I13" s="217"/>
      <c r="J13" s="215"/>
      <c r="K13" s="216"/>
    </row>
    <row r="14" spans="1:11" ht="16" x14ac:dyDescent="0.15">
      <c r="A14" s="192"/>
      <c r="B14" s="187"/>
      <c r="C14" s="220"/>
      <c r="D14" s="11"/>
      <c r="E14" s="221"/>
      <c r="F14" s="222"/>
      <c r="G14" s="16"/>
      <c r="H14" s="17"/>
      <c r="I14" s="28"/>
      <c r="J14" s="37"/>
      <c r="K14" s="30"/>
    </row>
    <row r="15" spans="1:11" ht="16" x14ac:dyDescent="0.2">
      <c r="A15" s="38"/>
      <c r="B15" s="39"/>
      <c r="C15" s="40"/>
      <c r="D15" s="11"/>
      <c r="E15" s="25"/>
      <c r="F15" s="40"/>
      <c r="G15" s="27"/>
      <c r="H15" s="12"/>
      <c r="I15" s="41"/>
      <c r="J15" s="37"/>
      <c r="K15" s="30"/>
    </row>
    <row r="16" spans="1:11" ht="16" x14ac:dyDescent="0.2">
      <c r="A16" s="38"/>
      <c r="B16" s="39"/>
      <c r="C16" s="40"/>
      <c r="D16" s="11"/>
      <c r="E16" s="32"/>
      <c r="F16" s="40"/>
      <c r="G16" s="27"/>
      <c r="H16" s="12"/>
      <c r="I16" s="41"/>
      <c r="J16" s="37"/>
      <c r="K16" s="42"/>
    </row>
    <row r="17" spans="1:11" ht="16" x14ac:dyDescent="0.2">
      <c r="A17" s="38"/>
      <c r="B17" s="39"/>
      <c r="C17" s="40"/>
      <c r="D17" s="11"/>
      <c r="E17" s="32"/>
      <c r="F17" s="40"/>
      <c r="G17" s="27"/>
      <c r="H17" s="12"/>
      <c r="I17" s="41"/>
      <c r="J17" s="37"/>
      <c r="K17" s="42"/>
    </row>
    <row r="18" spans="1:11" ht="16" x14ac:dyDescent="0.2">
      <c r="A18" s="43"/>
      <c r="B18" s="44"/>
      <c r="C18" s="40"/>
      <c r="D18" s="11"/>
      <c r="E18" s="45"/>
      <c r="F18" s="46"/>
      <c r="G18" s="27"/>
      <c r="H18" s="12"/>
      <c r="I18" s="10"/>
      <c r="J18" s="13"/>
      <c r="K18" s="10"/>
    </row>
    <row r="19" spans="1:11" x14ac:dyDescent="0.15">
      <c r="A19" s="47"/>
      <c r="B19" s="48"/>
      <c r="C19" s="49"/>
      <c r="D19" s="50"/>
      <c r="E19" s="47"/>
      <c r="F19" s="49"/>
      <c r="G19" s="51"/>
      <c r="H19" s="49"/>
      <c r="I19" s="48"/>
      <c r="J19" s="52"/>
      <c r="K19" s="48"/>
    </row>
    <row r="20" spans="1:11" x14ac:dyDescent="0.15">
      <c r="A20" s="47"/>
      <c r="B20" s="48"/>
      <c r="C20" s="49"/>
      <c r="D20" s="50"/>
      <c r="E20" s="47"/>
      <c r="F20" s="49"/>
      <c r="G20" s="51"/>
      <c r="H20" s="49"/>
      <c r="I20" s="48"/>
      <c r="J20" s="52"/>
      <c r="K20" s="48"/>
    </row>
    <row r="21" spans="1:11" x14ac:dyDescent="0.15">
      <c r="A21" s="47"/>
      <c r="B21" s="48"/>
      <c r="C21" s="53"/>
      <c r="D21" s="47"/>
      <c r="E21" s="52"/>
      <c r="F21" s="53"/>
      <c r="G21" s="51"/>
      <c r="H21" s="49"/>
      <c r="I21" s="48"/>
      <c r="J21" s="52"/>
      <c r="K21" s="48"/>
    </row>
    <row r="22" spans="1:11" x14ac:dyDescent="0.15">
      <c r="A22" s="54"/>
      <c r="B22" s="55"/>
      <c r="C22" s="56"/>
      <c r="D22" s="56"/>
      <c r="E22" s="57" t="s">
        <v>21</v>
      </c>
      <c r="F22" s="58">
        <f>SUM(F9:F21)</f>
        <v>102</v>
      </c>
      <c r="G22" s="59">
        <f>SUM(G9:G21)/F22</f>
        <v>1350</v>
      </c>
      <c r="H22" s="60">
        <f>SUM(H9:H21)/F22</f>
        <v>19</v>
      </c>
      <c r="I22" s="61" t="s">
        <v>22</v>
      </c>
      <c r="J22" s="186">
        <v>2.4305555555555556E-2</v>
      </c>
      <c r="K22" s="55"/>
    </row>
    <row r="23" spans="1:11" x14ac:dyDescent="0.15">
      <c r="E23" s="62"/>
      <c r="F23" s="63"/>
      <c r="I23" s="64" t="s">
        <v>23</v>
      </c>
      <c r="J23" s="65">
        <v>0.57999999999999996</v>
      </c>
    </row>
    <row r="24" spans="1:11" x14ac:dyDescent="0.15">
      <c r="A24" s="1"/>
      <c r="I24" s="66"/>
      <c r="J24" s="67"/>
    </row>
    <row r="25" spans="1:11" x14ac:dyDescent="0.15">
      <c r="A25" s="68" t="s">
        <v>24</v>
      </c>
      <c r="B25" s="68"/>
      <c r="C25" s="68"/>
      <c r="D25" s="53"/>
      <c r="H25" s="4" t="s">
        <v>25</v>
      </c>
      <c r="I25" s="4"/>
      <c r="J25" s="62">
        <f>F22</f>
        <v>102</v>
      </c>
      <c r="K25" s="1" t="s">
        <v>16</v>
      </c>
    </row>
    <row r="26" spans="1:11" x14ac:dyDescent="0.15">
      <c r="A26" s="68" t="s">
        <v>26</v>
      </c>
      <c r="B26" s="68"/>
      <c r="C26" s="68"/>
      <c r="D26" s="53"/>
      <c r="H26" s="4" t="s">
        <v>27</v>
      </c>
      <c r="I26" s="4"/>
      <c r="J26" s="62">
        <f>66+72+68+62+66+58+59+11+70+89+85+85+92+89+92+100+100+97+105+102</f>
        <v>1568</v>
      </c>
      <c r="K26" s="1" t="s">
        <v>16</v>
      </c>
    </row>
    <row r="27" spans="1:11" ht="15" thickBot="1" x14ac:dyDescent="0.2">
      <c r="A27" s="69"/>
      <c r="B27" s="69"/>
      <c r="C27" s="69"/>
      <c r="D27" s="69"/>
      <c r="E27" s="70"/>
      <c r="F27" s="70"/>
      <c r="G27" s="69"/>
      <c r="H27" s="71" t="s">
        <v>28</v>
      </c>
      <c r="I27" s="71"/>
      <c r="J27" s="72">
        <v>90.92</v>
      </c>
      <c r="K27" s="73" t="s">
        <v>29</v>
      </c>
    </row>
    <row r="28" spans="1:11" x14ac:dyDescent="0.15">
      <c r="J28" s="2" t="s">
        <v>3</v>
      </c>
    </row>
    <row r="29" spans="1:11" hidden="1" x14ac:dyDescent="0.15">
      <c r="K29" s="2" t="s">
        <v>30</v>
      </c>
    </row>
    <row r="30" spans="1:11" hidden="1" x14ac:dyDescent="0.15">
      <c r="K30" s="2" t="s">
        <v>31</v>
      </c>
    </row>
    <row r="31" spans="1:11" hidden="1" x14ac:dyDescent="0.15">
      <c r="K31" s="2" t="s">
        <v>32</v>
      </c>
    </row>
    <row r="32" spans="1:11" hidden="1" x14ac:dyDescent="0.15">
      <c r="K32" s="2" t="s">
        <v>33</v>
      </c>
    </row>
    <row r="33" spans="9:11" hidden="1" x14ac:dyDescent="0.15">
      <c r="K33" s="2" t="s">
        <v>34</v>
      </c>
    </row>
    <row r="34" spans="9:11" hidden="1" x14ac:dyDescent="0.15">
      <c r="K34" s="2" t="s">
        <v>35</v>
      </c>
    </row>
    <row r="35" spans="9:11" hidden="1" x14ac:dyDescent="0.15">
      <c r="K35" s="2" t="s">
        <v>36</v>
      </c>
    </row>
    <row r="36" spans="9:11" hidden="1" x14ac:dyDescent="0.15">
      <c r="K36" s="2" t="s">
        <v>37</v>
      </c>
    </row>
    <row r="37" spans="9:11" hidden="1" x14ac:dyDescent="0.15">
      <c r="K37" s="2" t="s">
        <v>38</v>
      </c>
    </row>
    <row r="38" spans="9:11" hidden="1" x14ac:dyDescent="0.15">
      <c r="K38" s="2" t="s">
        <v>39</v>
      </c>
    </row>
    <row r="39" spans="9:11" hidden="1" x14ac:dyDescent="0.15">
      <c r="K39" s="2" t="s">
        <v>40</v>
      </c>
    </row>
    <row r="40" spans="9:11" hidden="1" x14ac:dyDescent="0.15">
      <c r="K40" s="2" t="s">
        <v>41</v>
      </c>
    </row>
    <row r="41" spans="9:11" ht="30" hidden="1" x14ac:dyDescent="0.15">
      <c r="I41" s="74" t="s">
        <v>42</v>
      </c>
      <c r="K41" s="2" t="s">
        <v>43</v>
      </c>
    </row>
    <row r="42" spans="9:11" ht="15" hidden="1" x14ac:dyDescent="0.15">
      <c r="I42" s="74" t="s">
        <v>44</v>
      </c>
      <c r="K42" s="2" t="s">
        <v>45</v>
      </c>
    </row>
    <row r="43" spans="9:11" hidden="1" x14ac:dyDescent="0.15">
      <c r="I43" s="75" t="s">
        <v>46</v>
      </c>
      <c r="K43" s="2" t="s">
        <v>47</v>
      </c>
    </row>
    <row r="44" spans="9:11" hidden="1" x14ac:dyDescent="0.15">
      <c r="I44" s="2" t="s">
        <v>48</v>
      </c>
      <c r="K44" s="2" t="s">
        <v>49</v>
      </c>
    </row>
    <row r="45" spans="9:11" hidden="1" x14ac:dyDescent="0.15">
      <c r="I45" s="2" t="s">
        <v>50</v>
      </c>
      <c r="K45" s="2" t="s">
        <v>51</v>
      </c>
    </row>
    <row r="46" spans="9:11" hidden="1" x14ac:dyDescent="0.15">
      <c r="I46" s="2" t="s">
        <v>52</v>
      </c>
      <c r="K46" s="2" t="s">
        <v>53</v>
      </c>
    </row>
    <row r="47" spans="9:11" hidden="1" x14ac:dyDescent="0.15">
      <c r="I47" s="2" t="s">
        <v>54</v>
      </c>
      <c r="K47" s="2" t="s">
        <v>55</v>
      </c>
    </row>
    <row r="48" spans="9:11" hidden="1" x14ac:dyDescent="0.15">
      <c r="I48" s="2" t="s">
        <v>56</v>
      </c>
      <c r="K48" s="2" t="s">
        <v>57</v>
      </c>
    </row>
    <row r="49" spans="9:11" hidden="1" x14ac:dyDescent="0.15">
      <c r="I49" s="2" t="s">
        <v>58</v>
      </c>
      <c r="K49" s="2" t="s">
        <v>59</v>
      </c>
    </row>
    <row r="50" spans="9:11" hidden="1" x14ac:dyDescent="0.15">
      <c r="I50" s="2" t="s">
        <v>60</v>
      </c>
      <c r="K50" s="2" t="s">
        <v>61</v>
      </c>
    </row>
    <row r="51" spans="9:11" hidden="1" x14ac:dyDescent="0.15">
      <c r="K51" s="2" t="s">
        <v>62</v>
      </c>
    </row>
    <row r="52" spans="9:11" hidden="1" x14ac:dyDescent="0.15">
      <c r="K52" s="2" t="s">
        <v>63</v>
      </c>
    </row>
    <row r="53" spans="9:11" hidden="1" x14ac:dyDescent="0.15">
      <c r="K53" s="2" t="s">
        <v>64</v>
      </c>
    </row>
    <row r="54" spans="9:11" hidden="1" x14ac:dyDescent="0.15">
      <c r="K54" s="2" t="s">
        <v>65</v>
      </c>
    </row>
    <row r="55" spans="9:11" hidden="1" x14ac:dyDescent="0.15">
      <c r="K55" s="2" t="s">
        <v>66</v>
      </c>
    </row>
    <row r="56" spans="9:11" hidden="1" x14ac:dyDescent="0.15">
      <c r="K56" s="2" t="s">
        <v>67</v>
      </c>
    </row>
    <row r="57" spans="9:11" hidden="1" x14ac:dyDescent="0.15">
      <c r="K57" s="2" t="s">
        <v>68</v>
      </c>
    </row>
    <row r="58" spans="9:11" hidden="1" x14ac:dyDescent="0.15">
      <c r="K58" s="2" t="s">
        <v>69</v>
      </c>
    </row>
    <row r="59" spans="9:11" hidden="1" x14ac:dyDescent="0.15">
      <c r="K59" s="2" t="s">
        <v>70</v>
      </c>
    </row>
    <row r="60" spans="9:11" hidden="1" x14ac:dyDescent="0.15">
      <c r="K60" s="2" t="s">
        <v>71</v>
      </c>
    </row>
    <row r="61" spans="9:11" hidden="1" x14ac:dyDescent="0.15">
      <c r="K61" s="2" t="s">
        <v>72</v>
      </c>
    </row>
    <row r="62" spans="9:11" hidden="1" x14ac:dyDescent="0.15">
      <c r="K62" s="2" t="s">
        <v>73</v>
      </c>
    </row>
    <row r="63" spans="9:11" hidden="1" x14ac:dyDescent="0.15">
      <c r="K63" s="2" t="s">
        <v>67</v>
      </c>
    </row>
    <row r="64" spans="9:11" hidden="1" x14ac:dyDescent="0.15">
      <c r="K64" s="2" t="s">
        <v>74</v>
      </c>
    </row>
    <row r="65" spans="11:11" hidden="1" x14ac:dyDescent="0.15">
      <c r="K65" s="2" t="s">
        <v>75</v>
      </c>
    </row>
    <row r="66" spans="11:11" hidden="1" x14ac:dyDescent="0.15">
      <c r="K66" s="2" t="s">
        <v>76</v>
      </c>
    </row>
    <row r="67" spans="11:11" hidden="1" x14ac:dyDescent="0.15">
      <c r="K67" s="2" t="s">
        <v>77</v>
      </c>
    </row>
    <row r="68" spans="11:11" hidden="1" x14ac:dyDescent="0.15">
      <c r="K68" s="2" t="s">
        <v>78</v>
      </c>
    </row>
    <row r="69" spans="11:11" hidden="1" x14ac:dyDescent="0.15">
      <c r="K69" s="2" t="s">
        <v>79</v>
      </c>
    </row>
    <row r="70" spans="11:11" hidden="1" x14ac:dyDescent="0.15">
      <c r="K70" s="2" t="s">
        <v>80</v>
      </c>
    </row>
    <row r="71" spans="11:11" hidden="1" x14ac:dyDescent="0.15">
      <c r="K71" s="2" t="s">
        <v>81</v>
      </c>
    </row>
    <row r="72" spans="11:11" hidden="1" x14ac:dyDescent="0.15">
      <c r="K72" s="2" t="s">
        <v>82</v>
      </c>
    </row>
    <row r="73" spans="11:11" hidden="1" x14ac:dyDescent="0.15">
      <c r="K73" s="2" t="s">
        <v>83</v>
      </c>
    </row>
    <row r="74" spans="11:11" hidden="1" x14ac:dyDescent="0.15">
      <c r="K74" s="2" t="s">
        <v>84</v>
      </c>
    </row>
    <row r="75" spans="11:11" hidden="1" x14ac:dyDescent="0.15">
      <c r="K75" s="2" t="s">
        <v>85</v>
      </c>
    </row>
    <row r="76" spans="11:11" hidden="1" x14ac:dyDescent="0.15">
      <c r="K76" s="2" t="s">
        <v>86</v>
      </c>
    </row>
    <row r="77" spans="11:11" hidden="1" x14ac:dyDescent="0.15">
      <c r="K77" s="2" t="s">
        <v>87</v>
      </c>
    </row>
    <row r="78" spans="11:11" hidden="1" x14ac:dyDescent="0.15">
      <c r="K78" s="2" t="s">
        <v>88</v>
      </c>
    </row>
    <row r="79" spans="11:11" hidden="1" x14ac:dyDescent="0.15">
      <c r="K79" s="2" t="s">
        <v>89</v>
      </c>
    </row>
    <row r="80" spans="11:11" hidden="1" x14ac:dyDescent="0.15">
      <c r="K80" s="2" t="s">
        <v>90</v>
      </c>
    </row>
    <row r="81" spans="11:11" hidden="1" x14ac:dyDescent="0.15">
      <c r="K81" s="2" t="s">
        <v>91</v>
      </c>
    </row>
    <row r="82" spans="11:11" hidden="1" x14ac:dyDescent="0.15">
      <c r="K82" s="2" t="s">
        <v>92</v>
      </c>
    </row>
    <row r="83" spans="11:11" hidden="1" x14ac:dyDescent="0.15">
      <c r="K83" s="2" t="s">
        <v>93</v>
      </c>
    </row>
    <row r="84" spans="11:11" hidden="1" x14ac:dyDescent="0.15">
      <c r="K84" s="2" t="s">
        <v>94</v>
      </c>
    </row>
    <row r="85" spans="11:11" hidden="1" x14ac:dyDescent="0.15">
      <c r="K85" s="2" t="s">
        <v>47</v>
      </c>
    </row>
  </sheetData>
  <dataValidations count="3">
    <dataValidation type="list" allowBlank="1" showInputMessage="1" showErrorMessage="1" sqref="B16:B19" xr:uid="{C540D0B7-DC8C-42ED-B896-9A0055F219C5}">
      <formula1>$K$29:$K$85</formula1>
    </dataValidation>
    <dataValidation type="list" allowBlank="1" showInputMessage="1" showErrorMessage="1" sqref="B20:B21" xr:uid="{5C3373BC-16BF-4F21-AAEB-481D06061EF9}">
      <formula1>$K$29:$K$40</formula1>
    </dataValidation>
    <dataValidation type="list" allowBlank="1" showInputMessage="1" showErrorMessage="1" sqref="I50 K15:K21" xr:uid="{8DA01F0A-B4C7-4266-972B-520035B4F7BE}">
      <formula1>$I$41:$I$50</formula1>
    </dataValidation>
  </dataValidation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D7AA34-17D4-471F-9441-A35C982A225B}">
  <dimension ref="A1:K85"/>
  <sheetViews>
    <sheetView workbookViewId="0">
      <selection sqref="A1:XFD1048576"/>
    </sheetView>
  </sheetViews>
  <sheetFormatPr baseColWidth="10" defaultColWidth="9.1640625" defaultRowHeight="14" x14ac:dyDescent="0.15"/>
  <cols>
    <col min="1" max="1" width="5.1640625" style="2" customWidth="1"/>
    <col min="2" max="2" width="22.5" style="2" customWidth="1"/>
    <col min="3" max="3" width="6.1640625" style="2" customWidth="1"/>
    <col min="4" max="4" width="12.5" style="2" bestFit="1" customWidth="1"/>
    <col min="5" max="5" width="9.83203125" style="2" customWidth="1"/>
    <col min="6" max="6" width="9.33203125" style="2" bestFit="1" customWidth="1"/>
    <col min="7" max="7" width="8.6640625" style="2" customWidth="1"/>
    <col min="8" max="8" width="9.5" style="2" bestFit="1" customWidth="1"/>
    <col min="9" max="9" width="17.83203125" style="2" bestFit="1" customWidth="1"/>
    <col min="10" max="10" width="10.33203125" style="2" bestFit="1" customWidth="1"/>
    <col min="11" max="11" width="75" style="2" bestFit="1" customWidth="1"/>
    <col min="12" max="16384" width="9.1640625" style="2"/>
  </cols>
  <sheetData>
    <row r="1" spans="1:11" x14ac:dyDescent="0.15">
      <c r="A1" s="1" t="s">
        <v>0</v>
      </c>
      <c r="I1" s="3"/>
    </row>
    <row r="2" spans="1:11" x14ac:dyDescent="0.15">
      <c r="J2" s="4"/>
    </row>
    <row r="3" spans="1:11" x14ac:dyDescent="0.15">
      <c r="A3" s="3" t="s">
        <v>1</v>
      </c>
      <c r="I3" s="1"/>
      <c r="J3" s="1"/>
    </row>
    <row r="4" spans="1:11" x14ac:dyDescent="0.15">
      <c r="A4" s="3"/>
      <c r="I4" s="4" t="s">
        <v>2</v>
      </c>
      <c r="J4" s="76">
        <v>45799</v>
      </c>
    </row>
    <row r="5" spans="1:11" x14ac:dyDescent="0.15">
      <c r="J5" s="2" t="s">
        <v>3</v>
      </c>
    </row>
    <row r="6" spans="1:11" ht="30" x14ac:dyDescent="0.15">
      <c r="A6" s="5" t="s">
        <v>4</v>
      </c>
      <c r="B6" s="5" t="s">
        <v>5</v>
      </c>
      <c r="C6" s="5" t="s">
        <v>6</v>
      </c>
      <c r="D6" s="5" t="s">
        <v>7</v>
      </c>
      <c r="E6" s="5" t="s">
        <v>8</v>
      </c>
      <c r="F6" s="5" t="s">
        <v>9</v>
      </c>
      <c r="G6" s="6" t="s">
        <v>10</v>
      </c>
      <c r="H6" s="6" t="s">
        <v>11</v>
      </c>
      <c r="I6" s="6" t="s">
        <v>12</v>
      </c>
      <c r="J6" s="7"/>
      <c r="K6" s="5" t="s">
        <v>13</v>
      </c>
    </row>
    <row r="7" spans="1:11" ht="30" x14ac:dyDescent="0.15">
      <c r="A7" s="6"/>
      <c r="B7" s="8"/>
      <c r="C7" s="5"/>
      <c r="D7" s="5" t="s">
        <v>14</v>
      </c>
      <c r="E7" s="5" t="s">
        <v>15</v>
      </c>
      <c r="F7" s="9" t="s">
        <v>16</v>
      </c>
      <c r="G7" s="9" t="s">
        <v>15</v>
      </c>
      <c r="H7" s="9" t="s">
        <v>17</v>
      </c>
      <c r="I7" s="5" t="s">
        <v>18</v>
      </c>
      <c r="J7" s="9" t="s">
        <v>19</v>
      </c>
      <c r="K7" s="9"/>
    </row>
    <row r="8" spans="1:11" ht="16" x14ac:dyDescent="0.2">
      <c r="A8" s="10"/>
      <c r="B8" s="11"/>
      <c r="C8" s="12"/>
      <c r="D8" s="11"/>
      <c r="E8" s="11"/>
      <c r="F8" s="10"/>
      <c r="G8" s="10"/>
      <c r="H8" s="10"/>
      <c r="I8" s="10"/>
      <c r="J8" s="13"/>
      <c r="K8" s="10"/>
    </row>
    <row r="9" spans="1:11" ht="17" x14ac:dyDescent="0.15">
      <c r="A9" s="192">
        <v>1</v>
      </c>
      <c r="B9" s="187" t="s">
        <v>231</v>
      </c>
      <c r="C9" s="188">
        <v>16</v>
      </c>
      <c r="D9" s="15">
        <v>2.85</v>
      </c>
      <c r="E9" s="193">
        <v>1404</v>
      </c>
      <c r="F9" s="189">
        <v>8</v>
      </c>
      <c r="G9" s="16">
        <f t="shared" ref="G9:G11" si="0">E9*F9</f>
        <v>11232</v>
      </c>
      <c r="H9" s="17">
        <f t="shared" ref="H9:H11" si="1">F9*C9</f>
        <v>128</v>
      </c>
      <c r="I9" s="211" t="s">
        <v>20</v>
      </c>
      <c r="J9" s="212">
        <v>6.9444444444444441E-3</v>
      </c>
      <c r="K9" s="213" t="s">
        <v>265</v>
      </c>
    </row>
    <row r="10" spans="1:11" ht="17" x14ac:dyDescent="0.15">
      <c r="A10" s="23">
        <v>2</v>
      </c>
      <c r="B10" s="187" t="s">
        <v>231</v>
      </c>
      <c r="C10" s="188">
        <v>17</v>
      </c>
      <c r="D10" s="15">
        <v>2.85</v>
      </c>
      <c r="E10" s="193">
        <v>1365</v>
      </c>
      <c r="F10" s="189">
        <v>6</v>
      </c>
      <c r="G10" s="16">
        <f t="shared" si="0"/>
        <v>8190</v>
      </c>
      <c r="H10" s="17">
        <f t="shared" si="1"/>
        <v>102</v>
      </c>
      <c r="I10" s="214" t="s">
        <v>44</v>
      </c>
      <c r="J10" s="215">
        <v>1.0416666666666666E-2</v>
      </c>
      <c r="K10" s="216" t="s">
        <v>44</v>
      </c>
    </row>
    <row r="11" spans="1:11" ht="17" x14ac:dyDescent="0.15">
      <c r="A11" s="192">
        <v>3</v>
      </c>
      <c r="B11" s="187" t="s">
        <v>259</v>
      </c>
      <c r="C11" s="188">
        <v>19</v>
      </c>
      <c r="D11" s="15">
        <v>2.85</v>
      </c>
      <c r="E11" s="193">
        <v>1338</v>
      </c>
      <c r="F11" s="207">
        <v>20</v>
      </c>
      <c r="G11" s="16">
        <f t="shared" si="0"/>
        <v>26760</v>
      </c>
      <c r="H11" s="17">
        <f t="shared" si="1"/>
        <v>380</v>
      </c>
      <c r="I11" s="217" t="s">
        <v>241</v>
      </c>
      <c r="J11" s="215">
        <v>0.625</v>
      </c>
      <c r="K11" s="216" t="s">
        <v>268</v>
      </c>
    </row>
    <row r="12" spans="1:11" ht="19.25" customHeight="1" x14ac:dyDescent="0.15">
      <c r="A12" s="23"/>
      <c r="B12" s="187"/>
      <c r="C12" s="208"/>
      <c r="D12" s="15"/>
      <c r="E12" s="209"/>
      <c r="F12" s="210"/>
      <c r="G12" s="16"/>
      <c r="H12" s="17"/>
      <c r="I12" s="217"/>
      <c r="J12" s="215"/>
      <c r="K12" s="216"/>
    </row>
    <row r="13" spans="1:11" ht="16" x14ac:dyDescent="0.15">
      <c r="A13" s="219"/>
      <c r="B13" s="187"/>
      <c r="C13" s="208"/>
      <c r="D13" s="15"/>
      <c r="E13" s="209"/>
      <c r="F13" s="210"/>
      <c r="G13" s="16"/>
      <c r="H13" s="17"/>
      <c r="I13" s="217"/>
      <c r="J13" s="215"/>
      <c r="K13" s="216"/>
    </row>
    <row r="14" spans="1:11" ht="16" x14ac:dyDescent="0.15">
      <c r="A14" s="192"/>
      <c r="B14" s="187"/>
      <c r="C14" s="220"/>
      <c r="D14" s="11"/>
      <c r="E14" s="221"/>
      <c r="F14" s="222"/>
      <c r="G14" s="16"/>
      <c r="H14" s="17"/>
      <c r="I14" s="28"/>
      <c r="J14" s="37"/>
      <c r="K14" s="30"/>
    </row>
    <row r="15" spans="1:11" ht="16" x14ac:dyDescent="0.2">
      <c r="A15" s="38"/>
      <c r="B15" s="39"/>
      <c r="C15" s="40"/>
      <c r="D15" s="11"/>
      <c r="E15" s="25"/>
      <c r="F15" s="40"/>
      <c r="G15" s="27"/>
      <c r="H15" s="12"/>
      <c r="I15" s="41"/>
      <c r="J15" s="37"/>
      <c r="K15" s="30"/>
    </row>
    <row r="16" spans="1:11" ht="16" x14ac:dyDescent="0.2">
      <c r="A16" s="38"/>
      <c r="B16" s="39"/>
      <c r="C16" s="40"/>
      <c r="D16" s="11"/>
      <c r="E16" s="32"/>
      <c r="F16" s="40"/>
      <c r="G16" s="27"/>
      <c r="H16" s="12"/>
      <c r="I16" s="41"/>
      <c r="J16" s="37"/>
      <c r="K16" s="42"/>
    </row>
    <row r="17" spans="1:11" ht="16" x14ac:dyDescent="0.2">
      <c r="A17" s="38"/>
      <c r="B17" s="39"/>
      <c r="C17" s="40"/>
      <c r="D17" s="11"/>
      <c r="E17" s="32"/>
      <c r="F17" s="40"/>
      <c r="G17" s="27"/>
      <c r="H17" s="12"/>
      <c r="I17" s="41"/>
      <c r="J17" s="37"/>
      <c r="K17" s="42"/>
    </row>
    <row r="18" spans="1:11" ht="16" x14ac:dyDescent="0.2">
      <c r="A18" s="43"/>
      <c r="B18" s="44"/>
      <c r="C18" s="40"/>
      <c r="D18" s="11"/>
      <c r="E18" s="45"/>
      <c r="F18" s="46"/>
      <c r="G18" s="27"/>
      <c r="H18" s="12"/>
      <c r="I18" s="10"/>
      <c r="J18" s="13"/>
      <c r="K18" s="10"/>
    </row>
    <row r="19" spans="1:11" x14ac:dyDescent="0.15">
      <c r="A19" s="47"/>
      <c r="B19" s="48"/>
      <c r="C19" s="49"/>
      <c r="D19" s="50"/>
      <c r="E19" s="47"/>
      <c r="F19" s="49"/>
      <c r="G19" s="51"/>
      <c r="H19" s="49"/>
      <c r="I19" s="48"/>
      <c r="J19" s="52"/>
      <c r="K19" s="48"/>
    </row>
    <row r="20" spans="1:11" x14ac:dyDescent="0.15">
      <c r="A20" s="47"/>
      <c r="B20" s="48"/>
      <c r="C20" s="49"/>
      <c r="D20" s="50"/>
      <c r="E20" s="47"/>
      <c r="F20" s="49"/>
      <c r="G20" s="51"/>
      <c r="H20" s="49"/>
      <c r="I20" s="48"/>
      <c r="J20" s="52"/>
      <c r="K20" s="48"/>
    </row>
    <row r="21" spans="1:11" x14ac:dyDescent="0.15">
      <c r="A21" s="47"/>
      <c r="B21" s="48"/>
      <c r="C21" s="53"/>
      <c r="D21" s="47"/>
      <c r="E21" s="52"/>
      <c r="F21" s="53"/>
      <c r="G21" s="51"/>
      <c r="H21" s="49"/>
      <c r="I21" s="48"/>
      <c r="J21" s="52"/>
      <c r="K21" s="48"/>
    </row>
    <row r="22" spans="1:11" x14ac:dyDescent="0.15">
      <c r="A22" s="54"/>
      <c r="B22" s="55"/>
      <c r="C22" s="56"/>
      <c r="D22" s="56"/>
      <c r="E22" s="57" t="s">
        <v>21</v>
      </c>
      <c r="F22" s="58">
        <f>SUM(F9:F21)</f>
        <v>34</v>
      </c>
      <c r="G22" s="59">
        <f>SUM(G9:G21)/F22</f>
        <v>1358.2941176470588</v>
      </c>
      <c r="H22" s="60">
        <f>SUM(H9:H21)/F22</f>
        <v>17.941176470588236</v>
      </c>
      <c r="I22" s="61" t="s">
        <v>22</v>
      </c>
      <c r="J22" s="186">
        <v>0.64236111111111116</v>
      </c>
      <c r="K22" s="55"/>
    </row>
    <row r="23" spans="1:11" x14ac:dyDescent="0.15">
      <c r="E23" s="62"/>
      <c r="F23" s="63"/>
      <c r="I23" s="64" t="s">
        <v>23</v>
      </c>
      <c r="J23" s="65">
        <v>15.42</v>
      </c>
    </row>
    <row r="24" spans="1:11" x14ac:dyDescent="0.15">
      <c r="A24" s="1"/>
      <c r="I24" s="66"/>
      <c r="J24" s="67"/>
    </row>
    <row r="25" spans="1:11" x14ac:dyDescent="0.15">
      <c r="A25" s="68" t="s">
        <v>24</v>
      </c>
      <c r="B25" s="68"/>
      <c r="C25" s="68"/>
      <c r="D25" s="53"/>
      <c r="H25" s="4" t="s">
        <v>25</v>
      </c>
      <c r="I25" s="4"/>
      <c r="J25" s="62">
        <f>F22</f>
        <v>34</v>
      </c>
      <c r="K25" s="1" t="s">
        <v>16</v>
      </c>
    </row>
    <row r="26" spans="1:11" x14ac:dyDescent="0.15">
      <c r="A26" s="68" t="s">
        <v>26</v>
      </c>
      <c r="B26" s="68"/>
      <c r="C26" s="68"/>
      <c r="D26" s="53"/>
      <c r="H26" s="4" t="s">
        <v>27</v>
      </c>
      <c r="I26" s="4"/>
      <c r="J26" s="62">
        <f>66+72+68+62+66+58+59+11+70+89+85+85+92+89+92+100+100+97+105+102+34</f>
        <v>1602</v>
      </c>
      <c r="K26" s="1" t="s">
        <v>16</v>
      </c>
    </row>
    <row r="27" spans="1:11" ht="15" thickBot="1" x14ac:dyDescent="0.2">
      <c r="A27" s="69"/>
      <c r="B27" s="69"/>
      <c r="C27" s="69"/>
      <c r="D27" s="69"/>
      <c r="E27" s="70"/>
      <c r="F27" s="70"/>
      <c r="G27" s="69"/>
      <c r="H27" s="71" t="s">
        <v>28</v>
      </c>
      <c r="I27" s="71"/>
      <c r="J27" s="72">
        <v>106.33</v>
      </c>
      <c r="K27" s="73" t="s">
        <v>29</v>
      </c>
    </row>
    <row r="28" spans="1:11" x14ac:dyDescent="0.15">
      <c r="J28" s="2" t="s">
        <v>3</v>
      </c>
    </row>
    <row r="29" spans="1:11" hidden="1" x14ac:dyDescent="0.15">
      <c r="K29" s="2" t="s">
        <v>30</v>
      </c>
    </row>
    <row r="30" spans="1:11" hidden="1" x14ac:dyDescent="0.15">
      <c r="K30" s="2" t="s">
        <v>31</v>
      </c>
    </row>
    <row r="31" spans="1:11" hidden="1" x14ac:dyDescent="0.15">
      <c r="K31" s="2" t="s">
        <v>32</v>
      </c>
    </row>
    <row r="32" spans="1:11" hidden="1" x14ac:dyDescent="0.15">
      <c r="K32" s="2" t="s">
        <v>33</v>
      </c>
    </row>
    <row r="33" spans="9:11" hidden="1" x14ac:dyDescent="0.15">
      <c r="K33" s="2" t="s">
        <v>34</v>
      </c>
    </row>
    <row r="34" spans="9:11" hidden="1" x14ac:dyDescent="0.15">
      <c r="K34" s="2" t="s">
        <v>35</v>
      </c>
    </row>
    <row r="35" spans="9:11" hidden="1" x14ac:dyDescent="0.15">
      <c r="K35" s="2" t="s">
        <v>36</v>
      </c>
    </row>
    <row r="36" spans="9:11" hidden="1" x14ac:dyDescent="0.15">
      <c r="K36" s="2" t="s">
        <v>37</v>
      </c>
    </row>
    <row r="37" spans="9:11" hidden="1" x14ac:dyDescent="0.15">
      <c r="K37" s="2" t="s">
        <v>38</v>
      </c>
    </row>
    <row r="38" spans="9:11" hidden="1" x14ac:dyDescent="0.15">
      <c r="K38" s="2" t="s">
        <v>39</v>
      </c>
    </row>
    <row r="39" spans="9:11" hidden="1" x14ac:dyDescent="0.15">
      <c r="K39" s="2" t="s">
        <v>40</v>
      </c>
    </row>
    <row r="40" spans="9:11" hidden="1" x14ac:dyDescent="0.15">
      <c r="K40" s="2" t="s">
        <v>41</v>
      </c>
    </row>
    <row r="41" spans="9:11" ht="30" hidden="1" x14ac:dyDescent="0.15">
      <c r="I41" s="74" t="s">
        <v>42</v>
      </c>
      <c r="K41" s="2" t="s">
        <v>43</v>
      </c>
    </row>
    <row r="42" spans="9:11" ht="15" hidden="1" x14ac:dyDescent="0.15">
      <c r="I42" s="74" t="s">
        <v>44</v>
      </c>
      <c r="K42" s="2" t="s">
        <v>45</v>
      </c>
    </row>
    <row r="43" spans="9:11" hidden="1" x14ac:dyDescent="0.15">
      <c r="I43" s="75" t="s">
        <v>46</v>
      </c>
      <c r="K43" s="2" t="s">
        <v>47</v>
      </c>
    </row>
    <row r="44" spans="9:11" hidden="1" x14ac:dyDescent="0.15">
      <c r="I44" s="2" t="s">
        <v>48</v>
      </c>
      <c r="K44" s="2" t="s">
        <v>49</v>
      </c>
    </row>
    <row r="45" spans="9:11" hidden="1" x14ac:dyDescent="0.15">
      <c r="I45" s="2" t="s">
        <v>50</v>
      </c>
      <c r="K45" s="2" t="s">
        <v>51</v>
      </c>
    </row>
    <row r="46" spans="9:11" hidden="1" x14ac:dyDescent="0.15">
      <c r="I46" s="2" t="s">
        <v>52</v>
      </c>
      <c r="K46" s="2" t="s">
        <v>53</v>
      </c>
    </row>
    <row r="47" spans="9:11" hidden="1" x14ac:dyDescent="0.15">
      <c r="I47" s="2" t="s">
        <v>54</v>
      </c>
      <c r="K47" s="2" t="s">
        <v>55</v>
      </c>
    </row>
    <row r="48" spans="9:11" hidden="1" x14ac:dyDescent="0.15">
      <c r="I48" s="2" t="s">
        <v>56</v>
      </c>
      <c r="K48" s="2" t="s">
        <v>57</v>
      </c>
    </row>
    <row r="49" spans="9:11" hidden="1" x14ac:dyDescent="0.15">
      <c r="I49" s="2" t="s">
        <v>58</v>
      </c>
      <c r="K49" s="2" t="s">
        <v>59</v>
      </c>
    </row>
    <row r="50" spans="9:11" hidden="1" x14ac:dyDescent="0.15">
      <c r="I50" s="2" t="s">
        <v>60</v>
      </c>
      <c r="K50" s="2" t="s">
        <v>61</v>
      </c>
    </row>
    <row r="51" spans="9:11" hidden="1" x14ac:dyDescent="0.15">
      <c r="K51" s="2" t="s">
        <v>62</v>
      </c>
    </row>
    <row r="52" spans="9:11" hidden="1" x14ac:dyDescent="0.15">
      <c r="K52" s="2" t="s">
        <v>63</v>
      </c>
    </row>
    <row r="53" spans="9:11" hidden="1" x14ac:dyDescent="0.15">
      <c r="K53" s="2" t="s">
        <v>64</v>
      </c>
    </row>
    <row r="54" spans="9:11" hidden="1" x14ac:dyDescent="0.15">
      <c r="K54" s="2" t="s">
        <v>65</v>
      </c>
    </row>
    <row r="55" spans="9:11" hidden="1" x14ac:dyDescent="0.15">
      <c r="K55" s="2" t="s">
        <v>66</v>
      </c>
    </row>
    <row r="56" spans="9:11" hidden="1" x14ac:dyDescent="0.15">
      <c r="K56" s="2" t="s">
        <v>67</v>
      </c>
    </row>
    <row r="57" spans="9:11" hidden="1" x14ac:dyDescent="0.15">
      <c r="K57" s="2" t="s">
        <v>68</v>
      </c>
    </row>
    <row r="58" spans="9:11" hidden="1" x14ac:dyDescent="0.15">
      <c r="K58" s="2" t="s">
        <v>69</v>
      </c>
    </row>
    <row r="59" spans="9:11" hidden="1" x14ac:dyDescent="0.15">
      <c r="K59" s="2" t="s">
        <v>70</v>
      </c>
    </row>
    <row r="60" spans="9:11" hidden="1" x14ac:dyDescent="0.15">
      <c r="K60" s="2" t="s">
        <v>71</v>
      </c>
    </row>
    <row r="61" spans="9:11" hidden="1" x14ac:dyDescent="0.15">
      <c r="K61" s="2" t="s">
        <v>72</v>
      </c>
    </row>
    <row r="62" spans="9:11" hidden="1" x14ac:dyDescent="0.15">
      <c r="K62" s="2" t="s">
        <v>73</v>
      </c>
    </row>
    <row r="63" spans="9:11" hidden="1" x14ac:dyDescent="0.15">
      <c r="K63" s="2" t="s">
        <v>67</v>
      </c>
    </row>
    <row r="64" spans="9:11" hidden="1" x14ac:dyDescent="0.15">
      <c r="K64" s="2" t="s">
        <v>74</v>
      </c>
    </row>
    <row r="65" spans="11:11" hidden="1" x14ac:dyDescent="0.15">
      <c r="K65" s="2" t="s">
        <v>75</v>
      </c>
    </row>
    <row r="66" spans="11:11" hidden="1" x14ac:dyDescent="0.15">
      <c r="K66" s="2" t="s">
        <v>76</v>
      </c>
    </row>
    <row r="67" spans="11:11" hidden="1" x14ac:dyDescent="0.15">
      <c r="K67" s="2" t="s">
        <v>77</v>
      </c>
    </row>
    <row r="68" spans="11:11" hidden="1" x14ac:dyDescent="0.15">
      <c r="K68" s="2" t="s">
        <v>78</v>
      </c>
    </row>
    <row r="69" spans="11:11" hidden="1" x14ac:dyDescent="0.15">
      <c r="K69" s="2" t="s">
        <v>79</v>
      </c>
    </row>
    <row r="70" spans="11:11" hidden="1" x14ac:dyDescent="0.15">
      <c r="K70" s="2" t="s">
        <v>80</v>
      </c>
    </row>
    <row r="71" spans="11:11" hidden="1" x14ac:dyDescent="0.15">
      <c r="K71" s="2" t="s">
        <v>81</v>
      </c>
    </row>
    <row r="72" spans="11:11" hidden="1" x14ac:dyDescent="0.15">
      <c r="K72" s="2" t="s">
        <v>82</v>
      </c>
    </row>
    <row r="73" spans="11:11" hidden="1" x14ac:dyDescent="0.15">
      <c r="K73" s="2" t="s">
        <v>83</v>
      </c>
    </row>
    <row r="74" spans="11:11" hidden="1" x14ac:dyDescent="0.15">
      <c r="K74" s="2" t="s">
        <v>84</v>
      </c>
    </row>
    <row r="75" spans="11:11" hidden="1" x14ac:dyDescent="0.15">
      <c r="K75" s="2" t="s">
        <v>85</v>
      </c>
    </row>
    <row r="76" spans="11:11" hidden="1" x14ac:dyDescent="0.15">
      <c r="K76" s="2" t="s">
        <v>86</v>
      </c>
    </row>
    <row r="77" spans="11:11" hidden="1" x14ac:dyDescent="0.15">
      <c r="K77" s="2" t="s">
        <v>87</v>
      </c>
    </row>
    <row r="78" spans="11:11" hidden="1" x14ac:dyDescent="0.15">
      <c r="K78" s="2" t="s">
        <v>88</v>
      </c>
    </row>
    <row r="79" spans="11:11" hidden="1" x14ac:dyDescent="0.15">
      <c r="K79" s="2" t="s">
        <v>89</v>
      </c>
    </row>
    <row r="80" spans="11:11" hidden="1" x14ac:dyDescent="0.15">
      <c r="K80" s="2" t="s">
        <v>90</v>
      </c>
    </row>
    <row r="81" spans="11:11" hidden="1" x14ac:dyDescent="0.15">
      <c r="K81" s="2" t="s">
        <v>91</v>
      </c>
    </row>
    <row r="82" spans="11:11" hidden="1" x14ac:dyDescent="0.15">
      <c r="K82" s="2" t="s">
        <v>92</v>
      </c>
    </row>
    <row r="83" spans="11:11" hidden="1" x14ac:dyDescent="0.15">
      <c r="K83" s="2" t="s">
        <v>93</v>
      </c>
    </row>
    <row r="84" spans="11:11" hidden="1" x14ac:dyDescent="0.15">
      <c r="K84" s="2" t="s">
        <v>94</v>
      </c>
    </row>
    <row r="85" spans="11:11" hidden="1" x14ac:dyDescent="0.15">
      <c r="K85" s="2" t="s">
        <v>47</v>
      </c>
    </row>
  </sheetData>
  <dataValidations count="3">
    <dataValidation type="list" allowBlank="1" showInputMessage="1" showErrorMessage="1" sqref="I50 K15:K21" xr:uid="{5459E02E-1A37-4DA7-B8FC-8D6A460930A7}">
      <formula1>$I$41:$I$50</formula1>
    </dataValidation>
    <dataValidation type="list" allowBlank="1" showInputMessage="1" showErrorMessage="1" sqref="B20:B21" xr:uid="{C9E4D426-7995-4DEA-95F5-741F46F1DA87}">
      <formula1>$K$29:$K$40</formula1>
    </dataValidation>
    <dataValidation type="list" allowBlank="1" showInputMessage="1" showErrorMessage="1" sqref="B16:B19" xr:uid="{40192389-2C19-4F6C-8455-EC23B4016160}">
      <formula1>$K$29:$K$85</formula1>
    </dataValidation>
  </dataValidation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EC2838-71CF-4E5C-9D7B-A9179942DC81}">
  <dimension ref="A1:K85"/>
  <sheetViews>
    <sheetView workbookViewId="0">
      <selection sqref="A1:XFD1048576"/>
    </sheetView>
  </sheetViews>
  <sheetFormatPr baseColWidth="10" defaultColWidth="9.1640625" defaultRowHeight="14" x14ac:dyDescent="0.15"/>
  <cols>
    <col min="1" max="1" width="5.1640625" style="2" customWidth="1"/>
    <col min="2" max="2" width="22.5" style="2" customWidth="1"/>
    <col min="3" max="3" width="6.1640625" style="2" customWidth="1"/>
    <col min="4" max="4" width="12.5" style="2" bestFit="1" customWidth="1"/>
    <col min="5" max="5" width="9.83203125" style="2" customWidth="1"/>
    <col min="6" max="6" width="9.33203125" style="2" bestFit="1" customWidth="1"/>
    <col min="7" max="7" width="8.6640625" style="2" customWidth="1"/>
    <col min="8" max="8" width="9.5" style="2" bestFit="1" customWidth="1"/>
    <col min="9" max="9" width="17.83203125" style="2" bestFit="1" customWidth="1"/>
    <col min="10" max="10" width="10.33203125" style="2" bestFit="1" customWidth="1"/>
    <col min="11" max="11" width="75" style="2" bestFit="1" customWidth="1"/>
    <col min="12" max="16384" width="9.1640625" style="2"/>
  </cols>
  <sheetData>
    <row r="1" spans="1:11" x14ac:dyDescent="0.15">
      <c r="A1" s="1" t="s">
        <v>0</v>
      </c>
      <c r="I1" s="3"/>
    </row>
    <row r="2" spans="1:11" x14ac:dyDescent="0.15">
      <c r="J2" s="4"/>
    </row>
    <row r="3" spans="1:11" x14ac:dyDescent="0.15">
      <c r="A3" s="3" t="s">
        <v>1</v>
      </c>
      <c r="I3" s="1"/>
      <c r="J3" s="1"/>
    </row>
    <row r="4" spans="1:11" x14ac:dyDescent="0.15">
      <c r="A4" s="3"/>
      <c r="I4" s="4" t="s">
        <v>2</v>
      </c>
      <c r="J4" s="76">
        <v>45800</v>
      </c>
    </row>
    <row r="5" spans="1:11" x14ac:dyDescent="0.15">
      <c r="J5" s="2" t="s">
        <v>3</v>
      </c>
    </row>
    <row r="6" spans="1:11" ht="30" x14ac:dyDescent="0.15">
      <c r="A6" s="5" t="s">
        <v>4</v>
      </c>
      <c r="B6" s="5" t="s">
        <v>5</v>
      </c>
      <c r="C6" s="5" t="s">
        <v>6</v>
      </c>
      <c r="D6" s="5" t="s">
        <v>7</v>
      </c>
      <c r="E6" s="5" t="s">
        <v>8</v>
      </c>
      <c r="F6" s="5" t="s">
        <v>9</v>
      </c>
      <c r="G6" s="6" t="s">
        <v>10</v>
      </c>
      <c r="H6" s="6" t="s">
        <v>11</v>
      </c>
      <c r="I6" s="6" t="s">
        <v>12</v>
      </c>
      <c r="J6" s="7"/>
      <c r="K6" s="5" t="s">
        <v>13</v>
      </c>
    </row>
    <row r="7" spans="1:11" ht="30" x14ac:dyDescent="0.15">
      <c r="A7" s="6"/>
      <c r="B7" s="8"/>
      <c r="C7" s="5"/>
      <c r="D7" s="5" t="s">
        <v>14</v>
      </c>
      <c r="E7" s="5" t="s">
        <v>15</v>
      </c>
      <c r="F7" s="9" t="s">
        <v>16</v>
      </c>
      <c r="G7" s="9" t="s">
        <v>15</v>
      </c>
      <c r="H7" s="9" t="s">
        <v>17</v>
      </c>
      <c r="I7" s="5" t="s">
        <v>18</v>
      </c>
      <c r="J7" s="9" t="s">
        <v>19</v>
      </c>
      <c r="K7" s="9"/>
    </row>
    <row r="8" spans="1:11" ht="16" x14ac:dyDescent="0.2">
      <c r="A8" s="10"/>
      <c r="B8" s="11"/>
      <c r="C8" s="12"/>
      <c r="D8" s="11"/>
      <c r="E8" s="11"/>
      <c r="F8" s="10"/>
      <c r="G8" s="10"/>
      <c r="H8" s="10"/>
      <c r="I8" s="10"/>
      <c r="J8" s="13"/>
      <c r="K8" s="10"/>
    </row>
    <row r="9" spans="1:11" ht="17" x14ac:dyDescent="0.15">
      <c r="A9" s="192">
        <v>1</v>
      </c>
      <c r="B9" s="187" t="s">
        <v>231</v>
      </c>
      <c r="C9" s="188">
        <v>14</v>
      </c>
      <c r="D9" s="15">
        <v>2.85</v>
      </c>
      <c r="E9" s="193">
        <v>1386</v>
      </c>
      <c r="F9" s="189">
        <v>47</v>
      </c>
      <c r="G9" s="16">
        <f t="shared" ref="G9:G11" si="0">E9*F9</f>
        <v>65142</v>
      </c>
      <c r="H9" s="17">
        <f t="shared" ref="H9:H11" si="1">F9*C9</f>
        <v>658</v>
      </c>
      <c r="I9" s="211" t="s">
        <v>20</v>
      </c>
      <c r="J9" s="212">
        <v>2.0833333333333332E-2</v>
      </c>
      <c r="K9" s="213" t="s">
        <v>265</v>
      </c>
    </row>
    <row r="10" spans="1:11" ht="17" x14ac:dyDescent="0.15">
      <c r="A10" s="23">
        <v>2</v>
      </c>
      <c r="B10" s="187" t="s">
        <v>231</v>
      </c>
      <c r="C10" s="188">
        <v>15</v>
      </c>
      <c r="D10" s="15">
        <v>2.85</v>
      </c>
      <c r="E10" s="193">
        <v>1422</v>
      </c>
      <c r="F10" s="189">
        <v>32</v>
      </c>
      <c r="G10" s="16">
        <f t="shared" si="0"/>
        <v>45504</v>
      </c>
      <c r="H10" s="17">
        <f t="shared" si="1"/>
        <v>480</v>
      </c>
      <c r="I10" s="214" t="s">
        <v>44</v>
      </c>
      <c r="J10" s="215">
        <v>1.3888888888888888E-2</v>
      </c>
      <c r="K10" s="216" t="s">
        <v>44</v>
      </c>
    </row>
    <row r="11" spans="1:11" ht="17" x14ac:dyDescent="0.15">
      <c r="A11" s="192">
        <v>3</v>
      </c>
      <c r="B11" s="187" t="s">
        <v>259</v>
      </c>
      <c r="C11" s="188">
        <v>19</v>
      </c>
      <c r="D11" s="15">
        <v>2.85</v>
      </c>
      <c r="E11" s="193">
        <v>1362</v>
      </c>
      <c r="F11" s="207">
        <v>1</v>
      </c>
      <c r="G11" s="16">
        <f t="shared" si="0"/>
        <v>1362</v>
      </c>
      <c r="H11" s="17">
        <f t="shared" si="1"/>
        <v>19</v>
      </c>
      <c r="I11" s="217" t="s">
        <v>243</v>
      </c>
      <c r="J11" s="215">
        <v>6.9444444444444441E-3</v>
      </c>
      <c r="K11" s="216" t="s">
        <v>243</v>
      </c>
    </row>
    <row r="12" spans="1:11" ht="19.25" customHeight="1" x14ac:dyDescent="0.15">
      <c r="A12" s="23"/>
      <c r="B12" s="187"/>
      <c r="C12" s="208"/>
      <c r="D12" s="15"/>
      <c r="E12" s="209"/>
      <c r="F12" s="210"/>
      <c r="G12" s="16"/>
      <c r="H12" s="17"/>
      <c r="I12" s="217"/>
      <c r="J12" s="215"/>
      <c r="K12" s="216"/>
    </row>
    <row r="13" spans="1:11" ht="16" x14ac:dyDescent="0.15">
      <c r="A13" s="219"/>
      <c r="B13" s="187"/>
      <c r="C13" s="208"/>
      <c r="D13" s="15"/>
      <c r="E13" s="209"/>
      <c r="F13" s="210"/>
      <c r="G13" s="16"/>
      <c r="H13" s="17"/>
      <c r="I13" s="217"/>
      <c r="J13" s="215"/>
      <c r="K13" s="216"/>
    </row>
    <row r="14" spans="1:11" ht="16" x14ac:dyDescent="0.15">
      <c r="A14" s="192"/>
      <c r="B14" s="187"/>
      <c r="C14" s="220"/>
      <c r="D14" s="11"/>
      <c r="E14" s="221"/>
      <c r="F14" s="222"/>
      <c r="G14" s="16"/>
      <c r="H14" s="17"/>
      <c r="I14" s="28"/>
      <c r="J14" s="37"/>
      <c r="K14" s="30"/>
    </row>
    <row r="15" spans="1:11" ht="16" x14ac:dyDescent="0.2">
      <c r="A15" s="38"/>
      <c r="B15" s="39"/>
      <c r="C15" s="40"/>
      <c r="D15" s="11"/>
      <c r="E15" s="25"/>
      <c r="F15" s="40"/>
      <c r="G15" s="27"/>
      <c r="H15" s="12"/>
      <c r="I15" s="41"/>
      <c r="J15" s="37"/>
      <c r="K15" s="30"/>
    </row>
    <row r="16" spans="1:11" ht="16" x14ac:dyDescent="0.2">
      <c r="A16" s="38"/>
      <c r="B16" s="39"/>
      <c r="C16" s="40"/>
      <c r="D16" s="11"/>
      <c r="E16" s="32"/>
      <c r="F16" s="40"/>
      <c r="G16" s="27"/>
      <c r="H16" s="12"/>
      <c r="I16" s="41"/>
      <c r="J16" s="37"/>
      <c r="K16" s="42"/>
    </row>
    <row r="17" spans="1:11" ht="16" x14ac:dyDescent="0.2">
      <c r="A17" s="38"/>
      <c r="B17" s="39"/>
      <c r="C17" s="40"/>
      <c r="D17" s="11"/>
      <c r="E17" s="32"/>
      <c r="F17" s="40"/>
      <c r="G17" s="27"/>
      <c r="H17" s="12"/>
      <c r="I17" s="41"/>
      <c r="J17" s="37"/>
      <c r="K17" s="42"/>
    </row>
    <row r="18" spans="1:11" ht="16" x14ac:dyDescent="0.2">
      <c r="A18" s="43"/>
      <c r="B18" s="44"/>
      <c r="C18" s="40"/>
      <c r="D18" s="11"/>
      <c r="E18" s="45"/>
      <c r="F18" s="46"/>
      <c r="G18" s="27"/>
      <c r="H18" s="12"/>
      <c r="I18" s="10"/>
      <c r="J18" s="13"/>
      <c r="K18" s="10"/>
    </row>
    <row r="19" spans="1:11" x14ac:dyDescent="0.15">
      <c r="A19" s="47"/>
      <c r="B19" s="48"/>
      <c r="C19" s="49"/>
      <c r="D19" s="50"/>
      <c r="E19" s="47"/>
      <c r="F19" s="49"/>
      <c r="G19" s="51"/>
      <c r="H19" s="49"/>
      <c r="I19" s="48"/>
      <c r="J19" s="52"/>
      <c r="K19" s="48"/>
    </row>
    <row r="20" spans="1:11" x14ac:dyDescent="0.15">
      <c r="A20" s="47"/>
      <c r="B20" s="48"/>
      <c r="C20" s="49"/>
      <c r="D20" s="50"/>
      <c r="E20" s="47"/>
      <c r="F20" s="49"/>
      <c r="G20" s="51"/>
      <c r="H20" s="49"/>
      <c r="I20" s="48"/>
      <c r="J20" s="52"/>
      <c r="K20" s="48"/>
    </row>
    <row r="21" spans="1:11" x14ac:dyDescent="0.15">
      <c r="A21" s="47"/>
      <c r="B21" s="48"/>
      <c r="C21" s="53"/>
      <c r="D21" s="47"/>
      <c r="E21" s="52"/>
      <c r="F21" s="53"/>
      <c r="G21" s="51"/>
      <c r="H21" s="49"/>
      <c r="I21" s="48"/>
      <c r="J21" s="52"/>
      <c r="K21" s="48"/>
    </row>
    <row r="22" spans="1:11" x14ac:dyDescent="0.15">
      <c r="A22" s="54"/>
      <c r="B22" s="55"/>
      <c r="C22" s="56"/>
      <c r="D22" s="56"/>
      <c r="E22" s="57" t="s">
        <v>21</v>
      </c>
      <c r="F22" s="58">
        <f>SUM(F9:F21)</f>
        <v>80</v>
      </c>
      <c r="G22" s="59">
        <f>SUM(G9:G21)/F22</f>
        <v>1400.1</v>
      </c>
      <c r="H22" s="60">
        <f>SUM(H9:H21)/F22</f>
        <v>14.4625</v>
      </c>
      <c r="I22" s="61" t="s">
        <v>22</v>
      </c>
      <c r="J22" s="186">
        <v>4.1666666666666664E-2</v>
      </c>
      <c r="K22" s="55"/>
    </row>
    <row r="23" spans="1:11" x14ac:dyDescent="0.15">
      <c r="E23" s="62"/>
      <c r="F23" s="63"/>
      <c r="I23" s="64" t="s">
        <v>23</v>
      </c>
      <c r="J23" s="65">
        <v>4.1666666666666664E-2</v>
      </c>
    </row>
    <row r="24" spans="1:11" x14ac:dyDescent="0.15">
      <c r="A24" s="1"/>
      <c r="I24" s="66"/>
      <c r="J24" s="67"/>
    </row>
    <row r="25" spans="1:11" x14ac:dyDescent="0.15">
      <c r="A25" s="68" t="s">
        <v>24</v>
      </c>
      <c r="B25" s="68"/>
      <c r="C25" s="68"/>
      <c r="D25" s="53"/>
      <c r="H25" s="4" t="s">
        <v>25</v>
      </c>
      <c r="I25" s="4"/>
      <c r="J25" s="62">
        <f>F22</f>
        <v>80</v>
      </c>
      <c r="K25" s="1" t="s">
        <v>16</v>
      </c>
    </row>
    <row r="26" spans="1:11" x14ac:dyDescent="0.15">
      <c r="A26" s="68" t="s">
        <v>26</v>
      </c>
      <c r="B26" s="68"/>
      <c r="C26" s="68"/>
      <c r="D26" s="53"/>
      <c r="H26" s="4" t="s">
        <v>27</v>
      </c>
      <c r="I26" s="4"/>
      <c r="J26" s="62">
        <f>66+72+68+62+66+58+59+11+70+89+85+85+92+89+92+100+100+97+105+102+34+80</f>
        <v>1682</v>
      </c>
      <c r="K26" s="1" t="s">
        <v>16</v>
      </c>
    </row>
    <row r="27" spans="1:11" ht="15" thickBot="1" x14ac:dyDescent="0.2">
      <c r="A27" s="69"/>
      <c r="B27" s="69"/>
      <c r="C27" s="69"/>
      <c r="D27" s="69"/>
      <c r="E27" s="70"/>
      <c r="F27" s="70"/>
      <c r="G27" s="69"/>
      <c r="H27" s="71" t="s">
        <v>28</v>
      </c>
      <c r="I27" s="71"/>
      <c r="J27" s="72">
        <v>107.33</v>
      </c>
      <c r="K27" s="73" t="s">
        <v>29</v>
      </c>
    </row>
    <row r="28" spans="1:11" x14ac:dyDescent="0.15">
      <c r="J28" s="2" t="s">
        <v>3</v>
      </c>
    </row>
    <row r="29" spans="1:11" hidden="1" x14ac:dyDescent="0.15">
      <c r="K29" s="2" t="s">
        <v>30</v>
      </c>
    </row>
    <row r="30" spans="1:11" hidden="1" x14ac:dyDescent="0.15">
      <c r="K30" s="2" t="s">
        <v>31</v>
      </c>
    </row>
    <row r="31" spans="1:11" hidden="1" x14ac:dyDescent="0.15">
      <c r="K31" s="2" t="s">
        <v>32</v>
      </c>
    </row>
    <row r="32" spans="1:11" hidden="1" x14ac:dyDescent="0.15">
      <c r="K32" s="2" t="s">
        <v>33</v>
      </c>
    </row>
    <row r="33" spans="9:11" hidden="1" x14ac:dyDescent="0.15">
      <c r="K33" s="2" t="s">
        <v>34</v>
      </c>
    </row>
    <row r="34" spans="9:11" hidden="1" x14ac:dyDescent="0.15">
      <c r="K34" s="2" t="s">
        <v>35</v>
      </c>
    </row>
    <row r="35" spans="9:11" hidden="1" x14ac:dyDescent="0.15">
      <c r="K35" s="2" t="s">
        <v>36</v>
      </c>
    </row>
    <row r="36" spans="9:11" hidden="1" x14ac:dyDescent="0.15">
      <c r="K36" s="2" t="s">
        <v>37</v>
      </c>
    </row>
    <row r="37" spans="9:11" hidden="1" x14ac:dyDescent="0.15">
      <c r="K37" s="2" t="s">
        <v>38</v>
      </c>
    </row>
    <row r="38" spans="9:11" hidden="1" x14ac:dyDescent="0.15">
      <c r="K38" s="2" t="s">
        <v>39</v>
      </c>
    </row>
    <row r="39" spans="9:11" hidden="1" x14ac:dyDescent="0.15">
      <c r="K39" s="2" t="s">
        <v>40</v>
      </c>
    </row>
    <row r="40" spans="9:11" hidden="1" x14ac:dyDescent="0.15">
      <c r="K40" s="2" t="s">
        <v>41</v>
      </c>
    </row>
    <row r="41" spans="9:11" ht="30" hidden="1" x14ac:dyDescent="0.15">
      <c r="I41" s="74" t="s">
        <v>42</v>
      </c>
      <c r="K41" s="2" t="s">
        <v>43</v>
      </c>
    </row>
    <row r="42" spans="9:11" ht="15" hidden="1" x14ac:dyDescent="0.15">
      <c r="I42" s="74" t="s">
        <v>44</v>
      </c>
      <c r="K42" s="2" t="s">
        <v>45</v>
      </c>
    </row>
    <row r="43" spans="9:11" hidden="1" x14ac:dyDescent="0.15">
      <c r="I43" s="75" t="s">
        <v>46</v>
      </c>
      <c r="K43" s="2" t="s">
        <v>47</v>
      </c>
    </row>
    <row r="44" spans="9:11" hidden="1" x14ac:dyDescent="0.15">
      <c r="I44" s="2" t="s">
        <v>48</v>
      </c>
      <c r="K44" s="2" t="s">
        <v>49</v>
      </c>
    </row>
    <row r="45" spans="9:11" hidden="1" x14ac:dyDescent="0.15">
      <c r="I45" s="2" t="s">
        <v>50</v>
      </c>
      <c r="K45" s="2" t="s">
        <v>51</v>
      </c>
    </row>
    <row r="46" spans="9:11" hidden="1" x14ac:dyDescent="0.15">
      <c r="I46" s="2" t="s">
        <v>52</v>
      </c>
      <c r="K46" s="2" t="s">
        <v>53</v>
      </c>
    </row>
    <row r="47" spans="9:11" hidden="1" x14ac:dyDescent="0.15">
      <c r="I47" s="2" t="s">
        <v>54</v>
      </c>
      <c r="K47" s="2" t="s">
        <v>55</v>
      </c>
    </row>
    <row r="48" spans="9:11" hidden="1" x14ac:dyDescent="0.15">
      <c r="I48" s="2" t="s">
        <v>56</v>
      </c>
      <c r="K48" s="2" t="s">
        <v>57</v>
      </c>
    </row>
    <row r="49" spans="9:11" hidden="1" x14ac:dyDescent="0.15">
      <c r="I49" s="2" t="s">
        <v>58</v>
      </c>
      <c r="K49" s="2" t="s">
        <v>59</v>
      </c>
    </row>
    <row r="50" spans="9:11" hidden="1" x14ac:dyDescent="0.15">
      <c r="I50" s="2" t="s">
        <v>60</v>
      </c>
      <c r="K50" s="2" t="s">
        <v>61</v>
      </c>
    </row>
    <row r="51" spans="9:11" hidden="1" x14ac:dyDescent="0.15">
      <c r="K51" s="2" t="s">
        <v>62</v>
      </c>
    </row>
    <row r="52" spans="9:11" hidden="1" x14ac:dyDescent="0.15">
      <c r="K52" s="2" t="s">
        <v>63</v>
      </c>
    </row>
    <row r="53" spans="9:11" hidden="1" x14ac:dyDescent="0.15">
      <c r="K53" s="2" t="s">
        <v>64</v>
      </c>
    </row>
    <row r="54" spans="9:11" hidden="1" x14ac:dyDescent="0.15">
      <c r="K54" s="2" t="s">
        <v>65</v>
      </c>
    </row>
    <row r="55" spans="9:11" hidden="1" x14ac:dyDescent="0.15">
      <c r="K55" s="2" t="s">
        <v>66</v>
      </c>
    </row>
    <row r="56" spans="9:11" hidden="1" x14ac:dyDescent="0.15">
      <c r="K56" s="2" t="s">
        <v>67</v>
      </c>
    </row>
    <row r="57" spans="9:11" hidden="1" x14ac:dyDescent="0.15">
      <c r="K57" s="2" t="s">
        <v>68</v>
      </c>
    </row>
    <row r="58" spans="9:11" hidden="1" x14ac:dyDescent="0.15">
      <c r="K58" s="2" t="s">
        <v>69</v>
      </c>
    </row>
    <row r="59" spans="9:11" hidden="1" x14ac:dyDescent="0.15">
      <c r="K59" s="2" t="s">
        <v>70</v>
      </c>
    </row>
    <row r="60" spans="9:11" hidden="1" x14ac:dyDescent="0.15">
      <c r="K60" s="2" t="s">
        <v>71</v>
      </c>
    </row>
    <row r="61" spans="9:11" hidden="1" x14ac:dyDescent="0.15">
      <c r="K61" s="2" t="s">
        <v>72</v>
      </c>
    </row>
    <row r="62" spans="9:11" hidden="1" x14ac:dyDescent="0.15">
      <c r="K62" s="2" t="s">
        <v>73</v>
      </c>
    </row>
    <row r="63" spans="9:11" hidden="1" x14ac:dyDescent="0.15">
      <c r="K63" s="2" t="s">
        <v>67</v>
      </c>
    </row>
    <row r="64" spans="9:11" hidden="1" x14ac:dyDescent="0.15">
      <c r="K64" s="2" t="s">
        <v>74</v>
      </c>
    </row>
    <row r="65" spans="11:11" hidden="1" x14ac:dyDescent="0.15">
      <c r="K65" s="2" t="s">
        <v>75</v>
      </c>
    </row>
    <row r="66" spans="11:11" hidden="1" x14ac:dyDescent="0.15">
      <c r="K66" s="2" t="s">
        <v>76</v>
      </c>
    </row>
    <row r="67" spans="11:11" hidden="1" x14ac:dyDescent="0.15">
      <c r="K67" s="2" t="s">
        <v>77</v>
      </c>
    </row>
    <row r="68" spans="11:11" hidden="1" x14ac:dyDescent="0.15">
      <c r="K68" s="2" t="s">
        <v>78</v>
      </c>
    </row>
    <row r="69" spans="11:11" hidden="1" x14ac:dyDescent="0.15">
      <c r="K69" s="2" t="s">
        <v>79</v>
      </c>
    </row>
    <row r="70" spans="11:11" hidden="1" x14ac:dyDescent="0.15">
      <c r="K70" s="2" t="s">
        <v>80</v>
      </c>
    </row>
    <row r="71" spans="11:11" hidden="1" x14ac:dyDescent="0.15">
      <c r="K71" s="2" t="s">
        <v>81</v>
      </c>
    </row>
    <row r="72" spans="11:11" hidden="1" x14ac:dyDescent="0.15">
      <c r="K72" s="2" t="s">
        <v>82</v>
      </c>
    </row>
    <row r="73" spans="11:11" hidden="1" x14ac:dyDescent="0.15">
      <c r="K73" s="2" t="s">
        <v>83</v>
      </c>
    </row>
    <row r="74" spans="11:11" hidden="1" x14ac:dyDescent="0.15">
      <c r="K74" s="2" t="s">
        <v>84</v>
      </c>
    </row>
    <row r="75" spans="11:11" hidden="1" x14ac:dyDescent="0.15">
      <c r="K75" s="2" t="s">
        <v>85</v>
      </c>
    </row>
    <row r="76" spans="11:11" hidden="1" x14ac:dyDescent="0.15">
      <c r="K76" s="2" t="s">
        <v>86</v>
      </c>
    </row>
    <row r="77" spans="11:11" hidden="1" x14ac:dyDescent="0.15">
      <c r="K77" s="2" t="s">
        <v>87</v>
      </c>
    </row>
    <row r="78" spans="11:11" hidden="1" x14ac:dyDescent="0.15">
      <c r="K78" s="2" t="s">
        <v>88</v>
      </c>
    </row>
    <row r="79" spans="11:11" hidden="1" x14ac:dyDescent="0.15">
      <c r="K79" s="2" t="s">
        <v>89</v>
      </c>
    </row>
    <row r="80" spans="11:11" hidden="1" x14ac:dyDescent="0.15">
      <c r="K80" s="2" t="s">
        <v>90</v>
      </c>
    </row>
    <row r="81" spans="11:11" hidden="1" x14ac:dyDescent="0.15">
      <c r="K81" s="2" t="s">
        <v>91</v>
      </c>
    </row>
    <row r="82" spans="11:11" hidden="1" x14ac:dyDescent="0.15">
      <c r="K82" s="2" t="s">
        <v>92</v>
      </c>
    </row>
    <row r="83" spans="11:11" hidden="1" x14ac:dyDescent="0.15">
      <c r="K83" s="2" t="s">
        <v>93</v>
      </c>
    </row>
    <row r="84" spans="11:11" hidden="1" x14ac:dyDescent="0.15">
      <c r="K84" s="2" t="s">
        <v>94</v>
      </c>
    </row>
    <row r="85" spans="11:11" hidden="1" x14ac:dyDescent="0.15">
      <c r="K85" s="2" t="s">
        <v>47</v>
      </c>
    </row>
  </sheetData>
  <dataValidations count="3">
    <dataValidation type="list" allowBlank="1" showInputMessage="1" showErrorMessage="1" sqref="B16:B19" xr:uid="{D654C935-64F9-47BA-9816-05204C550880}">
      <formula1>$K$29:$K$85</formula1>
    </dataValidation>
    <dataValidation type="list" allowBlank="1" showInputMessage="1" showErrorMessage="1" sqref="B20:B21" xr:uid="{5B2E0B86-CEF0-49D0-820A-7A903FAC0BB6}">
      <formula1>$K$29:$K$40</formula1>
    </dataValidation>
    <dataValidation type="list" allowBlank="1" showInputMessage="1" showErrorMessage="1" sqref="I50 K15:K21" xr:uid="{1D1BAE28-D221-403C-94E7-F7D49BA51F0B}">
      <formula1>$I$41:$I$50</formula1>
    </dataValidation>
  </dataValidation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01CF8E-189C-49AA-8D32-8C65C0512DC4}">
  <dimension ref="A1:K85"/>
  <sheetViews>
    <sheetView workbookViewId="0">
      <selection sqref="A1:XFD1048576"/>
    </sheetView>
  </sheetViews>
  <sheetFormatPr baseColWidth="10" defaultColWidth="9.1640625" defaultRowHeight="14" x14ac:dyDescent="0.15"/>
  <cols>
    <col min="1" max="1" width="5.1640625" style="2" customWidth="1"/>
    <col min="2" max="2" width="22.5" style="2" customWidth="1"/>
    <col min="3" max="3" width="6.1640625" style="2" customWidth="1"/>
    <col min="4" max="4" width="12.5" style="2" bestFit="1" customWidth="1"/>
    <col min="5" max="5" width="9.83203125" style="2" customWidth="1"/>
    <col min="6" max="6" width="9.33203125" style="2" bestFit="1" customWidth="1"/>
    <col min="7" max="7" width="8.6640625" style="2" customWidth="1"/>
    <col min="8" max="8" width="9.5" style="2" bestFit="1" customWidth="1"/>
    <col min="9" max="9" width="17.83203125" style="2" bestFit="1" customWidth="1"/>
    <col min="10" max="10" width="10.33203125" style="2" bestFit="1" customWidth="1"/>
    <col min="11" max="11" width="75" style="2" bestFit="1" customWidth="1"/>
    <col min="12" max="16384" width="9.1640625" style="2"/>
  </cols>
  <sheetData>
    <row r="1" spans="1:11" x14ac:dyDescent="0.15">
      <c r="A1" s="1" t="s">
        <v>0</v>
      </c>
      <c r="I1" s="3"/>
    </row>
    <row r="2" spans="1:11" x14ac:dyDescent="0.15">
      <c r="J2" s="4"/>
    </row>
    <row r="3" spans="1:11" x14ac:dyDescent="0.15">
      <c r="A3" s="3" t="s">
        <v>1</v>
      </c>
      <c r="I3" s="1"/>
      <c r="J3" s="1"/>
    </row>
    <row r="4" spans="1:11" x14ac:dyDescent="0.15">
      <c r="A4" s="3"/>
      <c r="I4" s="4" t="s">
        <v>2</v>
      </c>
      <c r="J4" s="76">
        <v>45801</v>
      </c>
    </row>
    <row r="5" spans="1:11" x14ac:dyDescent="0.15">
      <c r="J5" s="2" t="s">
        <v>3</v>
      </c>
    </row>
    <row r="6" spans="1:11" ht="30" x14ac:dyDescent="0.15">
      <c r="A6" s="5" t="s">
        <v>4</v>
      </c>
      <c r="B6" s="5" t="s">
        <v>5</v>
      </c>
      <c r="C6" s="5" t="s">
        <v>6</v>
      </c>
      <c r="D6" s="5" t="s">
        <v>7</v>
      </c>
      <c r="E6" s="5" t="s">
        <v>8</v>
      </c>
      <c r="F6" s="5" t="s">
        <v>9</v>
      </c>
      <c r="G6" s="6" t="s">
        <v>10</v>
      </c>
      <c r="H6" s="6" t="s">
        <v>11</v>
      </c>
      <c r="I6" s="6" t="s">
        <v>12</v>
      </c>
      <c r="J6" s="7"/>
      <c r="K6" s="5" t="s">
        <v>13</v>
      </c>
    </row>
    <row r="7" spans="1:11" ht="30" x14ac:dyDescent="0.15">
      <c r="A7" s="6"/>
      <c r="B7" s="8"/>
      <c r="C7" s="5"/>
      <c r="D7" s="5" t="s">
        <v>14</v>
      </c>
      <c r="E7" s="5" t="s">
        <v>15</v>
      </c>
      <c r="F7" s="9" t="s">
        <v>16</v>
      </c>
      <c r="G7" s="9" t="s">
        <v>15</v>
      </c>
      <c r="H7" s="9" t="s">
        <v>17</v>
      </c>
      <c r="I7" s="5" t="s">
        <v>18</v>
      </c>
      <c r="J7" s="9" t="s">
        <v>19</v>
      </c>
      <c r="K7" s="9"/>
    </row>
    <row r="8" spans="1:11" ht="16" x14ac:dyDescent="0.2">
      <c r="A8" s="10"/>
      <c r="B8" s="11"/>
      <c r="C8" s="12"/>
      <c r="D8" s="11"/>
      <c r="E8" s="11"/>
      <c r="F8" s="10"/>
      <c r="G8" s="10"/>
      <c r="H8" s="10"/>
      <c r="I8" s="10"/>
      <c r="J8" s="13"/>
      <c r="K8" s="10"/>
    </row>
    <row r="9" spans="1:11" ht="17" x14ac:dyDescent="0.15">
      <c r="A9" s="192">
        <v>1</v>
      </c>
      <c r="B9" s="187" t="s">
        <v>231</v>
      </c>
      <c r="C9" s="188">
        <v>14</v>
      </c>
      <c r="D9" s="15">
        <v>2.85</v>
      </c>
      <c r="E9" s="193">
        <v>1404</v>
      </c>
      <c r="F9" s="189">
        <v>4</v>
      </c>
      <c r="G9" s="16">
        <f t="shared" ref="G9:G11" si="0">E9*F9</f>
        <v>5616</v>
      </c>
      <c r="H9" s="17">
        <f t="shared" ref="H9:H11" si="1">F9*C9</f>
        <v>56</v>
      </c>
      <c r="I9" s="211" t="s">
        <v>20</v>
      </c>
      <c r="J9" s="212">
        <v>2.0833333333333332E-2</v>
      </c>
      <c r="K9" s="213" t="s">
        <v>265</v>
      </c>
    </row>
    <row r="10" spans="1:11" ht="17" x14ac:dyDescent="0.15">
      <c r="A10" s="23">
        <v>2</v>
      </c>
      <c r="B10" s="187" t="s">
        <v>231</v>
      </c>
      <c r="C10" s="188">
        <v>15</v>
      </c>
      <c r="D10" s="15">
        <v>2.85</v>
      </c>
      <c r="E10" s="193">
        <v>1412</v>
      </c>
      <c r="F10" s="189">
        <v>57</v>
      </c>
      <c r="G10" s="16">
        <f t="shared" si="0"/>
        <v>80484</v>
      </c>
      <c r="H10" s="17">
        <f t="shared" si="1"/>
        <v>855</v>
      </c>
      <c r="I10" s="214" t="s">
        <v>44</v>
      </c>
      <c r="J10" s="215">
        <v>1.0416666666666666E-2</v>
      </c>
      <c r="K10" s="216" t="s">
        <v>44</v>
      </c>
    </row>
    <row r="11" spans="1:11" ht="17" x14ac:dyDescent="0.15">
      <c r="A11" s="192">
        <v>3</v>
      </c>
      <c r="B11" s="187" t="s">
        <v>231</v>
      </c>
      <c r="C11" s="188">
        <v>17</v>
      </c>
      <c r="D11" s="15">
        <v>2.85</v>
      </c>
      <c r="E11" s="193">
        <v>1363</v>
      </c>
      <c r="F11" s="207">
        <v>23</v>
      </c>
      <c r="G11" s="16">
        <f t="shared" si="0"/>
        <v>31349</v>
      </c>
      <c r="H11" s="17">
        <f t="shared" si="1"/>
        <v>391</v>
      </c>
      <c r="I11" s="217"/>
      <c r="J11" s="215"/>
      <c r="K11" s="216"/>
    </row>
    <row r="12" spans="1:11" ht="19.25" customHeight="1" x14ac:dyDescent="0.15">
      <c r="A12" s="23"/>
      <c r="B12" s="187"/>
      <c r="C12" s="208"/>
      <c r="D12" s="15"/>
      <c r="E12" s="209"/>
      <c r="F12" s="210"/>
      <c r="G12" s="16"/>
      <c r="H12" s="17"/>
      <c r="I12" s="217"/>
      <c r="J12" s="215"/>
      <c r="K12" s="216"/>
    </row>
    <row r="13" spans="1:11" ht="16" x14ac:dyDescent="0.15">
      <c r="A13" s="219"/>
      <c r="B13" s="187"/>
      <c r="C13" s="208"/>
      <c r="D13" s="15"/>
      <c r="E13" s="209"/>
      <c r="F13" s="210"/>
      <c r="G13" s="16"/>
      <c r="H13" s="17"/>
      <c r="I13" s="217"/>
      <c r="J13" s="215"/>
      <c r="K13" s="216"/>
    </row>
    <row r="14" spans="1:11" ht="16" x14ac:dyDescent="0.15">
      <c r="A14" s="192"/>
      <c r="B14" s="187"/>
      <c r="C14" s="220"/>
      <c r="D14" s="11"/>
      <c r="E14" s="221"/>
      <c r="F14" s="222"/>
      <c r="G14" s="16"/>
      <c r="H14" s="17"/>
      <c r="I14" s="28"/>
      <c r="J14" s="37"/>
      <c r="K14" s="30"/>
    </row>
    <row r="15" spans="1:11" ht="16" x14ac:dyDescent="0.2">
      <c r="A15" s="38"/>
      <c r="B15" s="39"/>
      <c r="C15" s="40"/>
      <c r="D15" s="11"/>
      <c r="E15" s="25"/>
      <c r="F15" s="40"/>
      <c r="G15" s="27"/>
      <c r="H15" s="12"/>
      <c r="I15" s="41"/>
      <c r="J15" s="37"/>
      <c r="K15" s="30"/>
    </row>
    <row r="16" spans="1:11" ht="16" x14ac:dyDescent="0.2">
      <c r="A16" s="38"/>
      <c r="B16" s="39"/>
      <c r="C16" s="40"/>
      <c r="D16" s="11"/>
      <c r="E16" s="32"/>
      <c r="F16" s="40"/>
      <c r="G16" s="27"/>
      <c r="H16" s="12"/>
      <c r="I16" s="41"/>
      <c r="J16" s="37"/>
      <c r="K16" s="42"/>
    </row>
    <row r="17" spans="1:11" ht="16" x14ac:dyDescent="0.2">
      <c r="A17" s="38"/>
      <c r="B17" s="39"/>
      <c r="C17" s="40"/>
      <c r="D17" s="11"/>
      <c r="E17" s="32"/>
      <c r="F17" s="40"/>
      <c r="G17" s="27"/>
      <c r="H17" s="12"/>
      <c r="I17" s="41"/>
      <c r="J17" s="37"/>
      <c r="K17" s="42"/>
    </row>
    <row r="18" spans="1:11" ht="16" x14ac:dyDescent="0.2">
      <c r="A18" s="43"/>
      <c r="B18" s="44"/>
      <c r="C18" s="40"/>
      <c r="D18" s="11"/>
      <c r="E18" s="45"/>
      <c r="F18" s="46"/>
      <c r="G18" s="27"/>
      <c r="H18" s="12"/>
      <c r="I18" s="10"/>
      <c r="J18" s="13"/>
      <c r="K18" s="10"/>
    </row>
    <row r="19" spans="1:11" x14ac:dyDescent="0.15">
      <c r="A19" s="47"/>
      <c r="B19" s="48"/>
      <c r="C19" s="49"/>
      <c r="D19" s="50"/>
      <c r="E19" s="47"/>
      <c r="F19" s="49"/>
      <c r="G19" s="51"/>
      <c r="H19" s="49"/>
      <c r="I19" s="48"/>
      <c r="J19" s="52"/>
      <c r="K19" s="48"/>
    </row>
    <row r="20" spans="1:11" x14ac:dyDescent="0.15">
      <c r="A20" s="47"/>
      <c r="B20" s="48"/>
      <c r="C20" s="49"/>
      <c r="D20" s="50"/>
      <c r="E20" s="47"/>
      <c r="F20" s="49"/>
      <c r="G20" s="51"/>
      <c r="H20" s="49"/>
      <c r="I20" s="48"/>
      <c r="J20" s="52"/>
      <c r="K20" s="48"/>
    </row>
    <row r="21" spans="1:11" x14ac:dyDescent="0.15">
      <c r="A21" s="47"/>
      <c r="B21" s="48"/>
      <c r="C21" s="53"/>
      <c r="D21" s="47"/>
      <c r="E21" s="52"/>
      <c r="F21" s="53"/>
      <c r="G21" s="51"/>
      <c r="H21" s="49"/>
      <c r="I21" s="48"/>
      <c r="J21" s="52"/>
      <c r="K21" s="48"/>
    </row>
    <row r="22" spans="1:11" x14ac:dyDescent="0.15">
      <c r="A22" s="54"/>
      <c r="B22" s="55"/>
      <c r="C22" s="56"/>
      <c r="D22" s="56"/>
      <c r="E22" s="57" t="s">
        <v>21</v>
      </c>
      <c r="F22" s="58">
        <f>SUM(F9:F21)</f>
        <v>84</v>
      </c>
      <c r="G22" s="59">
        <f>SUM(G9:G21)/F22</f>
        <v>1398.202380952381</v>
      </c>
      <c r="H22" s="60">
        <f>SUM(H9:H21)/F22</f>
        <v>15.5</v>
      </c>
      <c r="I22" s="61" t="s">
        <v>22</v>
      </c>
      <c r="J22" s="186">
        <v>3.125E-2</v>
      </c>
      <c r="K22" s="55"/>
    </row>
    <row r="23" spans="1:11" x14ac:dyDescent="0.15">
      <c r="E23" s="62"/>
      <c r="F23" s="63"/>
      <c r="I23" s="64" t="s">
        <v>23</v>
      </c>
      <c r="J23" s="65">
        <v>0.75</v>
      </c>
    </row>
    <row r="24" spans="1:11" x14ac:dyDescent="0.15">
      <c r="A24" s="1"/>
      <c r="I24" s="66"/>
      <c r="J24" s="67"/>
    </row>
    <row r="25" spans="1:11" x14ac:dyDescent="0.15">
      <c r="A25" s="68" t="s">
        <v>24</v>
      </c>
      <c r="B25" s="68"/>
      <c r="C25" s="68"/>
      <c r="D25" s="53"/>
      <c r="H25" s="4" t="s">
        <v>25</v>
      </c>
      <c r="I25" s="4"/>
      <c r="J25" s="62">
        <f>F22</f>
        <v>84</v>
      </c>
      <c r="K25" s="1" t="s">
        <v>16</v>
      </c>
    </row>
    <row r="26" spans="1:11" x14ac:dyDescent="0.15">
      <c r="A26" s="68" t="s">
        <v>26</v>
      </c>
      <c r="B26" s="68"/>
      <c r="C26" s="68"/>
      <c r="D26" s="53"/>
      <c r="H26" s="4" t="s">
        <v>27</v>
      </c>
      <c r="I26" s="4"/>
      <c r="J26" s="62">
        <f>66+72+68+62+66+58+59+11+70+89+85+85+92+89+92+100+100+97+105+102+34+80+84</f>
        <v>1766</v>
      </c>
      <c r="K26" s="1" t="s">
        <v>16</v>
      </c>
    </row>
    <row r="27" spans="1:11" ht="15" thickBot="1" x14ac:dyDescent="0.2">
      <c r="A27" s="69"/>
      <c r="B27" s="69"/>
      <c r="C27" s="69"/>
      <c r="D27" s="69"/>
      <c r="E27" s="70"/>
      <c r="F27" s="70"/>
      <c r="G27" s="69"/>
      <c r="H27" s="71" t="s">
        <v>28</v>
      </c>
      <c r="I27" s="71"/>
      <c r="J27" s="72">
        <v>108.08</v>
      </c>
      <c r="K27" s="73" t="s">
        <v>29</v>
      </c>
    </row>
    <row r="28" spans="1:11" x14ac:dyDescent="0.15">
      <c r="J28" s="2" t="s">
        <v>3</v>
      </c>
    </row>
    <row r="29" spans="1:11" hidden="1" x14ac:dyDescent="0.15">
      <c r="K29" s="2" t="s">
        <v>30</v>
      </c>
    </row>
    <row r="30" spans="1:11" hidden="1" x14ac:dyDescent="0.15">
      <c r="K30" s="2" t="s">
        <v>31</v>
      </c>
    </row>
    <row r="31" spans="1:11" hidden="1" x14ac:dyDescent="0.15">
      <c r="K31" s="2" t="s">
        <v>32</v>
      </c>
    </row>
    <row r="32" spans="1:11" hidden="1" x14ac:dyDescent="0.15">
      <c r="K32" s="2" t="s">
        <v>33</v>
      </c>
    </row>
    <row r="33" spans="9:11" hidden="1" x14ac:dyDescent="0.15">
      <c r="K33" s="2" t="s">
        <v>34</v>
      </c>
    </row>
    <row r="34" spans="9:11" hidden="1" x14ac:dyDescent="0.15">
      <c r="K34" s="2" t="s">
        <v>35</v>
      </c>
    </row>
    <row r="35" spans="9:11" hidden="1" x14ac:dyDescent="0.15">
      <c r="K35" s="2" t="s">
        <v>36</v>
      </c>
    </row>
    <row r="36" spans="9:11" hidden="1" x14ac:dyDescent="0.15">
      <c r="K36" s="2" t="s">
        <v>37</v>
      </c>
    </row>
    <row r="37" spans="9:11" hidden="1" x14ac:dyDescent="0.15">
      <c r="K37" s="2" t="s">
        <v>38</v>
      </c>
    </row>
    <row r="38" spans="9:11" hidden="1" x14ac:dyDescent="0.15">
      <c r="K38" s="2" t="s">
        <v>39</v>
      </c>
    </row>
    <row r="39" spans="9:11" hidden="1" x14ac:dyDescent="0.15">
      <c r="K39" s="2" t="s">
        <v>40</v>
      </c>
    </row>
    <row r="40" spans="9:11" hidden="1" x14ac:dyDescent="0.15">
      <c r="K40" s="2" t="s">
        <v>41</v>
      </c>
    </row>
    <row r="41" spans="9:11" ht="30" hidden="1" x14ac:dyDescent="0.15">
      <c r="I41" s="74" t="s">
        <v>42</v>
      </c>
      <c r="K41" s="2" t="s">
        <v>43</v>
      </c>
    </row>
    <row r="42" spans="9:11" ht="15" hidden="1" x14ac:dyDescent="0.15">
      <c r="I42" s="74" t="s">
        <v>44</v>
      </c>
      <c r="K42" s="2" t="s">
        <v>45</v>
      </c>
    </row>
    <row r="43" spans="9:11" hidden="1" x14ac:dyDescent="0.15">
      <c r="I43" s="75" t="s">
        <v>46</v>
      </c>
      <c r="K43" s="2" t="s">
        <v>47</v>
      </c>
    </row>
    <row r="44" spans="9:11" hidden="1" x14ac:dyDescent="0.15">
      <c r="I44" s="2" t="s">
        <v>48</v>
      </c>
      <c r="K44" s="2" t="s">
        <v>49</v>
      </c>
    </row>
    <row r="45" spans="9:11" hidden="1" x14ac:dyDescent="0.15">
      <c r="I45" s="2" t="s">
        <v>50</v>
      </c>
      <c r="K45" s="2" t="s">
        <v>51</v>
      </c>
    </row>
    <row r="46" spans="9:11" hidden="1" x14ac:dyDescent="0.15">
      <c r="I46" s="2" t="s">
        <v>52</v>
      </c>
      <c r="K46" s="2" t="s">
        <v>53</v>
      </c>
    </row>
    <row r="47" spans="9:11" hidden="1" x14ac:dyDescent="0.15">
      <c r="I47" s="2" t="s">
        <v>54</v>
      </c>
      <c r="K47" s="2" t="s">
        <v>55</v>
      </c>
    </row>
    <row r="48" spans="9:11" hidden="1" x14ac:dyDescent="0.15">
      <c r="I48" s="2" t="s">
        <v>56</v>
      </c>
      <c r="K48" s="2" t="s">
        <v>57</v>
      </c>
    </row>
    <row r="49" spans="9:11" hidden="1" x14ac:dyDescent="0.15">
      <c r="I49" s="2" t="s">
        <v>58</v>
      </c>
      <c r="K49" s="2" t="s">
        <v>59</v>
      </c>
    </row>
    <row r="50" spans="9:11" hidden="1" x14ac:dyDescent="0.15">
      <c r="I50" s="2" t="s">
        <v>60</v>
      </c>
      <c r="K50" s="2" t="s">
        <v>61</v>
      </c>
    </row>
    <row r="51" spans="9:11" hidden="1" x14ac:dyDescent="0.15">
      <c r="K51" s="2" t="s">
        <v>62</v>
      </c>
    </row>
    <row r="52" spans="9:11" hidden="1" x14ac:dyDescent="0.15">
      <c r="K52" s="2" t="s">
        <v>63</v>
      </c>
    </row>
    <row r="53" spans="9:11" hidden="1" x14ac:dyDescent="0.15">
      <c r="K53" s="2" t="s">
        <v>64</v>
      </c>
    </row>
    <row r="54" spans="9:11" hidden="1" x14ac:dyDescent="0.15">
      <c r="K54" s="2" t="s">
        <v>65</v>
      </c>
    </row>
    <row r="55" spans="9:11" hidden="1" x14ac:dyDescent="0.15">
      <c r="K55" s="2" t="s">
        <v>66</v>
      </c>
    </row>
    <row r="56" spans="9:11" hidden="1" x14ac:dyDescent="0.15">
      <c r="K56" s="2" t="s">
        <v>67</v>
      </c>
    </row>
    <row r="57" spans="9:11" hidden="1" x14ac:dyDescent="0.15">
      <c r="K57" s="2" t="s">
        <v>68</v>
      </c>
    </row>
    <row r="58" spans="9:11" hidden="1" x14ac:dyDescent="0.15">
      <c r="K58" s="2" t="s">
        <v>69</v>
      </c>
    </row>
    <row r="59" spans="9:11" hidden="1" x14ac:dyDescent="0.15">
      <c r="K59" s="2" t="s">
        <v>70</v>
      </c>
    </row>
    <row r="60" spans="9:11" hidden="1" x14ac:dyDescent="0.15">
      <c r="K60" s="2" t="s">
        <v>71</v>
      </c>
    </row>
    <row r="61" spans="9:11" hidden="1" x14ac:dyDescent="0.15">
      <c r="K61" s="2" t="s">
        <v>72</v>
      </c>
    </row>
    <row r="62" spans="9:11" hidden="1" x14ac:dyDescent="0.15">
      <c r="K62" s="2" t="s">
        <v>73</v>
      </c>
    </row>
    <row r="63" spans="9:11" hidden="1" x14ac:dyDescent="0.15">
      <c r="K63" s="2" t="s">
        <v>67</v>
      </c>
    </row>
    <row r="64" spans="9:11" hidden="1" x14ac:dyDescent="0.15">
      <c r="K64" s="2" t="s">
        <v>74</v>
      </c>
    </row>
    <row r="65" spans="11:11" hidden="1" x14ac:dyDescent="0.15">
      <c r="K65" s="2" t="s">
        <v>75</v>
      </c>
    </row>
    <row r="66" spans="11:11" hidden="1" x14ac:dyDescent="0.15">
      <c r="K66" s="2" t="s">
        <v>76</v>
      </c>
    </row>
    <row r="67" spans="11:11" hidden="1" x14ac:dyDescent="0.15">
      <c r="K67" s="2" t="s">
        <v>77</v>
      </c>
    </row>
    <row r="68" spans="11:11" hidden="1" x14ac:dyDescent="0.15">
      <c r="K68" s="2" t="s">
        <v>78</v>
      </c>
    </row>
    <row r="69" spans="11:11" hidden="1" x14ac:dyDescent="0.15">
      <c r="K69" s="2" t="s">
        <v>79</v>
      </c>
    </row>
    <row r="70" spans="11:11" hidden="1" x14ac:dyDescent="0.15">
      <c r="K70" s="2" t="s">
        <v>80</v>
      </c>
    </row>
    <row r="71" spans="11:11" hidden="1" x14ac:dyDescent="0.15">
      <c r="K71" s="2" t="s">
        <v>81</v>
      </c>
    </row>
    <row r="72" spans="11:11" hidden="1" x14ac:dyDescent="0.15">
      <c r="K72" s="2" t="s">
        <v>82</v>
      </c>
    </row>
    <row r="73" spans="11:11" hidden="1" x14ac:dyDescent="0.15">
      <c r="K73" s="2" t="s">
        <v>83</v>
      </c>
    </row>
    <row r="74" spans="11:11" hidden="1" x14ac:dyDescent="0.15">
      <c r="K74" s="2" t="s">
        <v>84</v>
      </c>
    </row>
    <row r="75" spans="11:11" hidden="1" x14ac:dyDescent="0.15">
      <c r="K75" s="2" t="s">
        <v>85</v>
      </c>
    </row>
    <row r="76" spans="11:11" hidden="1" x14ac:dyDescent="0.15">
      <c r="K76" s="2" t="s">
        <v>86</v>
      </c>
    </row>
    <row r="77" spans="11:11" hidden="1" x14ac:dyDescent="0.15">
      <c r="K77" s="2" t="s">
        <v>87</v>
      </c>
    </row>
    <row r="78" spans="11:11" hidden="1" x14ac:dyDescent="0.15">
      <c r="K78" s="2" t="s">
        <v>88</v>
      </c>
    </row>
    <row r="79" spans="11:11" hidden="1" x14ac:dyDescent="0.15">
      <c r="K79" s="2" t="s">
        <v>89</v>
      </c>
    </row>
    <row r="80" spans="11:11" hidden="1" x14ac:dyDescent="0.15">
      <c r="K80" s="2" t="s">
        <v>90</v>
      </c>
    </row>
    <row r="81" spans="11:11" hidden="1" x14ac:dyDescent="0.15">
      <c r="K81" s="2" t="s">
        <v>91</v>
      </c>
    </row>
    <row r="82" spans="11:11" hidden="1" x14ac:dyDescent="0.15">
      <c r="K82" s="2" t="s">
        <v>92</v>
      </c>
    </row>
    <row r="83" spans="11:11" hidden="1" x14ac:dyDescent="0.15">
      <c r="K83" s="2" t="s">
        <v>93</v>
      </c>
    </row>
    <row r="84" spans="11:11" hidden="1" x14ac:dyDescent="0.15">
      <c r="K84" s="2" t="s">
        <v>94</v>
      </c>
    </row>
    <row r="85" spans="11:11" hidden="1" x14ac:dyDescent="0.15">
      <c r="K85" s="2" t="s">
        <v>47</v>
      </c>
    </row>
  </sheetData>
  <dataValidations count="3">
    <dataValidation type="list" allowBlank="1" showInputMessage="1" showErrorMessage="1" sqref="I50 K15:K21" xr:uid="{F4EA9368-2236-4022-8BEC-5A0CF6BCE133}">
      <formula1>$I$41:$I$50</formula1>
    </dataValidation>
    <dataValidation type="list" allowBlank="1" showInputMessage="1" showErrorMessage="1" sqref="B20:B21" xr:uid="{CE4CCA79-6911-4F8D-AB46-5583C6ED09F8}">
      <formula1>$K$29:$K$40</formula1>
    </dataValidation>
    <dataValidation type="list" allowBlank="1" showInputMessage="1" showErrorMessage="1" sqref="B16:B19" xr:uid="{68FAB26E-9FBB-4915-95C9-3472C3B4728F}">
      <formula1>$K$29:$K$85</formula1>
    </dataValidation>
  </dataValidation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EE41BB-E221-4F05-A0AE-0187B4BF1491}">
  <dimension ref="A1:K85"/>
  <sheetViews>
    <sheetView workbookViewId="0">
      <selection sqref="A1:XFD1048576"/>
    </sheetView>
  </sheetViews>
  <sheetFormatPr baseColWidth="10" defaultColWidth="9.1640625" defaultRowHeight="14" x14ac:dyDescent="0.15"/>
  <cols>
    <col min="1" max="1" width="5.1640625" style="2" customWidth="1"/>
    <col min="2" max="2" width="22.5" style="2" customWidth="1"/>
    <col min="3" max="3" width="6.1640625" style="2" customWidth="1"/>
    <col min="4" max="4" width="12.5" style="2" bestFit="1" customWidth="1"/>
    <col min="5" max="5" width="9.83203125" style="2" customWidth="1"/>
    <col min="6" max="6" width="9.33203125" style="2" bestFit="1" customWidth="1"/>
    <col min="7" max="7" width="8.6640625" style="2" customWidth="1"/>
    <col min="8" max="8" width="9.5" style="2" bestFit="1" customWidth="1"/>
    <col min="9" max="9" width="17.83203125" style="2" bestFit="1" customWidth="1"/>
    <col min="10" max="10" width="10.33203125" style="2" bestFit="1" customWidth="1"/>
    <col min="11" max="11" width="75" style="2" bestFit="1" customWidth="1"/>
    <col min="12" max="16384" width="9.1640625" style="2"/>
  </cols>
  <sheetData>
    <row r="1" spans="1:11" x14ac:dyDescent="0.15">
      <c r="A1" s="1" t="s">
        <v>0</v>
      </c>
      <c r="I1" s="3"/>
    </row>
    <row r="2" spans="1:11" x14ac:dyDescent="0.15">
      <c r="J2" s="4"/>
    </row>
    <row r="3" spans="1:11" x14ac:dyDescent="0.15">
      <c r="A3" s="3" t="s">
        <v>1</v>
      </c>
      <c r="I3" s="1"/>
      <c r="J3" s="1"/>
    </row>
    <row r="4" spans="1:11" x14ac:dyDescent="0.15">
      <c r="A4" s="3"/>
      <c r="I4" s="4" t="s">
        <v>2</v>
      </c>
      <c r="J4" s="76">
        <v>45802</v>
      </c>
    </row>
    <row r="5" spans="1:11" x14ac:dyDescent="0.15">
      <c r="J5" s="2" t="s">
        <v>3</v>
      </c>
    </row>
    <row r="6" spans="1:11" ht="30" x14ac:dyDescent="0.15">
      <c r="A6" s="5" t="s">
        <v>4</v>
      </c>
      <c r="B6" s="5" t="s">
        <v>5</v>
      </c>
      <c r="C6" s="5" t="s">
        <v>6</v>
      </c>
      <c r="D6" s="5" t="s">
        <v>7</v>
      </c>
      <c r="E6" s="5" t="s">
        <v>8</v>
      </c>
      <c r="F6" s="5" t="s">
        <v>9</v>
      </c>
      <c r="G6" s="6" t="s">
        <v>10</v>
      </c>
      <c r="H6" s="6" t="s">
        <v>11</v>
      </c>
      <c r="I6" s="6" t="s">
        <v>12</v>
      </c>
      <c r="J6" s="7"/>
      <c r="K6" s="5" t="s">
        <v>13</v>
      </c>
    </row>
    <row r="7" spans="1:11" ht="30" x14ac:dyDescent="0.15">
      <c r="A7" s="6"/>
      <c r="B7" s="8"/>
      <c r="C7" s="5"/>
      <c r="D7" s="5" t="s">
        <v>14</v>
      </c>
      <c r="E7" s="5" t="s">
        <v>15</v>
      </c>
      <c r="F7" s="9" t="s">
        <v>16</v>
      </c>
      <c r="G7" s="9" t="s">
        <v>15</v>
      </c>
      <c r="H7" s="9" t="s">
        <v>17</v>
      </c>
      <c r="I7" s="5" t="s">
        <v>18</v>
      </c>
      <c r="J7" s="9" t="s">
        <v>19</v>
      </c>
      <c r="K7" s="9"/>
    </row>
    <row r="8" spans="1:11" ht="16" x14ac:dyDescent="0.2">
      <c r="A8" s="10"/>
      <c r="B8" s="11"/>
      <c r="C8" s="12"/>
      <c r="D8" s="11"/>
      <c r="E8" s="11"/>
      <c r="F8" s="10"/>
      <c r="G8" s="10"/>
      <c r="H8" s="10"/>
      <c r="I8" s="10"/>
      <c r="J8" s="13"/>
      <c r="K8" s="10"/>
    </row>
    <row r="9" spans="1:11" ht="17" x14ac:dyDescent="0.15">
      <c r="A9" s="192">
        <v>1</v>
      </c>
      <c r="B9" s="187" t="s">
        <v>231</v>
      </c>
      <c r="C9" s="188">
        <v>15</v>
      </c>
      <c r="D9" s="15">
        <v>2.85</v>
      </c>
      <c r="E9" s="193">
        <v>1263</v>
      </c>
      <c r="F9" s="189">
        <v>29.7</v>
      </c>
      <c r="G9" s="16">
        <f t="shared" ref="G9:G11" si="0">E9*F9</f>
        <v>37511.1</v>
      </c>
      <c r="H9" s="17">
        <f t="shared" ref="H9:H11" si="1">F9*C9</f>
        <v>445.5</v>
      </c>
      <c r="I9" s="211" t="s">
        <v>20</v>
      </c>
      <c r="J9" s="212">
        <v>2.0833333333333332E-2</v>
      </c>
      <c r="K9" s="213" t="s">
        <v>265</v>
      </c>
    </row>
    <row r="10" spans="1:11" ht="17" x14ac:dyDescent="0.15">
      <c r="A10" s="23">
        <v>2</v>
      </c>
      <c r="B10" s="187" t="s">
        <v>231</v>
      </c>
      <c r="C10" s="188">
        <v>16</v>
      </c>
      <c r="D10" s="15">
        <v>2.85</v>
      </c>
      <c r="E10" s="193">
        <v>1347</v>
      </c>
      <c r="F10" s="189">
        <v>10.6</v>
      </c>
      <c r="G10" s="16">
        <f t="shared" si="0"/>
        <v>14278.199999999999</v>
      </c>
      <c r="H10" s="17">
        <f t="shared" si="1"/>
        <v>169.6</v>
      </c>
      <c r="I10" s="214" t="s">
        <v>44</v>
      </c>
      <c r="J10" s="215">
        <v>1.3888888888888888E-2</v>
      </c>
      <c r="K10" s="216" t="s">
        <v>44</v>
      </c>
    </row>
    <row r="11" spans="1:11" ht="17" x14ac:dyDescent="0.15">
      <c r="A11" s="192">
        <v>3</v>
      </c>
      <c r="B11" s="187" t="s">
        <v>231</v>
      </c>
      <c r="C11" s="188">
        <v>17</v>
      </c>
      <c r="D11" s="15">
        <v>2.85</v>
      </c>
      <c r="E11" s="193">
        <v>1388</v>
      </c>
      <c r="F11" s="207">
        <v>45.7</v>
      </c>
      <c r="G11" s="16">
        <f t="shared" si="0"/>
        <v>63431.600000000006</v>
      </c>
      <c r="H11" s="17">
        <f t="shared" si="1"/>
        <v>776.90000000000009</v>
      </c>
      <c r="I11" s="217"/>
      <c r="J11" s="215"/>
      <c r="K11" s="216"/>
    </row>
    <row r="12" spans="1:11" ht="19.25" customHeight="1" x14ac:dyDescent="0.15">
      <c r="A12" s="23"/>
      <c r="B12" s="187"/>
      <c r="C12" s="208"/>
      <c r="D12" s="15"/>
      <c r="E12" s="209"/>
      <c r="F12" s="210"/>
      <c r="G12" s="16"/>
      <c r="H12" s="17"/>
      <c r="I12" s="217"/>
      <c r="J12" s="215"/>
      <c r="K12" s="216"/>
    </row>
    <row r="13" spans="1:11" ht="16" x14ac:dyDescent="0.15">
      <c r="A13" s="219"/>
      <c r="B13" s="187"/>
      <c r="C13" s="208"/>
      <c r="D13" s="15"/>
      <c r="E13" s="209"/>
      <c r="F13" s="210"/>
      <c r="G13" s="16"/>
      <c r="H13" s="17"/>
      <c r="I13" s="217"/>
      <c r="J13" s="215"/>
      <c r="K13" s="216"/>
    </row>
    <row r="14" spans="1:11" ht="16" x14ac:dyDescent="0.15">
      <c r="A14" s="192"/>
      <c r="B14" s="187"/>
      <c r="C14" s="220"/>
      <c r="D14" s="11"/>
      <c r="E14" s="221"/>
      <c r="F14" s="222"/>
      <c r="G14" s="16"/>
      <c r="H14" s="17"/>
      <c r="I14" s="28"/>
      <c r="J14" s="37"/>
      <c r="K14" s="30"/>
    </row>
    <row r="15" spans="1:11" ht="16" x14ac:dyDescent="0.2">
      <c r="A15" s="38"/>
      <c r="B15" s="39"/>
      <c r="C15" s="40"/>
      <c r="D15" s="11"/>
      <c r="E15" s="25"/>
      <c r="F15" s="40"/>
      <c r="G15" s="27"/>
      <c r="H15" s="12"/>
      <c r="I15" s="41"/>
      <c r="J15" s="37"/>
      <c r="K15" s="30"/>
    </row>
    <row r="16" spans="1:11" ht="16" x14ac:dyDescent="0.2">
      <c r="A16" s="38"/>
      <c r="B16" s="39"/>
      <c r="C16" s="40"/>
      <c r="D16" s="11"/>
      <c r="E16" s="32"/>
      <c r="F16" s="40"/>
      <c r="G16" s="27"/>
      <c r="H16" s="12"/>
      <c r="I16" s="41"/>
      <c r="J16" s="37"/>
      <c r="K16" s="42"/>
    </row>
    <row r="17" spans="1:11" ht="16" x14ac:dyDescent="0.2">
      <c r="A17" s="38"/>
      <c r="B17" s="39"/>
      <c r="C17" s="40"/>
      <c r="D17" s="11"/>
      <c r="E17" s="32"/>
      <c r="F17" s="40"/>
      <c r="G17" s="27"/>
      <c r="H17" s="12"/>
      <c r="I17" s="41"/>
      <c r="J17" s="37"/>
      <c r="K17" s="42"/>
    </row>
    <row r="18" spans="1:11" ht="16" x14ac:dyDescent="0.2">
      <c r="A18" s="43"/>
      <c r="B18" s="44"/>
      <c r="C18" s="40"/>
      <c r="D18" s="11"/>
      <c r="E18" s="45"/>
      <c r="F18" s="46"/>
      <c r="G18" s="27"/>
      <c r="H18" s="12"/>
      <c r="I18" s="10"/>
      <c r="J18" s="13"/>
      <c r="K18" s="10"/>
    </row>
    <row r="19" spans="1:11" x14ac:dyDescent="0.15">
      <c r="A19" s="47"/>
      <c r="B19" s="48"/>
      <c r="C19" s="49"/>
      <c r="D19" s="50"/>
      <c r="E19" s="47"/>
      <c r="F19" s="49"/>
      <c r="G19" s="51"/>
      <c r="H19" s="49"/>
      <c r="I19" s="48"/>
      <c r="J19" s="52"/>
      <c r="K19" s="48"/>
    </row>
    <row r="20" spans="1:11" x14ac:dyDescent="0.15">
      <c r="A20" s="47"/>
      <c r="B20" s="48"/>
      <c r="C20" s="49"/>
      <c r="D20" s="50"/>
      <c r="E20" s="47"/>
      <c r="F20" s="49"/>
      <c r="G20" s="51"/>
      <c r="H20" s="49"/>
      <c r="I20" s="48"/>
      <c r="J20" s="52"/>
      <c r="K20" s="48"/>
    </row>
    <row r="21" spans="1:11" x14ac:dyDescent="0.15">
      <c r="A21" s="47"/>
      <c r="B21" s="48"/>
      <c r="C21" s="53"/>
      <c r="D21" s="47"/>
      <c r="E21" s="52"/>
      <c r="F21" s="53"/>
      <c r="G21" s="51"/>
      <c r="H21" s="49"/>
      <c r="I21" s="48"/>
      <c r="J21" s="52"/>
      <c r="K21" s="48"/>
    </row>
    <row r="22" spans="1:11" x14ac:dyDescent="0.15">
      <c r="A22" s="54"/>
      <c r="B22" s="55"/>
      <c r="C22" s="56"/>
      <c r="D22" s="56"/>
      <c r="E22" s="57" t="s">
        <v>21</v>
      </c>
      <c r="F22" s="58">
        <f>SUM(F9:F21)</f>
        <v>86</v>
      </c>
      <c r="G22" s="59">
        <f>SUM(G9:G21)/F22</f>
        <v>1339.7779069767441</v>
      </c>
      <c r="H22" s="60">
        <f>SUM(H9:H21)/F22</f>
        <v>16.186046511627907</v>
      </c>
      <c r="I22" s="61" t="s">
        <v>22</v>
      </c>
      <c r="J22" s="186">
        <v>3.4722222222222224E-2</v>
      </c>
      <c r="K22" s="55"/>
    </row>
    <row r="23" spans="1:11" x14ac:dyDescent="0.15">
      <c r="E23" s="62"/>
      <c r="F23" s="63"/>
      <c r="I23" s="64" t="s">
        <v>23</v>
      </c>
      <c r="J23" s="65">
        <v>0.83</v>
      </c>
    </row>
    <row r="24" spans="1:11" x14ac:dyDescent="0.15">
      <c r="A24" s="1"/>
      <c r="I24" s="66"/>
      <c r="J24" s="67"/>
    </row>
    <row r="25" spans="1:11" x14ac:dyDescent="0.15">
      <c r="A25" s="68" t="s">
        <v>24</v>
      </c>
      <c r="B25" s="68"/>
      <c r="C25" s="68"/>
      <c r="D25" s="53"/>
      <c r="H25" s="4" t="s">
        <v>25</v>
      </c>
      <c r="I25" s="4"/>
      <c r="J25" s="62">
        <f>F22</f>
        <v>86</v>
      </c>
      <c r="K25" s="1" t="s">
        <v>16</v>
      </c>
    </row>
    <row r="26" spans="1:11" x14ac:dyDescent="0.15">
      <c r="A26" s="68" t="s">
        <v>26</v>
      </c>
      <c r="B26" s="68"/>
      <c r="C26" s="68"/>
      <c r="D26" s="53"/>
      <c r="H26" s="4" t="s">
        <v>27</v>
      </c>
      <c r="I26" s="4"/>
      <c r="J26" s="62">
        <f>66+72+68+62+66+58+59+11+70+89+85+85+92+89+92+100+100+97+105+102+34+80+84+86</f>
        <v>1852</v>
      </c>
      <c r="K26" s="1" t="s">
        <v>16</v>
      </c>
    </row>
    <row r="27" spans="1:11" ht="15" thickBot="1" x14ac:dyDescent="0.2">
      <c r="A27" s="69"/>
      <c r="B27" s="69"/>
      <c r="C27" s="69"/>
      <c r="D27" s="69"/>
      <c r="E27" s="70"/>
      <c r="F27" s="70"/>
      <c r="G27" s="69"/>
      <c r="H27" s="71" t="s">
        <v>28</v>
      </c>
      <c r="I27" s="71"/>
      <c r="J27" s="72">
        <v>108.92</v>
      </c>
      <c r="K27" s="73" t="s">
        <v>29</v>
      </c>
    </row>
    <row r="28" spans="1:11" x14ac:dyDescent="0.15">
      <c r="J28" s="2" t="s">
        <v>3</v>
      </c>
    </row>
    <row r="29" spans="1:11" hidden="1" x14ac:dyDescent="0.15">
      <c r="K29" s="2" t="s">
        <v>30</v>
      </c>
    </row>
    <row r="30" spans="1:11" hidden="1" x14ac:dyDescent="0.15">
      <c r="K30" s="2" t="s">
        <v>31</v>
      </c>
    </row>
    <row r="31" spans="1:11" hidden="1" x14ac:dyDescent="0.15">
      <c r="K31" s="2" t="s">
        <v>32</v>
      </c>
    </row>
    <row r="32" spans="1:11" hidden="1" x14ac:dyDescent="0.15">
      <c r="K32" s="2" t="s">
        <v>33</v>
      </c>
    </row>
    <row r="33" spans="9:11" hidden="1" x14ac:dyDescent="0.15">
      <c r="K33" s="2" t="s">
        <v>34</v>
      </c>
    </row>
    <row r="34" spans="9:11" hidden="1" x14ac:dyDescent="0.15">
      <c r="K34" s="2" t="s">
        <v>35</v>
      </c>
    </row>
    <row r="35" spans="9:11" hidden="1" x14ac:dyDescent="0.15">
      <c r="K35" s="2" t="s">
        <v>36</v>
      </c>
    </row>
    <row r="36" spans="9:11" hidden="1" x14ac:dyDescent="0.15">
      <c r="K36" s="2" t="s">
        <v>37</v>
      </c>
    </row>
    <row r="37" spans="9:11" hidden="1" x14ac:dyDescent="0.15">
      <c r="K37" s="2" t="s">
        <v>38</v>
      </c>
    </row>
    <row r="38" spans="9:11" hidden="1" x14ac:dyDescent="0.15">
      <c r="K38" s="2" t="s">
        <v>39</v>
      </c>
    </row>
    <row r="39" spans="9:11" hidden="1" x14ac:dyDescent="0.15">
      <c r="K39" s="2" t="s">
        <v>40</v>
      </c>
    </row>
    <row r="40" spans="9:11" hidden="1" x14ac:dyDescent="0.15">
      <c r="K40" s="2" t="s">
        <v>41</v>
      </c>
    </row>
    <row r="41" spans="9:11" ht="30" hidden="1" x14ac:dyDescent="0.15">
      <c r="I41" s="74" t="s">
        <v>42</v>
      </c>
      <c r="K41" s="2" t="s">
        <v>43</v>
      </c>
    </row>
    <row r="42" spans="9:11" ht="15" hidden="1" x14ac:dyDescent="0.15">
      <c r="I42" s="74" t="s">
        <v>44</v>
      </c>
      <c r="K42" s="2" t="s">
        <v>45</v>
      </c>
    </row>
    <row r="43" spans="9:11" hidden="1" x14ac:dyDescent="0.15">
      <c r="I43" s="75" t="s">
        <v>46</v>
      </c>
      <c r="K43" s="2" t="s">
        <v>47</v>
      </c>
    </row>
    <row r="44" spans="9:11" hidden="1" x14ac:dyDescent="0.15">
      <c r="I44" s="2" t="s">
        <v>48</v>
      </c>
      <c r="K44" s="2" t="s">
        <v>49</v>
      </c>
    </row>
    <row r="45" spans="9:11" hidden="1" x14ac:dyDescent="0.15">
      <c r="I45" s="2" t="s">
        <v>50</v>
      </c>
      <c r="K45" s="2" t="s">
        <v>51</v>
      </c>
    </row>
    <row r="46" spans="9:11" hidden="1" x14ac:dyDescent="0.15">
      <c r="I46" s="2" t="s">
        <v>52</v>
      </c>
      <c r="K46" s="2" t="s">
        <v>53</v>
      </c>
    </row>
    <row r="47" spans="9:11" hidden="1" x14ac:dyDescent="0.15">
      <c r="I47" s="2" t="s">
        <v>54</v>
      </c>
      <c r="K47" s="2" t="s">
        <v>55</v>
      </c>
    </row>
    <row r="48" spans="9:11" hidden="1" x14ac:dyDescent="0.15">
      <c r="I48" s="2" t="s">
        <v>56</v>
      </c>
      <c r="K48" s="2" t="s">
        <v>57</v>
      </c>
    </row>
    <row r="49" spans="9:11" hidden="1" x14ac:dyDescent="0.15">
      <c r="I49" s="2" t="s">
        <v>58</v>
      </c>
      <c r="K49" s="2" t="s">
        <v>59</v>
      </c>
    </row>
    <row r="50" spans="9:11" hidden="1" x14ac:dyDescent="0.15">
      <c r="I50" s="2" t="s">
        <v>60</v>
      </c>
      <c r="K50" s="2" t="s">
        <v>61</v>
      </c>
    </row>
    <row r="51" spans="9:11" hidden="1" x14ac:dyDescent="0.15">
      <c r="K51" s="2" t="s">
        <v>62</v>
      </c>
    </row>
    <row r="52" spans="9:11" hidden="1" x14ac:dyDescent="0.15">
      <c r="K52" s="2" t="s">
        <v>63</v>
      </c>
    </row>
    <row r="53" spans="9:11" hidden="1" x14ac:dyDescent="0.15">
      <c r="K53" s="2" t="s">
        <v>64</v>
      </c>
    </row>
    <row r="54" spans="9:11" hidden="1" x14ac:dyDescent="0.15">
      <c r="K54" s="2" t="s">
        <v>65</v>
      </c>
    </row>
    <row r="55" spans="9:11" hidden="1" x14ac:dyDescent="0.15">
      <c r="K55" s="2" t="s">
        <v>66</v>
      </c>
    </row>
    <row r="56" spans="9:11" hidden="1" x14ac:dyDescent="0.15">
      <c r="K56" s="2" t="s">
        <v>67</v>
      </c>
    </row>
    <row r="57" spans="9:11" hidden="1" x14ac:dyDescent="0.15">
      <c r="K57" s="2" t="s">
        <v>68</v>
      </c>
    </row>
    <row r="58" spans="9:11" hidden="1" x14ac:dyDescent="0.15">
      <c r="K58" s="2" t="s">
        <v>69</v>
      </c>
    </row>
    <row r="59" spans="9:11" hidden="1" x14ac:dyDescent="0.15">
      <c r="K59" s="2" t="s">
        <v>70</v>
      </c>
    </row>
    <row r="60" spans="9:11" hidden="1" x14ac:dyDescent="0.15">
      <c r="K60" s="2" t="s">
        <v>71</v>
      </c>
    </row>
    <row r="61" spans="9:11" hidden="1" x14ac:dyDescent="0.15">
      <c r="K61" s="2" t="s">
        <v>72</v>
      </c>
    </row>
    <row r="62" spans="9:11" hidden="1" x14ac:dyDescent="0.15">
      <c r="K62" s="2" t="s">
        <v>73</v>
      </c>
    </row>
    <row r="63" spans="9:11" hidden="1" x14ac:dyDescent="0.15">
      <c r="K63" s="2" t="s">
        <v>67</v>
      </c>
    </row>
    <row r="64" spans="9:11" hidden="1" x14ac:dyDescent="0.15">
      <c r="K64" s="2" t="s">
        <v>74</v>
      </c>
    </row>
    <row r="65" spans="11:11" hidden="1" x14ac:dyDescent="0.15">
      <c r="K65" s="2" t="s">
        <v>75</v>
      </c>
    </row>
    <row r="66" spans="11:11" hidden="1" x14ac:dyDescent="0.15">
      <c r="K66" s="2" t="s">
        <v>76</v>
      </c>
    </row>
    <row r="67" spans="11:11" hidden="1" x14ac:dyDescent="0.15">
      <c r="K67" s="2" t="s">
        <v>77</v>
      </c>
    </row>
    <row r="68" spans="11:11" hidden="1" x14ac:dyDescent="0.15">
      <c r="K68" s="2" t="s">
        <v>78</v>
      </c>
    </row>
    <row r="69" spans="11:11" hidden="1" x14ac:dyDescent="0.15">
      <c r="K69" s="2" t="s">
        <v>79</v>
      </c>
    </row>
    <row r="70" spans="11:11" hidden="1" x14ac:dyDescent="0.15">
      <c r="K70" s="2" t="s">
        <v>80</v>
      </c>
    </row>
    <row r="71" spans="11:11" hidden="1" x14ac:dyDescent="0.15">
      <c r="K71" s="2" t="s">
        <v>81</v>
      </c>
    </row>
    <row r="72" spans="11:11" hidden="1" x14ac:dyDescent="0.15">
      <c r="K72" s="2" t="s">
        <v>82</v>
      </c>
    </row>
    <row r="73" spans="11:11" hidden="1" x14ac:dyDescent="0.15">
      <c r="K73" s="2" t="s">
        <v>83</v>
      </c>
    </row>
    <row r="74" spans="11:11" hidden="1" x14ac:dyDescent="0.15">
      <c r="K74" s="2" t="s">
        <v>84</v>
      </c>
    </row>
    <row r="75" spans="11:11" hidden="1" x14ac:dyDescent="0.15">
      <c r="K75" s="2" t="s">
        <v>85</v>
      </c>
    </row>
    <row r="76" spans="11:11" hidden="1" x14ac:dyDescent="0.15">
      <c r="K76" s="2" t="s">
        <v>86</v>
      </c>
    </row>
    <row r="77" spans="11:11" hidden="1" x14ac:dyDescent="0.15">
      <c r="K77" s="2" t="s">
        <v>87</v>
      </c>
    </row>
    <row r="78" spans="11:11" hidden="1" x14ac:dyDescent="0.15">
      <c r="K78" s="2" t="s">
        <v>88</v>
      </c>
    </row>
    <row r="79" spans="11:11" hidden="1" x14ac:dyDescent="0.15">
      <c r="K79" s="2" t="s">
        <v>89</v>
      </c>
    </row>
    <row r="80" spans="11:11" hidden="1" x14ac:dyDescent="0.15">
      <c r="K80" s="2" t="s">
        <v>90</v>
      </c>
    </row>
    <row r="81" spans="11:11" hidden="1" x14ac:dyDescent="0.15">
      <c r="K81" s="2" t="s">
        <v>91</v>
      </c>
    </row>
    <row r="82" spans="11:11" hidden="1" x14ac:dyDescent="0.15">
      <c r="K82" s="2" t="s">
        <v>92</v>
      </c>
    </row>
    <row r="83" spans="11:11" hidden="1" x14ac:dyDescent="0.15">
      <c r="K83" s="2" t="s">
        <v>93</v>
      </c>
    </row>
    <row r="84" spans="11:11" hidden="1" x14ac:dyDescent="0.15">
      <c r="K84" s="2" t="s">
        <v>94</v>
      </c>
    </row>
    <row r="85" spans="11:11" hidden="1" x14ac:dyDescent="0.15">
      <c r="K85" s="2" t="s">
        <v>47</v>
      </c>
    </row>
  </sheetData>
  <dataValidations count="3">
    <dataValidation type="list" allowBlank="1" showInputMessage="1" showErrorMessage="1" sqref="B16:B19" xr:uid="{7B9CDD68-56D9-43C1-B85C-521BCA936FD2}">
      <formula1>$K$29:$K$85</formula1>
    </dataValidation>
    <dataValidation type="list" allowBlank="1" showInputMessage="1" showErrorMessage="1" sqref="B20:B21" xr:uid="{B80DA5AF-1219-445C-9459-F6AF5207A3A0}">
      <formula1>$K$29:$K$40</formula1>
    </dataValidation>
    <dataValidation type="list" allowBlank="1" showInputMessage="1" showErrorMessage="1" sqref="I50 K15:K21" xr:uid="{E92D0038-08EC-41DC-8BE0-5E12604C6F3F}">
      <formula1>$I$41:$I$50</formula1>
    </dataValidation>
  </dataValidation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8A0EFB-82BD-4530-8D70-D611710CB97E}">
  <dimension ref="A1:K85"/>
  <sheetViews>
    <sheetView topLeftCell="A2" workbookViewId="0">
      <selection activeCell="A2" sqref="A1:XFD1048576"/>
    </sheetView>
  </sheetViews>
  <sheetFormatPr baseColWidth="10" defaultColWidth="9.1640625" defaultRowHeight="14" x14ac:dyDescent="0.15"/>
  <cols>
    <col min="1" max="1" width="5.1640625" style="2" customWidth="1"/>
    <col min="2" max="2" width="22.5" style="2" customWidth="1"/>
    <col min="3" max="3" width="6.1640625" style="2" customWidth="1"/>
    <col min="4" max="4" width="12.5" style="2" bestFit="1" customWidth="1"/>
    <col min="5" max="5" width="9.83203125" style="2" customWidth="1"/>
    <col min="6" max="6" width="9.33203125" style="2" bestFit="1" customWidth="1"/>
    <col min="7" max="7" width="8.6640625" style="2" customWidth="1"/>
    <col min="8" max="8" width="9.5" style="2" bestFit="1" customWidth="1"/>
    <col min="9" max="9" width="17.83203125" style="2" bestFit="1" customWidth="1"/>
    <col min="10" max="10" width="10.33203125" style="2" bestFit="1" customWidth="1"/>
    <col min="11" max="11" width="75" style="2" bestFit="1" customWidth="1"/>
    <col min="12" max="16384" width="9.1640625" style="2"/>
  </cols>
  <sheetData>
    <row r="1" spans="1:11" x14ac:dyDescent="0.15">
      <c r="A1" s="1" t="s">
        <v>0</v>
      </c>
      <c r="I1" s="3"/>
    </row>
    <row r="2" spans="1:11" x14ac:dyDescent="0.15">
      <c r="J2" s="4"/>
    </row>
    <row r="3" spans="1:11" x14ac:dyDescent="0.15">
      <c r="A3" s="3" t="s">
        <v>1</v>
      </c>
      <c r="I3" s="1"/>
      <c r="J3" s="1"/>
    </row>
    <row r="4" spans="1:11" x14ac:dyDescent="0.15">
      <c r="A4" s="3"/>
      <c r="I4" s="4" t="s">
        <v>2</v>
      </c>
      <c r="J4" s="76">
        <v>45803</v>
      </c>
    </row>
    <row r="5" spans="1:11" x14ac:dyDescent="0.15">
      <c r="J5" s="2" t="s">
        <v>3</v>
      </c>
    </row>
    <row r="6" spans="1:11" ht="30" x14ac:dyDescent="0.15">
      <c r="A6" s="5" t="s">
        <v>4</v>
      </c>
      <c r="B6" s="5" t="s">
        <v>5</v>
      </c>
      <c r="C6" s="5" t="s">
        <v>6</v>
      </c>
      <c r="D6" s="5" t="s">
        <v>7</v>
      </c>
      <c r="E6" s="5" t="s">
        <v>8</v>
      </c>
      <c r="F6" s="5" t="s">
        <v>9</v>
      </c>
      <c r="G6" s="6" t="s">
        <v>10</v>
      </c>
      <c r="H6" s="6" t="s">
        <v>11</v>
      </c>
      <c r="I6" s="6" t="s">
        <v>12</v>
      </c>
      <c r="J6" s="7"/>
      <c r="K6" s="5" t="s">
        <v>13</v>
      </c>
    </row>
    <row r="7" spans="1:11" ht="30" x14ac:dyDescent="0.15">
      <c r="A7" s="6"/>
      <c r="B7" s="8"/>
      <c r="C7" s="5"/>
      <c r="D7" s="5" t="s">
        <v>14</v>
      </c>
      <c r="E7" s="5" t="s">
        <v>15</v>
      </c>
      <c r="F7" s="9" t="s">
        <v>16</v>
      </c>
      <c r="G7" s="9" t="s">
        <v>15</v>
      </c>
      <c r="H7" s="9" t="s">
        <v>17</v>
      </c>
      <c r="I7" s="5" t="s">
        <v>18</v>
      </c>
      <c r="J7" s="9" t="s">
        <v>19</v>
      </c>
      <c r="K7" s="9"/>
    </row>
    <row r="8" spans="1:11" ht="16" x14ac:dyDescent="0.2">
      <c r="A8" s="10"/>
      <c r="B8" s="11"/>
      <c r="C8" s="12"/>
      <c r="D8" s="11"/>
      <c r="E8" s="11"/>
      <c r="F8" s="10"/>
      <c r="G8" s="10"/>
      <c r="H8" s="10"/>
      <c r="I8" s="10"/>
      <c r="J8" s="13"/>
      <c r="K8" s="10"/>
    </row>
    <row r="9" spans="1:11" ht="17" x14ac:dyDescent="0.15">
      <c r="A9" s="192">
        <v>1</v>
      </c>
      <c r="B9" s="187" t="s">
        <v>231</v>
      </c>
      <c r="C9" s="188">
        <v>14</v>
      </c>
      <c r="D9" s="15">
        <v>2.85</v>
      </c>
      <c r="E9" s="193">
        <v>1385</v>
      </c>
      <c r="F9" s="189">
        <v>6.8</v>
      </c>
      <c r="G9" s="16">
        <f t="shared" ref="G9:G13" si="0">E9*F9</f>
        <v>9418</v>
      </c>
      <c r="H9" s="17">
        <f t="shared" ref="H9:H13" si="1">F9*C9</f>
        <v>95.2</v>
      </c>
      <c r="I9" s="211" t="s">
        <v>20</v>
      </c>
      <c r="J9" s="212">
        <v>2.0833333333333332E-2</v>
      </c>
      <c r="K9" s="213" t="s">
        <v>265</v>
      </c>
    </row>
    <row r="10" spans="1:11" ht="17" x14ac:dyDescent="0.15">
      <c r="A10" s="23">
        <v>2</v>
      </c>
      <c r="B10" s="187" t="s">
        <v>231</v>
      </c>
      <c r="C10" s="188">
        <v>15</v>
      </c>
      <c r="D10" s="15">
        <v>2.85</v>
      </c>
      <c r="E10" s="193">
        <v>1385</v>
      </c>
      <c r="F10" s="189">
        <v>2.5</v>
      </c>
      <c r="G10" s="16">
        <f t="shared" si="0"/>
        <v>3462.5</v>
      </c>
      <c r="H10" s="17">
        <f t="shared" si="1"/>
        <v>37.5</v>
      </c>
      <c r="I10" s="214" t="s">
        <v>44</v>
      </c>
      <c r="J10" s="215">
        <v>2.0833333333333332E-2</v>
      </c>
      <c r="K10" s="216" t="s">
        <v>44</v>
      </c>
    </row>
    <row r="11" spans="1:11" ht="17" x14ac:dyDescent="0.15">
      <c r="A11" s="192">
        <v>3</v>
      </c>
      <c r="B11" s="187" t="s">
        <v>231</v>
      </c>
      <c r="C11" s="188">
        <v>17</v>
      </c>
      <c r="D11" s="15">
        <v>2.85</v>
      </c>
      <c r="E11" s="193">
        <v>1014</v>
      </c>
      <c r="F11" s="207">
        <v>1</v>
      </c>
      <c r="G11" s="16">
        <f t="shared" si="0"/>
        <v>1014</v>
      </c>
      <c r="H11" s="17">
        <f t="shared" si="1"/>
        <v>17</v>
      </c>
      <c r="I11" s="217" t="s">
        <v>243</v>
      </c>
      <c r="J11" s="215">
        <v>3.4722222222222224E-2</v>
      </c>
      <c r="K11" s="216" t="s">
        <v>243</v>
      </c>
    </row>
    <row r="12" spans="1:11" ht="19.25" customHeight="1" x14ac:dyDescent="0.15">
      <c r="A12" s="23">
        <v>4</v>
      </c>
      <c r="B12" s="187" t="s">
        <v>240</v>
      </c>
      <c r="C12" s="208">
        <v>12.5</v>
      </c>
      <c r="D12" s="15">
        <v>2.85</v>
      </c>
      <c r="E12" s="209">
        <v>1365</v>
      </c>
      <c r="F12" s="210">
        <v>10.1</v>
      </c>
      <c r="G12" s="16">
        <f t="shared" si="0"/>
        <v>13786.5</v>
      </c>
      <c r="H12" s="17">
        <f t="shared" si="1"/>
        <v>126.25</v>
      </c>
      <c r="I12" s="217" t="s">
        <v>230</v>
      </c>
      <c r="J12" s="215">
        <v>1.3888888888888888E-2</v>
      </c>
      <c r="K12" s="216" t="s">
        <v>269</v>
      </c>
    </row>
    <row r="13" spans="1:11" ht="17" x14ac:dyDescent="0.2">
      <c r="A13" s="219">
        <v>5</v>
      </c>
      <c r="B13" s="187" t="s">
        <v>240</v>
      </c>
      <c r="C13" s="208">
        <v>13.5</v>
      </c>
      <c r="D13" s="15">
        <v>2.85</v>
      </c>
      <c r="E13" s="209">
        <v>186</v>
      </c>
      <c r="F13" s="210">
        <v>41.6</v>
      </c>
      <c r="G13" s="16">
        <f t="shared" si="0"/>
        <v>7737.6</v>
      </c>
      <c r="H13" s="17">
        <f t="shared" si="1"/>
        <v>561.6</v>
      </c>
      <c r="I13" s="217" t="s">
        <v>241</v>
      </c>
      <c r="J13" s="215">
        <v>6.25E-2</v>
      </c>
      <c r="K13" s="227" t="s">
        <v>270</v>
      </c>
    </row>
    <row r="14" spans="1:11" ht="16" x14ac:dyDescent="0.15">
      <c r="A14" s="192"/>
      <c r="B14" s="187"/>
      <c r="C14" s="220"/>
      <c r="D14" s="11"/>
      <c r="E14" s="221"/>
      <c r="F14" s="222"/>
      <c r="G14" s="16"/>
      <c r="H14" s="17"/>
      <c r="I14" s="28"/>
      <c r="J14" s="37"/>
      <c r="K14" s="30"/>
    </row>
    <row r="15" spans="1:11" ht="16" x14ac:dyDescent="0.2">
      <c r="A15" s="38"/>
      <c r="B15" s="39"/>
      <c r="C15" s="40"/>
      <c r="D15" s="11"/>
      <c r="E15" s="25"/>
      <c r="F15" s="40"/>
      <c r="G15" s="27"/>
      <c r="H15" s="12"/>
      <c r="I15" s="41"/>
      <c r="J15" s="37"/>
      <c r="K15" s="30"/>
    </row>
    <row r="16" spans="1:11" ht="16" x14ac:dyDescent="0.2">
      <c r="A16" s="38"/>
      <c r="B16" s="39"/>
      <c r="C16" s="40"/>
      <c r="D16" s="11"/>
      <c r="E16" s="32"/>
      <c r="F16" s="40"/>
      <c r="G16" s="27"/>
      <c r="H16" s="12"/>
      <c r="I16" s="41"/>
      <c r="J16" s="37"/>
      <c r="K16" s="42"/>
    </row>
    <row r="17" spans="1:11" ht="16" x14ac:dyDescent="0.2">
      <c r="A17" s="38"/>
      <c r="B17" s="39"/>
      <c r="C17" s="40"/>
      <c r="D17" s="11"/>
      <c r="E17" s="32"/>
      <c r="F17" s="40"/>
      <c r="G17" s="27"/>
      <c r="H17" s="12"/>
      <c r="I17" s="41"/>
      <c r="J17" s="37"/>
      <c r="K17" s="42"/>
    </row>
    <row r="18" spans="1:11" ht="16" x14ac:dyDescent="0.2">
      <c r="A18" s="43"/>
      <c r="B18" s="44"/>
      <c r="C18" s="40"/>
      <c r="D18" s="11"/>
      <c r="E18" s="45"/>
      <c r="F18" s="46"/>
      <c r="G18" s="27"/>
      <c r="H18" s="12"/>
      <c r="I18" s="10"/>
      <c r="J18" s="13"/>
      <c r="K18" s="10"/>
    </row>
    <row r="19" spans="1:11" x14ac:dyDescent="0.15">
      <c r="A19" s="47"/>
      <c r="B19" s="48"/>
      <c r="C19" s="49"/>
      <c r="D19" s="50"/>
      <c r="E19" s="47"/>
      <c r="F19" s="49"/>
      <c r="G19" s="51"/>
      <c r="H19" s="49"/>
      <c r="I19" s="48"/>
      <c r="J19" s="52"/>
      <c r="K19" s="48"/>
    </row>
    <row r="20" spans="1:11" x14ac:dyDescent="0.15">
      <c r="A20" s="47"/>
      <c r="B20" s="48"/>
      <c r="C20" s="49"/>
      <c r="D20" s="50"/>
      <c r="E20" s="47"/>
      <c r="F20" s="49"/>
      <c r="G20" s="51"/>
      <c r="H20" s="49"/>
      <c r="I20" s="48"/>
      <c r="J20" s="52"/>
      <c r="K20" s="48"/>
    </row>
    <row r="21" spans="1:11" x14ac:dyDescent="0.15">
      <c r="A21" s="47"/>
      <c r="B21" s="48"/>
      <c r="C21" s="53"/>
      <c r="D21" s="47"/>
      <c r="E21" s="52"/>
      <c r="F21" s="53"/>
      <c r="G21" s="51"/>
      <c r="H21" s="49"/>
      <c r="I21" s="48"/>
      <c r="J21" s="52"/>
      <c r="K21" s="48"/>
    </row>
    <row r="22" spans="1:11" x14ac:dyDescent="0.15">
      <c r="A22" s="54"/>
      <c r="B22" s="55"/>
      <c r="C22" s="56"/>
      <c r="D22" s="56"/>
      <c r="E22" s="57" t="s">
        <v>21</v>
      </c>
      <c r="F22" s="58">
        <f>SUM(F9:F21)</f>
        <v>62</v>
      </c>
      <c r="G22" s="59">
        <f>SUM(G9:G21)/F22</f>
        <v>571.26774193548385</v>
      </c>
      <c r="H22" s="60">
        <f>SUM(H9:H21)/F22</f>
        <v>13.508870967741935</v>
      </c>
      <c r="I22" s="61" t="s">
        <v>22</v>
      </c>
      <c r="J22" s="186">
        <v>0.15277777777777779</v>
      </c>
      <c r="K22" s="55"/>
    </row>
    <row r="23" spans="1:11" x14ac:dyDescent="0.15">
      <c r="E23" s="62"/>
      <c r="F23" s="63"/>
      <c r="I23" s="64" t="s">
        <v>23</v>
      </c>
      <c r="J23" s="65">
        <v>3.67</v>
      </c>
    </row>
    <row r="24" spans="1:11" x14ac:dyDescent="0.15">
      <c r="A24" s="1"/>
      <c r="I24" s="66"/>
      <c r="J24" s="67"/>
    </row>
    <row r="25" spans="1:11" x14ac:dyDescent="0.15">
      <c r="A25" s="68" t="s">
        <v>24</v>
      </c>
      <c r="B25" s="68"/>
      <c r="C25" s="68"/>
      <c r="D25" s="53"/>
      <c r="H25" s="4" t="s">
        <v>25</v>
      </c>
      <c r="I25" s="4"/>
      <c r="J25" s="62">
        <f>F22</f>
        <v>62</v>
      </c>
      <c r="K25" s="1" t="s">
        <v>16</v>
      </c>
    </row>
    <row r="26" spans="1:11" x14ac:dyDescent="0.15">
      <c r="A26" s="68" t="s">
        <v>26</v>
      </c>
      <c r="B26" s="68"/>
      <c r="C26" s="68"/>
      <c r="D26" s="53"/>
      <c r="H26" s="4" t="s">
        <v>27</v>
      </c>
      <c r="I26" s="4"/>
      <c r="J26" s="62">
        <f>66+72+68+62+66+58+59+11+70+89+85+85+92+89+92+100+100+97+105+102+34+80+84+86+62</f>
        <v>1914</v>
      </c>
      <c r="K26" s="1" t="s">
        <v>16</v>
      </c>
    </row>
    <row r="27" spans="1:11" ht="15" thickBot="1" x14ac:dyDescent="0.2">
      <c r="A27" s="69"/>
      <c r="B27" s="69"/>
      <c r="C27" s="69"/>
      <c r="D27" s="69"/>
      <c r="E27" s="70"/>
      <c r="F27" s="70"/>
      <c r="G27" s="69"/>
      <c r="H27" s="71" t="s">
        <v>28</v>
      </c>
      <c r="I27" s="71"/>
      <c r="J27" s="72">
        <v>112.58</v>
      </c>
      <c r="K27" s="73" t="s">
        <v>29</v>
      </c>
    </row>
    <row r="28" spans="1:11" x14ac:dyDescent="0.15">
      <c r="J28" s="2" t="s">
        <v>3</v>
      </c>
    </row>
    <row r="29" spans="1:11" hidden="1" x14ac:dyDescent="0.15">
      <c r="K29" s="2" t="s">
        <v>30</v>
      </c>
    </row>
    <row r="30" spans="1:11" hidden="1" x14ac:dyDescent="0.15">
      <c r="K30" s="2" t="s">
        <v>31</v>
      </c>
    </row>
    <row r="31" spans="1:11" hidden="1" x14ac:dyDescent="0.15">
      <c r="K31" s="2" t="s">
        <v>32</v>
      </c>
    </row>
    <row r="32" spans="1:11" hidden="1" x14ac:dyDescent="0.15">
      <c r="K32" s="2" t="s">
        <v>33</v>
      </c>
    </row>
    <row r="33" spans="9:11" hidden="1" x14ac:dyDescent="0.15">
      <c r="K33" s="2" t="s">
        <v>34</v>
      </c>
    </row>
    <row r="34" spans="9:11" hidden="1" x14ac:dyDescent="0.15">
      <c r="K34" s="2" t="s">
        <v>35</v>
      </c>
    </row>
    <row r="35" spans="9:11" hidden="1" x14ac:dyDescent="0.15">
      <c r="K35" s="2" t="s">
        <v>36</v>
      </c>
    </row>
    <row r="36" spans="9:11" hidden="1" x14ac:dyDescent="0.15">
      <c r="K36" s="2" t="s">
        <v>37</v>
      </c>
    </row>
    <row r="37" spans="9:11" hidden="1" x14ac:dyDescent="0.15">
      <c r="K37" s="2" t="s">
        <v>38</v>
      </c>
    </row>
    <row r="38" spans="9:11" hidden="1" x14ac:dyDescent="0.15">
      <c r="K38" s="2" t="s">
        <v>39</v>
      </c>
    </row>
    <row r="39" spans="9:11" hidden="1" x14ac:dyDescent="0.15">
      <c r="K39" s="2" t="s">
        <v>40</v>
      </c>
    </row>
    <row r="40" spans="9:11" hidden="1" x14ac:dyDescent="0.15">
      <c r="K40" s="2" t="s">
        <v>41</v>
      </c>
    </row>
    <row r="41" spans="9:11" ht="30" hidden="1" x14ac:dyDescent="0.15">
      <c r="I41" s="74" t="s">
        <v>42</v>
      </c>
      <c r="K41" s="2" t="s">
        <v>43</v>
      </c>
    </row>
    <row r="42" spans="9:11" ht="15" hidden="1" x14ac:dyDescent="0.15">
      <c r="I42" s="74" t="s">
        <v>44</v>
      </c>
      <c r="K42" s="2" t="s">
        <v>45</v>
      </c>
    </row>
    <row r="43" spans="9:11" hidden="1" x14ac:dyDescent="0.15">
      <c r="I43" s="75" t="s">
        <v>46</v>
      </c>
      <c r="K43" s="2" t="s">
        <v>47</v>
      </c>
    </row>
    <row r="44" spans="9:11" hidden="1" x14ac:dyDescent="0.15">
      <c r="I44" s="2" t="s">
        <v>48</v>
      </c>
      <c r="K44" s="2" t="s">
        <v>49</v>
      </c>
    </row>
    <row r="45" spans="9:11" hidden="1" x14ac:dyDescent="0.15">
      <c r="I45" s="2" t="s">
        <v>50</v>
      </c>
      <c r="K45" s="2" t="s">
        <v>51</v>
      </c>
    </row>
    <row r="46" spans="9:11" hidden="1" x14ac:dyDescent="0.15">
      <c r="I46" s="2" t="s">
        <v>52</v>
      </c>
      <c r="K46" s="2" t="s">
        <v>53</v>
      </c>
    </row>
    <row r="47" spans="9:11" hidden="1" x14ac:dyDescent="0.15">
      <c r="I47" s="2" t="s">
        <v>54</v>
      </c>
      <c r="K47" s="2" t="s">
        <v>55</v>
      </c>
    </row>
    <row r="48" spans="9:11" hidden="1" x14ac:dyDescent="0.15">
      <c r="I48" s="2" t="s">
        <v>56</v>
      </c>
      <c r="K48" s="2" t="s">
        <v>57</v>
      </c>
    </row>
    <row r="49" spans="9:11" hidden="1" x14ac:dyDescent="0.15">
      <c r="I49" s="2" t="s">
        <v>58</v>
      </c>
      <c r="K49" s="2" t="s">
        <v>59</v>
      </c>
    </row>
    <row r="50" spans="9:11" hidden="1" x14ac:dyDescent="0.15">
      <c r="I50" s="2" t="s">
        <v>60</v>
      </c>
      <c r="K50" s="2" t="s">
        <v>61</v>
      </c>
    </row>
    <row r="51" spans="9:11" hidden="1" x14ac:dyDescent="0.15">
      <c r="K51" s="2" t="s">
        <v>62</v>
      </c>
    </row>
    <row r="52" spans="9:11" hidden="1" x14ac:dyDescent="0.15">
      <c r="K52" s="2" t="s">
        <v>63</v>
      </c>
    </row>
    <row r="53" spans="9:11" hidden="1" x14ac:dyDescent="0.15">
      <c r="K53" s="2" t="s">
        <v>64</v>
      </c>
    </row>
    <row r="54" spans="9:11" hidden="1" x14ac:dyDescent="0.15">
      <c r="K54" s="2" t="s">
        <v>65</v>
      </c>
    </row>
    <row r="55" spans="9:11" hidden="1" x14ac:dyDescent="0.15">
      <c r="K55" s="2" t="s">
        <v>66</v>
      </c>
    </row>
    <row r="56" spans="9:11" hidden="1" x14ac:dyDescent="0.15">
      <c r="K56" s="2" t="s">
        <v>67</v>
      </c>
    </row>
    <row r="57" spans="9:11" hidden="1" x14ac:dyDescent="0.15">
      <c r="K57" s="2" t="s">
        <v>68</v>
      </c>
    </row>
    <row r="58" spans="9:11" hidden="1" x14ac:dyDescent="0.15">
      <c r="K58" s="2" t="s">
        <v>69</v>
      </c>
    </row>
    <row r="59" spans="9:11" hidden="1" x14ac:dyDescent="0.15">
      <c r="K59" s="2" t="s">
        <v>70</v>
      </c>
    </row>
    <row r="60" spans="9:11" hidden="1" x14ac:dyDescent="0.15">
      <c r="K60" s="2" t="s">
        <v>71</v>
      </c>
    </row>
    <row r="61" spans="9:11" hidden="1" x14ac:dyDescent="0.15">
      <c r="K61" s="2" t="s">
        <v>72</v>
      </c>
    </row>
    <row r="62" spans="9:11" hidden="1" x14ac:dyDescent="0.15">
      <c r="K62" s="2" t="s">
        <v>73</v>
      </c>
    </row>
    <row r="63" spans="9:11" hidden="1" x14ac:dyDescent="0.15">
      <c r="K63" s="2" t="s">
        <v>67</v>
      </c>
    </row>
    <row r="64" spans="9:11" hidden="1" x14ac:dyDescent="0.15">
      <c r="K64" s="2" t="s">
        <v>74</v>
      </c>
    </row>
    <row r="65" spans="11:11" hidden="1" x14ac:dyDescent="0.15">
      <c r="K65" s="2" t="s">
        <v>75</v>
      </c>
    </row>
    <row r="66" spans="11:11" hidden="1" x14ac:dyDescent="0.15">
      <c r="K66" s="2" t="s">
        <v>76</v>
      </c>
    </row>
    <row r="67" spans="11:11" hidden="1" x14ac:dyDescent="0.15">
      <c r="K67" s="2" t="s">
        <v>77</v>
      </c>
    </row>
    <row r="68" spans="11:11" hidden="1" x14ac:dyDescent="0.15">
      <c r="K68" s="2" t="s">
        <v>78</v>
      </c>
    </row>
    <row r="69" spans="11:11" hidden="1" x14ac:dyDescent="0.15">
      <c r="K69" s="2" t="s">
        <v>79</v>
      </c>
    </row>
    <row r="70" spans="11:11" hidden="1" x14ac:dyDescent="0.15">
      <c r="K70" s="2" t="s">
        <v>80</v>
      </c>
    </row>
    <row r="71" spans="11:11" hidden="1" x14ac:dyDescent="0.15">
      <c r="K71" s="2" t="s">
        <v>81</v>
      </c>
    </row>
    <row r="72" spans="11:11" hidden="1" x14ac:dyDescent="0.15">
      <c r="K72" s="2" t="s">
        <v>82</v>
      </c>
    </row>
    <row r="73" spans="11:11" hidden="1" x14ac:dyDescent="0.15">
      <c r="K73" s="2" t="s">
        <v>83</v>
      </c>
    </row>
    <row r="74" spans="11:11" hidden="1" x14ac:dyDescent="0.15">
      <c r="K74" s="2" t="s">
        <v>84</v>
      </c>
    </row>
    <row r="75" spans="11:11" hidden="1" x14ac:dyDescent="0.15">
      <c r="K75" s="2" t="s">
        <v>85</v>
      </c>
    </row>
    <row r="76" spans="11:11" hidden="1" x14ac:dyDescent="0.15">
      <c r="K76" s="2" t="s">
        <v>86</v>
      </c>
    </row>
    <row r="77" spans="11:11" hidden="1" x14ac:dyDescent="0.15">
      <c r="K77" s="2" t="s">
        <v>87</v>
      </c>
    </row>
    <row r="78" spans="11:11" hidden="1" x14ac:dyDescent="0.15">
      <c r="K78" s="2" t="s">
        <v>88</v>
      </c>
    </row>
    <row r="79" spans="11:11" hidden="1" x14ac:dyDescent="0.15">
      <c r="K79" s="2" t="s">
        <v>89</v>
      </c>
    </row>
    <row r="80" spans="11:11" hidden="1" x14ac:dyDescent="0.15">
      <c r="K80" s="2" t="s">
        <v>90</v>
      </c>
    </row>
    <row r="81" spans="11:11" hidden="1" x14ac:dyDescent="0.15">
      <c r="K81" s="2" t="s">
        <v>91</v>
      </c>
    </row>
    <row r="82" spans="11:11" hidden="1" x14ac:dyDescent="0.15">
      <c r="K82" s="2" t="s">
        <v>92</v>
      </c>
    </row>
    <row r="83" spans="11:11" hidden="1" x14ac:dyDescent="0.15">
      <c r="K83" s="2" t="s">
        <v>93</v>
      </c>
    </row>
    <row r="84" spans="11:11" hidden="1" x14ac:dyDescent="0.15">
      <c r="K84" s="2" t="s">
        <v>94</v>
      </c>
    </row>
    <row r="85" spans="11:11" hidden="1" x14ac:dyDescent="0.15">
      <c r="K85" s="2" t="s">
        <v>47</v>
      </c>
    </row>
  </sheetData>
  <dataValidations count="3">
    <dataValidation type="list" allowBlank="1" showInputMessage="1" showErrorMessage="1" sqref="I50 K15:K21" xr:uid="{E082BA9B-39B6-4702-84DF-467FDD055A41}">
      <formula1>$I$41:$I$50</formula1>
    </dataValidation>
    <dataValidation type="list" allowBlank="1" showInputMessage="1" showErrorMessage="1" sqref="B20:B21" xr:uid="{C0CA6B17-90C9-48F6-A571-DDC0C8101239}">
      <formula1>$K$29:$K$40</formula1>
    </dataValidation>
    <dataValidation type="list" allowBlank="1" showInputMessage="1" showErrorMessage="1" sqref="B16:B19" xr:uid="{3A2ECD16-DD1A-4725-BAFC-F76F229A5A22}">
      <formula1>$K$29:$K$85</formula1>
    </dataValidation>
  </dataValidation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B426BF-3ECD-4CAD-88C8-B35855DB4294}">
  <dimension ref="A1:K85"/>
  <sheetViews>
    <sheetView workbookViewId="0">
      <selection sqref="A1:XFD1048576"/>
    </sheetView>
  </sheetViews>
  <sheetFormatPr baseColWidth="10" defaultColWidth="9.1640625" defaultRowHeight="14" x14ac:dyDescent="0.15"/>
  <cols>
    <col min="1" max="1" width="5.1640625" style="2" customWidth="1"/>
    <col min="2" max="2" width="22.5" style="2" customWidth="1"/>
    <col min="3" max="3" width="6.1640625" style="2" customWidth="1"/>
    <col min="4" max="4" width="12.5" style="2" bestFit="1" customWidth="1"/>
    <col min="5" max="5" width="9.83203125" style="2" customWidth="1"/>
    <col min="6" max="6" width="9.33203125" style="2" bestFit="1" customWidth="1"/>
    <col min="7" max="7" width="8.6640625" style="2" customWidth="1"/>
    <col min="8" max="8" width="9.5" style="2" bestFit="1" customWidth="1"/>
    <col min="9" max="9" width="17.83203125" style="2" bestFit="1" customWidth="1"/>
    <col min="10" max="10" width="10.33203125" style="2" bestFit="1" customWidth="1"/>
    <col min="11" max="11" width="75" style="2" bestFit="1" customWidth="1"/>
    <col min="12" max="16384" width="9.1640625" style="2"/>
  </cols>
  <sheetData>
    <row r="1" spans="1:11" x14ac:dyDescent="0.15">
      <c r="A1" s="1" t="s">
        <v>0</v>
      </c>
      <c r="I1" s="3"/>
    </row>
    <row r="2" spans="1:11" x14ac:dyDescent="0.15">
      <c r="J2" s="4"/>
    </row>
    <row r="3" spans="1:11" x14ac:dyDescent="0.15">
      <c r="A3" s="3" t="s">
        <v>1</v>
      </c>
      <c r="I3" s="1"/>
      <c r="J3" s="1"/>
    </row>
    <row r="4" spans="1:11" x14ac:dyDescent="0.15">
      <c r="A4" s="3"/>
      <c r="I4" s="4" t="s">
        <v>2</v>
      </c>
      <c r="J4" s="76">
        <v>45804</v>
      </c>
    </row>
    <row r="5" spans="1:11" x14ac:dyDescent="0.15">
      <c r="J5" s="2" t="s">
        <v>3</v>
      </c>
    </row>
    <row r="6" spans="1:11" ht="30" x14ac:dyDescent="0.15">
      <c r="A6" s="5" t="s">
        <v>4</v>
      </c>
      <c r="B6" s="5" t="s">
        <v>5</v>
      </c>
      <c r="C6" s="5" t="s">
        <v>6</v>
      </c>
      <c r="D6" s="5" t="s">
        <v>7</v>
      </c>
      <c r="E6" s="5" t="s">
        <v>8</v>
      </c>
      <c r="F6" s="5" t="s">
        <v>9</v>
      </c>
      <c r="G6" s="6" t="s">
        <v>10</v>
      </c>
      <c r="H6" s="6" t="s">
        <v>11</v>
      </c>
      <c r="I6" s="6" t="s">
        <v>12</v>
      </c>
      <c r="J6" s="7"/>
      <c r="K6" s="5" t="s">
        <v>13</v>
      </c>
    </row>
    <row r="7" spans="1:11" ht="30" x14ac:dyDescent="0.15">
      <c r="A7" s="6"/>
      <c r="B7" s="8"/>
      <c r="C7" s="5"/>
      <c r="D7" s="5" t="s">
        <v>14</v>
      </c>
      <c r="E7" s="5" t="s">
        <v>15</v>
      </c>
      <c r="F7" s="9" t="s">
        <v>16</v>
      </c>
      <c r="G7" s="9" t="s">
        <v>15</v>
      </c>
      <c r="H7" s="9" t="s">
        <v>17</v>
      </c>
      <c r="I7" s="5" t="s">
        <v>18</v>
      </c>
      <c r="J7" s="9" t="s">
        <v>19</v>
      </c>
      <c r="K7" s="9"/>
    </row>
    <row r="8" spans="1:11" ht="16" x14ac:dyDescent="0.2">
      <c r="A8" s="10"/>
      <c r="B8" s="11"/>
      <c r="C8" s="12"/>
      <c r="D8" s="11"/>
      <c r="E8" s="11"/>
      <c r="F8" s="10"/>
      <c r="G8" s="10"/>
      <c r="H8" s="10"/>
      <c r="I8" s="10"/>
      <c r="J8" s="13"/>
      <c r="K8" s="10"/>
    </row>
    <row r="9" spans="1:11" ht="17" x14ac:dyDescent="0.15">
      <c r="A9" s="192">
        <v>1</v>
      </c>
      <c r="B9" s="187" t="s">
        <v>252</v>
      </c>
      <c r="C9" s="188">
        <v>14</v>
      </c>
      <c r="D9" s="15">
        <v>2.85</v>
      </c>
      <c r="E9" s="193">
        <v>1326</v>
      </c>
      <c r="F9" s="189">
        <v>7.5</v>
      </c>
      <c r="G9" s="16">
        <f t="shared" ref="G9:G13" si="0">E9*F9</f>
        <v>9945</v>
      </c>
      <c r="H9" s="17">
        <f t="shared" ref="H9:H13" si="1">F9*C9</f>
        <v>105</v>
      </c>
      <c r="I9" s="211" t="s">
        <v>20</v>
      </c>
      <c r="J9" s="212">
        <v>2.0833333333333332E-2</v>
      </c>
      <c r="K9" s="213" t="s">
        <v>265</v>
      </c>
    </row>
    <row r="10" spans="1:11" ht="17" x14ac:dyDescent="0.15">
      <c r="A10" s="23">
        <v>2</v>
      </c>
      <c r="B10" s="187" t="s">
        <v>252</v>
      </c>
      <c r="C10" s="188">
        <v>15</v>
      </c>
      <c r="D10" s="15">
        <v>2.85</v>
      </c>
      <c r="E10" s="193">
        <v>1170</v>
      </c>
      <c r="F10" s="189">
        <v>28.8</v>
      </c>
      <c r="G10" s="16">
        <f t="shared" si="0"/>
        <v>33696</v>
      </c>
      <c r="H10" s="17">
        <f t="shared" si="1"/>
        <v>432</v>
      </c>
      <c r="I10" s="214" t="s">
        <v>44</v>
      </c>
      <c r="J10" s="215">
        <v>2.7777777777777776E-2</v>
      </c>
      <c r="K10" s="216" t="s">
        <v>44</v>
      </c>
    </row>
    <row r="11" spans="1:11" ht="17" x14ac:dyDescent="0.15">
      <c r="A11" s="192">
        <v>3</v>
      </c>
      <c r="B11" s="187" t="s">
        <v>252</v>
      </c>
      <c r="C11" s="188">
        <v>16</v>
      </c>
      <c r="D11" s="15">
        <v>2.85</v>
      </c>
      <c r="E11" s="193">
        <v>1342</v>
      </c>
      <c r="F11" s="207">
        <v>12</v>
      </c>
      <c r="G11" s="16">
        <f t="shared" si="0"/>
        <v>16104</v>
      </c>
      <c r="H11" s="17">
        <f t="shared" si="1"/>
        <v>192</v>
      </c>
      <c r="I11" s="217" t="s">
        <v>243</v>
      </c>
      <c r="J11" s="215">
        <v>1.3888888888888888E-2</v>
      </c>
      <c r="K11" s="216" t="s">
        <v>243</v>
      </c>
    </row>
    <row r="12" spans="1:11" ht="19.25" customHeight="1" x14ac:dyDescent="0.15">
      <c r="A12" s="23">
        <v>4</v>
      </c>
      <c r="B12" s="187" t="s">
        <v>252</v>
      </c>
      <c r="C12" s="208">
        <v>17</v>
      </c>
      <c r="D12" s="15">
        <v>2.85</v>
      </c>
      <c r="E12" s="209">
        <v>1404</v>
      </c>
      <c r="F12" s="210">
        <v>7</v>
      </c>
      <c r="G12" s="16">
        <f t="shared" si="0"/>
        <v>9828</v>
      </c>
      <c r="H12" s="17">
        <f t="shared" si="1"/>
        <v>119</v>
      </c>
      <c r="I12" s="217" t="s">
        <v>238</v>
      </c>
      <c r="J12" s="215">
        <v>6.25E-2</v>
      </c>
      <c r="K12" s="216" t="s">
        <v>271</v>
      </c>
    </row>
    <row r="13" spans="1:11" ht="17" x14ac:dyDescent="0.2">
      <c r="A13" s="219">
        <v>5</v>
      </c>
      <c r="B13" s="187" t="s">
        <v>231</v>
      </c>
      <c r="C13" s="208">
        <v>15</v>
      </c>
      <c r="D13" s="15">
        <v>2.85</v>
      </c>
      <c r="E13" s="209">
        <v>1170</v>
      </c>
      <c r="F13" s="210">
        <v>8.6999999999999993</v>
      </c>
      <c r="G13" s="16">
        <f t="shared" si="0"/>
        <v>10179</v>
      </c>
      <c r="H13" s="17">
        <f t="shared" si="1"/>
        <v>130.5</v>
      </c>
      <c r="I13" s="217" t="s">
        <v>230</v>
      </c>
      <c r="J13" s="215">
        <v>1.0416666666666666E-2</v>
      </c>
      <c r="K13" s="227" t="s">
        <v>269</v>
      </c>
    </row>
    <row r="14" spans="1:11" ht="16" x14ac:dyDescent="0.15">
      <c r="A14" s="192"/>
      <c r="B14" s="187"/>
      <c r="C14" s="220"/>
      <c r="D14" s="11"/>
      <c r="E14" s="221"/>
      <c r="F14" s="222"/>
      <c r="G14" s="16"/>
      <c r="H14" s="17"/>
      <c r="I14" s="28"/>
      <c r="J14" s="37"/>
      <c r="K14" s="30"/>
    </row>
    <row r="15" spans="1:11" ht="16" x14ac:dyDescent="0.2">
      <c r="A15" s="38"/>
      <c r="B15" s="39"/>
      <c r="C15" s="40"/>
      <c r="D15" s="11"/>
      <c r="E15" s="25"/>
      <c r="F15" s="40"/>
      <c r="G15" s="27"/>
      <c r="H15" s="12"/>
      <c r="I15" s="41"/>
      <c r="J15" s="37"/>
      <c r="K15" s="30"/>
    </row>
    <row r="16" spans="1:11" ht="16" x14ac:dyDescent="0.2">
      <c r="A16" s="38"/>
      <c r="B16" s="39"/>
      <c r="C16" s="40"/>
      <c r="D16" s="11"/>
      <c r="E16" s="32"/>
      <c r="F16" s="40"/>
      <c r="G16" s="27"/>
      <c r="H16" s="12"/>
      <c r="I16" s="41"/>
      <c r="J16" s="37"/>
      <c r="K16" s="42"/>
    </row>
    <row r="17" spans="1:11" ht="16" x14ac:dyDescent="0.2">
      <c r="A17" s="38"/>
      <c r="B17" s="39"/>
      <c r="C17" s="40"/>
      <c r="D17" s="11"/>
      <c r="E17" s="32"/>
      <c r="F17" s="40"/>
      <c r="G17" s="27"/>
      <c r="H17" s="12"/>
      <c r="I17" s="41"/>
      <c r="J17" s="37"/>
      <c r="K17" s="42"/>
    </row>
    <row r="18" spans="1:11" ht="16" x14ac:dyDescent="0.2">
      <c r="A18" s="43"/>
      <c r="B18" s="44"/>
      <c r="C18" s="40"/>
      <c r="D18" s="11"/>
      <c r="E18" s="45"/>
      <c r="F18" s="46"/>
      <c r="G18" s="27"/>
      <c r="H18" s="12"/>
      <c r="I18" s="10"/>
      <c r="J18" s="13"/>
      <c r="K18" s="10"/>
    </row>
    <row r="19" spans="1:11" x14ac:dyDescent="0.15">
      <c r="A19" s="47"/>
      <c r="B19" s="48"/>
      <c r="C19" s="49"/>
      <c r="D19" s="50"/>
      <c r="E19" s="47"/>
      <c r="F19" s="49"/>
      <c r="G19" s="51"/>
      <c r="H19" s="49"/>
      <c r="I19" s="48"/>
      <c r="J19" s="52"/>
      <c r="K19" s="48"/>
    </row>
    <row r="20" spans="1:11" x14ac:dyDescent="0.15">
      <c r="A20" s="47"/>
      <c r="B20" s="48"/>
      <c r="C20" s="49"/>
      <c r="D20" s="50"/>
      <c r="E20" s="47"/>
      <c r="F20" s="49"/>
      <c r="G20" s="51"/>
      <c r="H20" s="49"/>
      <c r="I20" s="48"/>
      <c r="J20" s="52"/>
      <c r="K20" s="48"/>
    </row>
    <row r="21" spans="1:11" x14ac:dyDescent="0.15">
      <c r="A21" s="47"/>
      <c r="B21" s="48"/>
      <c r="C21" s="53"/>
      <c r="D21" s="47"/>
      <c r="E21" s="52"/>
      <c r="F21" s="53"/>
      <c r="G21" s="51"/>
      <c r="H21" s="49"/>
      <c r="I21" s="48"/>
      <c r="J21" s="52"/>
      <c r="K21" s="48"/>
    </row>
    <row r="22" spans="1:11" x14ac:dyDescent="0.15">
      <c r="A22" s="54"/>
      <c r="B22" s="55"/>
      <c r="C22" s="56"/>
      <c r="D22" s="56"/>
      <c r="E22" s="57" t="s">
        <v>21</v>
      </c>
      <c r="F22" s="58">
        <f>SUM(F9:F21)</f>
        <v>64</v>
      </c>
      <c r="G22" s="59">
        <f>SUM(G9:G21)/F22</f>
        <v>1246.125</v>
      </c>
      <c r="H22" s="60">
        <f>SUM(H9:H21)/F22</f>
        <v>15.2890625</v>
      </c>
      <c r="I22" s="61" t="s">
        <v>22</v>
      </c>
      <c r="J22" s="186">
        <v>0.13541666666666666</v>
      </c>
      <c r="K22" s="55"/>
    </row>
    <row r="23" spans="1:11" x14ac:dyDescent="0.15">
      <c r="E23" s="62"/>
      <c r="F23" s="63"/>
      <c r="I23" s="64" t="s">
        <v>23</v>
      </c>
      <c r="J23" s="65">
        <v>3.25</v>
      </c>
    </row>
    <row r="24" spans="1:11" x14ac:dyDescent="0.15">
      <c r="A24" s="1"/>
      <c r="I24" s="66"/>
      <c r="J24" s="67"/>
    </row>
    <row r="25" spans="1:11" x14ac:dyDescent="0.15">
      <c r="A25" s="68" t="s">
        <v>24</v>
      </c>
      <c r="B25" s="68"/>
      <c r="C25" s="68"/>
      <c r="D25" s="53"/>
      <c r="H25" s="4" t="s">
        <v>25</v>
      </c>
      <c r="I25" s="4"/>
      <c r="J25" s="62">
        <f>F22</f>
        <v>64</v>
      </c>
      <c r="K25" s="1" t="s">
        <v>16</v>
      </c>
    </row>
    <row r="26" spans="1:11" x14ac:dyDescent="0.15">
      <c r="A26" s="68" t="s">
        <v>26</v>
      </c>
      <c r="B26" s="68"/>
      <c r="C26" s="68"/>
      <c r="D26" s="53"/>
      <c r="H26" s="4" t="s">
        <v>27</v>
      </c>
      <c r="I26" s="4"/>
      <c r="J26" s="62">
        <f>66+72+68+62+66+58+59+11+70+89+85+85+92+89+92+100+100+97+105+102+34+80+84+86+62+64</f>
        <v>1978</v>
      </c>
      <c r="K26" s="1" t="s">
        <v>16</v>
      </c>
    </row>
    <row r="27" spans="1:11" ht="15" thickBot="1" x14ac:dyDescent="0.2">
      <c r="A27" s="69"/>
      <c r="B27" s="69"/>
      <c r="C27" s="69"/>
      <c r="D27" s="69"/>
      <c r="E27" s="70"/>
      <c r="F27" s="70"/>
      <c r="G27" s="69"/>
      <c r="H27" s="71" t="s">
        <v>28</v>
      </c>
      <c r="I27" s="71"/>
      <c r="J27" s="72">
        <v>115.83</v>
      </c>
      <c r="K27" s="73" t="s">
        <v>29</v>
      </c>
    </row>
    <row r="28" spans="1:11" x14ac:dyDescent="0.15">
      <c r="J28" s="2" t="s">
        <v>3</v>
      </c>
    </row>
    <row r="29" spans="1:11" hidden="1" x14ac:dyDescent="0.15">
      <c r="K29" s="2" t="s">
        <v>30</v>
      </c>
    </row>
    <row r="30" spans="1:11" hidden="1" x14ac:dyDescent="0.15">
      <c r="K30" s="2" t="s">
        <v>31</v>
      </c>
    </row>
    <row r="31" spans="1:11" hidden="1" x14ac:dyDescent="0.15">
      <c r="K31" s="2" t="s">
        <v>32</v>
      </c>
    </row>
    <row r="32" spans="1:11" hidden="1" x14ac:dyDescent="0.15">
      <c r="K32" s="2" t="s">
        <v>33</v>
      </c>
    </row>
    <row r="33" spans="9:11" hidden="1" x14ac:dyDescent="0.15">
      <c r="K33" s="2" t="s">
        <v>34</v>
      </c>
    </row>
    <row r="34" spans="9:11" hidden="1" x14ac:dyDescent="0.15">
      <c r="K34" s="2" t="s">
        <v>35</v>
      </c>
    </row>
    <row r="35" spans="9:11" hidden="1" x14ac:dyDescent="0.15">
      <c r="K35" s="2" t="s">
        <v>36</v>
      </c>
    </row>
    <row r="36" spans="9:11" hidden="1" x14ac:dyDescent="0.15">
      <c r="K36" s="2" t="s">
        <v>37</v>
      </c>
    </row>
    <row r="37" spans="9:11" hidden="1" x14ac:dyDescent="0.15">
      <c r="K37" s="2" t="s">
        <v>38</v>
      </c>
    </row>
    <row r="38" spans="9:11" hidden="1" x14ac:dyDescent="0.15">
      <c r="K38" s="2" t="s">
        <v>39</v>
      </c>
    </row>
    <row r="39" spans="9:11" hidden="1" x14ac:dyDescent="0.15">
      <c r="K39" s="2" t="s">
        <v>40</v>
      </c>
    </row>
    <row r="40" spans="9:11" hidden="1" x14ac:dyDescent="0.15">
      <c r="K40" s="2" t="s">
        <v>41</v>
      </c>
    </row>
    <row r="41" spans="9:11" ht="30" hidden="1" x14ac:dyDescent="0.15">
      <c r="I41" s="74" t="s">
        <v>42</v>
      </c>
      <c r="K41" s="2" t="s">
        <v>43</v>
      </c>
    </row>
    <row r="42" spans="9:11" ht="15" hidden="1" x14ac:dyDescent="0.15">
      <c r="I42" s="74" t="s">
        <v>44</v>
      </c>
      <c r="K42" s="2" t="s">
        <v>45</v>
      </c>
    </row>
    <row r="43" spans="9:11" hidden="1" x14ac:dyDescent="0.15">
      <c r="I43" s="75" t="s">
        <v>46</v>
      </c>
      <c r="K43" s="2" t="s">
        <v>47</v>
      </c>
    </row>
    <row r="44" spans="9:11" hidden="1" x14ac:dyDescent="0.15">
      <c r="I44" s="2" t="s">
        <v>48</v>
      </c>
      <c r="K44" s="2" t="s">
        <v>49</v>
      </c>
    </row>
    <row r="45" spans="9:11" hidden="1" x14ac:dyDescent="0.15">
      <c r="I45" s="2" t="s">
        <v>50</v>
      </c>
      <c r="K45" s="2" t="s">
        <v>51</v>
      </c>
    </row>
    <row r="46" spans="9:11" hidden="1" x14ac:dyDescent="0.15">
      <c r="I46" s="2" t="s">
        <v>52</v>
      </c>
      <c r="K46" s="2" t="s">
        <v>53</v>
      </c>
    </row>
    <row r="47" spans="9:11" hidden="1" x14ac:dyDescent="0.15">
      <c r="I47" s="2" t="s">
        <v>54</v>
      </c>
      <c r="K47" s="2" t="s">
        <v>55</v>
      </c>
    </row>
    <row r="48" spans="9:11" hidden="1" x14ac:dyDescent="0.15">
      <c r="I48" s="2" t="s">
        <v>56</v>
      </c>
      <c r="K48" s="2" t="s">
        <v>57</v>
      </c>
    </row>
    <row r="49" spans="9:11" hidden="1" x14ac:dyDescent="0.15">
      <c r="I49" s="2" t="s">
        <v>58</v>
      </c>
      <c r="K49" s="2" t="s">
        <v>59</v>
      </c>
    </row>
    <row r="50" spans="9:11" hidden="1" x14ac:dyDescent="0.15">
      <c r="I50" s="2" t="s">
        <v>60</v>
      </c>
      <c r="K50" s="2" t="s">
        <v>61</v>
      </c>
    </row>
    <row r="51" spans="9:11" hidden="1" x14ac:dyDescent="0.15">
      <c r="K51" s="2" t="s">
        <v>62</v>
      </c>
    </row>
    <row r="52" spans="9:11" hidden="1" x14ac:dyDescent="0.15">
      <c r="K52" s="2" t="s">
        <v>63</v>
      </c>
    </row>
    <row r="53" spans="9:11" hidden="1" x14ac:dyDescent="0.15">
      <c r="K53" s="2" t="s">
        <v>64</v>
      </c>
    </row>
    <row r="54" spans="9:11" hidden="1" x14ac:dyDescent="0.15">
      <c r="K54" s="2" t="s">
        <v>65</v>
      </c>
    </row>
    <row r="55" spans="9:11" hidden="1" x14ac:dyDescent="0.15">
      <c r="K55" s="2" t="s">
        <v>66</v>
      </c>
    </row>
    <row r="56" spans="9:11" hidden="1" x14ac:dyDescent="0.15">
      <c r="K56" s="2" t="s">
        <v>67</v>
      </c>
    </row>
    <row r="57" spans="9:11" hidden="1" x14ac:dyDescent="0.15">
      <c r="K57" s="2" t="s">
        <v>68</v>
      </c>
    </row>
    <row r="58" spans="9:11" hidden="1" x14ac:dyDescent="0.15">
      <c r="K58" s="2" t="s">
        <v>69</v>
      </c>
    </row>
    <row r="59" spans="9:11" hidden="1" x14ac:dyDescent="0.15">
      <c r="K59" s="2" t="s">
        <v>70</v>
      </c>
    </row>
    <row r="60" spans="9:11" hidden="1" x14ac:dyDescent="0.15">
      <c r="K60" s="2" t="s">
        <v>71</v>
      </c>
    </row>
    <row r="61" spans="9:11" hidden="1" x14ac:dyDescent="0.15">
      <c r="K61" s="2" t="s">
        <v>72</v>
      </c>
    </row>
    <row r="62" spans="9:11" hidden="1" x14ac:dyDescent="0.15">
      <c r="K62" s="2" t="s">
        <v>73</v>
      </c>
    </row>
    <row r="63" spans="9:11" hidden="1" x14ac:dyDescent="0.15">
      <c r="K63" s="2" t="s">
        <v>67</v>
      </c>
    </row>
    <row r="64" spans="9:11" hidden="1" x14ac:dyDescent="0.15">
      <c r="K64" s="2" t="s">
        <v>74</v>
      </c>
    </row>
    <row r="65" spans="11:11" hidden="1" x14ac:dyDescent="0.15">
      <c r="K65" s="2" t="s">
        <v>75</v>
      </c>
    </row>
    <row r="66" spans="11:11" hidden="1" x14ac:dyDescent="0.15">
      <c r="K66" s="2" t="s">
        <v>76</v>
      </c>
    </row>
    <row r="67" spans="11:11" hidden="1" x14ac:dyDescent="0.15">
      <c r="K67" s="2" t="s">
        <v>77</v>
      </c>
    </row>
    <row r="68" spans="11:11" hidden="1" x14ac:dyDescent="0.15">
      <c r="K68" s="2" t="s">
        <v>78</v>
      </c>
    </row>
    <row r="69" spans="11:11" hidden="1" x14ac:dyDescent="0.15">
      <c r="K69" s="2" t="s">
        <v>79</v>
      </c>
    </row>
    <row r="70" spans="11:11" hidden="1" x14ac:dyDescent="0.15">
      <c r="K70" s="2" t="s">
        <v>80</v>
      </c>
    </row>
    <row r="71" spans="11:11" hidden="1" x14ac:dyDescent="0.15">
      <c r="K71" s="2" t="s">
        <v>81</v>
      </c>
    </row>
    <row r="72" spans="11:11" hidden="1" x14ac:dyDescent="0.15">
      <c r="K72" s="2" t="s">
        <v>82</v>
      </c>
    </row>
    <row r="73" spans="11:11" hidden="1" x14ac:dyDescent="0.15">
      <c r="K73" s="2" t="s">
        <v>83</v>
      </c>
    </row>
    <row r="74" spans="11:11" hidden="1" x14ac:dyDescent="0.15">
      <c r="K74" s="2" t="s">
        <v>84</v>
      </c>
    </row>
    <row r="75" spans="11:11" hidden="1" x14ac:dyDescent="0.15">
      <c r="K75" s="2" t="s">
        <v>85</v>
      </c>
    </row>
    <row r="76" spans="11:11" hidden="1" x14ac:dyDescent="0.15">
      <c r="K76" s="2" t="s">
        <v>86</v>
      </c>
    </row>
    <row r="77" spans="11:11" hidden="1" x14ac:dyDescent="0.15">
      <c r="K77" s="2" t="s">
        <v>87</v>
      </c>
    </row>
    <row r="78" spans="11:11" hidden="1" x14ac:dyDescent="0.15">
      <c r="K78" s="2" t="s">
        <v>88</v>
      </c>
    </row>
    <row r="79" spans="11:11" hidden="1" x14ac:dyDescent="0.15">
      <c r="K79" s="2" t="s">
        <v>89</v>
      </c>
    </row>
    <row r="80" spans="11:11" hidden="1" x14ac:dyDescent="0.15">
      <c r="K80" s="2" t="s">
        <v>90</v>
      </c>
    </row>
    <row r="81" spans="11:11" hidden="1" x14ac:dyDescent="0.15">
      <c r="K81" s="2" t="s">
        <v>91</v>
      </c>
    </row>
    <row r="82" spans="11:11" hidden="1" x14ac:dyDescent="0.15">
      <c r="K82" s="2" t="s">
        <v>92</v>
      </c>
    </row>
    <row r="83" spans="11:11" hidden="1" x14ac:dyDescent="0.15">
      <c r="K83" s="2" t="s">
        <v>93</v>
      </c>
    </row>
    <row r="84" spans="11:11" hidden="1" x14ac:dyDescent="0.15">
      <c r="K84" s="2" t="s">
        <v>94</v>
      </c>
    </row>
    <row r="85" spans="11:11" hidden="1" x14ac:dyDescent="0.15">
      <c r="K85" s="2" t="s">
        <v>47</v>
      </c>
    </row>
  </sheetData>
  <dataValidations count="3">
    <dataValidation type="list" allowBlank="1" showInputMessage="1" showErrorMessage="1" sqref="B16:B19" xr:uid="{83C7B26A-BEA6-4945-9F68-3F738DEED14D}">
      <formula1>$K$29:$K$85</formula1>
    </dataValidation>
    <dataValidation type="list" allowBlank="1" showInputMessage="1" showErrorMessage="1" sqref="B20:B21" xr:uid="{28704FB0-D402-4638-B13B-7014390EF51A}">
      <formula1>$K$29:$K$40</formula1>
    </dataValidation>
    <dataValidation type="list" allowBlank="1" showInputMessage="1" showErrorMessage="1" sqref="I50 K15:K21" xr:uid="{F8D6518F-7605-42DD-9B5B-618DE6C1EFAD}">
      <formula1>$I$41:$I$50</formula1>
    </dataValidation>
  </dataValidation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493C45-EEBD-4BD0-9942-6C65C984A182}">
  <dimension ref="A1:K85"/>
  <sheetViews>
    <sheetView workbookViewId="0">
      <selection sqref="A1:XFD1048576"/>
    </sheetView>
  </sheetViews>
  <sheetFormatPr baseColWidth="10" defaultColWidth="9.1640625" defaultRowHeight="14" x14ac:dyDescent="0.15"/>
  <cols>
    <col min="1" max="1" width="5.1640625" style="2" customWidth="1"/>
    <col min="2" max="2" width="22.5" style="2" customWidth="1"/>
    <col min="3" max="3" width="6.1640625" style="2" customWidth="1"/>
    <col min="4" max="4" width="12.5" style="2" bestFit="1" customWidth="1"/>
    <col min="5" max="5" width="9.83203125" style="2" customWidth="1"/>
    <col min="6" max="6" width="9.33203125" style="2" bestFit="1" customWidth="1"/>
    <col min="7" max="7" width="8.6640625" style="2" customWidth="1"/>
    <col min="8" max="8" width="9.5" style="2" bestFit="1" customWidth="1"/>
    <col min="9" max="9" width="17.83203125" style="2" bestFit="1" customWidth="1"/>
    <col min="10" max="10" width="10.33203125" style="2" bestFit="1" customWidth="1"/>
    <col min="11" max="11" width="75" style="2" bestFit="1" customWidth="1"/>
    <col min="12" max="16384" width="9.1640625" style="2"/>
  </cols>
  <sheetData>
    <row r="1" spans="1:11" x14ac:dyDescent="0.15">
      <c r="A1" s="1" t="s">
        <v>0</v>
      </c>
      <c r="I1" s="3"/>
    </row>
    <row r="2" spans="1:11" x14ac:dyDescent="0.15">
      <c r="J2" s="4"/>
    </row>
    <row r="3" spans="1:11" x14ac:dyDescent="0.15">
      <c r="A3" s="3" t="s">
        <v>1</v>
      </c>
      <c r="I3" s="1"/>
      <c r="J3" s="1"/>
    </row>
    <row r="4" spans="1:11" x14ac:dyDescent="0.15">
      <c r="A4" s="3"/>
      <c r="I4" s="4" t="s">
        <v>2</v>
      </c>
      <c r="J4" s="76">
        <v>45805</v>
      </c>
    </row>
    <row r="5" spans="1:11" x14ac:dyDescent="0.15">
      <c r="J5" s="2" t="s">
        <v>3</v>
      </c>
    </row>
    <row r="6" spans="1:11" ht="30" x14ac:dyDescent="0.15">
      <c r="A6" s="5" t="s">
        <v>4</v>
      </c>
      <c r="B6" s="5" t="s">
        <v>5</v>
      </c>
      <c r="C6" s="5" t="s">
        <v>6</v>
      </c>
      <c r="D6" s="5" t="s">
        <v>7</v>
      </c>
      <c r="E6" s="5" t="s">
        <v>8</v>
      </c>
      <c r="F6" s="5" t="s">
        <v>9</v>
      </c>
      <c r="G6" s="6" t="s">
        <v>10</v>
      </c>
      <c r="H6" s="6" t="s">
        <v>11</v>
      </c>
      <c r="I6" s="6" t="s">
        <v>12</v>
      </c>
      <c r="J6" s="7"/>
      <c r="K6" s="5" t="s">
        <v>13</v>
      </c>
    </row>
    <row r="7" spans="1:11" ht="30" x14ac:dyDescent="0.15">
      <c r="A7" s="6"/>
      <c r="B7" s="8"/>
      <c r="C7" s="5"/>
      <c r="D7" s="5" t="s">
        <v>14</v>
      </c>
      <c r="E7" s="5" t="s">
        <v>15</v>
      </c>
      <c r="F7" s="9" t="s">
        <v>16</v>
      </c>
      <c r="G7" s="9" t="s">
        <v>15</v>
      </c>
      <c r="H7" s="9" t="s">
        <v>17</v>
      </c>
      <c r="I7" s="5" t="s">
        <v>18</v>
      </c>
      <c r="J7" s="9" t="s">
        <v>19</v>
      </c>
      <c r="K7" s="9"/>
    </row>
    <row r="8" spans="1:11" ht="16" x14ac:dyDescent="0.2">
      <c r="A8" s="10"/>
      <c r="B8" s="11"/>
      <c r="C8" s="12"/>
      <c r="D8" s="11"/>
      <c r="E8" s="11"/>
      <c r="F8" s="10"/>
      <c r="G8" s="10"/>
      <c r="H8" s="10"/>
      <c r="I8" s="10"/>
      <c r="J8" s="13"/>
      <c r="K8" s="10"/>
    </row>
    <row r="9" spans="1:11" ht="17" x14ac:dyDescent="0.15">
      <c r="A9" s="192">
        <v>1</v>
      </c>
      <c r="B9" s="187" t="s">
        <v>231</v>
      </c>
      <c r="C9" s="188">
        <v>14</v>
      </c>
      <c r="D9" s="15">
        <v>2.85</v>
      </c>
      <c r="E9" s="193">
        <v>1404</v>
      </c>
      <c r="F9" s="189">
        <v>31.9</v>
      </c>
      <c r="G9" s="16">
        <f t="shared" ref="G9:G11" si="0">E9*F9</f>
        <v>44787.6</v>
      </c>
      <c r="H9" s="17">
        <f t="shared" ref="H9:H11" si="1">F9*C9</f>
        <v>446.59999999999997</v>
      </c>
      <c r="I9" s="211" t="s">
        <v>20</v>
      </c>
      <c r="J9" s="212">
        <v>2.0833333333333332E-2</v>
      </c>
      <c r="K9" s="213" t="s">
        <v>265</v>
      </c>
    </row>
    <row r="10" spans="1:11" ht="17" x14ac:dyDescent="0.15">
      <c r="A10" s="23">
        <v>2</v>
      </c>
      <c r="B10" s="187" t="s">
        <v>231</v>
      </c>
      <c r="C10" s="188">
        <v>15</v>
      </c>
      <c r="D10" s="15">
        <v>2.85</v>
      </c>
      <c r="E10" s="193">
        <v>1422</v>
      </c>
      <c r="F10" s="189">
        <v>39.6</v>
      </c>
      <c r="G10" s="16">
        <f t="shared" si="0"/>
        <v>56311.200000000004</v>
      </c>
      <c r="H10" s="17">
        <f t="shared" si="1"/>
        <v>594</v>
      </c>
      <c r="I10" s="214" t="s">
        <v>44</v>
      </c>
      <c r="J10" s="215">
        <v>1.3888888888888888E-2</v>
      </c>
      <c r="K10" s="216" t="s">
        <v>44</v>
      </c>
    </row>
    <row r="11" spans="1:11" ht="17" x14ac:dyDescent="0.15">
      <c r="A11" s="192">
        <v>3</v>
      </c>
      <c r="B11" s="187" t="s">
        <v>231</v>
      </c>
      <c r="C11" s="188">
        <v>16</v>
      </c>
      <c r="D11" s="15">
        <v>2.85</v>
      </c>
      <c r="E11" s="193">
        <v>1431</v>
      </c>
      <c r="F11" s="207">
        <v>8.5</v>
      </c>
      <c r="G11" s="16">
        <f t="shared" si="0"/>
        <v>12163.5</v>
      </c>
      <c r="H11" s="17">
        <f t="shared" si="1"/>
        <v>136</v>
      </c>
      <c r="I11" s="217" t="s">
        <v>243</v>
      </c>
      <c r="J11" s="215">
        <v>1.7361111111111112E-2</v>
      </c>
      <c r="K11" s="216" t="s">
        <v>243</v>
      </c>
    </row>
    <row r="12" spans="1:11" ht="19.25" customHeight="1" x14ac:dyDescent="0.15">
      <c r="A12" s="23"/>
      <c r="B12" s="187"/>
      <c r="C12" s="208"/>
      <c r="D12" s="15"/>
      <c r="E12" s="209"/>
      <c r="F12" s="210"/>
      <c r="G12" s="16"/>
      <c r="H12" s="17"/>
      <c r="I12" s="217"/>
      <c r="J12" s="215"/>
      <c r="K12" s="216"/>
    </row>
    <row r="13" spans="1:11" ht="16" x14ac:dyDescent="0.2">
      <c r="A13" s="219"/>
      <c r="B13" s="187"/>
      <c r="C13" s="208"/>
      <c r="D13" s="15"/>
      <c r="E13" s="209"/>
      <c r="F13" s="210"/>
      <c r="G13" s="16"/>
      <c r="H13" s="17"/>
      <c r="I13" s="217"/>
      <c r="J13" s="215"/>
      <c r="K13" s="227"/>
    </row>
    <row r="14" spans="1:11" ht="16" x14ac:dyDescent="0.15">
      <c r="A14" s="192"/>
      <c r="B14" s="187"/>
      <c r="C14" s="220"/>
      <c r="D14" s="11"/>
      <c r="E14" s="221"/>
      <c r="F14" s="222"/>
      <c r="G14" s="16"/>
      <c r="H14" s="17"/>
      <c r="I14" s="28"/>
      <c r="J14" s="37"/>
      <c r="K14" s="30"/>
    </row>
    <row r="15" spans="1:11" ht="16" x14ac:dyDescent="0.2">
      <c r="A15" s="38"/>
      <c r="B15" s="39"/>
      <c r="C15" s="40"/>
      <c r="D15" s="11"/>
      <c r="E15" s="25"/>
      <c r="F15" s="40"/>
      <c r="G15" s="27"/>
      <c r="H15" s="12"/>
      <c r="I15" s="41"/>
      <c r="J15" s="37"/>
      <c r="K15" s="30"/>
    </row>
    <row r="16" spans="1:11" ht="16" x14ac:dyDescent="0.2">
      <c r="A16" s="38"/>
      <c r="B16" s="39"/>
      <c r="C16" s="40"/>
      <c r="D16" s="11"/>
      <c r="E16" s="32"/>
      <c r="F16" s="40"/>
      <c r="G16" s="27"/>
      <c r="H16" s="12"/>
      <c r="I16" s="41"/>
      <c r="J16" s="37"/>
      <c r="K16" s="42"/>
    </row>
    <row r="17" spans="1:11" ht="16" x14ac:dyDescent="0.2">
      <c r="A17" s="38"/>
      <c r="B17" s="39"/>
      <c r="C17" s="40"/>
      <c r="D17" s="11"/>
      <c r="E17" s="32"/>
      <c r="F17" s="40"/>
      <c r="G17" s="27"/>
      <c r="H17" s="12"/>
      <c r="I17" s="41"/>
      <c r="J17" s="37"/>
      <c r="K17" s="42"/>
    </row>
    <row r="18" spans="1:11" ht="16" x14ac:dyDescent="0.2">
      <c r="A18" s="43"/>
      <c r="B18" s="44"/>
      <c r="C18" s="40"/>
      <c r="D18" s="11"/>
      <c r="E18" s="45"/>
      <c r="F18" s="46"/>
      <c r="G18" s="27"/>
      <c r="H18" s="12"/>
      <c r="I18" s="10"/>
      <c r="J18" s="13"/>
      <c r="K18" s="10"/>
    </row>
    <row r="19" spans="1:11" x14ac:dyDescent="0.15">
      <c r="A19" s="47"/>
      <c r="B19" s="48"/>
      <c r="C19" s="49"/>
      <c r="D19" s="50"/>
      <c r="E19" s="47"/>
      <c r="F19" s="49"/>
      <c r="G19" s="51"/>
      <c r="H19" s="49"/>
      <c r="I19" s="48"/>
      <c r="J19" s="52"/>
      <c r="K19" s="48"/>
    </row>
    <row r="20" spans="1:11" x14ac:dyDescent="0.15">
      <c r="A20" s="47"/>
      <c r="B20" s="48"/>
      <c r="C20" s="49"/>
      <c r="D20" s="50"/>
      <c r="E20" s="47"/>
      <c r="F20" s="49"/>
      <c r="G20" s="51"/>
      <c r="H20" s="49"/>
      <c r="I20" s="48"/>
      <c r="J20" s="52"/>
      <c r="K20" s="48"/>
    </row>
    <row r="21" spans="1:11" x14ac:dyDescent="0.15">
      <c r="A21" s="47"/>
      <c r="B21" s="48"/>
      <c r="C21" s="53"/>
      <c r="D21" s="47"/>
      <c r="E21" s="52"/>
      <c r="F21" s="53"/>
      <c r="G21" s="51"/>
      <c r="H21" s="49"/>
      <c r="I21" s="48"/>
      <c r="J21" s="52"/>
      <c r="K21" s="48"/>
    </row>
    <row r="22" spans="1:11" x14ac:dyDescent="0.15">
      <c r="A22" s="54"/>
      <c r="B22" s="55"/>
      <c r="C22" s="56"/>
      <c r="D22" s="56"/>
      <c r="E22" s="57" t="s">
        <v>21</v>
      </c>
      <c r="F22" s="58">
        <f>SUM(F9:F21)</f>
        <v>80</v>
      </c>
      <c r="G22" s="59">
        <f>SUM(G9:G21)/F22</f>
        <v>1415.7787499999999</v>
      </c>
      <c r="H22" s="60">
        <f>SUM(H9:H21)/F22</f>
        <v>14.7075</v>
      </c>
      <c r="I22" s="61" t="s">
        <v>22</v>
      </c>
      <c r="J22" s="186">
        <v>5.2083333333333336E-2</v>
      </c>
      <c r="K22" s="55"/>
    </row>
    <row r="23" spans="1:11" x14ac:dyDescent="0.15">
      <c r="E23" s="62"/>
      <c r="F23" s="63"/>
      <c r="I23" s="64" t="s">
        <v>23</v>
      </c>
      <c r="J23" s="65">
        <v>1.25</v>
      </c>
    </row>
    <row r="24" spans="1:11" x14ac:dyDescent="0.15">
      <c r="A24" s="1"/>
      <c r="I24" s="66"/>
      <c r="J24" s="67"/>
    </row>
    <row r="25" spans="1:11" x14ac:dyDescent="0.15">
      <c r="A25" s="68" t="s">
        <v>24</v>
      </c>
      <c r="B25" s="68"/>
      <c r="C25" s="68"/>
      <c r="D25" s="53"/>
      <c r="H25" s="4" t="s">
        <v>25</v>
      </c>
      <c r="I25" s="4"/>
      <c r="J25" s="62">
        <f>F22</f>
        <v>80</v>
      </c>
      <c r="K25" s="1" t="s">
        <v>16</v>
      </c>
    </row>
    <row r="26" spans="1:11" x14ac:dyDescent="0.15">
      <c r="A26" s="68" t="s">
        <v>26</v>
      </c>
      <c r="B26" s="68"/>
      <c r="C26" s="68"/>
      <c r="D26" s="53"/>
      <c r="H26" s="4" t="s">
        <v>27</v>
      </c>
      <c r="I26" s="4"/>
      <c r="J26" s="62">
        <f>66+72+68+62+66+58+59+11+70+89+85+85+92+89+92+100+100+97+105+102+34+80+84+86+62+64+80</f>
        <v>2058</v>
      </c>
      <c r="K26" s="1" t="s">
        <v>16</v>
      </c>
    </row>
    <row r="27" spans="1:11" ht="15" thickBot="1" x14ac:dyDescent="0.2">
      <c r="A27" s="69"/>
      <c r="B27" s="69"/>
      <c r="C27" s="69"/>
      <c r="D27" s="69"/>
      <c r="E27" s="70"/>
      <c r="F27" s="70"/>
      <c r="G27" s="69"/>
      <c r="H27" s="71" t="s">
        <v>28</v>
      </c>
      <c r="I27" s="71"/>
      <c r="J27" s="72">
        <v>117.08</v>
      </c>
      <c r="K27" s="73" t="s">
        <v>29</v>
      </c>
    </row>
    <row r="28" spans="1:11" x14ac:dyDescent="0.15">
      <c r="J28" s="2" t="s">
        <v>3</v>
      </c>
    </row>
    <row r="29" spans="1:11" hidden="1" x14ac:dyDescent="0.15">
      <c r="K29" s="2" t="s">
        <v>30</v>
      </c>
    </row>
    <row r="30" spans="1:11" hidden="1" x14ac:dyDescent="0.15">
      <c r="K30" s="2" t="s">
        <v>31</v>
      </c>
    </row>
    <row r="31" spans="1:11" hidden="1" x14ac:dyDescent="0.15">
      <c r="K31" s="2" t="s">
        <v>32</v>
      </c>
    </row>
    <row r="32" spans="1:11" hidden="1" x14ac:dyDescent="0.15">
      <c r="K32" s="2" t="s">
        <v>33</v>
      </c>
    </row>
    <row r="33" spans="9:11" hidden="1" x14ac:dyDescent="0.15">
      <c r="K33" s="2" t="s">
        <v>34</v>
      </c>
    </row>
    <row r="34" spans="9:11" hidden="1" x14ac:dyDescent="0.15">
      <c r="K34" s="2" t="s">
        <v>35</v>
      </c>
    </row>
    <row r="35" spans="9:11" hidden="1" x14ac:dyDescent="0.15">
      <c r="K35" s="2" t="s">
        <v>36</v>
      </c>
    </row>
    <row r="36" spans="9:11" hidden="1" x14ac:dyDescent="0.15">
      <c r="K36" s="2" t="s">
        <v>37</v>
      </c>
    </row>
    <row r="37" spans="9:11" hidden="1" x14ac:dyDescent="0.15">
      <c r="K37" s="2" t="s">
        <v>38</v>
      </c>
    </row>
    <row r="38" spans="9:11" hidden="1" x14ac:dyDescent="0.15">
      <c r="K38" s="2" t="s">
        <v>39</v>
      </c>
    </row>
    <row r="39" spans="9:11" hidden="1" x14ac:dyDescent="0.15">
      <c r="K39" s="2" t="s">
        <v>40</v>
      </c>
    </row>
    <row r="40" spans="9:11" hidden="1" x14ac:dyDescent="0.15">
      <c r="K40" s="2" t="s">
        <v>41</v>
      </c>
    </row>
    <row r="41" spans="9:11" ht="30" hidden="1" x14ac:dyDescent="0.15">
      <c r="I41" s="74" t="s">
        <v>42</v>
      </c>
      <c r="K41" s="2" t="s">
        <v>43</v>
      </c>
    </row>
    <row r="42" spans="9:11" ht="15" hidden="1" x14ac:dyDescent="0.15">
      <c r="I42" s="74" t="s">
        <v>44</v>
      </c>
      <c r="K42" s="2" t="s">
        <v>45</v>
      </c>
    </row>
    <row r="43" spans="9:11" hidden="1" x14ac:dyDescent="0.15">
      <c r="I43" s="75" t="s">
        <v>46</v>
      </c>
      <c r="K43" s="2" t="s">
        <v>47</v>
      </c>
    </row>
    <row r="44" spans="9:11" hidden="1" x14ac:dyDescent="0.15">
      <c r="I44" s="2" t="s">
        <v>48</v>
      </c>
      <c r="K44" s="2" t="s">
        <v>49</v>
      </c>
    </row>
    <row r="45" spans="9:11" hidden="1" x14ac:dyDescent="0.15">
      <c r="I45" s="2" t="s">
        <v>50</v>
      </c>
      <c r="K45" s="2" t="s">
        <v>51</v>
      </c>
    </row>
    <row r="46" spans="9:11" hidden="1" x14ac:dyDescent="0.15">
      <c r="I46" s="2" t="s">
        <v>52</v>
      </c>
      <c r="K46" s="2" t="s">
        <v>53</v>
      </c>
    </row>
    <row r="47" spans="9:11" hidden="1" x14ac:dyDescent="0.15">
      <c r="I47" s="2" t="s">
        <v>54</v>
      </c>
      <c r="K47" s="2" t="s">
        <v>55</v>
      </c>
    </row>
    <row r="48" spans="9:11" hidden="1" x14ac:dyDescent="0.15">
      <c r="I48" s="2" t="s">
        <v>56</v>
      </c>
      <c r="K48" s="2" t="s">
        <v>57</v>
      </c>
    </row>
    <row r="49" spans="9:11" hidden="1" x14ac:dyDescent="0.15">
      <c r="I49" s="2" t="s">
        <v>58</v>
      </c>
      <c r="K49" s="2" t="s">
        <v>59</v>
      </c>
    </row>
    <row r="50" spans="9:11" hidden="1" x14ac:dyDescent="0.15">
      <c r="I50" s="2" t="s">
        <v>60</v>
      </c>
      <c r="K50" s="2" t="s">
        <v>61</v>
      </c>
    </row>
    <row r="51" spans="9:11" hidden="1" x14ac:dyDescent="0.15">
      <c r="K51" s="2" t="s">
        <v>62</v>
      </c>
    </row>
    <row r="52" spans="9:11" hidden="1" x14ac:dyDescent="0.15">
      <c r="K52" s="2" t="s">
        <v>63</v>
      </c>
    </row>
    <row r="53" spans="9:11" hidden="1" x14ac:dyDescent="0.15">
      <c r="K53" s="2" t="s">
        <v>64</v>
      </c>
    </row>
    <row r="54" spans="9:11" hidden="1" x14ac:dyDescent="0.15">
      <c r="K54" s="2" t="s">
        <v>65</v>
      </c>
    </row>
    <row r="55" spans="9:11" hidden="1" x14ac:dyDescent="0.15">
      <c r="K55" s="2" t="s">
        <v>66</v>
      </c>
    </row>
    <row r="56" spans="9:11" hidden="1" x14ac:dyDescent="0.15">
      <c r="K56" s="2" t="s">
        <v>67</v>
      </c>
    </row>
    <row r="57" spans="9:11" hidden="1" x14ac:dyDescent="0.15">
      <c r="K57" s="2" t="s">
        <v>68</v>
      </c>
    </row>
    <row r="58" spans="9:11" hidden="1" x14ac:dyDescent="0.15">
      <c r="K58" s="2" t="s">
        <v>69</v>
      </c>
    </row>
    <row r="59" spans="9:11" hidden="1" x14ac:dyDescent="0.15">
      <c r="K59" s="2" t="s">
        <v>70</v>
      </c>
    </row>
    <row r="60" spans="9:11" hidden="1" x14ac:dyDescent="0.15">
      <c r="K60" s="2" t="s">
        <v>71</v>
      </c>
    </row>
    <row r="61" spans="9:11" hidden="1" x14ac:dyDescent="0.15">
      <c r="K61" s="2" t="s">
        <v>72</v>
      </c>
    </row>
    <row r="62" spans="9:11" hidden="1" x14ac:dyDescent="0.15">
      <c r="K62" s="2" t="s">
        <v>73</v>
      </c>
    </row>
    <row r="63" spans="9:11" hidden="1" x14ac:dyDescent="0.15">
      <c r="K63" s="2" t="s">
        <v>67</v>
      </c>
    </row>
    <row r="64" spans="9:11" hidden="1" x14ac:dyDescent="0.15">
      <c r="K64" s="2" t="s">
        <v>74</v>
      </c>
    </row>
    <row r="65" spans="11:11" hidden="1" x14ac:dyDescent="0.15">
      <c r="K65" s="2" t="s">
        <v>75</v>
      </c>
    </row>
    <row r="66" spans="11:11" hidden="1" x14ac:dyDescent="0.15">
      <c r="K66" s="2" t="s">
        <v>76</v>
      </c>
    </row>
    <row r="67" spans="11:11" hidden="1" x14ac:dyDescent="0.15">
      <c r="K67" s="2" t="s">
        <v>77</v>
      </c>
    </row>
    <row r="68" spans="11:11" hidden="1" x14ac:dyDescent="0.15">
      <c r="K68" s="2" t="s">
        <v>78</v>
      </c>
    </row>
    <row r="69" spans="11:11" hidden="1" x14ac:dyDescent="0.15">
      <c r="K69" s="2" t="s">
        <v>79</v>
      </c>
    </row>
    <row r="70" spans="11:11" hidden="1" x14ac:dyDescent="0.15">
      <c r="K70" s="2" t="s">
        <v>80</v>
      </c>
    </row>
    <row r="71" spans="11:11" hidden="1" x14ac:dyDescent="0.15">
      <c r="K71" s="2" t="s">
        <v>81</v>
      </c>
    </row>
    <row r="72" spans="11:11" hidden="1" x14ac:dyDescent="0.15">
      <c r="K72" s="2" t="s">
        <v>82</v>
      </c>
    </row>
    <row r="73" spans="11:11" hidden="1" x14ac:dyDescent="0.15">
      <c r="K73" s="2" t="s">
        <v>83</v>
      </c>
    </row>
    <row r="74" spans="11:11" hidden="1" x14ac:dyDescent="0.15">
      <c r="K74" s="2" t="s">
        <v>84</v>
      </c>
    </row>
    <row r="75" spans="11:11" hidden="1" x14ac:dyDescent="0.15">
      <c r="K75" s="2" t="s">
        <v>85</v>
      </c>
    </row>
    <row r="76" spans="11:11" hidden="1" x14ac:dyDescent="0.15">
      <c r="K76" s="2" t="s">
        <v>86</v>
      </c>
    </row>
    <row r="77" spans="11:11" hidden="1" x14ac:dyDescent="0.15">
      <c r="K77" s="2" t="s">
        <v>87</v>
      </c>
    </row>
    <row r="78" spans="11:11" hidden="1" x14ac:dyDescent="0.15">
      <c r="K78" s="2" t="s">
        <v>88</v>
      </c>
    </row>
    <row r="79" spans="11:11" hidden="1" x14ac:dyDescent="0.15">
      <c r="K79" s="2" t="s">
        <v>89</v>
      </c>
    </row>
    <row r="80" spans="11:11" hidden="1" x14ac:dyDescent="0.15">
      <c r="K80" s="2" t="s">
        <v>90</v>
      </c>
    </row>
    <row r="81" spans="11:11" hidden="1" x14ac:dyDescent="0.15">
      <c r="K81" s="2" t="s">
        <v>91</v>
      </c>
    </row>
    <row r="82" spans="11:11" hidden="1" x14ac:dyDescent="0.15">
      <c r="K82" s="2" t="s">
        <v>92</v>
      </c>
    </row>
    <row r="83" spans="11:11" hidden="1" x14ac:dyDescent="0.15">
      <c r="K83" s="2" t="s">
        <v>93</v>
      </c>
    </row>
    <row r="84" spans="11:11" hidden="1" x14ac:dyDescent="0.15">
      <c r="K84" s="2" t="s">
        <v>94</v>
      </c>
    </row>
    <row r="85" spans="11:11" hidden="1" x14ac:dyDescent="0.15">
      <c r="K85" s="2" t="s">
        <v>47</v>
      </c>
    </row>
  </sheetData>
  <dataValidations count="3">
    <dataValidation type="list" allowBlank="1" showInputMessage="1" showErrorMessage="1" sqref="I50 K15:K21" xr:uid="{70422463-0E3D-413B-9CC4-B96CF24018B4}">
      <formula1>$I$41:$I$50</formula1>
    </dataValidation>
    <dataValidation type="list" allowBlank="1" showInputMessage="1" showErrorMessage="1" sqref="B20:B21" xr:uid="{31E348EC-3B64-4E51-BB55-82E571BA73CB}">
      <formula1>$K$29:$K$40</formula1>
    </dataValidation>
    <dataValidation type="list" allowBlank="1" showInputMessage="1" showErrorMessage="1" sqref="B16:B19" xr:uid="{50B744C6-361A-40DB-803A-DDC2D8E7CB11}">
      <formula1>$K$29:$K$85</formula1>
    </dataValidation>
  </dataValidation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1E5437-6EB7-476A-AA9C-C79D1EA0B887}">
  <dimension ref="A1:K85"/>
  <sheetViews>
    <sheetView workbookViewId="0">
      <selection sqref="A1:XFD1048576"/>
    </sheetView>
  </sheetViews>
  <sheetFormatPr baseColWidth="10" defaultColWidth="9.1640625" defaultRowHeight="14" x14ac:dyDescent="0.15"/>
  <cols>
    <col min="1" max="1" width="5.1640625" style="2" customWidth="1"/>
    <col min="2" max="2" width="22.5" style="2" customWidth="1"/>
    <col min="3" max="3" width="6.1640625" style="2" customWidth="1"/>
    <col min="4" max="4" width="12.5" style="2" bestFit="1" customWidth="1"/>
    <col min="5" max="5" width="9.83203125" style="2" customWidth="1"/>
    <col min="6" max="6" width="9.33203125" style="2" bestFit="1" customWidth="1"/>
    <col min="7" max="7" width="8.6640625" style="2" customWidth="1"/>
    <col min="8" max="8" width="9.5" style="2" bestFit="1" customWidth="1"/>
    <col min="9" max="9" width="17.83203125" style="2" bestFit="1" customWidth="1"/>
    <col min="10" max="10" width="10.33203125" style="2" bestFit="1" customWidth="1"/>
    <col min="11" max="11" width="75" style="2" bestFit="1" customWidth="1"/>
    <col min="12" max="16384" width="9.1640625" style="2"/>
  </cols>
  <sheetData>
    <row r="1" spans="1:11" x14ac:dyDescent="0.15">
      <c r="A1" s="1" t="s">
        <v>0</v>
      </c>
      <c r="I1" s="3"/>
    </row>
    <row r="2" spans="1:11" x14ac:dyDescent="0.15">
      <c r="J2" s="4"/>
    </row>
    <row r="3" spans="1:11" x14ac:dyDescent="0.15">
      <c r="A3" s="3" t="s">
        <v>1</v>
      </c>
      <c r="I3" s="1"/>
      <c r="J3" s="1"/>
    </row>
    <row r="4" spans="1:11" x14ac:dyDescent="0.15">
      <c r="A4" s="3"/>
      <c r="I4" s="4" t="s">
        <v>2</v>
      </c>
      <c r="J4" s="76">
        <v>45806</v>
      </c>
    </row>
    <row r="5" spans="1:11" x14ac:dyDescent="0.15">
      <c r="J5" s="2" t="s">
        <v>3</v>
      </c>
    </row>
    <row r="6" spans="1:11" ht="30" x14ac:dyDescent="0.15">
      <c r="A6" s="5" t="s">
        <v>4</v>
      </c>
      <c r="B6" s="5" t="s">
        <v>5</v>
      </c>
      <c r="C6" s="5" t="s">
        <v>6</v>
      </c>
      <c r="D6" s="5" t="s">
        <v>7</v>
      </c>
      <c r="E6" s="5" t="s">
        <v>8</v>
      </c>
      <c r="F6" s="5" t="s">
        <v>9</v>
      </c>
      <c r="G6" s="6" t="s">
        <v>10</v>
      </c>
      <c r="H6" s="6" t="s">
        <v>11</v>
      </c>
      <c r="I6" s="6" t="s">
        <v>12</v>
      </c>
      <c r="J6" s="7"/>
      <c r="K6" s="5" t="s">
        <v>13</v>
      </c>
    </row>
    <row r="7" spans="1:11" ht="30" x14ac:dyDescent="0.15">
      <c r="A7" s="6"/>
      <c r="B7" s="8"/>
      <c r="C7" s="5"/>
      <c r="D7" s="5" t="s">
        <v>14</v>
      </c>
      <c r="E7" s="5" t="s">
        <v>15</v>
      </c>
      <c r="F7" s="9" t="s">
        <v>16</v>
      </c>
      <c r="G7" s="9" t="s">
        <v>15</v>
      </c>
      <c r="H7" s="9" t="s">
        <v>17</v>
      </c>
      <c r="I7" s="5" t="s">
        <v>18</v>
      </c>
      <c r="J7" s="9" t="s">
        <v>19</v>
      </c>
      <c r="K7" s="9"/>
    </row>
    <row r="8" spans="1:11" ht="16" x14ac:dyDescent="0.2">
      <c r="A8" s="10"/>
      <c r="B8" s="11"/>
      <c r="C8" s="12"/>
      <c r="D8" s="11"/>
      <c r="E8" s="11"/>
      <c r="F8" s="10"/>
      <c r="G8" s="10"/>
      <c r="H8" s="10"/>
      <c r="I8" s="10"/>
      <c r="J8" s="13"/>
      <c r="K8" s="10"/>
    </row>
    <row r="9" spans="1:11" ht="17" x14ac:dyDescent="0.15">
      <c r="A9" s="192">
        <v>1</v>
      </c>
      <c r="B9" s="187" t="s">
        <v>231</v>
      </c>
      <c r="C9" s="188">
        <v>15</v>
      </c>
      <c r="D9" s="15">
        <v>2.85</v>
      </c>
      <c r="E9" s="193">
        <v>1280</v>
      </c>
      <c r="F9" s="189">
        <v>24.6</v>
      </c>
      <c r="G9" s="16">
        <f t="shared" ref="G9:G11" si="0">E9*F9</f>
        <v>31488</v>
      </c>
      <c r="H9" s="17">
        <f t="shared" ref="H9:H11" si="1">F9*C9</f>
        <v>369</v>
      </c>
      <c r="I9" s="211" t="s">
        <v>20</v>
      </c>
      <c r="J9" s="212">
        <v>2.4305555555555556E-2</v>
      </c>
      <c r="K9" s="213" t="s">
        <v>265</v>
      </c>
    </row>
    <row r="10" spans="1:11" ht="17" x14ac:dyDescent="0.15">
      <c r="A10" s="23">
        <v>2</v>
      </c>
      <c r="B10" s="187" t="s">
        <v>231</v>
      </c>
      <c r="C10" s="188">
        <v>16</v>
      </c>
      <c r="D10" s="15">
        <v>2.85</v>
      </c>
      <c r="E10" s="193">
        <v>1326</v>
      </c>
      <c r="F10" s="189">
        <v>54</v>
      </c>
      <c r="G10" s="16">
        <f t="shared" si="0"/>
        <v>71604</v>
      </c>
      <c r="H10" s="17">
        <f t="shared" si="1"/>
        <v>864</v>
      </c>
      <c r="I10" s="214" t="s">
        <v>44</v>
      </c>
      <c r="J10" s="215">
        <v>1.3888888888888888E-2</v>
      </c>
      <c r="K10" s="216" t="s">
        <v>44</v>
      </c>
    </row>
    <row r="11" spans="1:11" ht="17" x14ac:dyDescent="0.15">
      <c r="A11" s="192">
        <v>3</v>
      </c>
      <c r="B11" s="187" t="s">
        <v>231</v>
      </c>
      <c r="C11" s="188">
        <v>17</v>
      </c>
      <c r="D11" s="15">
        <v>2.85</v>
      </c>
      <c r="E11" s="193">
        <v>1336</v>
      </c>
      <c r="F11" s="207">
        <v>3.4</v>
      </c>
      <c r="G11" s="16">
        <f t="shared" si="0"/>
        <v>4542.3999999999996</v>
      </c>
      <c r="H11" s="17">
        <f t="shared" si="1"/>
        <v>57.8</v>
      </c>
      <c r="I11" s="217"/>
      <c r="J11" s="215"/>
      <c r="K11" s="216"/>
    </row>
    <row r="12" spans="1:11" ht="19.25" customHeight="1" x14ac:dyDescent="0.15">
      <c r="A12" s="23"/>
      <c r="B12" s="187"/>
      <c r="C12" s="208"/>
      <c r="D12" s="15"/>
      <c r="E12" s="209"/>
      <c r="F12" s="210"/>
      <c r="G12" s="16"/>
      <c r="H12" s="17"/>
      <c r="I12" s="217"/>
      <c r="J12" s="215"/>
      <c r="K12" s="216"/>
    </row>
    <row r="13" spans="1:11" ht="16" x14ac:dyDescent="0.2">
      <c r="A13" s="219"/>
      <c r="B13" s="187"/>
      <c r="C13" s="208"/>
      <c r="D13" s="15"/>
      <c r="E13" s="209"/>
      <c r="F13" s="210"/>
      <c r="G13" s="16"/>
      <c r="H13" s="17"/>
      <c r="I13" s="217"/>
      <c r="J13" s="215"/>
      <c r="K13" s="227"/>
    </row>
    <row r="14" spans="1:11" ht="16" x14ac:dyDescent="0.15">
      <c r="A14" s="192"/>
      <c r="B14" s="187"/>
      <c r="C14" s="220"/>
      <c r="D14" s="11"/>
      <c r="E14" s="221"/>
      <c r="F14" s="222"/>
      <c r="G14" s="16"/>
      <c r="H14" s="17"/>
      <c r="I14" s="28"/>
      <c r="J14" s="37"/>
      <c r="K14" s="30"/>
    </row>
    <row r="15" spans="1:11" ht="16" x14ac:dyDescent="0.2">
      <c r="A15" s="38"/>
      <c r="B15" s="39"/>
      <c r="C15" s="40"/>
      <c r="D15" s="11"/>
      <c r="E15" s="25"/>
      <c r="F15" s="40"/>
      <c r="G15" s="27"/>
      <c r="H15" s="12"/>
      <c r="I15" s="41"/>
      <c r="J15" s="37"/>
      <c r="K15" s="30"/>
    </row>
    <row r="16" spans="1:11" ht="16" x14ac:dyDescent="0.2">
      <c r="A16" s="38"/>
      <c r="B16" s="39"/>
      <c r="C16" s="40"/>
      <c r="D16" s="11"/>
      <c r="E16" s="32"/>
      <c r="F16" s="40"/>
      <c r="G16" s="27"/>
      <c r="H16" s="12"/>
      <c r="I16" s="41"/>
      <c r="J16" s="37"/>
      <c r="K16" s="42"/>
    </row>
    <row r="17" spans="1:11" ht="16" x14ac:dyDescent="0.2">
      <c r="A17" s="38"/>
      <c r="B17" s="39"/>
      <c r="C17" s="40"/>
      <c r="D17" s="11"/>
      <c r="E17" s="32"/>
      <c r="F17" s="40"/>
      <c r="G17" s="27"/>
      <c r="H17" s="12"/>
      <c r="I17" s="41"/>
      <c r="J17" s="37"/>
      <c r="K17" s="42"/>
    </row>
    <row r="18" spans="1:11" ht="16" x14ac:dyDescent="0.2">
      <c r="A18" s="43"/>
      <c r="B18" s="44"/>
      <c r="C18" s="40"/>
      <c r="D18" s="11"/>
      <c r="E18" s="45"/>
      <c r="F18" s="46"/>
      <c r="G18" s="27"/>
      <c r="H18" s="12"/>
      <c r="I18" s="10"/>
      <c r="J18" s="13"/>
      <c r="K18" s="10"/>
    </row>
    <row r="19" spans="1:11" x14ac:dyDescent="0.15">
      <c r="A19" s="47"/>
      <c r="B19" s="48"/>
      <c r="C19" s="49"/>
      <c r="D19" s="50"/>
      <c r="E19" s="47"/>
      <c r="F19" s="49"/>
      <c r="G19" s="51"/>
      <c r="H19" s="49"/>
      <c r="I19" s="48"/>
      <c r="J19" s="52"/>
      <c r="K19" s="48"/>
    </row>
    <row r="20" spans="1:11" x14ac:dyDescent="0.15">
      <c r="A20" s="47"/>
      <c r="B20" s="48"/>
      <c r="C20" s="49"/>
      <c r="D20" s="50"/>
      <c r="E20" s="47"/>
      <c r="F20" s="49"/>
      <c r="G20" s="51"/>
      <c r="H20" s="49"/>
      <c r="I20" s="48"/>
      <c r="J20" s="52"/>
      <c r="K20" s="48"/>
    </row>
    <row r="21" spans="1:11" x14ac:dyDescent="0.15">
      <c r="A21" s="47"/>
      <c r="B21" s="48"/>
      <c r="C21" s="53"/>
      <c r="D21" s="47"/>
      <c r="E21" s="52"/>
      <c r="F21" s="53"/>
      <c r="G21" s="51"/>
      <c r="H21" s="49"/>
      <c r="I21" s="48"/>
      <c r="J21" s="52"/>
      <c r="K21" s="48"/>
    </row>
    <row r="22" spans="1:11" x14ac:dyDescent="0.15">
      <c r="A22" s="54"/>
      <c r="B22" s="55"/>
      <c r="C22" s="56"/>
      <c r="D22" s="56"/>
      <c r="E22" s="57" t="s">
        <v>21</v>
      </c>
      <c r="F22" s="58">
        <f>SUM(F9:F21)</f>
        <v>82</v>
      </c>
      <c r="G22" s="59">
        <f>SUM(G9:G21)/F22</f>
        <v>1312.6146341463414</v>
      </c>
      <c r="H22" s="60">
        <f>SUM(H9:H21)/F22</f>
        <v>15.741463414634145</v>
      </c>
      <c r="I22" s="61" t="s">
        <v>22</v>
      </c>
      <c r="J22" s="186">
        <v>3.8194444444444448E-2</v>
      </c>
      <c r="K22" s="55"/>
    </row>
    <row r="23" spans="1:11" x14ac:dyDescent="0.15">
      <c r="E23" s="62"/>
      <c r="F23" s="63"/>
      <c r="I23" s="64" t="s">
        <v>23</v>
      </c>
      <c r="J23" s="65">
        <v>0.92</v>
      </c>
    </row>
    <row r="24" spans="1:11" x14ac:dyDescent="0.15">
      <c r="A24" s="1"/>
      <c r="I24" s="66"/>
      <c r="J24" s="67"/>
    </row>
    <row r="25" spans="1:11" x14ac:dyDescent="0.15">
      <c r="A25" s="68" t="s">
        <v>24</v>
      </c>
      <c r="B25" s="68"/>
      <c r="C25" s="68"/>
      <c r="D25" s="53"/>
      <c r="H25" s="4" t="s">
        <v>25</v>
      </c>
      <c r="I25" s="4"/>
      <c r="J25" s="62">
        <f>F22</f>
        <v>82</v>
      </c>
      <c r="K25" s="1" t="s">
        <v>16</v>
      </c>
    </row>
    <row r="26" spans="1:11" x14ac:dyDescent="0.15">
      <c r="A26" s="68" t="s">
        <v>26</v>
      </c>
      <c r="B26" s="68"/>
      <c r="C26" s="68"/>
      <c r="D26" s="53"/>
      <c r="H26" s="4" t="s">
        <v>27</v>
      </c>
      <c r="I26" s="4"/>
      <c r="J26" s="62">
        <f>66+72+68+62+66+58+59+11+70+89+85+85+92+89+92+100+100+97+105+102+34+80+84+86+62+64+80+82</f>
        <v>2140</v>
      </c>
      <c r="K26" s="1" t="s">
        <v>16</v>
      </c>
    </row>
    <row r="27" spans="1:11" ht="15" thickBot="1" x14ac:dyDescent="0.2">
      <c r="A27" s="69"/>
      <c r="B27" s="69"/>
      <c r="C27" s="69"/>
      <c r="D27" s="69"/>
      <c r="E27" s="70"/>
      <c r="F27" s="70"/>
      <c r="G27" s="69"/>
      <c r="H27" s="71" t="s">
        <v>28</v>
      </c>
      <c r="I27" s="71"/>
      <c r="J27" s="72">
        <v>118</v>
      </c>
      <c r="K27" s="73" t="s">
        <v>29</v>
      </c>
    </row>
    <row r="28" spans="1:11" x14ac:dyDescent="0.15">
      <c r="J28" s="2" t="s">
        <v>3</v>
      </c>
    </row>
    <row r="29" spans="1:11" hidden="1" x14ac:dyDescent="0.15">
      <c r="K29" s="2" t="s">
        <v>30</v>
      </c>
    </row>
    <row r="30" spans="1:11" hidden="1" x14ac:dyDescent="0.15">
      <c r="K30" s="2" t="s">
        <v>31</v>
      </c>
    </row>
    <row r="31" spans="1:11" hidden="1" x14ac:dyDescent="0.15">
      <c r="K31" s="2" t="s">
        <v>32</v>
      </c>
    </row>
    <row r="32" spans="1:11" hidden="1" x14ac:dyDescent="0.15">
      <c r="K32" s="2" t="s">
        <v>33</v>
      </c>
    </row>
    <row r="33" spans="9:11" hidden="1" x14ac:dyDescent="0.15">
      <c r="K33" s="2" t="s">
        <v>34</v>
      </c>
    </row>
    <row r="34" spans="9:11" hidden="1" x14ac:dyDescent="0.15">
      <c r="K34" s="2" t="s">
        <v>35</v>
      </c>
    </row>
    <row r="35" spans="9:11" hidden="1" x14ac:dyDescent="0.15">
      <c r="K35" s="2" t="s">
        <v>36</v>
      </c>
    </row>
    <row r="36" spans="9:11" hidden="1" x14ac:dyDescent="0.15">
      <c r="K36" s="2" t="s">
        <v>37</v>
      </c>
    </row>
    <row r="37" spans="9:11" hidden="1" x14ac:dyDescent="0.15">
      <c r="K37" s="2" t="s">
        <v>38</v>
      </c>
    </row>
    <row r="38" spans="9:11" hidden="1" x14ac:dyDescent="0.15">
      <c r="K38" s="2" t="s">
        <v>39</v>
      </c>
    </row>
    <row r="39" spans="9:11" hidden="1" x14ac:dyDescent="0.15">
      <c r="K39" s="2" t="s">
        <v>40</v>
      </c>
    </row>
    <row r="40" spans="9:11" hidden="1" x14ac:dyDescent="0.15">
      <c r="K40" s="2" t="s">
        <v>41</v>
      </c>
    </row>
    <row r="41" spans="9:11" ht="30" hidden="1" x14ac:dyDescent="0.15">
      <c r="I41" s="74" t="s">
        <v>42</v>
      </c>
      <c r="K41" s="2" t="s">
        <v>43</v>
      </c>
    </row>
    <row r="42" spans="9:11" ht="15" hidden="1" x14ac:dyDescent="0.15">
      <c r="I42" s="74" t="s">
        <v>44</v>
      </c>
      <c r="K42" s="2" t="s">
        <v>45</v>
      </c>
    </row>
    <row r="43" spans="9:11" hidden="1" x14ac:dyDescent="0.15">
      <c r="I43" s="75" t="s">
        <v>46</v>
      </c>
      <c r="K43" s="2" t="s">
        <v>47</v>
      </c>
    </row>
    <row r="44" spans="9:11" hidden="1" x14ac:dyDescent="0.15">
      <c r="I44" s="2" t="s">
        <v>48</v>
      </c>
      <c r="K44" s="2" t="s">
        <v>49</v>
      </c>
    </row>
    <row r="45" spans="9:11" hidden="1" x14ac:dyDescent="0.15">
      <c r="I45" s="2" t="s">
        <v>50</v>
      </c>
      <c r="K45" s="2" t="s">
        <v>51</v>
      </c>
    </row>
    <row r="46" spans="9:11" hidden="1" x14ac:dyDescent="0.15">
      <c r="I46" s="2" t="s">
        <v>52</v>
      </c>
      <c r="K46" s="2" t="s">
        <v>53</v>
      </c>
    </row>
    <row r="47" spans="9:11" hidden="1" x14ac:dyDescent="0.15">
      <c r="I47" s="2" t="s">
        <v>54</v>
      </c>
      <c r="K47" s="2" t="s">
        <v>55</v>
      </c>
    </row>
    <row r="48" spans="9:11" hidden="1" x14ac:dyDescent="0.15">
      <c r="I48" s="2" t="s">
        <v>56</v>
      </c>
      <c r="K48" s="2" t="s">
        <v>57</v>
      </c>
    </row>
    <row r="49" spans="9:11" hidden="1" x14ac:dyDescent="0.15">
      <c r="I49" s="2" t="s">
        <v>58</v>
      </c>
      <c r="K49" s="2" t="s">
        <v>59</v>
      </c>
    </row>
    <row r="50" spans="9:11" hidden="1" x14ac:dyDescent="0.15">
      <c r="I50" s="2" t="s">
        <v>60</v>
      </c>
      <c r="K50" s="2" t="s">
        <v>61</v>
      </c>
    </row>
    <row r="51" spans="9:11" hidden="1" x14ac:dyDescent="0.15">
      <c r="K51" s="2" t="s">
        <v>62</v>
      </c>
    </row>
    <row r="52" spans="9:11" hidden="1" x14ac:dyDescent="0.15">
      <c r="K52" s="2" t="s">
        <v>63</v>
      </c>
    </row>
    <row r="53" spans="9:11" hidden="1" x14ac:dyDescent="0.15">
      <c r="K53" s="2" t="s">
        <v>64</v>
      </c>
    </row>
    <row r="54" spans="9:11" hidden="1" x14ac:dyDescent="0.15">
      <c r="K54" s="2" t="s">
        <v>65</v>
      </c>
    </row>
    <row r="55" spans="9:11" hidden="1" x14ac:dyDescent="0.15">
      <c r="K55" s="2" t="s">
        <v>66</v>
      </c>
    </row>
    <row r="56" spans="9:11" hidden="1" x14ac:dyDescent="0.15">
      <c r="K56" s="2" t="s">
        <v>67</v>
      </c>
    </row>
    <row r="57" spans="9:11" hidden="1" x14ac:dyDescent="0.15">
      <c r="K57" s="2" t="s">
        <v>68</v>
      </c>
    </row>
    <row r="58" spans="9:11" hidden="1" x14ac:dyDescent="0.15">
      <c r="K58" s="2" t="s">
        <v>69</v>
      </c>
    </row>
    <row r="59" spans="9:11" hidden="1" x14ac:dyDescent="0.15">
      <c r="K59" s="2" t="s">
        <v>70</v>
      </c>
    </row>
    <row r="60" spans="9:11" hidden="1" x14ac:dyDescent="0.15">
      <c r="K60" s="2" t="s">
        <v>71</v>
      </c>
    </row>
    <row r="61" spans="9:11" hidden="1" x14ac:dyDescent="0.15">
      <c r="K61" s="2" t="s">
        <v>72</v>
      </c>
    </row>
    <row r="62" spans="9:11" hidden="1" x14ac:dyDescent="0.15">
      <c r="K62" s="2" t="s">
        <v>73</v>
      </c>
    </row>
    <row r="63" spans="9:11" hidden="1" x14ac:dyDescent="0.15">
      <c r="K63" s="2" t="s">
        <v>67</v>
      </c>
    </row>
    <row r="64" spans="9:11" hidden="1" x14ac:dyDescent="0.15">
      <c r="K64" s="2" t="s">
        <v>74</v>
      </c>
    </row>
    <row r="65" spans="11:11" hidden="1" x14ac:dyDescent="0.15">
      <c r="K65" s="2" t="s">
        <v>75</v>
      </c>
    </row>
    <row r="66" spans="11:11" hidden="1" x14ac:dyDescent="0.15">
      <c r="K66" s="2" t="s">
        <v>76</v>
      </c>
    </row>
    <row r="67" spans="11:11" hidden="1" x14ac:dyDescent="0.15">
      <c r="K67" s="2" t="s">
        <v>77</v>
      </c>
    </row>
    <row r="68" spans="11:11" hidden="1" x14ac:dyDescent="0.15">
      <c r="K68" s="2" t="s">
        <v>78</v>
      </c>
    </row>
    <row r="69" spans="11:11" hidden="1" x14ac:dyDescent="0.15">
      <c r="K69" s="2" t="s">
        <v>79</v>
      </c>
    </row>
    <row r="70" spans="11:11" hidden="1" x14ac:dyDescent="0.15">
      <c r="K70" s="2" t="s">
        <v>80</v>
      </c>
    </row>
    <row r="71" spans="11:11" hidden="1" x14ac:dyDescent="0.15">
      <c r="K71" s="2" t="s">
        <v>81</v>
      </c>
    </row>
    <row r="72" spans="11:11" hidden="1" x14ac:dyDescent="0.15">
      <c r="K72" s="2" t="s">
        <v>82</v>
      </c>
    </row>
    <row r="73" spans="11:11" hidden="1" x14ac:dyDescent="0.15">
      <c r="K73" s="2" t="s">
        <v>83</v>
      </c>
    </row>
    <row r="74" spans="11:11" hidden="1" x14ac:dyDescent="0.15">
      <c r="K74" s="2" t="s">
        <v>84</v>
      </c>
    </row>
    <row r="75" spans="11:11" hidden="1" x14ac:dyDescent="0.15">
      <c r="K75" s="2" t="s">
        <v>85</v>
      </c>
    </row>
    <row r="76" spans="11:11" hidden="1" x14ac:dyDescent="0.15">
      <c r="K76" s="2" t="s">
        <v>86</v>
      </c>
    </row>
    <row r="77" spans="11:11" hidden="1" x14ac:dyDescent="0.15">
      <c r="K77" s="2" t="s">
        <v>87</v>
      </c>
    </row>
    <row r="78" spans="11:11" hidden="1" x14ac:dyDescent="0.15">
      <c r="K78" s="2" t="s">
        <v>88</v>
      </c>
    </row>
    <row r="79" spans="11:11" hidden="1" x14ac:dyDescent="0.15">
      <c r="K79" s="2" t="s">
        <v>89</v>
      </c>
    </row>
    <row r="80" spans="11:11" hidden="1" x14ac:dyDescent="0.15">
      <c r="K80" s="2" t="s">
        <v>90</v>
      </c>
    </row>
    <row r="81" spans="11:11" hidden="1" x14ac:dyDescent="0.15">
      <c r="K81" s="2" t="s">
        <v>91</v>
      </c>
    </row>
    <row r="82" spans="11:11" hidden="1" x14ac:dyDescent="0.15">
      <c r="K82" s="2" t="s">
        <v>92</v>
      </c>
    </row>
    <row r="83" spans="11:11" hidden="1" x14ac:dyDescent="0.15">
      <c r="K83" s="2" t="s">
        <v>93</v>
      </c>
    </row>
    <row r="84" spans="11:11" hidden="1" x14ac:dyDescent="0.15">
      <c r="K84" s="2" t="s">
        <v>94</v>
      </c>
    </row>
    <row r="85" spans="11:11" hidden="1" x14ac:dyDescent="0.15">
      <c r="K85" s="2" t="s">
        <v>47</v>
      </c>
    </row>
  </sheetData>
  <dataValidations count="3">
    <dataValidation type="list" allowBlank="1" showInputMessage="1" showErrorMessage="1" sqref="B16:B19" xr:uid="{008D273C-2E8B-4EC5-BDC2-6BC788060A18}">
      <formula1>$K$29:$K$85</formula1>
    </dataValidation>
    <dataValidation type="list" allowBlank="1" showInputMessage="1" showErrorMessage="1" sqref="B20:B21" xr:uid="{60A2EB9E-F5CF-4070-947F-2F16E11BF90A}">
      <formula1>$K$29:$K$40</formula1>
    </dataValidation>
    <dataValidation type="list" allowBlank="1" showInputMessage="1" showErrorMessage="1" sqref="I50 K15:K21" xr:uid="{77FB53D1-1F37-4391-B86D-D4DB7223E2B7}">
      <formula1>$I$41:$I$50</formula1>
    </dataValidation>
  </dataValidation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16DE86-522E-4BDB-B87A-1EFD02F79D9A}">
  <dimension ref="A1:K85"/>
  <sheetViews>
    <sheetView workbookViewId="0">
      <selection sqref="A1:XFD1048576"/>
    </sheetView>
  </sheetViews>
  <sheetFormatPr baseColWidth="10" defaultColWidth="9.1640625" defaultRowHeight="14" x14ac:dyDescent="0.15"/>
  <cols>
    <col min="1" max="1" width="5.1640625" style="2" customWidth="1"/>
    <col min="2" max="2" width="22.5" style="2" customWidth="1"/>
    <col min="3" max="3" width="6.1640625" style="2" customWidth="1"/>
    <col min="4" max="4" width="12.5" style="2" bestFit="1" customWidth="1"/>
    <col min="5" max="5" width="9.83203125" style="2" customWidth="1"/>
    <col min="6" max="6" width="9.33203125" style="2" bestFit="1" customWidth="1"/>
    <col min="7" max="7" width="8.6640625" style="2" customWidth="1"/>
    <col min="8" max="8" width="9.5" style="2" bestFit="1" customWidth="1"/>
    <col min="9" max="9" width="17.83203125" style="2" bestFit="1" customWidth="1"/>
    <col min="10" max="10" width="10.33203125" style="2" bestFit="1" customWidth="1"/>
    <col min="11" max="11" width="75" style="2" bestFit="1" customWidth="1"/>
    <col min="12" max="16384" width="9.1640625" style="2"/>
  </cols>
  <sheetData>
    <row r="1" spans="1:11" x14ac:dyDescent="0.15">
      <c r="A1" s="1" t="s">
        <v>0</v>
      </c>
      <c r="I1" s="3"/>
    </row>
    <row r="2" spans="1:11" x14ac:dyDescent="0.15">
      <c r="J2" s="4"/>
    </row>
    <row r="3" spans="1:11" x14ac:dyDescent="0.15">
      <c r="A3" s="3" t="s">
        <v>1</v>
      </c>
      <c r="I3" s="1"/>
      <c r="J3" s="1"/>
    </row>
    <row r="4" spans="1:11" x14ac:dyDescent="0.15">
      <c r="A4" s="3"/>
      <c r="I4" s="4" t="s">
        <v>2</v>
      </c>
      <c r="J4" s="76">
        <v>45807</v>
      </c>
    </row>
    <row r="5" spans="1:11" x14ac:dyDescent="0.15">
      <c r="J5" s="2" t="s">
        <v>3</v>
      </c>
    </row>
    <row r="6" spans="1:11" ht="30" x14ac:dyDescent="0.15">
      <c r="A6" s="5" t="s">
        <v>4</v>
      </c>
      <c r="B6" s="5" t="s">
        <v>5</v>
      </c>
      <c r="C6" s="5" t="s">
        <v>6</v>
      </c>
      <c r="D6" s="5" t="s">
        <v>7</v>
      </c>
      <c r="E6" s="5" t="s">
        <v>8</v>
      </c>
      <c r="F6" s="5" t="s">
        <v>9</v>
      </c>
      <c r="G6" s="6" t="s">
        <v>10</v>
      </c>
      <c r="H6" s="6" t="s">
        <v>11</v>
      </c>
      <c r="I6" s="6" t="s">
        <v>12</v>
      </c>
      <c r="J6" s="7"/>
      <c r="K6" s="5" t="s">
        <v>13</v>
      </c>
    </row>
    <row r="7" spans="1:11" ht="30" x14ac:dyDescent="0.15">
      <c r="A7" s="6"/>
      <c r="B7" s="8"/>
      <c r="C7" s="5"/>
      <c r="D7" s="5" t="s">
        <v>14</v>
      </c>
      <c r="E7" s="5" t="s">
        <v>15</v>
      </c>
      <c r="F7" s="9" t="s">
        <v>16</v>
      </c>
      <c r="G7" s="9" t="s">
        <v>15</v>
      </c>
      <c r="H7" s="9" t="s">
        <v>17</v>
      </c>
      <c r="I7" s="5" t="s">
        <v>18</v>
      </c>
      <c r="J7" s="9" t="s">
        <v>19</v>
      </c>
      <c r="K7" s="9"/>
    </row>
    <row r="8" spans="1:11" ht="16" x14ac:dyDescent="0.2">
      <c r="A8" s="10"/>
      <c r="B8" s="11"/>
      <c r="C8" s="12"/>
      <c r="D8" s="11"/>
      <c r="E8" s="11"/>
      <c r="F8" s="10"/>
      <c r="G8" s="10"/>
      <c r="H8" s="10"/>
      <c r="I8" s="10"/>
      <c r="J8" s="13"/>
      <c r="K8" s="10"/>
    </row>
    <row r="9" spans="1:11" ht="17" x14ac:dyDescent="0.15">
      <c r="A9" s="192">
        <v>1</v>
      </c>
      <c r="B9" s="187" t="s">
        <v>231</v>
      </c>
      <c r="C9" s="188">
        <v>15</v>
      </c>
      <c r="D9" s="15">
        <v>2.85</v>
      </c>
      <c r="E9" s="193">
        <v>1152</v>
      </c>
      <c r="F9" s="189">
        <v>8.6</v>
      </c>
      <c r="G9" s="16">
        <f t="shared" ref="G9:G11" si="0">E9*F9</f>
        <v>9907.1999999999989</v>
      </c>
      <c r="H9" s="17">
        <f t="shared" ref="H9:H11" si="1">F9*C9</f>
        <v>129</v>
      </c>
      <c r="I9" s="211" t="s">
        <v>20</v>
      </c>
      <c r="J9" s="212">
        <v>2.0833333333333332E-2</v>
      </c>
      <c r="K9" s="213" t="s">
        <v>265</v>
      </c>
    </row>
    <row r="10" spans="1:11" ht="17" x14ac:dyDescent="0.15">
      <c r="A10" s="23">
        <v>2</v>
      </c>
      <c r="B10" s="187" t="s">
        <v>240</v>
      </c>
      <c r="C10" s="188">
        <v>12.5</v>
      </c>
      <c r="D10" s="15">
        <v>2.85</v>
      </c>
      <c r="E10" s="193">
        <v>1287</v>
      </c>
      <c r="F10" s="189">
        <v>4.2</v>
      </c>
      <c r="G10" s="16">
        <f t="shared" si="0"/>
        <v>5405.4000000000005</v>
      </c>
      <c r="H10" s="17">
        <f t="shared" si="1"/>
        <v>52.5</v>
      </c>
      <c r="I10" s="214" t="s">
        <v>44</v>
      </c>
      <c r="J10" s="215">
        <v>1.3888888888888888E-2</v>
      </c>
      <c r="K10" s="216" t="s">
        <v>44</v>
      </c>
    </row>
    <row r="11" spans="1:11" ht="17" x14ac:dyDescent="0.15">
      <c r="A11" s="192">
        <v>3</v>
      </c>
      <c r="B11" s="187" t="s">
        <v>240</v>
      </c>
      <c r="C11" s="188">
        <v>13.5</v>
      </c>
      <c r="D11" s="15">
        <v>2.85</v>
      </c>
      <c r="E11" s="193">
        <v>1248</v>
      </c>
      <c r="F11" s="207">
        <v>51.2</v>
      </c>
      <c r="G11" s="16">
        <f t="shared" si="0"/>
        <v>63897.600000000006</v>
      </c>
      <c r="H11" s="17">
        <f t="shared" si="1"/>
        <v>691.2</v>
      </c>
      <c r="I11" s="217" t="s">
        <v>230</v>
      </c>
      <c r="J11" s="215">
        <v>1.3888888888888888E-2</v>
      </c>
      <c r="K11" s="216" t="s">
        <v>272</v>
      </c>
    </row>
    <row r="12" spans="1:11" ht="19.25" customHeight="1" x14ac:dyDescent="0.15">
      <c r="A12" s="23"/>
      <c r="B12" s="187"/>
      <c r="C12" s="208"/>
      <c r="D12" s="15"/>
      <c r="E12" s="209"/>
      <c r="F12" s="210"/>
      <c r="G12" s="16"/>
      <c r="H12" s="17"/>
      <c r="I12" s="217"/>
      <c r="J12" s="215"/>
      <c r="K12" s="216"/>
    </row>
    <row r="13" spans="1:11" ht="16" x14ac:dyDescent="0.2">
      <c r="A13" s="219"/>
      <c r="B13" s="187"/>
      <c r="C13" s="208"/>
      <c r="D13" s="15"/>
      <c r="E13" s="209"/>
      <c r="F13" s="210"/>
      <c r="G13" s="16"/>
      <c r="H13" s="17"/>
      <c r="I13" s="217"/>
      <c r="J13" s="215"/>
      <c r="K13" s="227"/>
    </row>
    <row r="14" spans="1:11" ht="16" x14ac:dyDescent="0.15">
      <c r="A14" s="192"/>
      <c r="B14" s="187"/>
      <c r="C14" s="220"/>
      <c r="D14" s="11"/>
      <c r="E14" s="221"/>
      <c r="F14" s="222"/>
      <c r="G14" s="16"/>
      <c r="H14" s="17"/>
      <c r="I14" s="28"/>
      <c r="J14" s="37"/>
      <c r="K14" s="30"/>
    </row>
    <row r="15" spans="1:11" ht="16" x14ac:dyDescent="0.2">
      <c r="A15" s="38"/>
      <c r="B15" s="39"/>
      <c r="C15" s="40"/>
      <c r="D15" s="11"/>
      <c r="E15" s="25"/>
      <c r="F15" s="40"/>
      <c r="G15" s="27"/>
      <c r="H15" s="12"/>
      <c r="I15" s="41"/>
      <c r="J15" s="37"/>
      <c r="K15" s="30"/>
    </row>
    <row r="16" spans="1:11" ht="16" x14ac:dyDescent="0.2">
      <c r="A16" s="38"/>
      <c r="B16" s="39"/>
      <c r="C16" s="40"/>
      <c r="D16" s="11"/>
      <c r="E16" s="32"/>
      <c r="F16" s="40"/>
      <c r="G16" s="27"/>
      <c r="H16" s="12"/>
      <c r="I16" s="41"/>
      <c r="J16" s="37"/>
      <c r="K16" s="42"/>
    </row>
    <row r="17" spans="1:11" ht="16" x14ac:dyDescent="0.2">
      <c r="A17" s="38"/>
      <c r="B17" s="39"/>
      <c r="C17" s="40"/>
      <c r="D17" s="11"/>
      <c r="E17" s="32"/>
      <c r="F17" s="40"/>
      <c r="G17" s="27"/>
      <c r="H17" s="12"/>
      <c r="I17" s="41"/>
      <c r="J17" s="37"/>
      <c r="K17" s="42"/>
    </row>
    <row r="18" spans="1:11" ht="16" x14ac:dyDescent="0.2">
      <c r="A18" s="43"/>
      <c r="B18" s="44"/>
      <c r="C18" s="40"/>
      <c r="D18" s="11"/>
      <c r="E18" s="45"/>
      <c r="F18" s="46"/>
      <c r="G18" s="27"/>
      <c r="H18" s="12"/>
      <c r="I18" s="10"/>
      <c r="J18" s="13"/>
      <c r="K18" s="10"/>
    </row>
    <row r="19" spans="1:11" x14ac:dyDescent="0.15">
      <c r="A19" s="47"/>
      <c r="B19" s="48"/>
      <c r="C19" s="49"/>
      <c r="D19" s="50"/>
      <c r="E19" s="47"/>
      <c r="F19" s="49"/>
      <c r="G19" s="51"/>
      <c r="H19" s="49"/>
      <c r="I19" s="48"/>
      <c r="J19" s="52"/>
      <c r="K19" s="48"/>
    </row>
    <row r="20" spans="1:11" x14ac:dyDescent="0.15">
      <c r="A20" s="47"/>
      <c r="B20" s="48"/>
      <c r="C20" s="49"/>
      <c r="D20" s="50"/>
      <c r="E20" s="47"/>
      <c r="F20" s="49"/>
      <c r="G20" s="51"/>
      <c r="H20" s="49"/>
      <c r="I20" s="48"/>
      <c r="J20" s="52"/>
      <c r="K20" s="48"/>
    </row>
    <row r="21" spans="1:11" x14ac:dyDescent="0.15">
      <c r="A21" s="47"/>
      <c r="B21" s="48"/>
      <c r="C21" s="53"/>
      <c r="D21" s="47"/>
      <c r="E21" s="52"/>
      <c r="F21" s="53"/>
      <c r="G21" s="51"/>
      <c r="H21" s="49"/>
      <c r="I21" s="48"/>
      <c r="J21" s="52"/>
      <c r="K21" s="48"/>
    </row>
    <row r="22" spans="1:11" x14ac:dyDescent="0.15">
      <c r="A22" s="54"/>
      <c r="B22" s="55"/>
      <c r="C22" s="56"/>
      <c r="D22" s="56"/>
      <c r="E22" s="57" t="s">
        <v>21</v>
      </c>
      <c r="F22" s="58">
        <f>SUM(F9:F21)</f>
        <v>64</v>
      </c>
      <c r="G22" s="59">
        <f>SUM(G9:G21)/F22</f>
        <v>1237.6593750000002</v>
      </c>
      <c r="H22" s="60">
        <f>SUM(H9:H21)/F22</f>
        <v>13.635937500000001</v>
      </c>
      <c r="I22" s="61" t="s">
        <v>22</v>
      </c>
      <c r="J22" s="186">
        <v>4.8611111111111112E-2</v>
      </c>
      <c r="K22" s="55"/>
    </row>
    <row r="23" spans="1:11" x14ac:dyDescent="0.15">
      <c r="E23" s="62"/>
      <c r="F23" s="63"/>
      <c r="I23" s="64" t="s">
        <v>23</v>
      </c>
      <c r="J23" s="65">
        <v>1.17</v>
      </c>
    </row>
    <row r="24" spans="1:11" x14ac:dyDescent="0.15">
      <c r="A24" s="1"/>
      <c r="I24" s="66"/>
      <c r="J24" s="67"/>
    </row>
    <row r="25" spans="1:11" x14ac:dyDescent="0.15">
      <c r="A25" s="68" t="s">
        <v>24</v>
      </c>
      <c r="B25" s="68"/>
      <c r="C25" s="68"/>
      <c r="D25" s="53"/>
      <c r="H25" s="4" t="s">
        <v>25</v>
      </c>
      <c r="I25" s="4"/>
      <c r="J25" s="62">
        <f>F22</f>
        <v>64</v>
      </c>
      <c r="K25" s="1" t="s">
        <v>16</v>
      </c>
    </row>
    <row r="26" spans="1:11" x14ac:dyDescent="0.15">
      <c r="A26" s="68" t="s">
        <v>26</v>
      </c>
      <c r="B26" s="68"/>
      <c r="C26" s="68"/>
      <c r="D26" s="53"/>
      <c r="H26" s="4" t="s">
        <v>27</v>
      </c>
      <c r="I26" s="4"/>
      <c r="J26" s="62">
        <f>66+72+68+62+66+58+59+11+70+89+85+85+92+89+92+100+100+97+105+102+34+80+84+86+62+64+80+82+64</f>
        <v>2204</v>
      </c>
      <c r="K26" s="1" t="s">
        <v>16</v>
      </c>
    </row>
    <row r="27" spans="1:11" ht="15" thickBot="1" x14ac:dyDescent="0.2">
      <c r="A27" s="69"/>
      <c r="B27" s="69"/>
      <c r="C27" s="69"/>
      <c r="D27" s="69"/>
      <c r="E27" s="70"/>
      <c r="F27" s="70"/>
      <c r="G27" s="69"/>
      <c r="H27" s="71" t="s">
        <v>28</v>
      </c>
      <c r="I27" s="71"/>
      <c r="J27" s="72">
        <v>119.17</v>
      </c>
      <c r="K27" s="73" t="s">
        <v>29</v>
      </c>
    </row>
    <row r="28" spans="1:11" x14ac:dyDescent="0.15">
      <c r="J28" s="2" t="s">
        <v>3</v>
      </c>
    </row>
    <row r="29" spans="1:11" hidden="1" x14ac:dyDescent="0.15">
      <c r="K29" s="2" t="s">
        <v>30</v>
      </c>
    </row>
    <row r="30" spans="1:11" hidden="1" x14ac:dyDescent="0.15">
      <c r="K30" s="2" t="s">
        <v>31</v>
      </c>
    </row>
    <row r="31" spans="1:11" hidden="1" x14ac:dyDescent="0.15">
      <c r="K31" s="2" t="s">
        <v>32</v>
      </c>
    </row>
    <row r="32" spans="1:11" hidden="1" x14ac:dyDescent="0.15">
      <c r="K32" s="2" t="s">
        <v>33</v>
      </c>
    </row>
    <row r="33" spans="9:11" hidden="1" x14ac:dyDescent="0.15">
      <c r="K33" s="2" t="s">
        <v>34</v>
      </c>
    </row>
    <row r="34" spans="9:11" hidden="1" x14ac:dyDescent="0.15">
      <c r="K34" s="2" t="s">
        <v>35</v>
      </c>
    </row>
    <row r="35" spans="9:11" hidden="1" x14ac:dyDescent="0.15">
      <c r="K35" s="2" t="s">
        <v>36</v>
      </c>
    </row>
    <row r="36" spans="9:11" hidden="1" x14ac:dyDescent="0.15">
      <c r="K36" s="2" t="s">
        <v>37</v>
      </c>
    </row>
    <row r="37" spans="9:11" hidden="1" x14ac:dyDescent="0.15">
      <c r="K37" s="2" t="s">
        <v>38</v>
      </c>
    </row>
    <row r="38" spans="9:11" hidden="1" x14ac:dyDescent="0.15">
      <c r="K38" s="2" t="s">
        <v>39</v>
      </c>
    </row>
    <row r="39" spans="9:11" hidden="1" x14ac:dyDescent="0.15">
      <c r="K39" s="2" t="s">
        <v>40</v>
      </c>
    </row>
    <row r="40" spans="9:11" hidden="1" x14ac:dyDescent="0.15">
      <c r="K40" s="2" t="s">
        <v>41</v>
      </c>
    </row>
    <row r="41" spans="9:11" ht="30" hidden="1" x14ac:dyDescent="0.15">
      <c r="I41" s="74" t="s">
        <v>42</v>
      </c>
      <c r="K41" s="2" t="s">
        <v>43</v>
      </c>
    </row>
    <row r="42" spans="9:11" ht="15" hidden="1" x14ac:dyDescent="0.15">
      <c r="I42" s="74" t="s">
        <v>44</v>
      </c>
      <c r="K42" s="2" t="s">
        <v>45</v>
      </c>
    </row>
    <row r="43" spans="9:11" hidden="1" x14ac:dyDescent="0.15">
      <c r="I43" s="75" t="s">
        <v>46</v>
      </c>
      <c r="K43" s="2" t="s">
        <v>47</v>
      </c>
    </row>
    <row r="44" spans="9:11" hidden="1" x14ac:dyDescent="0.15">
      <c r="I44" s="2" t="s">
        <v>48</v>
      </c>
      <c r="K44" s="2" t="s">
        <v>49</v>
      </c>
    </row>
    <row r="45" spans="9:11" hidden="1" x14ac:dyDescent="0.15">
      <c r="I45" s="2" t="s">
        <v>50</v>
      </c>
      <c r="K45" s="2" t="s">
        <v>51</v>
      </c>
    </row>
    <row r="46" spans="9:11" hidden="1" x14ac:dyDescent="0.15">
      <c r="I46" s="2" t="s">
        <v>52</v>
      </c>
      <c r="K46" s="2" t="s">
        <v>53</v>
      </c>
    </row>
    <row r="47" spans="9:11" hidden="1" x14ac:dyDescent="0.15">
      <c r="I47" s="2" t="s">
        <v>54</v>
      </c>
      <c r="K47" s="2" t="s">
        <v>55</v>
      </c>
    </row>
    <row r="48" spans="9:11" hidden="1" x14ac:dyDescent="0.15">
      <c r="I48" s="2" t="s">
        <v>56</v>
      </c>
      <c r="K48" s="2" t="s">
        <v>57</v>
      </c>
    </row>
    <row r="49" spans="9:11" hidden="1" x14ac:dyDescent="0.15">
      <c r="I49" s="2" t="s">
        <v>58</v>
      </c>
      <c r="K49" s="2" t="s">
        <v>59</v>
      </c>
    </row>
    <row r="50" spans="9:11" hidden="1" x14ac:dyDescent="0.15">
      <c r="I50" s="2" t="s">
        <v>60</v>
      </c>
      <c r="K50" s="2" t="s">
        <v>61</v>
      </c>
    </row>
    <row r="51" spans="9:11" hidden="1" x14ac:dyDescent="0.15">
      <c r="K51" s="2" t="s">
        <v>62</v>
      </c>
    </row>
    <row r="52" spans="9:11" hidden="1" x14ac:dyDescent="0.15">
      <c r="K52" s="2" t="s">
        <v>63</v>
      </c>
    </row>
    <row r="53" spans="9:11" hidden="1" x14ac:dyDescent="0.15">
      <c r="K53" s="2" t="s">
        <v>64</v>
      </c>
    </row>
    <row r="54" spans="9:11" hidden="1" x14ac:dyDescent="0.15">
      <c r="K54" s="2" t="s">
        <v>65</v>
      </c>
    </row>
    <row r="55" spans="9:11" hidden="1" x14ac:dyDescent="0.15">
      <c r="K55" s="2" t="s">
        <v>66</v>
      </c>
    </row>
    <row r="56" spans="9:11" hidden="1" x14ac:dyDescent="0.15">
      <c r="K56" s="2" t="s">
        <v>67</v>
      </c>
    </row>
    <row r="57" spans="9:11" hidden="1" x14ac:dyDescent="0.15">
      <c r="K57" s="2" t="s">
        <v>68</v>
      </c>
    </row>
    <row r="58" spans="9:11" hidden="1" x14ac:dyDescent="0.15">
      <c r="K58" s="2" t="s">
        <v>69</v>
      </c>
    </row>
    <row r="59" spans="9:11" hidden="1" x14ac:dyDescent="0.15">
      <c r="K59" s="2" t="s">
        <v>70</v>
      </c>
    </row>
    <row r="60" spans="9:11" hidden="1" x14ac:dyDescent="0.15">
      <c r="K60" s="2" t="s">
        <v>71</v>
      </c>
    </row>
    <row r="61" spans="9:11" hidden="1" x14ac:dyDescent="0.15">
      <c r="K61" s="2" t="s">
        <v>72</v>
      </c>
    </row>
    <row r="62" spans="9:11" hidden="1" x14ac:dyDescent="0.15">
      <c r="K62" s="2" t="s">
        <v>73</v>
      </c>
    </row>
    <row r="63" spans="9:11" hidden="1" x14ac:dyDescent="0.15">
      <c r="K63" s="2" t="s">
        <v>67</v>
      </c>
    </row>
    <row r="64" spans="9:11" hidden="1" x14ac:dyDescent="0.15">
      <c r="K64" s="2" t="s">
        <v>74</v>
      </c>
    </row>
    <row r="65" spans="11:11" hidden="1" x14ac:dyDescent="0.15">
      <c r="K65" s="2" t="s">
        <v>75</v>
      </c>
    </row>
    <row r="66" spans="11:11" hidden="1" x14ac:dyDescent="0.15">
      <c r="K66" s="2" t="s">
        <v>76</v>
      </c>
    </row>
    <row r="67" spans="11:11" hidden="1" x14ac:dyDescent="0.15">
      <c r="K67" s="2" t="s">
        <v>77</v>
      </c>
    </row>
    <row r="68" spans="11:11" hidden="1" x14ac:dyDescent="0.15">
      <c r="K68" s="2" t="s">
        <v>78</v>
      </c>
    </row>
    <row r="69" spans="11:11" hidden="1" x14ac:dyDescent="0.15">
      <c r="K69" s="2" t="s">
        <v>79</v>
      </c>
    </row>
    <row r="70" spans="11:11" hidden="1" x14ac:dyDescent="0.15">
      <c r="K70" s="2" t="s">
        <v>80</v>
      </c>
    </row>
    <row r="71" spans="11:11" hidden="1" x14ac:dyDescent="0.15">
      <c r="K71" s="2" t="s">
        <v>81</v>
      </c>
    </row>
    <row r="72" spans="11:11" hidden="1" x14ac:dyDescent="0.15">
      <c r="K72" s="2" t="s">
        <v>82</v>
      </c>
    </row>
    <row r="73" spans="11:11" hidden="1" x14ac:dyDescent="0.15">
      <c r="K73" s="2" t="s">
        <v>83</v>
      </c>
    </row>
    <row r="74" spans="11:11" hidden="1" x14ac:dyDescent="0.15">
      <c r="K74" s="2" t="s">
        <v>84</v>
      </c>
    </row>
    <row r="75" spans="11:11" hidden="1" x14ac:dyDescent="0.15">
      <c r="K75" s="2" t="s">
        <v>85</v>
      </c>
    </row>
    <row r="76" spans="11:11" hidden="1" x14ac:dyDescent="0.15">
      <c r="K76" s="2" t="s">
        <v>86</v>
      </c>
    </row>
    <row r="77" spans="11:11" hidden="1" x14ac:dyDescent="0.15">
      <c r="K77" s="2" t="s">
        <v>87</v>
      </c>
    </row>
    <row r="78" spans="11:11" hidden="1" x14ac:dyDescent="0.15">
      <c r="K78" s="2" t="s">
        <v>88</v>
      </c>
    </row>
    <row r="79" spans="11:11" hidden="1" x14ac:dyDescent="0.15">
      <c r="K79" s="2" t="s">
        <v>89</v>
      </c>
    </row>
    <row r="80" spans="11:11" hidden="1" x14ac:dyDescent="0.15">
      <c r="K80" s="2" t="s">
        <v>90</v>
      </c>
    </row>
    <row r="81" spans="11:11" hidden="1" x14ac:dyDescent="0.15">
      <c r="K81" s="2" t="s">
        <v>91</v>
      </c>
    </row>
    <row r="82" spans="11:11" hidden="1" x14ac:dyDescent="0.15">
      <c r="K82" s="2" t="s">
        <v>92</v>
      </c>
    </row>
    <row r="83" spans="11:11" hidden="1" x14ac:dyDescent="0.15">
      <c r="K83" s="2" t="s">
        <v>93</v>
      </c>
    </row>
    <row r="84" spans="11:11" hidden="1" x14ac:dyDescent="0.15">
      <c r="K84" s="2" t="s">
        <v>94</v>
      </c>
    </row>
    <row r="85" spans="11:11" hidden="1" x14ac:dyDescent="0.15">
      <c r="K85" s="2" t="s">
        <v>47</v>
      </c>
    </row>
  </sheetData>
  <dataValidations count="3">
    <dataValidation type="list" allowBlank="1" showInputMessage="1" showErrorMessage="1" sqref="I50 K15:K21" xr:uid="{482DB4E7-A876-4614-87E3-A927CA4D3A79}">
      <formula1>$I$41:$I$50</formula1>
    </dataValidation>
    <dataValidation type="list" allowBlank="1" showInputMessage="1" showErrorMessage="1" sqref="B20:B21" xr:uid="{AFFDD2FE-1AC5-4ACB-A69A-4286BA386873}">
      <formula1>$K$29:$K$40</formula1>
    </dataValidation>
    <dataValidation type="list" allowBlank="1" showInputMessage="1" showErrorMessage="1" sqref="B16:B19" xr:uid="{CCF958A7-6A00-413E-A38D-8D0052E14B68}">
      <formula1>$K$29:$K$85</formula1>
    </dataValidation>
  </dataValidation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E9B578-0ED5-475E-8727-F400D2C4AC61}">
  <dimension ref="A1:K85"/>
  <sheetViews>
    <sheetView workbookViewId="0">
      <selection activeCell="L26" sqref="L26"/>
    </sheetView>
  </sheetViews>
  <sheetFormatPr baseColWidth="10" defaultColWidth="9.1640625" defaultRowHeight="14" x14ac:dyDescent="0.15"/>
  <cols>
    <col min="1" max="1" width="5.1640625" style="2" customWidth="1"/>
    <col min="2" max="2" width="22.5" style="2" customWidth="1"/>
    <col min="3" max="3" width="6.1640625" style="2" customWidth="1"/>
    <col min="4" max="4" width="12.5" style="2" bestFit="1" customWidth="1"/>
    <col min="5" max="5" width="9.83203125" style="2" customWidth="1"/>
    <col min="6" max="6" width="9.33203125" style="2" bestFit="1" customWidth="1"/>
    <col min="7" max="7" width="8.6640625" style="2" customWidth="1"/>
    <col min="8" max="8" width="9.5" style="2" bestFit="1" customWidth="1"/>
    <col min="9" max="9" width="17.83203125" style="2" bestFit="1" customWidth="1"/>
    <col min="10" max="10" width="10.33203125" style="2" bestFit="1" customWidth="1"/>
    <col min="11" max="11" width="75" style="2" bestFit="1" customWidth="1"/>
    <col min="12" max="16384" width="9.1640625" style="2"/>
  </cols>
  <sheetData>
    <row r="1" spans="1:11" x14ac:dyDescent="0.15">
      <c r="A1" s="1" t="s">
        <v>0</v>
      </c>
      <c r="I1" s="3"/>
    </row>
    <row r="2" spans="1:11" x14ac:dyDescent="0.15">
      <c r="J2" s="4"/>
    </row>
    <row r="3" spans="1:11" x14ac:dyDescent="0.15">
      <c r="A3" s="3" t="s">
        <v>1</v>
      </c>
      <c r="I3" s="1"/>
      <c r="J3" s="1"/>
    </row>
    <row r="4" spans="1:11" x14ac:dyDescent="0.15">
      <c r="A4" s="3"/>
      <c r="I4" s="4" t="s">
        <v>2</v>
      </c>
      <c r="J4" s="76">
        <v>45808</v>
      </c>
    </row>
    <row r="5" spans="1:11" x14ac:dyDescent="0.15">
      <c r="J5" s="2" t="s">
        <v>3</v>
      </c>
    </row>
    <row r="6" spans="1:11" ht="30" x14ac:dyDescent="0.15">
      <c r="A6" s="5" t="s">
        <v>4</v>
      </c>
      <c r="B6" s="5" t="s">
        <v>5</v>
      </c>
      <c r="C6" s="5" t="s">
        <v>6</v>
      </c>
      <c r="D6" s="5" t="s">
        <v>7</v>
      </c>
      <c r="E6" s="5" t="s">
        <v>8</v>
      </c>
      <c r="F6" s="5" t="s">
        <v>9</v>
      </c>
      <c r="G6" s="6" t="s">
        <v>10</v>
      </c>
      <c r="H6" s="6" t="s">
        <v>11</v>
      </c>
      <c r="I6" s="6" t="s">
        <v>12</v>
      </c>
      <c r="J6" s="7"/>
      <c r="K6" s="5" t="s">
        <v>13</v>
      </c>
    </row>
    <row r="7" spans="1:11" ht="30" x14ac:dyDescent="0.15">
      <c r="A7" s="6"/>
      <c r="B7" s="8"/>
      <c r="C7" s="5"/>
      <c r="D7" s="5" t="s">
        <v>14</v>
      </c>
      <c r="E7" s="5" t="s">
        <v>15</v>
      </c>
      <c r="F7" s="9" t="s">
        <v>16</v>
      </c>
      <c r="G7" s="9" t="s">
        <v>15</v>
      </c>
      <c r="H7" s="9" t="s">
        <v>17</v>
      </c>
      <c r="I7" s="5" t="s">
        <v>18</v>
      </c>
      <c r="J7" s="9" t="s">
        <v>19</v>
      </c>
      <c r="K7" s="9"/>
    </row>
    <row r="8" spans="1:11" ht="16" x14ac:dyDescent="0.2">
      <c r="A8" s="10"/>
      <c r="B8" s="11"/>
      <c r="C8" s="12"/>
      <c r="D8" s="11"/>
      <c r="E8" s="11"/>
      <c r="F8" s="10"/>
      <c r="G8" s="10"/>
      <c r="H8" s="10"/>
      <c r="I8" s="10"/>
      <c r="J8" s="13"/>
      <c r="K8" s="10"/>
    </row>
    <row r="9" spans="1:11" ht="17" x14ac:dyDescent="0.15">
      <c r="A9" s="192">
        <v>1</v>
      </c>
      <c r="B9" s="187" t="s">
        <v>240</v>
      </c>
      <c r="C9" s="188">
        <v>12.5</v>
      </c>
      <c r="D9" s="15">
        <v>2.85</v>
      </c>
      <c r="E9" s="193">
        <v>1232</v>
      </c>
      <c r="F9" s="189">
        <v>9.8000000000000007</v>
      </c>
      <c r="G9" s="16">
        <f t="shared" ref="G9:G16" si="0">E9*F9</f>
        <v>12073.6</v>
      </c>
      <c r="H9" s="17">
        <f t="shared" ref="H9:H16" si="1">F9*C9</f>
        <v>122.50000000000001</v>
      </c>
      <c r="I9" s="211" t="s">
        <v>20</v>
      </c>
      <c r="J9" s="212">
        <v>2.0833333333333332E-2</v>
      </c>
      <c r="K9" s="213" t="s">
        <v>265</v>
      </c>
    </row>
    <row r="10" spans="1:11" ht="17" x14ac:dyDescent="0.15">
      <c r="A10" s="23">
        <v>2</v>
      </c>
      <c r="B10" s="187" t="s">
        <v>231</v>
      </c>
      <c r="C10" s="188">
        <v>15</v>
      </c>
      <c r="D10" s="15">
        <v>2.85</v>
      </c>
      <c r="E10" s="193">
        <v>1264</v>
      </c>
      <c r="F10" s="189">
        <v>3</v>
      </c>
      <c r="G10" s="16">
        <f t="shared" si="0"/>
        <v>3792</v>
      </c>
      <c r="H10" s="17">
        <f t="shared" si="1"/>
        <v>45</v>
      </c>
      <c r="I10" s="214" t="s">
        <v>44</v>
      </c>
      <c r="J10" s="215">
        <v>7.6388888888888895E-2</v>
      </c>
      <c r="K10" s="216" t="s">
        <v>44</v>
      </c>
    </row>
    <row r="11" spans="1:11" ht="17" x14ac:dyDescent="0.15">
      <c r="A11" s="192">
        <v>3</v>
      </c>
      <c r="B11" s="187" t="s">
        <v>231</v>
      </c>
      <c r="C11" s="188">
        <v>17</v>
      </c>
      <c r="D11" s="15">
        <v>2.85</v>
      </c>
      <c r="E11" s="193">
        <v>1264</v>
      </c>
      <c r="F11" s="207">
        <v>3.2</v>
      </c>
      <c r="G11" s="16">
        <f t="shared" si="0"/>
        <v>4044.8</v>
      </c>
      <c r="H11" s="17">
        <f t="shared" si="1"/>
        <v>54.400000000000006</v>
      </c>
      <c r="I11" s="217" t="s">
        <v>230</v>
      </c>
      <c r="J11" s="215">
        <v>2.0833333333333332E-2</v>
      </c>
      <c r="K11" s="216" t="s">
        <v>269</v>
      </c>
    </row>
    <row r="12" spans="1:11" ht="19.25" customHeight="1" x14ac:dyDescent="0.15">
      <c r="A12" s="23">
        <v>4</v>
      </c>
      <c r="B12" s="187" t="s">
        <v>260</v>
      </c>
      <c r="C12" s="208">
        <v>22</v>
      </c>
      <c r="D12" s="15">
        <v>2.85</v>
      </c>
      <c r="E12" s="209">
        <v>1102</v>
      </c>
      <c r="F12" s="210">
        <v>9.6999999999999993</v>
      </c>
      <c r="G12" s="16">
        <f t="shared" si="0"/>
        <v>10689.4</v>
      </c>
      <c r="H12" s="17">
        <f t="shared" si="1"/>
        <v>213.39999999999998</v>
      </c>
      <c r="I12" s="217" t="s">
        <v>238</v>
      </c>
      <c r="J12" s="215">
        <v>6.25E-2</v>
      </c>
      <c r="K12" s="216" t="s">
        <v>273</v>
      </c>
    </row>
    <row r="13" spans="1:11" ht="17" x14ac:dyDescent="0.2">
      <c r="A13" s="219">
        <v>5</v>
      </c>
      <c r="B13" s="187" t="s">
        <v>260</v>
      </c>
      <c r="C13" s="208">
        <v>28</v>
      </c>
      <c r="D13" s="15">
        <v>2.85</v>
      </c>
      <c r="E13" s="209">
        <v>793</v>
      </c>
      <c r="F13" s="210">
        <v>11.7</v>
      </c>
      <c r="G13" s="16">
        <f t="shared" si="0"/>
        <v>9278.0999999999985</v>
      </c>
      <c r="H13" s="17">
        <f t="shared" si="1"/>
        <v>327.59999999999997</v>
      </c>
      <c r="I13" s="217"/>
      <c r="J13" s="215"/>
      <c r="K13" s="227"/>
    </row>
    <row r="14" spans="1:11" ht="17" x14ac:dyDescent="0.15">
      <c r="A14" s="192">
        <v>6</v>
      </c>
      <c r="B14" s="187" t="s">
        <v>260</v>
      </c>
      <c r="C14" s="220">
        <v>30</v>
      </c>
      <c r="D14" s="15">
        <v>2.85</v>
      </c>
      <c r="E14" s="221">
        <v>788</v>
      </c>
      <c r="F14" s="222">
        <v>2.5</v>
      </c>
      <c r="G14" s="16">
        <f t="shared" si="0"/>
        <v>1970</v>
      </c>
      <c r="H14" s="17">
        <f t="shared" si="1"/>
        <v>75</v>
      </c>
      <c r="I14" s="28"/>
      <c r="J14" s="37"/>
      <c r="K14" s="30"/>
    </row>
    <row r="15" spans="1:11" ht="17" x14ac:dyDescent="0.2">
      <c r="A15" s="23">
        <v>7</v>
      </c>
      <c r="B15" s="187" t="s">
        <v>260</v>
      </c>
      <c r="C15" s="35">
        <v>32</v>
      </c>
      <c r="D15" s="15">
        <v>2.85</v>
      </c>
      <c r="E15" s="32">
        <v>714</v>
      </c>
      <c r="F15" s="36">
        <v>19</v>
      </c>
      <c r="G15" s="16">
        <f t="shared" si="0"/>
        <v>13566</v>
      </c>
      <c r="H15" s="17">
        <f t="shared" si="1"/>
        <v>608</v>
      </c>
      <c r="I15" s="41"/>
      <c r="J15" s="37"/>
      <c r="K15" s="30"/>
    </row>
    <row r="16" spans="1:11" ht="16" x14ac:dyDescent="0.2">
      <c r="A16" s="38">
        <v>8</v>
      </c>
      <c r="B16" s="39" t="s">
        <v>260</v>
      </c>
      <c r="C16" s="40">
        <v>34</v>
      </c>
      <c r="D16" s="15">
        <v>2.85</v>
      </c>
      <c r="E16" s="25">
        <v>672</v>
      </c>
      <c r="F16" s="40">
        <v>13.1</v>
      </c>
      <c r="G16" s="16">
        <f t="shared" si="0"/>
        <v>8803.1999999999989</v>
      </c>
      <c r="H16" s="17">
        <f t="shared" si="1"/>
        <v>445.4</v>
      </c>
      <c r="I16" s="41"/>
      <c r="J16" s="37"/>
      <c r="K16" s="42"/>
    </row>
    <row r="17" spans="1:11" ht="16" x14ac:dyDescent="0.2">
      <c r="A17" s="38"/>
      <c r="B17" s="39"/>
      <c r="C17" s="40"/>
      <c r="D17" s="11"/>
      <c r="E17" s="32"/>
      <c r="F17" s="40"/>
      <c r="G17" s="27"/>
      <c r="H17" s="12"/>
      <c r="I17" s="41"/>
      <c r="J17" s="37"/>
      <c r="K17" s="42"/>
    </row>
    <row r="18" spans="1:11" ht="16" x14ac:dyDescent="0.2">
      <c r="A18" s="43"/>
      <c r="B18" s="44"/>
      <c r="C18" s="40"/>
      <c r="D18" s="11"/>
      <c r="E18" s="45"/>
      <c r="F18" s="46"/>
      <c r="G18" s="27"/>
      <c r="H18" s="12"/>
      <c r="I18" s="10"/>
      <c r="J18" s="13"/>
      <c r="K18" s="10"/>
    </row>
    <row r="19" spans="1:11" x14ac:dyDescent="0.15">
      <c r="A19" s="47"/>
      <c r="B19" s="48"/>
      <c r="C19" s="49"/>
      <c r="D19" s="50"/>
      <c r="E19" s="47"/>
      <c r="F19" s="49"/>
      <c r="G19" s="51"/>
      <c r="H19" s="49"/>
      <c r="I19" s="48"/>
      <c r="J19" s="52"/>
      <c r="K19" s="48"/>
    </row>
    <row r="20" spans="1:11" x14ac:dyDescent="0.15">
      <c r="A20" s="47"/>
      <c r="B20" s="48"/>
      <c r="C20" s="49"/>
      <c r="D20" s="50"/>
      <c r="E20" s="47"/>
      <c r="F20" s="49"/>
      <c r="G20" s="51"/>
      <c r="H20" s="49"/>
      <c r="I20" s="48"/>
      <c r="J20" s="52"/>
      <c r="K20" s="48"/>
    </row>
    <row r="21" spans="1:11" x14ac:dyDescent="0.15">
      <c r="A21" s="47"/>
      <c r="B21" s="48"/>
      <c r="C21" s="53"/>
      <c r="D21" s="47"/>
      <c r="E21" s="52"/>
      <c r="F21" s="53"/>
      <c r="G21" s="51"/>
      <c r="H21" s="49"/>
      <c r="I21" s="48"/>
      <c r="J21" s="52"/>
      <c r="K21" s="48"/>
    </row>
    <row r="22" spans="1:11" x14ac:dyDescent="0.15">
      <c r="A22" s="54"/>
      <c r="B22" s="55"/>
      <c r="C22" s="56"/>
      <c r="D22" s="56"/>
      <c r="E22" s="57" t="s">
        <v>21</v>
      </c>
      <c r="F22" s="58">
        <f>SUM(F9:F21)</f>
        <v>72</v>
      </c>
      <c r="G22" s="59">
        <f>SUM(G9:G21)/F22</f>
        <v>891.9041666666667</v>
      </c>
      <c r="H22" s="60">
        <f>SUM(H9:H21)/F22</f>
        <v>26.268055555555552</v>
      </c>
      <c r="I22" s="61" t="s">
        <v>22</v>
      </c>
      <c r="J22" s="186">
        <v>0.18055555555555555</v>
      </c>
      <c r="K22" s="55"/>
    </row>
    <row r="23" spans="1:11" x14ac:dyDescent="0.15">
      <c r="E23" s="62"/>
      <c r="F23" s="63"/>
      <c r="I23" s="64" t="s">
        <v>23</v>
      </c>
      <c r="J23" s="65">
        <v>4.33</v>
      </c>
    </row>
    <row r="24" spans="1:11" x14ac:dyDescent="0.15">
      <c r="A24" s="1"/>
      <c r="I24" s="66"/>
      <c r="J24" s="67"/>
    </row>
    <row r="25" spans="1:11" x14ac:dyDescent="0.15">
      <c r="A25" s="68" t="s">
        <v>24</v>
      </c>
      <c r="B25" s="68"/>
      <c r="C25" s="68"/>
      <c r="D25" s="53"/>
      <c r="H25" s="4" t="s">
        <v>25</v>
      </c>
      <c r="I25" s="4"/>
      <c r="J25" s="62">
        <f>F22</f>
        <v>72</v>
      </c>
      <c r="K25" s="1" t="s">
        <v>16</v>
      </c>
    </row>
    <row r="26" spans="1:11" x14ac:dyDescent="0.15">
      <c r="A26" s="68" t="s">
        <v>26</v>
      </c>
      <c r="B26" s="68"/>
      <c r="C26" s="68"/>
      <c r="D26" s="53"/>
      <c r="H26" s="4" t="s">
        <v>27</v>
      </c>
      <c r="I26" s="4"/>
      <c r="J26" s="62">
        <f>66+72+68+62+66+58+59+11+70+89+85+85+92+89+92+100+100+97+105+102+34+80+84+86+62+64+80+82+64+72</f>
        <v>2276</v>
      </c>
      <c r="K26" s="1" t="s">
        <v>16</v>
      </c>
    </row>
    <row r="27" spans="1:11" ht="15" thickBot="1" x14ac:dyDescent="0.2">
      <c r="A27" s="69"/>
      <c r="B27" s="69"/>
      <c r="C27" s="69"/>
      <c r="D27" s="69"/>
      <c r="E27" s="70"/>
      <c r="F27" s="70"/>
      <c r="G27" s="69"/>
      <c r="H27" s="71" t="s">
        <v>28</v>
      </c>
      <c r="I27" s="71"/>
      <c r="J27" s="72">
        <v>123.5</v>
      </c>
      <c r="K27" s="73" t="s">
        <v>29</v>
      </c>
    </row>
    <row r="28" spans="1:11" x14ac:dyDescent="0.15">
      <c r="J28" s="2" t="s">
        <v>3</v>
      </c>
    </row>
    <row r="29" spans="1:11" hidden="1" x14ac:dyDescent="0.15">
      <c r="K29" s="2" t="s">
        <v>30</v>
      </c>
    </row>
    <row r="30" spans="1:11" hidden="1" x14ac:dyDescent="0.15">
      <c r="K30" s="2" t="s">
        <v>31</v>
      </c>
    </row>
    <row r="31" spans="1:11" hidden="1" x14ac:dyDescent="0.15">
      <c r="K31" s="2" t="s">
        <v>32</v>
      </c>
    </row>
    <row r="32" spans="1:11" hidden="1" x14ac:dyDescent="0.15">
      <c r="K32" s="2" t="s">
        <v>33</v>
      </c>
    </row>
    <row r="33" spans="9:11" hidden="1" x14ac:dyDescent="0.15">
      <c r="K33" s="2" t="s">
        <v>34</v>
      </c>
    </row>
    <row r="34" spans="9:11" hidden="1" x14ac:dyDescent="0.15">
      <c r="K34" s="2" t="s">
        <v>35</v>
      </c>
    </row>
    <row r="35" spans="9:11" hidden="1" x14ac:dyDescent="0.15">
      <c r="K35" s="2" t="s">
        <v>36</v>
      </c>
    </row>
    <row r="36" spans="9:11" hidden="1" x14ac:dyDescent="0.15">
      <c r="K36" s="2" t="s">
        <v>37</v>
      </c>
    </row>
    <row r="37" spans="9:11" hidden="1" x14ac:dyDescent="0.15">
      <c r="K37" s="2" t="s">
        <v>38</v>
      </c>
    </row>
    <row r="38" spans="9:11" hidden="1" x14ac:dyDescent="0.15">
      <c r="K38" s="2" t="s">
        <v>39</v>
      </c>
    </row>
    <row r="39" spans="9:11" hidden="1" x14ac:dyDescent="0.15">
      <c r="K39" s="2" t="s">
        <v>40</v>
      </c>
    </row>
    <row r="40" spans="9:11" hidden="1" x14ac:dyDescent="0.15">
      <c r="K40" s="2" t="s">
        <v>41</v>
      </c>
    </row>
    <row r="41" spans="9:11" ht="30" hidden="1" x14ac:dyDescent="0.15">
      <c r="I41" s="74" t="s">
        <v>42</v>
      </c>
      <c r="K41" s="2" t="s">
        <v>43</v>
      </c>
    </row>
    <row r="42" spans="9:11" ht="15" hidden="1" x14ac:dyDescent="0.15">
      <c r="I42" s="74" t="s">
        <v>44</v>
      </c>
      <c r="K42" s="2" t="s">
        <v>45</v>
      </c>
    </row>
    <row r="43" spans="9:11" hidden="1" x14ac:dyDescent="0.15">
      <c r="I43" s="75" t="s">
        <v>46</v>
      </c>
      <c r="K43" s="2" t="s">
        <v>47</v>
      </c>
    </row>
    <row r="44" spans="9:11" hidden="1" x14ac:dyDescent="0.15">
      <c r="I44" s="2" t="s">
        <v>48</v>
      </c>
      <c r="K44" s="2" t="s">
        <v>49</v>
      </c>
    </row>
    <row r="45" spans="9:11" hidden="1" x14ac:dyDescent="0.15">
      <c r="I45" s="2" t="s">
        <v>50</v>
      </c>
      <c r="K45" s="2" t="s">
        <v>51</v>
      </c>
    </row>
    <row r="46" spans="9:11" hidden="1" x14ac:dyDescent="0.15">
      <c r="I46" s="2" t="s">
        <v>52</v>
      </c>
      <c r="K46" s="2" t="s">
        <v>53</v>
      </c>
    </row>
    <row r="47" spans="9:11" hidden="1" x14ac:dyDescent="0.15">
      <c r="I47" s="2" t="s">
        <v>54</v>
      </c>
      <c r="K47" s="2" t="s">
        <v>55</v>
      </c>
    </row>
    <row r="48" spans="9:11" hidden="1" x14ac:dyDescent="0.15">
      <c r="I48" s="2" t="s">
        <v>56</v>
      </c>
      <c r="K48" s="2" t="s">
        <v>57</v>
      </c>
    </row>
    <row r="49" spans="9:11" hidden="1" x14ac:dyDescent="0.15">
      <c r="I49" s="2" t="s">
        <v>58</v>
      </c>
      <c r="K49" s="2" t="s">
        <v>59</v>
      </c>
    </row>
    <row r="50" spans="9:11" hidden="1" x14ac:dyDescent="0.15">
      <c r="I50" s="2" t="s">
        <v>60</v>
      </c>
      <c r="K50" s="2" t="s">
        <v>61</v>
      </c>
    </row>
    <row r="51" spans="9:11" hidden="1" x14ac:dyDescent="0.15">
      <c r="K51" s="2" t="s">
        <v>62</v>
      </c>
    </row>
    <row r="52" spans="9:11" hidden="1" x14ac:dyDescent="0.15">
      <c r="K52" s="2" t="s">
        <v>63</v>
      </c>
    </row>
    <row r="53" spans="9:11" hidden="1" x14ac:dyDescent="0.15">
      <c r="K53" s="2" t="s">
        <v>64</v>
      </c>
    </row>
    <row r="54" spans="9:11" hidden="1" x14ac:dyDescent="0.15">
      <c r="K54" s="2" t="s">
        <v>65</v>
      </c>
    </row>
    <row r="55" spans="9:11" hidden="1" x14ac:dyDescent="0.15">
      <c r="K55" s="2" t="s">
        <v>66</v>
      </c>
    </row>
    <row r="56" spans="9:11" hidden="1" x14ac:dyDescent="0.15">
      <c r="K56" s="2" t="s">
        <v>67</v>
      </c>
    </row>
    <row r="57" spans="9:11" hidden="1" x14ac:dyDescent="0.15">
      <c r="K57" s="2" t="s">
        <v>68</v>
      </c>
    </row>
    <row r="58" spans="9:11" hidden="1" x14ac:dyDescent="0.15">
      <c r="K58" s="2" t="s">
        <v>69</v>
      </c>
    </row>
    <row r="59" spans="9:11" hidden="1" x14ac:dyDescent="0.15">
      <c r="K59" s="2" t="s">
        <v>70</v>
      </c>
    </row>
    <row r="60" spans="9:11" hidden="1" x14ac:dyDescent="0.15">
      <c r="K60" s="2" t="s">
        <v>71</v>
      </c>
    </row>
    <row r="61" spans="9:11" hidden="1" x14ac:dyDescent="0.15">
      <c r="K61" s="2" t="s">
        <v>72</v>
      </c>
    </row>
    <row r="62" spans="9:11" hidden="1" x14ac:dyDescent="0.15">
      <c r="K62" s="2" t="s">
        <v>73</v>
      </c>
    </row>
    <row r="63" spans="9:11" hidden="1" x14ac:dyDescent="0.15">
      <c r="K63" s="2" t="s">
        <v>67</v>
      </c>
    </row>
    <row r="64" spans="9:11" hidden="1" x14ac:dyDescent="0.15">
      <c r="K64" s="2" t="s">
        <v>74</v>
      </c>
    </row>
    <row r="65" spans="11:11" hidden="1" x14ac:dyDescent="0.15">
      <c r="K65" s="2" t="s">
        <v>75</v>
      </c>
    </row>
    <row r="66" spans="11:11" hidden="1" x14ac:dyDescent="0.15">
      <c r="K66" s="2" t="s">
        <v>76</v>
      </c>
    </row>
    <row r="67" spans="11:11" hidden="1" x14ac:dyDescent="0.15">
      <c r="K67" s="2" t="s">
        <v>77</v>
      </c>
    </row>
    <row r="68" spans="11:11" hidden="1" x14ac:dyDescent="0.15">
      <c r="K68" s="2" t="s">
        <v>78</v>
      </c>
    </row>
    <row r="69" spans="11:11" hidden="1" x14ac:dyDescent="0.15">
      <c r="K69" s="2" t="s">
        <v>79</v>
      </c>
    </row>
    <row r="70" spans="11:11" hidden="1" x14ac:dyDescent="0.15">
      <c r="K70" s="2" t="s">
        <v>80</v>
      </c>
    </row>
    <row r="71" spans="11:11" hidden="1" x14ac:dyDescent="0.15">
      <c r="K71" s="2" t="s">
        <v>81</v>
      </c>
    </row>
    <row r="72" spans="11:11" hidden="1" x14ac:dyDescent="0.15">
      <c r="K72" s="2" t="s">
        <v>82</v>
      </c>
    </row>
    <row r="73" spans="11:11" hidden="1" x14ac:dyDescent="0.15">
      <c r="K73" s="2" t="s">
        <v>83</v>
      </c>
    </row>
    <row r="74" spans="11:11" hidden="1" x14ac:dyDescent="0.15">
      <c r="K74" s="2" t="s">
        <v>84</v>
      </c>
    </row>
    <row r="75" spans="11:11" hidden="1" x14ac:dyDescent="0.15">
      <c r="K75" s="2" t="s">
        <v>85</v>
      </c>
    </row>
    <row r="76" spans="11:11" hidden="1" x14ac:dyDescent="0.15">
      <c r="K76" s="2" t="s">
        <v>86</v>
      </c>
    </row>
    <row r="77" spans="11:11" hidden="1" x14ac:dyDescent="0.15">
      <c r="K77" s="2" t="s">
        <v>87</v>
      </c>
    </row>
    <row r="78" spans="11:11" hidden="1" x14ac:dyDescent="0.15">
      <c r="K78" s="2" t="s">
        <v>88</v>
      </c>
    </row>
    <row r="79" spans="11:11" hidden="1" x14ac:dyDescent="0.15">
      <c r="K79" s="2" t="s">
        <v>89</v>
      </c>
    </row>
    <row r="80" spans="11:11" hidden="1" x14ac:dyDescent="0.15">
      <c r="K80" s="2" t="s">
        <v>90</v>
      </c>
    </row>
    <row r="81" spans="11:11" hidden="1" x14ac:dyDescent="0.15">
      <c r="K81" s="2" t="s">
        <v>91</v>
      </c>
    </row>
    <row r="82" spans="11:11" hidden="1" x14ac:dyDescent="0.15">
      <c r="K82" s="2" t="s">
        <v>92</v>
      </c>
    </row>
    <row r="83" spans="11:11" hidden="1" x14ac:dyDescent="0.15">
      <c r="K83" s="2" t="s">
        <v>93</v>
      </c>
    </row>
    <row r="84" spans="11:11" hidden="1" x14ac:dyDescent="0.15">
      <c r="K84" s="2" t="s">
        <v>94</v>
      </c>
    </row>
    <row r="85" spans="11:11" hidden="1" x14ac:dyDescent="0.15">
      <c r="K85" s="2" t="s">
        <v>47</v>
      </c>
    </row>
  </sheetData>
  <dataValidations count="3">
    <dataValidation type="list" allowBlank="1" showInputMessage="1" showErrorMessage="1" sqref="B16:B19" xr:uid="{E080A2BE-85A8-4452-87AF-145401BAEECA}">
      <formula1>$K$29:$K$85</formula1>
    </dataValidation>
    <dataValidation type="list" allowBlank="1" showInputMessage="1" showErrorMessage="1" sqref="B20:B21" xr:uid="{27094369-5B19-4EB6-96A6-5FD39611BC0A}">
      <formula1>$K$29:$K$40</formula1>
    </dataValidation>
    <dataValidation type="list" allowBlank="1" showInputMessage="1" showErrorMessage="1" sqref="I50 K15:K21" xr:uid="{8A30E7DD-1EE3-4315-A861-7450758A8F9E}">
      <formula1>$I$41:$I$50</formula1>
    </dataValidation>
  </dataValidation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61C29-4827-4A79-9EBE-FDC04009961F}">
  <dimension ref="A1:BX123"/>
  <sheetViews>
    <sheetView tabSelected="1" topLeftCell="A109" zoomScale="98" zoomScaleNormal="98" workbookViewId="0">
      <selection activeCell="B117" sqref="B117:AK123"/>
    </sheetView>
  </sheetViews>
  <sheetFormatPr baseColWidth="10" defaultColWidth="9.1640625" defaultRowHeight="20" x14ac:dyDescent="0.2"/>
  <cols>
    <col min="1" max="1" width="4.5" style="183" customWidth="1"/>
    <col min="2" max="2" width="65.5" style="81" bestFit="1" customWidth="1"/>
    <col min="3" max="3" width="14.83203125" style="184" hidden="1" customWidth="1"/>
    <col min="4" max="4" width="12.1640625" style="81" customWidth="1"/>
    <col min="5" max="5" width="12.6640625" style="81" hidden="1" customWidth="1"/>
    <col min="6" max="6" width="17.33203125" style="81" hidden="1" customWidth="1"/>
    <col min="7" max="10" width="10.1640625" style="81" customWidth="1"/>
    <col min="11" max="11" width="12" style="81" bestFit="1" customWidth="1"/>
    <col min="12" max="24" width="11.6640625" style="81" bestFit="1" customWidth="1"/>
    <col min="25" max="37" width="11.6640625" style="81" customWidth="1"/>
    <col min="38" max="38" width="10.1640625" style="81" hidden="1" customWidth="1"/>
    <col min="39" max="39" width="11.6640625" style="81" hidden="1" customWidth="1"/>
    <col min="40" max="40" width="12.5" style="81" hidden="1" customWidth="1"/>
    <col min="41" max="41" width="11.6640625" style="81" hidden="1" customWidth="1"/>
    <col min="42" max="42" width="12" style="81" hidden="1" customWidth="1"/>
    <col min="43" max="43" width="12.1640625" style="81" hidden="1" customWidth="1"/>
    <col min="44" max="44" width="11.83203125" style="81" hidden="1" customWidth="1"/>
    <col min="45" max="45" width="11" style="81" hidden="1" customWidth="1"/>
    <col min="46" max="50" width="11.33203125" style="81" hidden="1" customWidth="1"/>
    <col min="51" max="51" width="13.1640625" style="81" hidden="1" customWidth="1"/>
    <col min="52" max="52" width="12.6640625" style="81" hidden="1" customWidth="1"/>
    <col min="53" max="59" width="11.33203125" style="81" hidden="1" customWidth="1"/>
    <col min="60" max="72" width="11" style="81" hidden="1" customWidth="1"/>
    <col min="73" max="73" width="34.33203125" style="185" customWidth="1"/>
    <col min="74" max="74" width="14.83203125" style="81" customWidth="1"/>
    <col min="75" max="75" width="13.5" style="81" customWidth="1"/>
    <col min="76" max="76" width="17" style="81" customWidth="1"/>
    <col min="77" max="77" width="10" style="81" customWidth="1"/>
    <col min="78" max="16384" width="9.1640625" style="81"/>
  </cols>
  <sheetData>
    <row r="1" spans="1:75" ht="23" x14ac:dyDescent="0.25">
      <c r="A1" s="77" t="s">
        <v>3</v>
      </c>
      <c r="B1" s="78" t="s">
        <v>235</v>
      </c>
      <c r="C1" s="79"/>
      <c r="D1" s="79"/>
      <c r="E1" s="79"/>
      <c r="F1" s="79"/>
      <c r="G1" s="79"/>
      <c r="H1" s="79"/>
      <c r="I1" s="79"/>
      <c r="J1" s="79"/>
      <c r="K1" s="79"/>
      <c r="L1" s="79"/>
      <c r="M1" s="79"/>
      <c r="N1" s="79"/>
      <c r="O1" s="79"/>
      <c r="P1" s="79"/>
      <c r="Q1" s="79"/>
      <c r="R1" s="79"/>
      <c r="S1" s="79"/>
      <c r="T1" s="79"/>
      <c r="U1" s="79"/>
      <c r="V1" s="79"/>
      <c r="W1" s="79"/>
      <c r="X1" s="79"/>
      <c r="Y1" s="79"/>
      <c r="Z1" s="79"/>
      <c r="AA1" s="79"/>
      <c r="AB1" s="79"/>
      <c r="AC1" s="79"/>
      <c r="AD1" s="79"/>
      <c r="AE1" s="79"/>
      <c r="AF1" s="79"/>
      <c r="AG1" s="79"/>
      <c r="AH1" s="79"/>
      <c r="AI1" s="79"/>
      <c r="AJ1" s="79"/>
      <c r="AK1" s="79"/>
      <c r="AL1" s="79"/>
      <c r="AM1" s="79"/>
      <c r="AN1" s="79"/>
      <c r="AO1" s="79"/>
      <c r="AP1" s="79"/>
      <c r="AQ1" s="79"/>
      <c r="AR1" s="79"/>
      <c r="AS1" s="79"/>
      <c r="AT1" s="79"/>
      <c r="AU1" s="79"/>
      <c r="AV1" s="79"/>
      <c r="AW1" s="79"/>
      <c r="AX1" s="79"/>
      <c r="AY1" s="79"/>
      <c r="AZ1" s="79"/>
      <c r="BA1" s="79"/>
      <c r="BB1" s="79"/>
      <c r="BC1" s="79"/>
      <c r="BD1" s="79"/>
      <c r="BE1" s="79"/>
      <c r="BF1" s="79"/>
      <c r="BG1" s="79"/>
      <c r="BH1" s="79"/>
      <c r="BI1" s="79"/>
      <c r="BJ1" s="79"/>
      <c r="BK1" s="79"/>
      <c r="BL1" s="79"/>
      <c r="BM1" s="79"/>
      <c r="BN1" s="79"/>
      <c r="BO1" s="79"/>
      <c r="BP1" s="79"/>
      <c r="BQ1" s="79"/>
      <c r="BR1" s="79"/>
      <c r="BS1" s="79"/>
      <c r="BT1" s="79"/>
      <c r="BU1" s="80"/>
    </row>
    <row r="2" spans="1:75" ht="44.25" customHeight="1" x14ac:dyDescent="0.2">
      <c r="A2" s="82"/>
      <c r="B2" s="83" t="s">
        <v>95</v>
      </c>
      <c r="C2" s="83" t="s">
        <v>96</v>
      </c>
      <c r="D2" s="84" t="s">
        <v>97</v>
      </c>
      <c r="E2" s="84">
        <v>1</v>
      </c>
      <c r="F2" s="84">
        <v>2</v>
      </c>
      <c r="G2" s="84">
        <v>1</v>
      </c>
      <c r="H2" s="84">
        <v>2</v>
      </c>
      <c r="I2" s="84">
        <v>3</v>
      </c>
      <c r="J2" s="84">
        <v>4</v>
      </c>
      <c r="K2" s="84">
        <v>5</v>
      </c>
      <c r="L2" s="84">
        <v>6</v>
      </c>
      <c r="M2" s="84">
        <v>7</v>
      </c>
      <c r="N2" s="84">
        <v>8</v>
      </c>
      <c r="O2" s="84">
        <v>9</v>
      </c>
      <c r="P2" s="84">
        <v>10</v>
      </c>
      <c r="Q2" s="84">
        <v>11</v>
      </c>
      <c r="R2" s="84">
        <v>12</v>
      </c>
      <c r="S2" s="84">
        <v>13</v>
      </c>
      <c r="T2" s="84">
        <v>14</v>
      </c>
      <c r="U2" s="84">
        <v>15</v>
      </c>
      <c r="V2" s="84">
        <v>16</v>
      </c>
      <c r="W2" s="84">
        <v>17</v>
      </c>
      <c r="X2" s="84">
        <v>18</v>
      </c>
      <c r="Y2" s="84">
        <v>19</v>
      </c>
      <c r="Z2" s="84">
        <v>20</v>
      </c>
      <c r="AA2" s="84">
        <v>21</v>
      </c>
      <c r="AB2" s="84">
        <v>22</v>
      </c>
      <c r="AC2" s="84">
        <v>23</v>
      </c>
      <c r="AD2" s="84">
        <v>24</v>
      </c>
      <c r="AE2" s="84">
        <v>25</v>
      </c>
      <c r="AF2" s="84">
        <v>26</v>
      </c>
      <c r="AG2" s="84">
        <v>27</v>
      </c>
      <c r="AH2" s="84">
        <v>28</v>
      </c>
      <c r="AI2" s="84">
        <v>29</v>
      </c>
      <c r="AJ2" s="84">
        <v>30</v>
      </c>
      <c r="AK2" s="84">
        <v>31</v>
      </c>
      <c r="AL2" s="84">
        <v>7</v>
      </c>
      <c r="AM2" s="84">
        <v>8</v>
      </c>
      <c r="AN2" s="84">
        <v>9</v>
      </c>
      <c r="AO2" s="84">
        <v>10</v>
      </c>
      <c r="AP2" s="84">
        <v>11</v>
      </c>
      <c r="AQ2" s="84">
        <v>12</v>
      </c>
      <c r="AR2" s="84">
        <v>13</v>
      </c>
      <c r="AS2" s="84">
        <v>14</v>
      </c>
      <c r="AT2" s="84">
        <v>15</v>
      </c>
      <c r="AU2" s="84">
        <v>16</v>
      </c>
      <c r="AV2" s="84">
        <v>17</v>
      </c>
      <c r="AW2" s="84">
        <v>18</v>
      </c>
      <c r="AX2" s="84">
        <v>19</v>
      </c>
      <c r="AY2" s="84">
        <v>20</v>
      </c>
      <c r="AZ2" s="84">
        <v>21</v>
      </c>
      <c r="BA2" s="84">
        <v>22</v>
      </c>
      <c r="BB2" s="84">
        <v>23</v>
      </c>
      <c r="BC2" s="84">
        <v>24</v>
      </c>
      <c r="BD2" s="84">
        <v>25</v>
      </c>
      <c r="BE2" s="84">
        <v>26</v>
      </c>
      <c r="BF2" s="84">
        <v>27</v>
      </c>
      <c r="BG2" s="84">
        <v>28</v>
      </c>
      <c r="BH2" s="84">
        <v>16</v>
      </c>
      <c r="BI2" s="84">
        <v>17</v>
      </c>
      <c r="BJ2" s="84">
        <v>18</v>
      </c>
      <c r="BK2" s="84">
        <v>19</v>
      </c>
      <c r="BL2" s="84">
        <v>20</v>
      </c>
      <c r="BM2" s="84">
        <v>21</v>
      </c>
      <c r="BN2" s="84">
        <v>22</v>
      </c>
      <c r="BO2" s="84">
        <v>23</v>
      </c>
      <c r="BP2" s="84">
        <v>24</v>
      </c>
      <c r="BQ2" s="84">
        <v>25</v>
      </c>
      <c r="BR2" s="84">
        <v>26</v>
      </c>
      <c r="BS2" s="84">
        <v>27</v>
      </c>
      <c r="BT2" s="84">
        <v>28</v>
      </c>
      <c r="BU2" s="85" t="s">
        <v>98</v>
      </c>
    </row>
    <row r="3" spans="1:75" s="92" customFormat="1" x14ac:dyDescent="0.2">
      <c r="A3" s="86" t="s">
        <v>99</v>
      </c>
      <c r="B3" s="87" t="s">
        <v>100</v>
      </c>
      <c r="C3" s="88"/>
      <c r="D3" s="89" t="s">
        <v>101</v>
      </c>
      <c r="E3" s="90"/>
      <c r="F3" s="91"/>
      <c r="G3" s="91"/>
      <c r="H3" s="91"/>
      <c r="I3" s="231"/>
      <c r="J3" s="232"/>
      <c r="K3" s="232"/>
      <c r="L3" s="232"/>
      <c r="M3" s="232"/>
      <c r="N3" s="232"/>
      <c r="O3" s="232"/>
      <c r="P3" s="232"/>
      <c r="Q3" s="232"/>
      <c r="R3" s="232"/>
      <c r="S3" s="232"/>
      <c r="T3" s="232"/>
      <c r="U3" s="232"/>
      <c r="V3" s="232"/>
      <c r="W3" s="232"/>
      <c r="X3" s="232"/>
      <c r="Y3" s="232"/>
      <c r="Z3" s="232"/>
      <c r="AA3" s="232"/>
      <c r="AB3" s="232"/>
      <c r="AC3" s="232"/>
      <c r="AD3" s="232"/>
      <c r="AE3" s="232"/>
      <c r="AF3" s="232"/>
      <c r="AG3" s="232"/>
      <c r="AH3" s="232"/>
      <c r="AI3" s="232"/>
      <c r="AJ3" s="232"/>
      <c r="AK3" s="232"/>
      <c r="AL3" s="232"/>
      <c r="AM3" s="232"/>
      <c r="AN3" s="232"/>
      <c r="AO3" s="232"/>
      <c r="AP3" s="232"/>
      <c r="AQ3" s="232"/>
      <c r="AR3" s="232"/>
      <c r="AS3" s="232"/>
      <c r="AT3" s="232"/>
      <c r="AU3" s="232"/>
      <c r="AV3" s="232"/>
      <c r="AW3" s="232"/>
      <c r="AX3" s="232"/>
      <c r="AY3" s="232"/>
      <c r="AZ3" s="232"/>
      <c r="BA3" s="232"/>
      <c r="BB3" s="232"/>
      <c r="BC3" s="232"/>
      <c r="BD3" s="232"/>
      <c r="BE3" s="232"/>
      <c r="BF3" s="232"/>
      <c r="BG3" s="232"/>
      <c r="BH3" s="232"/>
      <c r="BI3" s="232"/>
      <c r="BJ3" s="232"/>
      <c r="BK3" s="232"/>
      <c r="BL3" s="232"/>
      <c r="BM3" s="232"/>
      <c r="BN3" s="232"/>
      <c r="BO3" s="232"/>
      <c r="BP3" s="232"/>
      <c r="BQ3" s="232"/>
      <c r="BR3" s="232"/>
      <c r="BS3" s="232"/>
      <c r="BT3" s="232"/>
      <c r="BU3" s="233"/>
    </row>
    <row r="4" spans="1:75" x14ac:dyDescent="0.2">
      <c r="A4" s="93">
        <v>1</v>
      </c>
      <c r="B4" s="94" t="s">
        <v>102</v>
      </c>
      <c r="C4" s="95"/>
      <c r="D4" s="96" t="s">
        <v>16</v>
      </c>
      <c r="E4" s="90">
        <v>0</v>
      </c>
      <c r="F4" s="90">
        <v>0</v>
      </c>
      <c r="G4" s="97">
        <v>0</v>
      </c>
      <c r="H4" s="97">
        <v>1.512</v>
      </c>
      <c r="I4" s="97">
        <v>2.52</v>
      </c>
      <c r="J4" s="97">
        <v>4.5359999999999996</v>
      </c>
      <c r="K4" s="97">
        <v>4.032</v>
      </c>
      <c r="L4" s="97">
        <v>0.504</v>
      </c>
      <c r="M4" s="97">
        <v>0</v>
      </c>
      <c r="N4" s="97">
        <v>0</v>
      </c>
      <c r="O4" s="97">
        <v>0</v>
      </c>
      <c r="P4" s="97">
        <v>0</v>
      </c>
      <c r="Q4" s="97">
        <v>0</v>
      </c>
      <c r="R4" s="97">
        <v>0</v>
      </c>
      <c r="S4" s="97">
        <v>0</v>
      </c>
      <c r="T4" s="97">
        <v>0</v>
      </c>
      <c r="U4" s="97">
        <v>0</v>
      </c>
      <c r="V4" s="97">
        <v>0</v>
      </c>
      <c r="W4" s="97">
        <v>0</v>
      </c>
      <c r="X4" s="97">
        <v>0</v>
      </c>
      <c r="Y4" s="97">
        <v>0</v>
      </c>
      <c r="Z4" s="97">
        <v>0</v>
      </c>
      <c r="AA4" s="97">
        <v>0</v>
      </c>
      <c r="AB4" s="97">
        <v>0</v>
      </c>
      <c r="AC4" s="97">
        <v>0</v>
      </c>
      <c r="AD4" s="97">
        <v>0</v>
      </c>
      <c r="AE4" s="97">
        <v>0</v>
      </c>
      <c r="AF4" s="97">
        <v>2.2679999999999998</v>
      </c>
      <c r="AG4" s="97">
        <v>0</v>
      </c>
      <c r="AH4" s="97">
        <v>0</v>
      </c>
      <c r="AI4" s="97">
        <v>0</v>
      </c>
      <c r="AJ4" s="97">
        <v>0.75600000000000001</v>
      </c>
      <c r="AK4" s="97">
        <v>0.53600000000000003</v>
      </c>
      <c r="AL4" s="97"/>
      <c r="AM4" s="97"/>
      <c r="AN4" s="98"/>
      <c r="AO4" s="98"/>
      <c r="AP4" s="98"/>
      <c r="AQ4" s="98"/>
      <c r="AR4" s="98"/>
      <c r="AS4" s="98"/>
      <c r="AT4" s="98"/>
      <c r="AU4" s="98"/>
      <c r="AV4" s="98"/>
      <c r="AW4" s="98"/>
      <c r="AX4" s="98"/>
      <c r="AY4" s="98"/>
      <c r="AZ4" s="98"/>
      <c r="BA4" s="98"/>
      <c r="BB4" s="98"/>
      <c r="BC4" s="98"/>
      <c r="BD4" s="98"/>
      <c r="BE4" s="98"/>
      <c r="BF4" s="98"/>
      <c r="BG4" s="98"/>
      <c r="BH4" s="99"/>
      <c r="BI4" s="99"/>
      <c r="BJ4" s="99"/>
      <c r="BK4" s="99"/>
      <c r="BL4" s="99"/>
      <c r="BM4" s="99"/>
      <c r="BN4" s="99"/>
      <c r="BO4" s="99"/>
      <c r="BP4" s="99"/>
      <c r="BQ4" s="99"/>
      <c r="BR4" s="99"/>
      <c r="BS4" s="99"/>
      <c r="BT4" s="99"/>
      <c r="BU4" s="100">
        <f t="shared" ref="BU4:BU45" si="0">SUM(G4:BG4)</f>
        <v>16.664000000000001</v>
      </c>
      <c r="BV4" s="101"/>
    </row>
    <row r="5" spans="1:75" x14ac:dyDescent="0.2">
      <c r="A5" s="93">
        <v>2</v>
      </c>
      <c r="B5" s="94" t="s">
        <v>103</v>
      </c>
      <c r="C5" s="95"/>
      <c r="D5" s="96" t="s">
        <v>16</v>
      </c>
      <c r="E5" s="90"/>
      <c r="F5" s="90"/>
      <c r="G5" s="97">
        <v>15.09</v>
      </c>
      <c r="H5" s="97">
        <v>15.593</v>
      </c>
      <c r="I5" s="97">
        <v>32.695</v>
      </c>
      <c r="J5" s="97">
        <v>33.953000000000003</v>
      </c>
      <c r="K5" s="97">
        <v>40.743000000000002</v>
      </c>
      <c r="L5" s="97">
        <v>13.581</v>
      </c>
      <c r="M5" s="97">
        <v>11.066000000000001</v>
      </c>
      <c r="N5" s="97">
        <v>0</v>
      </c>
      <c r="O5" s="97">
        <v>3.5209999999999999</v>
      </c>
      <c r="P5" s="97">
        <v>28.670999999999999</v>
      </c>
      <c r="Q5" s="97">
        <v>40.24</v>
      </c>
      <c r="R5" s="97">
        <v>37.222000000000001</v>
      </c>
      <c r="S5" s="97">
        <v>20.623000000000001</v>
      </c>
      <c r="T5" s="97">
        <v>5.03</v>
      </c>
      <c r="U5" s="97">
        <v>0</v>
      </c>
      <c r="V5" s="97">
        <v>0</v>
      </c>
      <c r="W5" s="97">
        <v>17.605</v>
      </c>
      <c r="X5" s="97">
        <v>20.623000000000001</v>
      </c>
      <c r="Y5" s="97">
        <v>26.91</v>
      </c>
      <c r="Z5" s="97">
        <v>30.934999999999999</v>
      </c>
      <c r="AA5" s="97">
        <v>30.18</v>
      </c>
      <c r="AB5" s="97">
        <v>10.563000000000001</v>
      </c>
      <c r="AC5" s="97">
        <v>24.143999999999998</v>
      </c>
      <c r="AD5" s="97">
        <v>26.408000000000001</v>
      </c>
      <c r="AE5" s="97">
        <v>29.425999999999998</v>
      </c>
      <c r="AF5" s="97">
        <v>45.773000000000003</v>
      </c>
      <c r="AG5" s="97">
        <v>20.372</v>
      </c>
      <c r="AH5" s="97">
        <v>21.126000000000001</v>
      </c>
      <c r="AI5" s="97">
        <v>26.408000000000001</v>
      </c>
      <c r="AJ5" s="97">
        <v>52.311999999999998</v>
      </c>
      <c r="AK5" s="97">
        <v>28.42</v>
      </c>
      <c r="AL5" s="97"/>
      <c r="AM5" s="97"/>
      <c r="AN5" s="98"/>
      <c r="AO5" s="98"/>
      <c r="AP5" s="98"/>
      <c r="AQ5" s="98"/>
      <c r="AR5" s="98"/>
      <c r="AS5" s="98"/>
      <c r="AT5" s="98"/>
      <c r="AU5" s="98"/>
      <c r="AV5" s="98"/>
      <c r="AW5" s="98"/>
      <c r="AX5" s="98"/>
      <c r="AY5" s="98"/>
      <c r="AZ5" s="98"/>
      <c r="BA5" s="98"/>
      <c r="BB5" s="98"/>
      <c r="BC5" s="98"/>
      <c r="BD5" s="98"/>
      <c r="BE5" s="98"/>
      <c r="BF5" s="98"/>
      <c r="BG5" s="98"/>
      <c r="BH5" s="99"/>
      <c r="BI5" s="99"/>
      <c r="BJ5" s="99"/>
      <c r="BK5" s="99"/>
      <c r="BL5" s="99"/>
      <c r="BM5" s="99"/>
      <c r="BN5" s="99"/>
      <c r="BO5" s="99"/>
      <c r="BP5" s="99"/>
      <c r="BQ5" s="99"/>
      <c r="BR5" s="99"/>
      <c r="BS5" s="99"/>
      <c r="BT5" s="99"/>
      <c r="BU5" s="100">
        <f t="shared" si="0"/>
        <v>709.23299999999995</v>
      </c>
      <c r="BV5" s="101"/>
      <c r="BW5" s="126"/>
    </row>
    <row r="6" spans="1:75" x14ac:dyDescent="0.2">
      <c r="A6" s="93">
        <v>3</v>
      </c>
      <c r="B6" s="94" t="s">
        <v>104</v>
      </c>
      <c r="C6" s="95"/>
      <c r="D6" s="96" t="s">
        <v>16</v>
      </c>
      <c r="E6" s="90">
        <v>0</v>
      </c>
      <c r="F6" s="90">
        <v>0</v>
      </c>
      <c r="G6" s="97">
        <v>0</v>
      </c>
      <c r="H6" s="97">
        <v>0</v>
      </c>
      <c r="I6" s="97">
        <v>0</v>
      </c>
      <c r="J6" s="97">
        <v>0</v>
      </c>
      <c r="K6" s="97">
        <v>0</v>
      </c>
      <c r="L6" s="97">
        <v>0</v>
      </c>
      <c r="M6" s="97">
        <v>0</v>
      </c>
      <c r="N6" s="97">
        <v>0</v>
      </c>
      <c r="O6" s="97">
        <v>0</v>
      </c>
      <c r="P6" s="97">
        <v>0</v>
      </c>
      <c r="Q6" s="97">
        <v>0</v>
      </c>
      <c r="R6" s="97">
        <v>0</v>
      </c>
      <c r="S6" s="97">
        <v>0</v>
      </c>
      <c r="T6" s="97">
        <v>0</v>
      </c>
      <c r="U6" s="97">
        <v>0</v>
      </c>
      <c r="V6" s="97">
        <v>0</v>
      </c>
      <c r="W6" s="97">
        <v>0</v>
      </c>
      <c r="X6" s="97">
        <v>0</v>
      </c>
      <c r="Y6" s="97">
        <v>0</v>
      </c>
      <c r="Z6" s="97">
        <v>0</v>
      </c>
      <c r="AA6" s="97">
        <v>0</v>
      </c>
      <c r="AB6" s="97">
        <v>0</v>
      </c>
      <c r="AC6" s="97">
        <v>0</v>
      </c>
      <c r="AD6" s="97">
        <v>0</v>
      </c>
      <c r="AE6" s="97">
        <v>0</v>
      </c>
      <c r="AF6" s="97">
        <v>0</v>
      </c>
      <c r="AG6" s="97">
        <v>0</v>
      </c>
      <c r="AH6" s="97">
        <v>0</v>
      </c>
      <c r="AI6" s="97">
        <v>0</v>
      </c>
      <c r="AJ6" s="97">
        <v>0</v>
      </c>
      <c r="AK6" s="97">
        <v>0</v>
      </c>
      <c r="AL6" s="97"/>
      <c r="AM6" s="97"/>
      <c r="AN6" s="98"/>
      <c r="AO6" s="98"/>
      <c r="AP6" s="98"/>
      <c r="AQ6" s="98"/>
      <c r="AR6" s="98"/>
      <c r="AS6" s="98"/>
      <c r="AT6" s="98"/>
      <c r="AU6" s="98"/>
      <c r="AV6" s="98"/>
      <c r="AW6" s="98"/>
      <c r="AX6" s="98"/>
      <c r="AY6" s="98"/>
      <c r="AZ6" s="98"/>
      <c r="BA6" s="98"/>
      <c r="BB6" s="98"/>
      <c r="BC6" s="98"/>
      <c r="BD6" s="98"/>
      <c r="BE6" s="98"/>
      <c r="BF6" s="98"/>
      <c r="BG6" s="98"/>
      <c r="BH6" s="99"/>
      <c r="BI6" s="99"/>
      <c r="BJ6" s="99"/>
      <c r="BK6" s="99"/>
      <c r="BL6" s="99"/>
      <c r="BM6" s="99"/>
      <c r="BN6" s="99"/>
      <c r="BO6" s="99"/>
      <c r="BP6" s="99"/>
      <c r="BQ6" s="99"/>
      <c r="BR6" s="99"/>
      <c r="BS6" s="99"/>
      <c r="BT6" s="99"/>
      <c r="BU6" s="100">
        <f t="shared" si="0"/>
        <v>0</v>
      </c>
      <c r="BV6" s="101"/>
      <c r="BW6" s="126"/>
    </row>
    <row r="7" spans="1:75" x14ac:dyDescent="0.2">
      <c r="A7" s="93">
        <v>4</v>
      </c>
      <c r="B7" s="94" t="s">
        <v>105</v>
      </c>
      <c r="C7" s="95"/>
      <c r="D7" s="96" t="s">
        <v>16</v>
      </c>
      <c r="E7" s="90">
        <v>0</v>
      </c>
      <c r="F7" s="90">
        <v>0</v>
      </c>
      <c r="G7" s="97">
        <v>15.06</v>
      </c>
      <c r="H7" s="97">
        <v>17.068000000000001</v>
      </c>
      <c r="I7" s="97">
        <v>14.808999999999999</v>
      </c>
      <c r="J7" s="97">
        <v>11.044</v>
      </c>
      <c r="K7" s="97">
        <v>13.554</v>
      </c>
      <c r="L7" s="97">
        <v>9.5380000000000003</v>
      </c>
      <c r="M7" s="97">
        <v>11.044</v>
      </c>
      <c r="N7" s="97">
        <v>0</v>
      </c>
      <c r="O7" s="97">
        <v>3.5139999999999998</v>
      </c>
      <c r="P7" s="97">
        <v>2.5099999999999998</v>
      </c>
      <c r="Q7" s="97">
        <v>0</v>
      </c>
      <c r="R7" s="97">
        <v>0</v>
      </c>
      <c r="S7" s="97">
        <v>12.55</v>
      </c>
      <c r="T7" s="97">
        <v>17.068000000000001</v>
      </c>
      <c r="U7" s="97">
        <v>18.071999999999999</v>
      </c>
      <c r="V7" s="97">
        <v>18.574000000000002</v>
      </c>
      <c r="W7" s="97">
        <v>21.084</v>
      </c>
      <c r="X7" s="97">
        <v>20.582000000000001</v>
      </c>
      <c r="Y7" s="97">
        <v>18.574000000000002</v>
      </c>
      <c r="Z7" s="97">
        <v>16.565999999999999</v>
      </c>
      <c r="AA7" s="97">
        <v>10.039999999999999</v>
      </c>
      <c r="AB7" s="97">
        <v>3.5139999999999998</v>
      </c>
      <c r="AC7" s="97">
        <v>8.032</v>
      </c>
      <c r="AD7" s="97">
        <v>8.7850000000000001</v>
      </c>
      <c r="AE7" s="97">
        <v>15.06</v>
      </c>
      <c r="AF7" s="97">
        <v>4.5179999999999998</v>
      </c>
      <c r="AG7" s="97">
        <v>20.832999999999998</v>
      </c>
      <c r="AH7" s="97">
        <v>21.084</v>
      </c>
      <c r="AI7" s="97">
        <v>26.355</v>
      </c>
      <c r="AJ7" s="97">
        <v>0</v>
      </c>
      <c r="AK7" s="97">
        <v>6.7770000000000001</v>
      </c>
      <c r="AL7" s="97"/>
      <c r="AM7" s="97"/>
      <c r="AN7" s="98"/>
      <c r="AO7" s="98"/>
      <c r="AP7" s="98"/>
      <c r="AQ7" s="98"/>
      <c r="AR7" s="98"/>
      <c r="AS7" s="98"/>
      <c r="AT7" s="98"/>
      <c r="AU7" s="98"/>
      <c r="AV7" s="98"/>
      <c r="AW7" s="98"/>
      <c r="AX7" s="98"/>
      <c r="AY7" s="98"/>
      <c r="AZ7" s="98"/>
      <c r="BA7" s="98"/>
      <c r="BB7" s="98"/>
      <c r="BC7" s="98"/>
      <c r="BD7" s="98"/>
      <c r="BE7" s="98"/>
      <c r="BF7" s="98"/>
      <c r="BG7" s="98"/>
      <c r="BH7" s="99"/>
      <c r="BI7" s="99"/>
      <c r="BJ7" s="99"/>
      <c r="BK7" s="99"/>
      <c r="BL7" s="99"/>
      <c r="BM7" s="99"/>
      <c r="BN7" s="99"/>
      <c r="BO7" s="99"/>
      <c r="BP7" s="99"/>
      <c r="BQ7" s="99"/>
      <c r="BR7" s="99"/>
      <c r="BS7" s="99"/>
      <c r="BT7" s="99"/>
      <c r="BU7" s="100">
        <f t="shared" si="0"/>
        <v>366.20900000000006</v>
      </c>
      <c r="BV7" s="101"/>
    </row>
    <row r="8" spans="1:75" x14ac:dyDescent="0.2">
      <c r="A8" s="93">
        <v>5</v>
      </c>
      <c r="B8" s="94" t="s">
        <v>106</v>
      </c>
      <c r="C8" s="95"/>
      <c r="D8" s="96" t="s">
        <v>16</v>
      </c>
      <c r="E8" s="90"/>
      <c r="F8" s="90"/>
      <c r="G8" s="97">
        <v>15.48</v>
      </c>
      <c r="H8" s="97">
        <v>17.544</v>
      </c>
      <c r="I8" s="97">
        <v>6.9660000000000002</v>
      </c>
      <c r="J8" s="97">
        <v>0</v>
      </c>
      <c r="K8" s="97">
        <v>0</v>
      </c>
      <c r="L8" s="97">
        <v>7.74</v>
      </c>
      <c r="M8" s="97">
        <v>11.352</v>
      </c>
      <c r="N8" s="97">
        <v>0</v>
      </c>
      <c r="O8" s="97">
        <v>3.6120000000000001</v>
      </c>
      <c r="P8" s="97">
        <v>29.411999999999999</v>
      </c>
      <c r="Q8" s="97">
        <v>41.28</v>
      </c>
      <c r="R8" s="97">
        <v>38.183999999999997</v>
      </c>
      <c r="S8" s="97">
        <v>21.155999999999999</v>
      </c>
      <c r="T8" s="97">
        <v>17.544</v>
      </c>
      <c r="U8" s="97">
        <v>18.576000000000001</v>
      </c>
      <c r="V8" s="97">
        <v>19.091999999999999</v>
      </c>
      <c r="W8" s="97">
        <v>21.672000000000001</v>
      </c>
      <c r="X8" s="97">
        <v>21.155999999999999</v>
      </c>
      <c r="Y8" s="97">
        <v>27.606000000000002</v>
      </c>
      <c r="Z8" s="97">
        <v>26.574000000000002</v>
      </c>
      <c r="AA8" s="97">
        <v>20.64</v>
      </c>
      <c r="AB8" s="97">
        <v>7.2240000000000002</v>
      </c>
      <c r="AC8" s="97">
        <v>16.512</v>
      </c>
      <c r="AD8" s="97">
        <v>18.059999999999999</v>
      </c>
      <c r="AE8" s="97">
        <v>23.478000000000002</v>
      </c>
      <c r="AF8" s="97">
        <v>0</v>
      </c>
      <c r="AG8" s="97">
        <v>13.416</v>
      </c>
      <c r="AH8" s="97">
        <v>14.448</v>
      </c>
      <c r="AI8" s="97">
        <v>18.059999999999999</v>
      </c>
      <c r="AJ8" s="97">
        <v>0</v>
      </c>
      <c r="AK8" s="97">
        <v>27.864000000000001</v>
      </c>
      <c r="AL8" s="97"/>
      <c r="AM8" s="97"/>
      <c r="AN8" s="98"/>
      <c r="AO8" s="98"/>
      <c r="AP8" s="98"/>
      <c r="AQ8" s="98"/>
      <c r="AR8" s="98"/>
      <c r="AS8" s="98"/>
      <c r="AT8" s="98"/>
      <c r="AU8" s="98"/>
      <c r="AV8" s="98"/>
      <c r="AW8" s="98"/>
      <c r="AX8" s="98"/>
      <c r="AY8" s="98"/>
      <c r="AZ8" s="98"/>
      <c r="BA8" s="98"/>
      <c r="BB8" s="98"/>
      <c r="BC8" s="98"/>
      <c r="BD8" s="98"/>
      <c r="BE8" s="98"/>
      <c r="BF8" s="98"/>
      <c r="BG8" s="98"/>
      <c r="BH8" s="99"/>
      <c r="BI8" s="99"/>
      <c r="BJ8" s="99"/>
      <c r="BK8" s="99"/>
      <c r="BL8" s="99"/>
      <c r="BM8" s="99"/>
      <c r="BN8" s="99"/>
      <c r="BO8" s="99"/>
      <c r="BP8" s="99"/>
      <c r="BQ8" s="99"/>
      <c r="BR8" s="99"/>
      <c r="BS8" s="99"/>
      <c r="BT8" s="99"/>
      <c r="BU8" s="100">
        <f t="shared" si="0"/>
        <v>504.64800000000002</v>
      </c>
      <c r="BV8" s="101"/>
    </row>
    <row r="9" spans="1:75" x14ac:dyDescent="0.2">
      <c r="A9" s="93">
        <v>6</v>
      </c>
      <c r="B9" s="94" t="s">
        <v>107</v>
      </c>
      <c r="C9" s="95"/>
      <c r="D9" s="96" t="s">
        <v>16</v>
      </c>
      <c r="E9" s="90"/>
      <c r="F9" s="90"/>
      <c r="G9" s="97">
        <v>0</v>
      </c>
      <c r="H9" s="97">
        <v>0</v>
      </c>
      <c r="I9" s="97">
        <v>0</v>
      </c>
      <c r="J9" s="97">
        <v>0</v>
      </c>
      <c r="K9" s="97">
        <v>0</v>
      </c>
      <c r="L9" s="97">
        <v>0</v>
      </c>
      <c r="M9" s="97">
        <v>0</v>
      </c>
      <c r="N9" s="97">
        <v>0</v>
      </c>
      <c r="O9" s="97">
        <v>0</v>
      </c>
      <c r="P9" s="97">
        <v>0</v>
      </c>
      <c r="Q9" s="97">
        <v>0</v>
      </c>
      <c r="R9" s="97">
        <v>0</v>
      </c>
      <c r="S9" s="97">
        <v>0</v>
      </c>
      <c r="T9" s="97">
        <v>0</v>
      </c>
      <c r="U9" s="97">
        <v>0</v>
      </c>
      <c r="V9" s="97">
        <v>0</v>
      </c>
      <c r="W9" s="97">
        <v>0</v>
      </c>
      <c r="X9" s="97">
        <v>0</v>
      </c>
      <c r="Y9" s="97">
        <v>0</v>
      </c>
      <c r="Z9" s="97">
        <v>0</v>
      </c>
      <c r="AA9" s="97">
        <v>0</v>
      </c>
      <c r="AB9" s="97">
        <v>0</v>
      </c>
      <c r="AC9" s="97">
        <v>0</v>
      </c>
      <c r="AD9" s="97">
        <v>0</v>
      </c>
      <c r="AE9" s="97">
        <v>0</v>
      </c>
      <c r="AF9" s="97">
        <v>0</v>
      </c>
      <c r="AG9" s="97">
        <v>0</v>
      </c>
      <c r="AH9" s="97">
        <v>0</v>
      </c>
      <c r="AI9" s="97">
        <v>0</v>
      </c>
      <c r="AJ9" s="97">
        <v>0</v>
      </c>
      <c r="AK9" s="97">
        <v>0</v>
      </c>
      <c r="AL9" s="97"/>
      <c r="AM9" s="97"/>
      <c r="AN9" s="98"/>
      <c r="AO9" s="98"/>
      <c r="AP9" s="98"/>
      <c r="AQ9" s="98"/>
      <c r="AR9" s="98"/>
      <c r="AS9" s="98"/>
      <c r="AT9" s="98"/>
      <c r="AU9" s="98"/>
      <c r="AV9" s="98"/>
      <c r="AW9" s="98"/>
      <c r="AX9" s="98"/>
      <c r="AY9" s="98"/>
      <c r="AZ9" s="98"/>
      <c r="BA9" s="98"/>
      <c r="BB9" s="98"/>
      <c r="BC9" s="98"/>
      <c r="BD9" s="98"/>
      <c r="BE9" s="98"/>
      <c r="BF9" s="98"/>
      <c r="BG9" s="98"/>
      <c r="BH9" s="99"/>
      <c r="BI9" s="99"/>
      <c r="BJ9" s="99"/>
      <c r="BK9" s="99"/>
      <c r="BL9" s="99"/>
      <c r="BM9" s="99"/>
      <c r="BN9" s="99"/>
      <c r="BO9" s="99"/>
      <c r="BP9" s="99"/>
      <c r="BQ9" s="99"/>
      <c r="BR9" s="99"/>
      <c r="BS9" s="99"/>
      <c r="BT9" s="99"/>
      <c r="BU9" s="100">
        <f t="shared" si="0"/>
        <v>0</v>
      </c>
      <c r="BV9" s="101"/>
    </row>
    <row r="10" spans="1:75" x14ac:dyDescent="0.2">
      <c r="A10" s="93">
        <v>7</v>
      </c>
      <c r="B10" s="94" t="s">
        <v>108</v>
      </c>
      <c r="C10" s="95"/>
      <c r="D10" s="96" t="s">
        <v>16</v>
      </c>
      <c r="E10" s="90"/>
      <c r="F10" s="90"/>
      <c r="G10" s="97">
        <v>0</v>
      </c>
      <c r="H10" s="97">
        <v>0</v>
      </c>
      <c r="I10" s="97">
        <v>0</v>
      </c>
      <c r="J10" s="97">
        <v>0</v>
      </c>
      <c r="K10" s="97">
        <v>0</v>
      </c>
      <c r="L10" s="97">
        <v>0</v>
      </c>
      <c r="M10" s="97">
        <v>0</v>
      </c>
      <c r="N10" s="97">
        <v>0</v>
      </c>
      <c r="O10" s="97">
        <v>0</v>
      </c>
      <c r="P10" s="97">
        <v>0</v>
      </c>
      <c r="Q10" s="97">
        <v>0</v>
      </c>
      <c r="R10" s="97">
        <v>0</v>
      </c>
      <c r="S10" s="97">
        <v>0</v>
      </c>
      <c r="T10" s="97">
        <v>0</v>
      </c>
      <c r="U10" s="97">
        <v>0</v>
      </c>
      <c r="V10" s="97">
        <v>0</v>
      </c>
      <c r="W10" s="97">
        <v>0</v>
      </c>
      <c r="X10" s="97">
        <v>0</v>
      </c>
      <c r="Y10" s="97">
        <v>0</v>
      </c>
      <c r="Z10" s="97">
        <v>0</v>
      </c>
      <c r="AA10" s="97">
        <v>0</v>
      </c>
      <c r="AB10" s="97">
        <v>0</v>
      </c>
      <c r="AC10" s="97">
        <v>0</v>
      </c>
      <c r="AD10" s="97">
        <v>0</v>
      </c>
      <c r="AE10" s="97">
        <v>0</v>
      </c>
      <c r="AF10" s="97">
        <v>0</v>
      </c>
      <c r="AG10" s="97">
        <v>0</v>
      </c>
      <c r="AH10" s="97">
        <v>0</v>
      </c>
      <c r="AI10" s="97">
        <v>0</v>
      </c>
      <c r="AJ10" s="97">
        <v>0</v>
      </c>
      <c r="AK10" s="97">
        <v>0</v>
      </c>
      <c r="AL10" s="97"/>
      <c r="AM10" s="97"/>
      <c r="AN10" s="97"/>
      <c r="AO10" s="97"/>
      <c r="AP10" s="97"/>
      <c r="AQ10" s="97"/>
      <c r="AR10" s="97"/>
      <c r="AS10" s="97"/>
      <c r="AT10" s="97"/>
      <c r="AU10" s="97"/>
      <c r="AV10" s="97"/>
      <c r="AW10" s="97"/>
      <c r="AX10" s="97"/>
      <c r="AY10" s="97"/>
      <c r="AZ10" s="97"/>
      <c r="BA10" s="97"/>
      <c r="BB10" s="97"/>
      <c r="BC10" s="97"/>
      <c r="BD10" s="97"/>
      <c r="BE10" s="97"/>
      <c r="BF10" s="97"/>
      <c r="BG10" s="97"/>
      <c r="BH10" s="90"/>
      <c r="BI10" s="90"/>
      <c r="BJ10" s="90"/>
      <c r="BK10" s="90"/>
      <c r="BL10" s="90"/>
      <c r="BM10" s="90"/>
      <c r="BN10" s="99"/>
      <c r="BO10" s="99"/>
      <c r="BP10" s="99"/>
      <c r="BQ10" s="99"/>
      <c r="BR10" s="99"/>
      <c r="BS10" s="99"/>
      <c r="BT10" s="99"/>
      <c r="BU10" s="100">
        <f t="shared" si="0"/>
        <v>0</v>
      </c>
      <c r="BV10" s="101"/>
    </row>
    <row r="11" spans="1:75" x14ac:dyDescent="0.2">
      <c r="A11" s="93">
        <v>8</v>
      </c>
      <c r="B11" s="94" t="s">
        <v>109</v>
      </c>
      <c r="C11" s="95"/>
      <c r="D11" s="96" t="s">
        <v>16</v>
      </c>
      <c r="E11" s="90"/>
      <c r="F11" s="90"/>
      <c r="G11" s="97">
        <v>0</v>
      </c>
      <c r="H11" s="97">
        <v>0</v>
      </c>
      <c r="I11" s="97">
        <v>0</v>
      </c>
      <c r="J11" s="97">
        <v>0</v>
      </c>
      <c r="K11" s="97">
        <v>0</v>
      </c>
      <c r="L11" s="97">
        <v>0</v>
      </c>
      <c r="M11" s="97">
        <v>0</v>
      </c>
      <c r="N11" s="97">
        <v>0</v>
      </c>
      <c r="O11" s="97">
        <v>0</v>
      </c>
      <c r="P11" s="97">
        <v>0</v>
      </c>
      <c r="Q11" s="97">
        <v>0</v>
      </c>
      <c r="R11" s="97">
        <v>0</v>
      </c>
      <c r="S11" s="97">
        <v>0</v>
      </c>
      <c r="T11" s="97">
        <v>0</v>
      </c>
      <c r="U11" s="97">
        <v>0</v>
      </c>
      <c r="V11" s="97">
        <v>0</v>
      </c>
      <c r="W11" s="97">
        <v>0</v>
      </c>
      <c r="X11" s="97">
        <v>0</v>
      </c>
      <c r="Y11" s="97">
        <v>0</v>
      </c>
      <c r="Z11" s="97">
        <v>0</v>
      </c>
      <c r="AA11" s="97">
        <v>0</v>
      </c>
      <c r="AB11" s="97">
        <v>0</v>
      </c>
      <c r="AC11" s="97">
        <v>0</v>
      </c>
      <c r="AD11" s="97">
        <v>0</v>
      </c>
      <c r="AE11" s="97">
        <v>0</v>
      </c>
      <c r="AF11" s="97">
        <v>0</v>
      </c>
      <c r="AG11" s="97">
        <v>0</v>
      </c>
      <c r="AH11" s="97">
        <v>0</v>
      </c>
      <c r="AI11" s="97">
        <v>0</v>
      </c>
      <c r="AJ11" s="97">
        <v>0</v>
      </c>
      <c r="AK11" s="97">
        <v>0</v>
      </c>
      <c r="AL11" s="97"/>
      <c r="AM11" s="97"/>
      <c r="AN11" s="97"/>
      <c r="AO11" s="97"/>
      <c r="AP11" s="97"/>
      <c r="AQ11" s="97"/>
      <c r="AR11" s="97"/>
      <c r="AS11" s="97"/>
      <c r="AT11" s="97"/>
      <c r="AU11" s="97"/>
      <c r="AV11" s="97"/>
      <c r="AW11" s="97"/>
      <c r="AX11" s="97"/>
      <c r="AY11" s="97"/>
      <c r="AZ11" s="97"/>
      <c r="BA11" s="97"/>
      <c r="BB11" s="97"/>
      <c r="BC11" s="97"/>
      <c r="BD11" s="97"/>
      <c r="BE11" s="97"/>
      <c r="BF11" s="97"/>
      <c r="BG11" s="97"/>
      <c r="BH11" s="90"/>
      <c r="BI11" s="90"/>
      <c r="BJ11" s="90"/>
      <c r="BK11" s="90"/>
      <c r="BL11" s="90"/>
      <c r="BM11" s="90"/>
      <c r="BN11" s="99"/>
      <c r="BO11" s="99"/>
      <c r="BP11" s="99"/>
      <c r="BQ11" s="99"/>
      <c r="BR11" s="99"/>
      <c r="BS11" s="99"/>
      <c r="BT11" s="99"/>
      <c r="BU11" s="100">
        <f t="shared" si="0"/>
        <v>0</v>
      </c>
      <c r="BV11" s="101"/>
    </row>
    <row r="12" spans="1:75" x14ac:dyDescent="0.2">
      <c r="A12" s="93">
        <v>9</v>
      </c>
      <c r="B12" s="94" t="s">
        <v>110</v>
      </c>
      <c r="C12" s="95"/>
      <c r="D12" s="96" t="s">
        <v>16</v>
      </c>
      <c r="E12" s="90"/>
      <c r="F12" s="90"/>
      <c r="G12" s="97">
        <v>2.5099999999999998</v>
      </c>
      <c r="H12" s="97">
        <v>2.5099999999999998</v>
      </c>
      <c r="I12" s="97">
        <v>1.004</v>
      </c>
      <c r="J12" s="97">
        <v>0</v>
      </c>
      <c r="K12" s="97">
        <v>0</v>
      </c>
      <c r="L12" s="97">
        <v>3.012</v>
      </c>
      <c r="M12" s="97">
        <v>3.7650000000000001</v>
      </c>
      <c r="N12" s="97">
        <v>0</v>
      </c>
      <c r="O12" s="97">
        <v>0.753</v>
      </c>
      <c r="P12" s="97">
        <v>3.012</v>
      </c>
      <c r="Q12" s="97">
        <v>3.012</v>
      </c>
      <c r="R12" s="97">
        <v>3.012</v>
      </c>
      <c r="S12" s="97">
        <v>3.2629999999999999</v>
      </c>
      <c r="T12" s="97">
        <v>3.012</v>
      </c>
      <c r="U12" s="97">
        <v>6.5259999999999998</v>
      </c>
      <c r="V12" s="97">
        <v>5.0199999999999996</v>
      </c>
      <c r="W12" s="97">
        <v>8.5340000000000007</v>
      </c>
      <c r="X12" s="97">
        <v>8.2829999999999995</v>
      </c>
      <c r="Y12" s="97">
        <v>9.0359999999999996</v>
      </c>
      <c r="Z12" s="97">
        <v>6.7770000000000001</v>
      </c>
      <c r="AA12" s="97">
        <v>6.7770000000000001</v>
      </c>
      <c r="AB12" s="97">
        <v>2.2589999999999999</v>
      </c>
      <c r="AC12" s="97">
        <v>3.7650000000000001</v>
      </c>
      <c r="AD12" s="97">
        <v>4.5179999999999998</v>
      </c>
      <c r="AE12" s="97">
        <v>3.7650000000000001</v>
      </c>
      <c r="AF12" s="97">
        <v>0</v>
      </c>
      <c r="AG12" s="97">
        <v>0</v>
      </c>
      <c r="AH12" s="97">
        <v>0</v>
      </c>
      <c r="AI12" s="97">
        <v>0</v>
      </c>
      <c r="AJ12" s="97">
        <v>0</v>
      </c>
      <c r="AK12" s="97">
        <v>0</v>
      </c>
      <c r="AL12" s="97"/>
      <c r="AM12" s="97"/>
      <c r="AN12" s="97"/>
      <c r="AO12" s="97"/>
      <c r="AP12" s="97"/>
      <c r="AQ12" s="97"/>
      <c r="AR12" s="97"/>
      <c r="AS12" s="97"/>
      <c r="AT12" s="97"/>
      <c r="AU12" s="97"/>
      <c r="AV12" s="97"/>
      <c r="AW12" s="97"/>
      <c r="AX12" s="97"/>
      <c r="AY12" s="97"/>
      <c r="AZ12" s="97"/>
      <c r="BA12" s="97"/>
      <c r="BB12" s="97"/>
      <c r="BC12" s="97"/>
      <c r="BD12" s="97"/>
      <c r="BE12" s="97"/>
      <c r="BF12" s="97"/>
      <c r="BG12" s="97"/>
      <c r="BH12" s="90"/>
      <c r="BI12" s="90"/>
      <c r="BJ12" s="90"/>
      <c r="BK12" s="90"/>
      <c r="BL12" s="90"/>
      <c r="BM12" s="90"/>
      <c r="BN12" s="99"/>
      <c r="BO12" s="99"/>
      <c r="BP12" s="99"/>
      <c r="BQ12" s="99"/>
      <c r="BR12" s="99"/>
      <c r="BS12" s="99"/>
      <c r="BT12" s="99"/>
      <c r="BU12" s="100">
        <f t="shared" si="0"/>
        <v>94.125</v>
      </c>
      <c r="BV12" s="101"/>
    </row>
    <row r="13" spans="1:75" x14ac:dyDescent="0.2">
      <c r="A13" s="93">
        <v>10</v>
      </c>
      <c r="B13" s="94" t="s">
        <v>111</v>
      </c>
      <c r="C13" s="95"/>
      <c r="D13" s="96" t="s">
        <v>16</v>
      </c>
      <c r="E13" s="90"/>
      <c r="F13" s="90"/>
      <c r="G13" s="97">
        <v>0</v>
      </c>
      <c r="H13" s="97">
        <v>0</v>
      </c>
      <c r="I13" s="97">
        <v>0</v>
      </c>
      <c r="J13" s="97">
        <v>0</v>
      </c>
      <c r="K13" s="97">
        <v>0</v>
      </c>
      <c r="L13" s="97">
        <v>0</v>
      </c>
      <c r="M13" s="97">
        <v>0</v>
      </c>
      <c r="N13" s="97">
        <v>0</v>
      </c>
      <c r="O13" s="97">
        <v>0</v>
      </c>
      <c r="P13" s="97">
        <v>0</v>
      </c>
      <c r="Q13" s="97">
        <v>0</v>
      </c>
      <c r="R13" s="97">
        <v>0</v>
      </c>
      <c r="S13" s="97">
        <v>0</v>
      </c>
      <c r="T13" s="97">
        <v>0</v>
      </c>
      <c r="U13" s="97">
        <v>0</v>
      </c>
      <c r="V13" s="97">
        <v>0</v>
      </c>
      <c r="W13" s="97">
        <v>0</v>
      </c>
      <c r="X13" s="97">
        <v>0</v>
      </c>
      <c r="Y13" s="97">
        <v>0</v>
      </c>
      <c r="Z13" s="97">
        <v>0</v>
      </c>
      <c r="AA13" s="97">
        <v>0</v>
      </c>
      <c r="AB13" s="97">
        <v>0</v>
      </c>
      <c r="AC13" s="97">
        <v>0</v>
      </c>
      <c r="AD13" s="97">
        <v>0</v>
      </c>
      <c r="AE13" s="97">
        <v>0</v>
      </c>
      <c r="AF13" s="97">
        <v>0</v>
      </c>
      <c r="AG13" s="97">
        <v>0</v>
      </c>
      <c r="AH13" s="97">
        <v>0</v>
      </c>
      <c r="AI13" s="97">
        <v>0</v>
      </c>
      <c r="AJ13" s="97">
        <v>0</v>
      </c>
      <c r="AK13" s="97">
        <v>0</v>
      </c>
      <c r="AL13" s="97"/>
      <c r="AM13" s="97"/>
      <c r="AN13" s="97"/>
      <c r="AO13" s="97"/>
      <c r="AP13" s="97"/>
      <c r="AQ13" s="97"/>
      <c r="AR13" s="97"/>
      <c r="AS13" s="97"/>
      <c r="AT13" s="97"/>
      <c r="AU13" s="97"/>
      <c r="AV13" s="97"/>
      <c r="AW13" s="97"/>
      <c r="AX13" s="97"/>
      <c r="AY13" s="97"/>
      <c r="AZ13" s="97"/>
      <c r="BA13" s="97"/>
      <c r="BB13" s="97"/>
      <c r="BC13" s="97"/>
      <c r="BD13" s="97"/>
      <c r="BE13" s="97"/>
      <c r="BF13" s="97"/>
      <c r="BG13" s="97"/>
      <c r="BH13" s="90"/>
      <c r="BI13" s="90"/>
      <c r="BJ13" s="90"/>
      <c r="BK13" s="90"/>
      <c r="BL13" s="90"/>
      <c r="BM13" s="90"/>
      <c r="BN13" s="99"/>
      <c r="BO13" s="99"/>
      <c r="BP13" s="99"/>
      <c r="BQ13" s="99"/>
      <c r="BR13" s="99"/>
      <c r="BS13" s="99"/>
      <c r="BT13" s="99"/>
      <c r="BU13" s="100">
        <f t="shared" si="0"/>
        <v>0</v>
      </c>
      <c r="BV13" s="223"/>
    </row>
    <row r="14" spans="1:75" x14ac:dyDescent="0.2">
      <c r="A14" s="93">
        <v>11</v>
      </c>
      <c r="B14" s="94" t="s">
        <v>112</v>
      </c>
      <c r="C14" s="95"/>
      <c r="D14" s="96" t="s">
        <v>16</v>
      </c>
      <c r="E14" s="90"/>
      <c r="F14" s="90"/>
      <c r="G14" s="97">
        <v>15</v>
      </c>
      <c r="H14" s="97">
        <v>12.5</v>
      </c>
      <c r="I14" s="97">
        <v>0</v>
      </c>
      <c r="J14" s="97">
        <v>0</v>
      </c>
      <c r="K14" s="97">
        <v>0</v>
      </c>
      <c r="L14" s="97">
        <v>13.5</v>
      </c>
      <c r="M14" s="97">
        <v>11</v>
      </c>
      <c r="N14" s="97">
        <v>0</v>
      </c>
      <c r="O14" s="97">
        <v>3.5</v>
      </c>
      <c r="P14" s="97">
        <v>2.5</v>
      </c>
      <c r="Q14" s="97">
        <v>0</v>
      </c>
      <c r="R14" s="97">
        <v>0</v>
      </c>
      <c r="S14" s="97">
        <v>12.5</v>
      </c>
      <c r="T14" s="97">
        <v>29</v>
      </c>
      <c r="U14" s="97">
        <v>38</v>
      </c>
      <c r="V14" s="97">
        <v>37</v>
      </c>
      <c r="W14" s="97">
        <v>24.5</v>
      </c>
      <c r="X14" s="97">
        <v>20.5</v>
      </c>
      <c r="Y14" s="97">
        <v>5</v>
      </c>
      <c r="Z14" s="97">
        <v>10</v>
      </c>
      <c r="AA14" s="97">
        <v>20</v>
      </c>
      <c r="AB14" s="97">
        <v>7</v>
      </c>
      <c r="AC14" s="97">
        <v>16</v>
      </c>
      <c r="AD14" s="97">
        <v>17.5</v>
      </c>
      <c r="AE14" s="97">
        <v>6.577</v>
      </c>
      <c r="AF14" s="97">
        <v>0</v>
      </c>
      <c r="AG14" s="97">
        <v>0</v>
      </c>
      <c r="AH14" s="97">
        <v>0</v>
      </c>
      <c r="AI14" s="97">
        <v>0</v>
      </c>
      <c r="AJ14" s="97">
        <v>0</v>
      </c>
      <c r="AK14" s="97">
        <v>0</v>
      </c>
      <c r="AL14" s="97"/>
      <c r="AM14" s="97"/>
      <c r="AN14" s="97"/>
      <c r="AO14" s="97"/>
      <c r="AP14" s="97"/>
      <c r="AQ14" s="97"/>
      <c r="AR14" s="97"/>
      <c r="AS14" s="97"/>
      <c r="AT14" s="97"/>
      <c r="AU14" s="97"/>
      <c r="AV14" s="97"/>
      <c r="AW14" s="97"/>
      <c r="AX14" s="97"/>
      <c r="AY14" s="97"/>
      <c r="AZ14" s="97"/>
      <c r="BA14" s="97"/>
      <c r="BB14" s="97"/>
      <c r="BC14" s="97"/>
      <c r="BD14" s="97"/>
      <c r="BE14" s="97"/>
      <c r="BF14" s="97"/>
      <c r="BG14" s="97"/>
      <c r="BH14" s="90"/>
      <c r="BI14" s="90"/>
      <c r="BJ14" s="90"/>
      <c r="BK14" s="90"/>
      <c r="BL14" s="90"/>
      <c r="BM14" s="90"/>
      <c r="BN14" s="99"/>
      <c r="BO14" s="99"/>
      <c r="BP14" s="99"/>
      <c r="BQ14" s="99"/>
      <c r="BR14" s="99"/>
      <c r="BS14" s="99"/>
      <c r="BT14" s="99"/>
      <c r="BU14" s="100">
        <f t="shared" si="0"/>
        <v>301.577</v>
      </c>
      <c r="BV14" s="101"/>
    </row>
    <row r="15" spans="1:75" x14ac:dyDescent="0.2">
      <c r="A15" s="93">
        <v>12</v>
      </c>
      <c r="B15" s="94" t="s">
        <v>113</v>
      </c>
      <c r="C15" s="95"/>
      <c r="D15" s="96" t="s">
        <v>16</v>
      </c>
      <c r="E15" s="90"/>
      <c r="F15" s="90"/>
      <c r="G15" s="97">
        <v>0</v>
      </c>
      <c r="H15" s="97">
        <v>0</v>
      </c>
      <c r="I15" s="97">
        <v>0</v>
      </c>
      <c r="J15" s="97">
        <v>0</v>
      </c>
      <c r="K15" s="97">
        <v>0</v>
      </c>
      <c r="L15" s="97">
        <v>0</v>
      </c>
      <c r="M15" s="97">
        <v>0</v>
      </c>
      <c r="N15" s="97">
        <v>0</v>
      </c>
      <c r="O15" s="97">
        <v>0</v>
      </c>
      <c r="P15" s="97">
        <v>0</v>
      </c>
      <c r="Q15" s="97">
        <v>0</v>
      </c>
      <c r="R15" s="97">
        <v>0</v>
      </c>
      <c r="S15" s="97">
        <v>0</v>
      </c>
      <c r="T15" s="97">
        <v>0</v>
      </c>
      <c r="U15" s="97">
        <v>0</v>
      </c>
      <c r="V15" s="97">
        <v>0</v>
      </c>
      <c r="W15" s="97">
        <v>0</v>
      </c>
      <c r="X15" s="97">
        <v>0</v>
      </c>
      <c r="Y15" s="97">
        <v>0</v>
      </c>
      <c r="Z15" s="97">
        <v>0</v>
      </c>
      <c r="AA15" s="97">
        <v>0</v>
      </c>
      <c r="AB15" s="97">
        <v>0</v>
      </c>
      <c r="AC15" s="97">
        <v>0</v>
      </c>
      <c r="AD15" s="97">
        <v>0</v>
      </c>
      <c r="AE15" s="97">
        <v>0</v>
      </c>
      <c r="AF15" s="97">
        <v>0</v>
      </c>
      <c r="AG15" s="97">
        <v>0</v>
      </c>
      <c r="AH15" s="97">
        <v>0</v>
      </c>
      <c r="AI15" s="97">
        <v>0</v>
      </c>
      <c r="AJ15" s="97">
        <v>0</v>
      </c>
      <c r="AK15" s="97">
        <v>0</v>
      </c>
      <c r="AL15" s="97"/>
      <c r="AM15" s="97"/>
      <c r="AN15" s="97"/>
      <c r="AO15" s="97"/>
      <c r="AP15" s="97"/>
      <c r="AQ15" s="97"/>
      <c r="AR15" s="97"/>
      <c r="AS15" s="97"/>
      <c r="AT15" s="97"/>
      <c r="AU15" s="97"/>
      <c r="AV15" s="97"/>
      <c r="AW15" s="97"/>
      <c r="AX15" s="97"/>
      <c r="AY15" s="97"/>
      <c r="AZ15" s="97"/>
      <c r="BA15" s="97"/>
      <c r="BB15" s="97"/>
      <c r="BC15" s="97"/>
      <c r="BD15" s="97"/>
      <c r="BE15" s="97"/>
      <c r="BF15" s="97"/>
      <c r="BG15" s="97"/>
      <c r="BH15" s="90"/>
      <c r="BI15" s="90"/>
      <c r="BJ15" s="90"/>
      <c r="BK15" s="90"/>
      <c r="BL15" s="90"/>
      <c r="BM15" s="90"/>
      <c r="BN15" s="99"/>
      <c r="BO15" s="99"/>
      <c r="BP15" s="99"/>
      <c r="BQ15" s="99"/>
      <c r="BR15" s="99"/>
      <c r="BS15" s="99"/>
      <c r="BT15" s="99"/>
      <c r="BU15" s="100">
        <f t="shared" si="0"/>
        <v>0</v>
      </c>
      <c r="BV15" s="101"/>
    </row>
    <row r="16" spans="1:75" x14ac:dyDescent="0.2">
      <c r="A16" s="93">
        <v>13</v>
      </c>
      <c r="B16" s="94" t="s">
        <v>233</v>
      </c>
      <c r="C16" s="95"/>
      <c r="D16" s="96"/>
      <c r="E16" s="90"/>
      <c r="F16" s="90"/>
      <c r="G16" s="97">
        <v>6.15</v>
      </c>
      <c r="H16" s="97">
        <v>9.84</v>
      </c>
      <c r="I16" s="97">
        <v>8.61</v>
      </c>
      <c r="J16" s="97">
        <v>11.07</v>
      </c>
      <c r="K16" s="97">
        <v>9.84</v>
      </c>
      <c r="L16" s="97">
        <v>5.1660000000000004</v>
      </c>
      <c r="M16" s="97">
        <v>4.92</v>
      </c>
      <c r="N16" s="97">
        <v>0</v>
      </c>
      <c r="O16" s="97">
        <v>0.98399999999999999</v>
      </c>
      <c r="P16" s="97">
        <v>3.9359999999999999</v>
      </c>
      <c r="Q16" s="97">
        <v>3.9359999999999999</v>
      </c>
      <c r="R16" s="97">
        <v>3.9359999999999999</v>
      </c>
      <c r="S16" s="97">
        <v>7.1340000000000003</v>
      </c>
      <c r="T16" s="97">
        <v>7.38</v>
      </c>
      <c r="U16" s="97">
        <v>11.07</v>
      </c>
      <c r="V16" s="97">
        <v>12.3</v>
      </c>
      <c r="W16" s="97">
        <v>12.3</v>
      </c>
      <c r="X16" s="97">
        <v>10.824</v>
      </c>
      <c r="Y16" s="97">
        <v>11.808</v>
      </c>
      <c r="Z16" s="97">
        <v>8.8559999999999999</v>
      </c>
      <c r="AA16" s="97">
        <v>8.8559999999999999</v>
      </c>
      <c r="AB16" s="97">
        <v>2.952</v>
      </c>
      <c r="AC16" s="97">
        <v>4.92</v>
      </c>
      <c r="AD16" s="97">
        <v>5.9039999999999999</v>
      </c>
      <c r="AE16" s="97">
        <v>4.92</v>
      </c>
      <c r="AF16" s="97">
        <v>13.284000000000001</v>
      </c>
      <c r="AG16" s="97">
        <v>8.61</v>
      </c>
      <c r="AH16" s="97">
        <v>10.332000000000001</v>
      </c>
      <c r="AI16" s="97">
        <v>8.61</v>
      </c>
      <c r="AJ16" s="97">
        <v>8.8559999999999999</v>
      </c>
      <c r="AK16" s="97">
        <v>13.53</v>
      </c>
      <c r="AL16" s="97"/>
      <c r="AM16" s="97"/>
      <c r="AN16" s="97"/>
      <c r="AO16" s="97"/>
      <c r="AP16" s="97"/>
      <c r="AQ16" s="97"/>
      <c r="AR16" s="97"/>
      <c r="AS16" s="97"/>
      <c r="AT16" s="97"/>
      <c r="AU16" s="97"/>
      <c r="AV16" s="97"/>
      <c r="AW16" s="97"/>
      <c r="AX16" s="97"/>
      <c r="AY16" s="97"/>
      <c r="AZ16" s="97"/>
      <c r="BA16" s="97"/>
      <c r="BB16" s="97"/>
      <c r="BC16" s="97"/>
      <c r="BD16" s="97"/>
      <c r="BE16" s="97"/>
      <c r="BF16" s="97"/>
      <c r="BG16" s="97"/>
      <c r="BH16" s="90"/>
      <c r="BI16" s="90"/>
      <c r="BJ16" s="90"/>
      <c r="BK16" s="90"/>
      <c r="BL16" s="90"/>
      <c r="BM16" s="90"/>
      <c r="BN16" s="99"/>
      <c r="BO16" s="99"/>
      <c r="BP16" s="99"/>
      <c r="BQ16" s="99"/>
      <c r="BR16" s="99"/>
      <c r="BS16" s="99"/>
      <c r="BT16" s="99"/>
      <c r="BU16" s="100">
        <f t="shared" si="0"/>
        <v>240.83399999999997</v>
      </c>
      <c r="BV16" s="101"/>
    </row>
    <row r="17" spans="1:74" x14ac:dyDescent="0.2">
      <c r="A17" s="93"/>
      <c r="B17" s="102" t="s">
        <v>114</v>
      </c>
      <c r="C17" s="103"/>
      <c r="D17" s="104" t="s">
        <v>16</v>
      </c>
      <c r="E17" s="105">
        <f>SUM(E4:E7)</f>
        <v>0</v>
      </c>
      <c r="F17" s="105">
        <f>SUM(F4:F7)</f>
        <v>0</v>
      </c>
      <c r="G17" s="105">
        <f t="shared" ref="G17:AK17" si="1">SUM(G4:G16)</f>
        <v>69.289999999999992</v>
      </c>
      <c r="H17" s="105">
        <f t="shared" si="1"/>
        <v>76.567000000000007</v>
      </c>
      <c r="I17" s="105">
        <f t="shared" si="1"/>
        <v>66.603999999999999</v>
      </c>
      <c r="J17" s="105">
        <f t="shared" si="1"/>
        <v>60.603000000000002</v>
      </c>
      <c r="K17" s="105">
        <f t="shared" si="1"/>
        <v>68.169000000000011</v>
      </c>
      <c r="L17" s="105">
        <f t="shared" si="1"/>
        <v>53.040999999999997</v>
      </c>
      <c r="M17" s="105">
        <f t="shared" si="1"/>
        <v>53.147000000000006</v>
      </c>
      <c r="N17" s="105">
        <f t="shared" si="1"/>
        <v>0</v>
      </c>
      <c r="O17" s="105">
        <f t="shared" si="1"/>
        <v>15.884</v>
      </c>
      <c r="P17" s="105">
        <f t="shared" si="1"/>
        <v>70.040999999999997</v>
      </c>
      <c r="Q17" s="105">
        <f t="shared" si="1"/>
        <v>88.468000000000018</v>
      </c>
      <c r="R17" s="105">
        <f t="shared" si="1"/>
        <v>82.354000000000013</v>
      </c>
      <c r="S17" s="105">
        <f t="shared" si="1"/>
        <v>77.225999999999999</v>
      </c>
      <c r="T17" s="105">
        <f t="shared" si="1"/>
        <v>79.033999999999992</v>
      </c>
      <c r="U17" s="105">
        <f t="shared" si="1"/>
        <v>92.244</v>
      </c>
      <c r="V17" s="105">
        <f t="shared" si="1"/>
        <v>91.98599999999999</v>
      </c>
      <c r="W17" s="105">
        <f t="shared" si="1"/>
        <v>105.69500000000001</v>
      </c>
      <c r="X17" s="105">
        <f t="shared" si="1"/>
        <v>101.96799999999999</v>
      </c>
      <c r="Y17" s="105">
        <f t="shared" si="1"/>
        <v>98.933999999999997</v>
      </c>
      <c r="Z17" s="105">
        <f t="shared" si="1"/>
        <v>99.707999999999998</v>
      </c>
      <c r="AA17" s="105">
        <f t="shared" ref="AA17:AJ17" si="2">SUM(AA4:AA16)</f>
        <v>96.492999999999995</v>
      </c>
      <c r="AB17" s="105">
        <f t="shared" si="2"/>
        <v>33.512</v>
      </c>
      <c r="AC17" s="105">
        <f t="shared" si="2"/>
        <v>73.373000000000005</v>
      </c>
      <c r="AD17" s="105">
        <f t="shared" si="2"/>
        <v>81.174999999999997</v>
      </c>
      <c r="AE17" s="105">
        <f t="shared" si="2"/>
        <v>83.225999999999999</v>
      </c>
      <c r="AF17" s="105">
        <f t="shared" si="2"/>
        <v>65.843000000000004</v>
      </c>
      <c r="AG17" s="105">
        <f>SUM(AG4:AG16)</f>
        <v>63.230999999999995</v>
      </c>
      <c r="AH17" s="105">
        <f t="shared" si="2"/>
        <v>66.990000000000009</v>
      </c>
      <c r="AI17" s="105">
        <f t="shared" si="2"/>
        <v>79.433000000000007</v>
      </c>
      <c r="AJ17" s="105">
        <f t="shared" si="2"/>
        <v>61.923999999999999</v>
      </c>
      <c r="AK17" s="105">
        <f t="shared" si="1"/>
        <v>77.12700000000001</v>
      </c>
      <c r="AL17" s="105">
        <f t="shared" ref="AL17:BD17" si="3">SUM(AL4:AL15)</f>
        <v>0</v>
      </c>
      <c r="AM17" s="105">
        <f t="shared" si="3"/>
        <v>0</v>
      </c>
      <c r="AN17" s="105">
        <f t="shared" si="3"/>
        <v>0</v>
      </c>
      <c r="AO17" s="105">
        <f t="shared" si="3"/>
        <v>0</v>
      </c>
      <c r="AP17" s="105">
        <f t="shared" si="3"/>
        <v>0</v>
      </c>
      <c r="AQ17" s="105">
        <f t="shared" si="3"/>
        <v>0</v>
      </c>
      <c r="AR17" s="105">
        <f t="shared" si="3"/>
        <v>0</v>
      </c>
      <c r="AS17" s="105">
        <f t="shared" si="3"/>
        <v>0</v>
      </c>
      <c r="AT17" s="105">
        <f t="shared" si="3"/>
        <v>0</v>
      </c>
      <c r="AU17" s="105">
        <f t="shared" si="3"/>
        <v>0</v>
      </c>
      <c r="AV17" s="105">
        <f t="shared" si="3"/>
        <v>0</v>
      </c>
      <c r="AW17" s="105">
        <f t="shared" si="3"/>
        <v>0</v>
      </c>
      <c r="AX17" s="105">
        <f t="shared" si="3"/>
        <v>0</v>
      </c>
      <c r="AY17" s="105">
        <f t="shared" si="3"/>
        <v>0</v>
      </c>
      <c r="AZ17" s="105">
        <f t="shared" si="3"/>
        <v>0</v>
      </c>
      <c r="BA17" s="105">
        <f t="shared" si="3"/>
        <v>0</v>
      </c>
      <c r="BB17" s="105">
        <f t="shared" si="3"/>
        <v>0</v>
      </c>
      <c r="BC17" s="105">
        <f t="shared" si="3"/>
        <v>0</v>
      </c>
      <c r="BD17" s="105">
        <f t="shared" si="3"/>
        <v>0</v>
      </c>
      <c r="BE17" s="105">
        <f>SUM(BE4:BE15)</f>
        <v>0</v>
      </c>
      <c r="BF17" s="105">
        <f t="shared" ref="BF17:BG17" si="4">SUM(BF4:BF13)</f>
        <v>0</v>
      </c>
      <c r="BG17" s="105">
        <f t="shared" si="4"/>
        <v>0</v>
      </c>
      <c r="BH17" s="105">
        <f t="shared" ref="BH17:BM17" si="5">SUM(BH4:BH9)</f>
        <v>0</v>
      </c>
      <c r="BI17" s="105">
        <f t="shared" si="5"/>
        <v>0</v>
      </c>
      <c r="BJ17" s="105">
        <f t="shared" si="5"/>
        <v>0</v>
      </c>
      <c r="BK17" s="105">
        <f t="shared" si="5"/>
        <v>0</v>
      </c>
      <c r="BL17" s="105">
        <f t="shared" si="5"/>
        <v>0</v>
      </c>
      <c r="BM17" s="105">
        <f t="shared" si="5"/>
        <v>0</v>
      </c>
      <c r="BN17" s="105">
        <f t="shared" ref="BN17:BT17" si="6">SUM(BN4:BN10)</f>
        <v>0</v>
      </c>
      <c r="BO17" s="105">
        <f t="shared" si="6"/>
        <v>0</v>
      </c>
      <c r="BP17" s="105">
        <f t="shared" si="6"/>
        <v>0</v>
      </c>
      <c r="BQ17" s="105">
        <f t="shared" si="6"/>
        <v>0</v>
      </c>
      <c r="BR17" s="105">
        <f t="shared" si="6"/>
        <v>0</v>
      </c>
      <c r="BS17" s="105">
        <f t="shared" si="6"/>
        <v>0</v>
      </c>
      <c r="BT17" s="105">
        <f t="shared" si="6"/>
        <v>0</v>
      </c>
      <c r="BU17" s="100">
        <f t="shared" si="0"/>
        <v>2233.2900000000004</v>
      </c>
      <c r="BV17" s="101"/>
    </row>
    <row r="18" spans="1:74" ht="25" x14ac:dyDescent="0.25">
      <c r="A18" s="86" t="s">
        <v>115</v>
      </c>
      <c r="B18" s="106" t="s">
        <v>116</v>
      </c>
      <c r="C18" s="107"/>
      <c r="D18" s="107"/>
      <c r="E18" s="107"/>
      <c r="F18" s="107"/>
      <c r="G18" s="107"/>
      <c r="H18" s="234"/>
      <c r="I18" s="235"/>
      <c r="J18" s="235"/>
      <c r="K18" s="235"/>
      <c r="L18" s="235"/>
      <c r="M18" s="235"/>
      <c r="N18" s="235"/>
      <c r="O18" s="235"/>
      <c r="P18" s="235"/>
      <c r="Q18" s="235"/>
      <c r="R18" s="235"/>
      <c r="S18" s="235"/>
      <c r="T18" s="235"/>
      <c r="U18" s="235"/>
      <c r="V18" s="235"/>
      <c r="W18" s="235"/>
      <c r="X18" s="235"/>
      <c r="Y18" s="235"/>
      <c r="Z18" s="235"/>
      <c r="AA18" s="235"/>
      <c r="AB18" s="235"/>
      <c r="AC18" s="235"/>
      <c r="AD18" s="235"/>
      <c r="AE18" s="235"/>
      <c r="AF18" s="235"/>
      <c r="AG18" s="235"/>
      <c r="AH18" s="235"/>
      <c r="AI18" s="235"/>
      <c r="AJ18" s="235"/>
      <c r="AK18" s="235"/>
      <c r="AL18" s="235"/>
      <c r="AM18" s="235"/>
      <c r="AN18" s="235"/>
      <c r="AO18" s="236"/>
      <c r="AP18" s="108"/>
      <c r="AQ18" s="108"/>
      <c r="AR18" s="108"/>
      <c r="AS18" s="108"/>
      <c r="AT18" s="108"/>
      <c r="AU18" s="108"/>
      <c r="AV18" s="108"/>
      <c r="AW18" s="108"/>
      <c r="AX18" s="108"/>
      <c r="AY18" s="108"/>
      <c r="AZ18" s="108"/>
      <c r="BA18" s="108"/>
      <c r="BB18" s="108"/>
      <c r="BC18" s="108"/>
      <c r="BD18" s="108"/>
      <c r="BE18" s="108"/>
      <c r="BF18" s="108"/>
      <c r="BG18" s="108"/>
      <c r="BH18" s="108"/>
      <c r="BI18" s="108"/>
      <c r="BJ18" s="108"/>
      <c r="BK18" s="108"/>
      <c r="BL18" s="108"/>
      <c r="BM18" s="108"/>
      <c r="BN18" s="108"/>
      <c r="BO18" s="108"/>
      <c r="BP18" s="108"/>
      <c r="BQ18" s="108"/>
      <c r="BR18" s="108"/>
      <c r="BS18" s="108"/>
      <c r="BT18" s="108"/>
      <c r="BU18" s="100">
        <f t="shared" si="0"/>
        <v>0</v>
      </c>
      <c r="BV18" s="101"/>
    </row>
    <row r="19" spans="1:74" x14ac:dyDescent="0.2">
      <c r="A19" s="93">
        <v>1</v>
      </c>
      <c r="B19" s="109" t="s">
        <v>117</v>
      </c>
      <c r="C19" s="95"/>
      <c r="D19" s="96" t="s">
        <v>118</v>
      </c>
      <c r="E19" s="90"/>
      <c r="F19" s="90"/>
      <c r="G19" s="90">
        <v>0</v>
      </c>
      <c r="H19" s="90">
        <v>0</v>
      </c>
      <c r="I19" s="90">
        <v>0</v>
      </c>
      <c r="J19" s="110">
        <v>0</v>
      </c>
      <c r="K19" s="110">
        <v>0</v>
      </c>
      <c r="L19" s="90">
        <v>70</v>
      </c>
      <c r="M19" s="90">
        <v>0</v>
      </c>
      <c r="N19" s="90">
        <v>0</v>
      </c>
      <c r="O19" s="90">
        <v>0</v>
      </c>
      <c r="P19" s="90">
        <v>0</v>
      </c>
      <c r="Q19" s="90">
        <v>0</v>
      </c>
      <c r="R19" s="90">
        <v>0</v>
      </c>
      <c r="S19" s="90">
        <v>0</v>
      </c>
      <c r="T19" s="90">
        <v>0</v>
      </c>
      <c r="U19" s="90">
        <v>0</v>
      </c>
      <c r="V19" s="90">
        <v>0</v>
      </c>
      <c r="W19" s="90">
        <v>0</v>
      </c>
      <c r="X19" s="90">
        <v>0</v>
      </c>
      <c r="Y19" s="90">
        <v>0</v>
      </c>
      <c r="Z19" s="90">
        <v>0</v>
      </c>
      <c r="AA19" s="90">
        <v>0</v>
      </c>
      <c r="AB19" s="90">
        <v>0</v>
      </c>
      <c r="AC19" s="90">
        <v>0</v>
      </c>
      <c r="AD19" s="90">
        <v>0</v>
      </c>
      <c r="AE19" s="90">
        <v>0</v>
      </c>
      <c r="AF19" s="90">
        <v>0</v>
      </c>
      <c r="AG19" s="90">
        <v>0</v>
      </c>
      <c r="AH19" s="90">
        <v>0</v>
      </c>
      <c r="AI19" s="90">
        <v>0</v>
      </c>
      <c r="AJ19" s="90">
        <v>0</v>
      </c>
      <c r="AK19" s="90">
        <v>0</v>
      </c>
      <c r="AL19" s="90"/>
      <c r="AM19" s="90"/>
      <c r="AN19" s="99"/>
      <c r="AO19" s="99"/>
      <c r="AP19" s="99"/>
      <c r="AQ19" s="99"/>
      <c r="AR19" s="99"/>
      <c r="AS19" s="99"/>
      <c r="AT19" s="99"/>
      <c r="AU19" s="99"/>
      <c r="AV19" s="99"/>
      <c r="AW19" s="99"/>
      <c r="AX19" s="99"/>
      <c r="AY19" s="99"/>
      <c r="AZ19" s="99"/>
      <c r="BA19" s="99"/>
      <c r="BB19" s="99"/>
      <c r="BC19" s="99"/>
      <c r="BD19" s="99"/>
      <c r="BE19" s="99"/>
      <c r="BF19" s="99"/>
      <c r="BG19" s="99"/>
      <c r="BH19" s="99"/>
      <c r="BI19" s="99"/>
      <c r="BJ19" s="99"/>
      <c r="BK19" s="99"/>
      <c r="BL19" s="99"/>
      <c r="BM19" s="99"/>
      <c r="BN19" s="99"/>
      <c r="BO19" s="99"/>
      <c r="BP19" s="99"/>
      <c r="BQ19" s="99"/>
      <c r="BR19" s="99"/>
      <c r="BS19" s="99"/>
      <c r="BT19" s="99"/>
      <c r="BU19" s="100">
        <f t="shared" si="0"/>
        <v>70</v>
      </c>
      <c r="BV19" s="101"/>
    </row>
    <row r="20" spans="1:74" x14ac:dyDescent="0.2">
      <c r="A20" s="93">
        <v>2</v>
      </c>
      <c r="B20" s="109" t="s">
        <v>119</v>
      </c>
      <c r="C20" s="95"/>
      <c r="D20" s="96" t="s">
        <v>118</v>
      </c>
      <c r="E20" s="90"/>
      <c r="F20" s="90"/>
      <c r="G20" s="90">
        <v>18</v>
      </c>
      <c r="H20" s="90">
        <v>30</v>
      </c>
      <c r="I20" s="90">
        <v>30</v>
      </c>
      <c r="J20" s="90">
        <v>30</v>
      </c>
      <c r="K20" s="90">
        <v>35</v>
      </c>
      <c r="L20" s="90">
        <v>27</v>
      </c>
      <c r="M20" s="90">
        <v>24</v>
      </c>
      <c r="N20" s="90">
        <v>0</v>
      </c>
      <c r="O20" s="90">
        <v>20</v>
      </c>
      <c r="P20" s="90">
        <v>28</v>
      </c>
      <c r="Q20" s="90">
        <v>30</v>
      </c>
      <c r="R20" s="90">
        <v>30</v>
      </c>
      <c r="S20" s="90">
        <v>34</v>
      </c>
      <c r="T20" s="90">
        <v>26</v>
      </c>
      <c r="U20" s="111">
        <v>20</v>
      </c>
      <c r="V20" s="90">
        <v>17</v>
      </c>
      <c r="W20" s="90">
        <v>20</v>
      </c>
      <c r="X20" s="90">
        <v>22</v>
      </c>
      <c r="Y20" s="90">
        <v>25</v>
      </c>
      <c r="Z20" s="90">
        <v>23</v>
      </c>
      <c r="AA20" s="90">
        <v>23</v>
      </c>
      <c r="AB20" s="90">
        <v>22</v>
      </c>
      <c r="AC20" s="90">
        <v>23</v>
      </c>
      <c r="AD20" s="90">
        <v>23</v>
      </c>
      <c r="AE20" s="90">
        <v>22</v>
      </c>
      <c r="AF20" s="90">
        <v>27</v>
      </c>
      <c r="AG20" s="90">
        <v>30</v>
      </c>
      <c r="AH20" s="90">
        <v>26</v>
      </c>
      <c r="AI20" s="90">
        <v>27</v>
      </c>
      <c r="AJ20" s="90">
        <v>31</v>
      </c>
      <c r="AK20" s="90">
        <v>18</v>
      </c>
      <c r="AL20" s="111"/>
      <c r="AM20" s="90"/>
      <c r="AN20" s="99"/>
      <c r="AO20" s="112"/>
      <c r="AP20" s="99"/>
      <c r="AQ20" s="99"/>
      <c r="AR20" s="99"/>
      <c r="AS20" s="99"/>
      <c r="AT20" s="99"/>
      <c r="AU20" s="99"/>
      <c r="AV20" s="99"/>
      <c r="AW20" s="99"/>
      <c r="AX20" s="99"/>
      <c r="AY20" s="99"/>
      <c r="AZ20" s="99"/>
      <c r="BA20" s="99"/>
      <c r="BB20" s="99"/>
      <c r="BC20" s="99"/>
      <c r="BD20" s="99"/>
      <c r="BE20" s="99"/>
      <c r="BF20" s="99"/>
      <c r="BG20" s="99"/>
      <c r="BH20" s="99"/>
      <c r="BI20" s="99"/>
      <c r="BJ20" s="99"/>
      <c r="BK20" s="99"/>
      <c r="BL20" s="99"/>
      <c r="BM20" s="99"/>
      <c r="BN20" s="99"/>
      <c r="BO20" s="99"/>
      <c r="BP20" s="99"/>
      <c r="BQ20" s="99"/>
      <c r="BR20" s="99"/>
      <c r="BS20" s="99"/>
      <c r="BT20" s="99"/>
      <c r="BU20" s="100">
        <f t="shared" si="0"/>
        <v>761</v>
      </c>
      <c r="BV20" s="101"/>
    </row>
    <row r="21" spans="1:74" x14ac:dyDescent="0.2">
      <c r="A21" s="93">
        <v>3</v>
      </c>
      <c r="B21" s="109" t="s">
        <v>120</v>
      </c>
      <c r="C21" s="95"/>
      <c r="D21" s="96" t="s">
        <v>118</v>
      </c>
      <c r="E21" s="90"/>
      <c r="F21" s="90"/>
      <c r="G21" s="90">
        <v>0</v>
      </c>
      <c r="H21" s="90">
        <v>0</v>
      </c>
      <c r="I21" s="90">
        <v>0</v>
      </c>
      <c r="J21" s="90">
        <v>0</v>
      </c>
      <c r="K21" s="90">
        <v>0</v>
      </c>
      <c r="L21" s="90">
        <v>0</v>
      </c>
      <c r="M21" s="90">
        <v>0</v>
      </c>
      <c r="N21" s="90">
        <v>0</v>
      </c>
      <c r="O21" s="90">
        <v>0</v>
      </c>
      <c r="P21" s="90">
        <v>0</v>
      </c>
      <c r="Q21" s="90">
        <v>0</v>
      </c>
      <c r="R21" s="90">
        <v>0</v>
      </c>
      <c r="S21" s="90">
        <v>0</v>
      </c>
      <c r="T21" s="90">
        <v>0</v>
      </c>
      <c r="U21" s="90">
        <v>0</v>
      </c>
      <c r="V21" s="90">
        <v>0</v>
      </c>
      <c r="W21" s="90">
        <v>0</v>
      </c>
      <c r="X21" s="90">
        <v>0</v>
      </c>
      <c r="Y21" s="90">
        <v>0</v>
      </c>
      <c r="Z21" s="90">
        <v>0</v>
      </c>
      <c r="AA21" s="90">
        <v>0</v>
      </c>
      <c r="AB21" s="90">
        <v>0</v>
      </c>
      <c r="AC21" s="90">
        <v>0</v>
      </c>
      <c r="AD21" s="90">
        <v>0</v>
      </c>
      <c r="AE21" s="90">
        <v>0</v>
      </c>
      <c r="AF21" s="90">
        <v>0</v>
      </c>
      <c r="AG21" s="90">
        <v>0</v>
      </c>
      <c r="AH21" s="90">
        <v>0</v>
      </c>
      <c r="AI21" s="90">
        <v>0</v>
      </c>
      <c r="AJ21" s="90">
        <v>0</v>
      </c>
      <c r="AK21" s="90">
        <v>0</v>
      </c>
      <c r="AL21" s="90"/>
      <c r="AM21" s="90"/>
      <c r="AN21" s="99"/>
      <c r="AO21" s="99"/>
      <c r="AP21" s="99"/>
      <c r="AQ21" s="99"/>
      <c r="AR21" s="99"/>
      <c r="AS21" s="99"/>
      <c r="AT21" s="99"/>
      <c r="AU21" s="99"/>
      <c r="AV21" s="99"/>
      <c r="AW21" s="99"/>
      <c r="AX21" s="99"/>
      <c r="AY21" s="99"/>
      <c r="AZ21" s="99"/>
      <c r="BA21" s="99"/>
      <c r="BB21" s="99"/>
      <c r="BC21" s="99"/>
      <c r="BD21" s="99"/>
      <c r="BE21" s="99"/>
      <c r="BF21" s="99"/>
      <c r="BG21" s="99"/>
      <c r="BH21" s="99"/>
      <c r="BI21" s="99"/>
      <c r="BJ21" s="99"/>
      <c r="BK21" s="99"/>
      <c r="BL21" s="99"/>
      <c r="BM21" s="99"/>
      <c r="BN21" s="99"/>
      <c r="BO21" s="99"/>
      <c r="BP21" s="99"/>
      <c r="BQ21" s="99"/>
      <c r="BR21" s="99"/>
      <c r="BS21" s="99"/>
      <c r="BT21" s="99"/>
      <c r="BU21" s="100">
        <f t="shared" si="0"/>
        <v>0</v>
      </c>
      <c r="BV21" s="101"/>
    </row>
    <row r="22" spans="1:74" x14ac:dyDescent="0.2">
      <c r="A22" s="93">
        <v>4</v>
      </c>
      <c r="B22" s="109" t="s">
        <v>223</v>
      </c>
      <c r="C22" s="95"/>
      <c r="D22" s="96" t="s">
        <v>118</v>
      </c>
      <c r="E22" s="90"/>
      <c r="F22" s="90"/>
      <c r="G22" s="90">
        <v>270</v>
      </c>
      <c r="H22" s="90">
        <v>370</v>
      </c>
      <c r="I22" s="90">
        <v>340</v>
      </c>
      <c r="J22" s="90">
        <v>260</v>
      </c>
      <c r="K22" s="90">
        <v>310</v>
      </c>
      <c r="L22" s="90">
        <v>200</v>
      </c>
      <c r="M22" s="90">
        <v>310</v>
      </c>
      <c r="N22" s="90">
        <v>0</v>
      </c>
      <c r="O22" s="90">
        <v>0</v>
      </c>
      <c r="P22" s="90">
        <v>0</v>
      </c>
      <c r="Q22" s="90">
        <v>0</v>
      </c>
      <c r="R22" s="90">
        <v>0</v>
      </c>
      <c r="S22" s="90">
        <v>270</v>
      </c>
      <c r="T22" s="90">
        <v>340</v>
      </c>
      <c r="U22" s="90">
        <v>590</v>
      </c>
      <c r="V22" s="90">
        <v>660</v>
      </c>
      <c r="W22" s="90">
        <v>730</v>
      </c>
      <c r="X22" s="90">
        <v>600</v>
      </c>
      <c r="Y22" s="90">
        <v>530</v>
      </c>
      <c r="Z22" s="90">
        <v>460</v>
      </c>
      <c r="AA22" s="90">
        <v>860</v>
      </c>
      <c r="AB22" s="90">
        <v>130</v>
      </c>
      <c r="AC22" s="90">
        <v>320</v>
      </c>
      <c r="AD22" s="90">
        <v>260</v>
      </c>
      <c r="AE22" s="90">
        <v>300</v>
      </c>
      <c r="AF22" s="90">
        <v>360</v>
      </c>
      <c r="AG22" s="90">
        <v>70</v>
      </c>
      <c r="AH22" s="90">
        <v>340</v>
      </c>
      <c r="AI22" s="90">
        <v>240</v>
      </c>
      <c r="AJ22" s="90">
        <v>200</v>
      </c>
      <c r="AK22" s="90">
        <v>440</v>
      </c>
      <c r="AL22" s="90"/>
      <c r="AM22" s="90"/>
      <c r="AN22" s="99"/>
      <c r="AO22" s="99"/>
      <c r="AP22" s="99"/>
      <c r="AQ22" s="99"/>
      <c r="AR22" s="99"/>
      <c r="AS22" s="99"/>
      <c r="AT22" s="99"/>
      <c r="AU22" s="99"/>
      <c r="AV22" s="99"/>
      <c r="AW22" s="99"/>
      <c r="AX22" s="99"/>
      <c r="AY22" s="99"/>
      <c r="AZ22" s="99"/>
      <c r="BA22" s="99"/>
      <c r="BB22" s="99"/>
      <c r="BC22" s="99"/>
      <c r="BD22" s="99"/>
      <c r="BE22" s="99"/>
      <c r="BF22" s="99"/>
      <c r="BG22" s="99"/>
      <c r="BH22" s="99"/>
      <c r="BI22" s="99"/>
      <c r="BJ22" s="99"/>
      <c r="BK22" s="99"/>
      <c r="BL22" s="99"/>
      <c r="BM22" s="99"/>
      <c r="BN22" s="99"/>
      <c r="BO22" s="99"/>
      <c r="BP22" s="99"/>
      <c r="BQ22" s="99"/>
      <c r="BR22" s="99"/>
      <c r="BS22" s="99"/>
      <c r="BT22" s="99"/>
      <c r="BU22" s="100">
        <f t="shared" si="0"/>
        <v>9760</v>
      </c>
      <c r="BV22" s="101"/>
    </row>
    <row r="23" spans="1:74" x14ac:dyDescent="0.2">
      <c r="A23" s="93">
        <v>5</v>
      </c>
      <c r="B23" s="109" t="s">
        <v>121</v>
      </c>
      <c r="C23" s="95"/>
      <c r="D23" s="96" t="s">
        <v>118</v>
      </c>
      <c r="E23" s="90"/>
      <c r="F23" s="90"/>
      <c r="G23" s="90">
        <v>0</v>
      </c>
      <c r="H23" s="90">
        <v>0</v>
      </c>
      <c r="I23" s="90">
        <v>50</v>
      </c>
      <c r="J23" s="90">
        <v>90</v>
      </c>
      <c r="K23" s="90">
        <v>95</v>
      </c>
      <c r="L23" s="90">
        <v>29</v>
      </c>
      <c r="M23" s="90">
        <v>0</v>
      </c>
      <c r="N23" s="90">
        <v>0</v>
      </c>
      <c r="O23" s="90">
        <v>0</v>
      </c>
      <c r="P23" s="90">
        <v>0</v>
      </c>
      <c r="Q23" s="90">
        <v>0</v>
      </c>
      <c r="R23" s="90">
        <v>0</v>
      </c>
      <c r="S23" s="90">
        <v>0</v>
      </c>
      <c r="T23" s="90">
        <v>0</v>
      </c>
      <c r="U23" s="90">
        <v>0</v>
      </c>
      <c r="V23" s="90">
        <v>0</v>
      </c>
      <c r="W23" s="90">
        <v>0</v>
      </c>
      <c r="X23" s="90">
        <v>0</v>
      </c>
      <c r="Y23" s="90">
        <v>0</v>
      </c>
      <c r="Z23" s="90">
        <v>0</v>
      </c>
      <c r="AA23" s="90">
        <v>0</v>
      </c>
      <c r="AB23" s="90">
        <v>0</v>
      </c>
      <c r="AC23" s="90">
        <v>0</v>
      </c>
      <c r="AD23" s="90">
        <v>0</v>
      </c>
      <c r="AE23" s="90">
        <v>0</v>
      </c>
      <c r="AF23" s="90">
        <v>40</v>
      </c>
      <c r="AG23" s="90">
        <v>0</v>
      </c>
      <c r="AH23" s="90">
        <v>0</v>
      </c>
      <c r="AI23" s="90">
        <v>0</v>
      </c>
      <c r="AJ23" s="90">
        <v>30</v>
      </c>
      <c r="AK23" s="90">
        <v>4</v>
      </c>
      <c r="AL23" s="90"/>
      <c r="AM23" s="90"/>
      <c r="AN23" s="99"/>
      <c r="AO23" s="99"/>
      <c r="AP23" s="99"/>
      <c r="AQ23" s="99"/>
      <c r="AR23" s="99"/>
      <c r="AS23" s="99"/>
      <c r="AT23" s="99"/>
      <c r="AU23" s="99"/>
      <c r="AV23" s="99"/>
      <c r="AW23" s="99"/>
      <c r="AX23" s="99"/>
      <c r="AY23" s="99"/>
      <c r="AZ23" s="99"/>
      <c r="BA23" s="99"/>
      <c r="BB23" s="99"/>
      <c r="BC23" s="99"/>
      <c r="BD23" s="99"/>
      <c r="BE23" s="99"/>
      <c r="BF23" s="99"/>
      <c r="BG23" s="99"/>
      <c r="BH23" s="99"/>
      <c r="BI23" s="99"/>
      <c r="BJ23" s="99"/>
      <c r="BK23" s="99"/>
      <c r="BL23" s="99"/>
      <c r="BM23" s="99"/>
      <c r="BN23" s="99"/>
      <c r="BO23" s="99"/>
      <c r="BP23" s="99"/>
      <c r="BQ23" s="99"/>
      <c r="BR23" s="99"/>
      <c r="BS23" s="99"/>
      <c r="BT23" s="99"/>
      <c r="BU23" s="100">
        <f t="shared" si="0"/>
        <v>338</v>
      </c>
      <c r="BV23" s="101"/>
    </row>
    <row r="24" spans="1:74" x14ac:dyDescent="0.2">
      <c r="A24" s="93">
        <v>6</v>
      </c>
      <c r="B24" s="109" t="s">
        <v>122</v>
      </c>
      <c r="C24" s="95"/>
      <c r="D24" s="96" t="s">
        <v>118</v>
      </c>
      <c r="E24" s="90"/>
      <c r="F24" s="90"/>
      <c r="G24" s="90">
        <v>0</v>
      </c>
      <c r="H24" s="90">
        <v>0</v>
      </c>
      <c r="I24" s="90">
        <v>0</v>
      </c>
      <c r="J24" s="90">
        <v>0</v>
      </c>
      <c r="K24" s="90">
        <v>0</v>
      </c>
      <c r="L24" s="90">
        <v>0</v>
      </c>
      <c r="M24" s="90">
        <v>0</v>
      </c>
      <c r="N24" s="90">
        <v>0</v>
      </c>
      <c r="O24" s="90">
        <v>0</v>
      </c>
      <c r="P24" s="90">
        <v>0</v>
      </c>
      <c r="Q24" s="90">
        <v>0</v>
      </c>
      <c r="R24" s="90">
        <v>0</v>
      </c>
      <c r="S24" s="90">
        <v>0</v>
      </c>
      <c r="T24" s="90">
        <v>0</v>
      </c>
      <c r="U24" s="90">
        <v>0</v>
      </c>
      <c r="V24" s="90">
        <v>0</v>
      </c>
      <c r="W24" s="90">
        <v>0</v>
      </c>
      <c r="X24" s="90">
        <v>0</v>
      </c>
      <c r="Y24" s="111">
        <v>0</v>
      </c>
      <c r="Z24" s="111">
        <v>0</v>
      </c>
      <c r="AA24" s="111">
        <v>0</v>
      </c>
      <c r="AB24" s="111">
        <v>0</v>
      </c>
      <c r="AC24" s="111">
        <v>0</v>
      </c>
      <c r="AD24" s="111">
        <v>0</v>
      </c>
      <c r="AE24" s="111">
        <v>0</v>
      </c>
      <c r="AF24" s="111">
        <v>0</v>
      </c>
      <c r="AG24" s="111">
        <v>0</v>
      </c>
      <c r="AH24" s="111">
        <v>0</v>
      </c>
      <c r="AI24" s="111">
        <v>0</v>
      </c>
      <c r="AJ24" s="111">
        <v>0</v>
      </c>
      <c r="AK24" s="111">
        <v>0</v>
      </c>
      <c r="AL24" s="90"/>
      <c r="AM24" s="90"/>
      <c r="AN24" s="99"/>
      <c r="AO24" s="99"/>
      <c r="AP24" s="99"/>
      <c r="AQ24" s="99"/>
      <c r="AR24" s="99"/>
      <c r="AS24" s="99"/>
      <c r="AT24" s="99"/>
      <c r="AU24" s="99"/>
      <c r="AV24" s="99"/>
      <c r="AW24" s="99"/>
      <c r="AX24" s="90"/>
      <c r="AY24" s="90"/>
      <c r="AZ24" s="90"/>
      <c r="BA24" s="90"/>
      <c r="BB24" s="99"/>
      <c r="BC24" s="99"/>
      <c r="BD24" s="99"/>
      <c r="BE24" s="99"/>
      <c r="BF24" s="99"/>
      <c r="BG24" s="99"/>
      <c r="BH24" s="99"/>
      <c r="BI24" s="99"/>
      <c r="BJ24" s="99"/>
      <c r="BK24" s="99"/>
      <c r="BL24" s="99"/>
      <c r="BM24" s="99"/>
      <c r="BN24" s="99"/>
      <c r="BO24" s="99"/>
      <c r="BP24" s="99"/>
      <c r="BQ24" s="99"/>
      <c r="BR24" s="99"/>
      <c r="BS24" s="99"/>
      <c r="BT24" s="99"/>
      <c r="BU24" s="100">
        <f t="shared" si="0"/>
        <v>0</v>
      </c>
      <c r="BV24" s="101"/>
    </row>
    <row r="25" spans="1:74" x14ac:dyDescent="0.2">
      <c r="A25" s="93">
        <v>7</v>
      </c>
      <c r="B25" s="109" t="s">
        <v>123</v>
      </c>
      <c r="C25" s="95"/>
      <c r="D25" s="96" t="s">
        <v>118</v>
      </c>
      <c r="E25" s="90"/>
      <c r="F25" s="90"/>
      <c r="G25" s="90">
        <v>73</v>
      </c>
      <c r="H25" s="90">
        <v>65</v>
      </c>
      <c r="I25" s="90">
        <v>61</v>
      </c>
      <c r="J25" s="90">
        <v>61</v>
      </c>
      <c r="K25" s="90">
        <v>60</v>
      </c>
      <c r="L25" s="90">
        <v>52</v>
      </c>
      <c r="M25" s="90">
        <v>43</v>
      </c>
      <c r="N25" s="90">
        <v>0</v>
      </c>
      <c r="O25" s="90">
        <v>20</v>
      </c>
      <c r="P25" s="90">
        <v>74</v>
      </c>
      <c r="Q25" s="90">
        <v>84</v>
      </c>
      <c r="R25" s="90">
        <v>81</v>
      </c>
      <c r="S25" s="90">
        <v>81</v>
      </c>
      <c r="T25" s="90">
        <v>98</v>
      </c>
      <c r="U25" s="90">
        <v>81</v>
      </c>
      <c r="V25" s="90">
        <v>70</v>
      </c>
      <c r="W25" s="90">
        <v>85</v>
      </c>
      <c r="X25" s="90">
        <v>110</v>
      </c>
      <c r="Y25" s="90">
        <v>109</v>
      </c>
      <c r="Z25" s="90">
        <v>105</v>
      </c>
      <c r="AA25" s="90">
        <v>115</v>
      </c>
      <c r="AB25" s="90">
        <v>48</v>
      </c>
      <c r="AC25" s="90">
        <v>85</v>
      </c>
      <c r="AD25" s="90">
        <v>88</v>
      </c>
      <c r="AE25" s="90">
        <v>94</v>
      </c>
      <c r="AF25" s="90">
        <v>88</v>
      </c>
      <c r="AG25" s="90">
        <v>72</v>
      </c>
      <c r="AH25" s="90">
        <v>84</v>
      </c>
      <c r="AI25" s="90">
        <v>80</v>
      </c>
      <c r="AJ25" s="90">
        <v>80</v>
      </c>
      <c r="AK25" s="90">
        <v>107</v>
      </c>
      <c r="AL25" s="90"/>
      <c r="AM25" s="90"/>
      <c r="AN25" s="90"/>
      <c r="AO25" s="90"/>
      <c r="AP25" s="90"/>
      <c r="AQ25" s="90"/>
      <c r="AR25" s="90"/>
      <c r="AS25" s="90"/>
      <c r="AT25" s="90"/>
      <c r="AU25" s="90"/>
      <c r="AV25" s="90"/>
      <c r="AW25" s="99"/>
      <c r="AX25" s="90"/>
      <c r="AY25" s="90"/>
      <c r="AZ25" s="90"/>
      <c r="BA25" s="90"/>
      <c r="BB25" s="99"/>
      <c r="BC25" s="99"/>
      <c r="BD25" s="99"/>
      <c r="BE25" s="99"/>
      <c r="BF25" s="99"/>
      <c r="BG25" s="99"/>
      <c r="BH25" s="99"/>
      <c r="BI25" s="99"/>
      <c r="BJ25" s="99"/>
      <c r="BK25" s="99"/>
      <c r="BL25" s="99"/>
      <c r="BM25" s="99"/>
      <c r="BN25" s="99"/>
      <c r="BO25" s="99"/>
      <c r="BP25" s="99"/>
      <c r="BQ25" s="99"/>
      <c r="BR25" s="99"/>
      <c r="BS25" s="99"/>
      <c r="BT25" s="99"/>
      <c r="BU25" s="100">
        <f t="shared" si="0"/>
        <v>2354</v>
      </c>
      <c r="BV25" s="101"/>
    </row>
    <row r="26" spans="1:74" x14ac:dyDescent="0.2">
      <c r="A26" s="93">
        <v>8</v>
      </c>
      <c r="B26" s="109" t="s">
        <v>124</v>
      </c>
      <c r="C26" s="95"/>
      <c r="D26" s="96" t="s">
        <v>118</v>
      </c>
      <c r="E26" s="90"/>
      <c r="F26" s="90"/>
      <c r="G26" s="90">
        <v>0</v>
      </c>
      <c r="H26" s="90">
        <v>0</v>
      </c>
      <c r="I26" s="90">
        <v>0</v>
      </c>
      <c r="J26" s="90">
        <v>0</v>
      </c>
      <c r="K26" s="90">
        <v>0</v>
      </c>
      <c r="L26" s="90">
        <v>0</v>
      </c>
      <c r="M26" s="90">
        <v>0</v>
      </c>
      <c r="N26" s="90">
        <v>0</v>
      </c>
      <c r="O26" s="90">
        <v>0</v>
      </c>
      <c r="P26" s="90">
        <v>0</v>
      </c>
      <c r="Q26" s="90">
        <v>0</v>
      </c>
      <c r="R26" s="90">
        <v>0</v>
      </c>
      <c r="S26" s="90">
        <v>0</v>
      </c>
      <c r="T26" s="90">
        <v>0</v>
      </c>
      <c r="U26" s="90">
        <v>0</v>
      </c>
      <c r="V26" s="90">
        <v>0</v>
      </c>
      <c r="W26" s="90">
        <v>0</v>
      </c>
      <c r="X26" s="90">
        <v>0</v>
      </c>
      <c r="Y26" s="90">
        <v>0</v>
      </c>
      <c r="Z26" s="90">
        <v>0</v>
      </c>
      <c r="AA26" s="90">
        <v>0</v>
      </c>
      <c r="AB26" s="90">
        <v>0</v>
      </c>
      <c r="AC26" s="90">
        <v>0</v>
      </c>
      <c r="AD26" s="90">
        <v>0</v>
      </c>
      <c r="AE26" s="90">
        <v>0</v>
      </c>
      <c r="AF26" s="90">
        <v>0</v>
      </c>
      <c r="AG26" s="90">
        <v>0</v>
      </c>
      <c r="AH26" s="90">
        <v>0</v>
      </c>
      <c r="AI26" s="90">
        <v>0</v>
      </c>
      <c r="AJ26" s="90">
        <v>0</v>
      </c>
      <c r="AK26" s="90">
        <v>0</v>
      </c>
      <c r="AL26" s="90"/>
      <c r="AM26" s="90"/>
      <c r="AN26" s="99"/>
      <c r="AO26" s="99"/>
      <c r="AP26" s="99"/>
      <c r="AQ26" s="99"/>
      <c r="AR26" s="99"/>
      <c r="AS26" s="99"/>
      <c r="AT26" s="99"/>
      <c r="AU26" s="99"/>
      <c r="AV26" s="99"/>
      <c r="AW26" s="99"/>
      <c r="AX26" s="90"/>
      <c r="AY26" s="90"/>
      <c r="AZ26" s="90"/>
      <c r="BA26" s="90"/>
      <c r="BB26" s="99"/>
      <c r="BC26" s="99"/>
      <c r="BD26" s="99"/>
      <c r="BE26" s="99"/>
      <c r="BF26" s="99"/>
      <c r="BG26" s="99"/>
      <c r="BH26" s="99"/>
      <c r="BI26" s="99"/>
      <c r="BJ26" s="99"/>
      <c r="BK26" s="99"/>
      <c r="BL26" s="99"/>
      <c r="BM26" s="99"/>
      <c r="BN26" s="99"/>
      <c r="BO26" s="99"/>
      <c r="BP26" s="99"/>
      <c r="BQ26" s="99"/>
      <c r="BR26" s="99"/>
      <c r="BS26" s="99"/>
      <c r="BT26" s="99"/>
      <c r="BU26" s="100">
        <f t="shared" si="0"/>
        <v>0</v>
      </c>
      <c r="BV26" s="101"/>
    </row>
    <row r="27" spans="1:74" x14ac:dyDescent="0.2">
      <c r="A27" s="93">
        <v>9</v>
      </c>
      <c r="B27" s="109" t="s">
        <v>125</v>
      </c>
      <c r="C27" s="95"/>
      <c r="D27" s="96" t="s">
        <v>118</v>
      </c>
      <c r="E27" s="90"/>
      <c r="F27" s="90"/>
      <c r="G27" s="90">
        <v>68</v>
      </c>
      <c r="H27" s="90">
        <v>78</v>
      </c>
      <c r="I27" s="90">
        <v>85</v>
      </c>
      <c r="J27" s="90">
        <v>92</v>
      </c>
      <c r="K27" s="90">
        <v>94</v>
      </c>
      <c r="L27" s="90">
        <v>40</v>
      </c>
      <c r="M27" s="90">
        <v>60</v>
      </c>
      <c r="N27" s="90">
        <v>0</v>
      </c>
      <c r="O27" s="90">
        <v>13</v>
      </c>
      <c r="P27" s="90">
        <v>71</v>
      </c>
      <c r="Q27" s="90">
        <v>74</v>
      </c>
      <c r="R27" s="90">
        <v>80</v>
      </c>
      <c r="S27" s="90">
        <v>80</v>
      </c>
      <c r="T27" s="90">
        <v>50</v>
      </c>
      <c r="U27" s="90">
        <v>25</v>
      </c>
      <c r="V27" s="90">
        <v>12</v>
      </c>
      <c r="W27" s="90">
        <v>10</v>
      </c>
      <c r="X27" s="90">
        <v>8</v>
      </c>
      <c r="Y27" s="90">
        <v>17</v>
      </c>
      <c r="Z27" s="90">
        <v>30</v>
      </c>
      <c r="AA27" s="90">
        <v>57</v>
      </c>
      <c r="AB27" s="90">
        <v>25</v>
      </c>
      <c r="AC27" s="90">
        <v>66</v>
      </c>
      <c r="AD27" s="90">
        <v>72</v>
      </c>
      <c r="AE27" s="90">
        <v>72</v>
      </c>
      <c r="AF27" s="90">
        <v>84</v>
      </c>
      <c r="AG27" s="90">
        <v>78</v>
      </c>
      <c r="AH27" s="90">
        <v>88</v>
      </c>
      <c r="AI27" s="90">
        <v>78</v>
      </c>
      <c r="AJ27" s="90">
        <v>79</v>
      </c>
      <c r="AK27" s="111">
        <v>21</v>
      </c>
      <c r="AL27" s="90"/>
      <c r="AM27" s="90"/>
      <c r="AN27" s="90"/>
      <c r="AO27" s="90"/>
      <c r="AP27" s="90"/>
      <c r="AQ27" s="90"/>
      <c r="AR27" s="90"/>
      <c r="AS27" s="90"/>
      <c r="AT27" s="90"/>
      <c r="AU27" s="90"/>
      <c r="AV27" s="90"/>
      <c r="AW27" s="99"/>
      <c r="AX27" s="99"/>
      <c r="AY27" s="99"/>
      <c r="AZ27" s="99"/>
      <c r="BA27" s="99"/>
      <c r="BB27" s="99"/>
      <c r="BC27" s="99"/>
      <c r="BD27" s="99"/>
      <c r="BE27" s="99"/>
      <c r="BF27" s="99"/>
      <c r="BG27" s="99"/>
      <c r="BH27" s="99"/>
      <c r="BI27" s="99"/>
      <c r="BJ27" s="99"/>
      <c r="BK27" s="99"/>
      <c r="BL27" s="99"/>
      <c r="BM27" s="99"/>
      <c r="BN27" s="99"/>
      <c r="BO27" s="99"/>
      <c r="BP27" s="99"/>
      <c r="BQ27" s="99"/>
      <c r="BR27" s="99"/>
      <c r="BS27" s="99"/>
      <c r="BT27" s="99"/>
      <c r="BU27" s="100">
        <f t="shared" si="0"/>
        <v>1707</v>
      </c>
      <c r="BV27" s="101"/>
    </row>
    <row r="28" spans="1:74" x14ac:dyDescent="0.2">
      <c r="A28" s="93">
        <v>10</v>
      </c>
      <c r="B28" s="109" t="s">
        <v>126</v>
      </c>
      <c r="C28" s="113"/>
      <c r="D28" s="96" t="s">
        <v>118</v>
      </c>
      <c r="E28" s="90"/>
      <c r="F28" s="90"/>
      <c r="G28" s="90">
        <v>5</v>
      </c>
      <c r="H28" s="90">
        <v>0</v>
      </c>
      <c r="I28" s="90">
        <v>0</v>
      </c>
      <c r="J28" s="90">
        <v>0</v>
      </c>
      <c r="K28" s="90">
        <v>0</v>
      </c>
      <c r="L28" s="90">
        <v>0</v>
      </c>
      <c r="M28" s="90">
        <v>0</v>
      </c>
      <c r="N28" s="90">
        <v>0</v>
      </c>
      <c r="O28" s="90">
        <v>0</v>
      </c>
      <c r="P28" s="90">
        <v>0</v>
      </c>
      <c r="Q28" s="90">
        <v>0</v>
      </c>
      <c r="R28" s="90">
        <v>0</v>
      </c>
      <c r="S28" s="90">
        <v>0</v>
      </c>
      <c r="T28" s="90">
        <v>5</v>
      </c>
      <c r="U28" s="90">
        <v>0</v>
      </c>
      <c r="V28" s="90">
        <v>5</v>
      </c>
      <c r="W28" s="90">
        <v>0</v>
      </c>
      <c r="X28" s="90">
        <v>0</v>
      </c>
      <c r="Y28" s="90">
        <v>0</v>
      </c>
      <c r="Z28" s="90">
        <v>5</v>
      </c>
      <c r="AA28" s="90">
        <v>0</v>
      </c>
      <c r="AB28" s="90">
        <v>0</v>
      </c>
      <c r="AC28" s="90">
        <v>0</v>
      </c>
      <c r="AD28" s="90">
        <v>0</v>
      </c>
      <c r="AE28" s="90">
        <v>0</v>
      </c>
      <c r="AF28" s="90">
        <v>5</v>
      </c>
      <c r="AG28" s="90">
        <v>5</v>
      </c>
      <c r="AH28" s="90">
        <v>0</v>
      </c>
      <c r="AI28" s="90">
        <v>0</v>
      </c>
      <c r="AJ28" s="90">
        <v>5</v>
      </c>
      <c r="AK28" s="90">
        <v>0</v>
      </c>
      <c r="AL28" s="90"/>
      <c r="AM28" s="90"/>
      <c r="AN28" s="99"/>
      <c r="AO28" s="99"/>
      <c r="AP28" s="99"/>
      <c r="AQ28" s="99"/>
      <c r="AR28" s="99"/>
      <c r="AS28" s="99"/>
      <c r="AT28" s="99"/>
      <c r="AU28" s="99"/>
      <c r="AV28" s="99"/>
      <c r="AW28" s="99"/>
      <c r="AX28" s="99"/>
      <c r="AY28" s="99"/>
      <c r="AZ28" s="99"/>
      <c r="BA28" s="99"/>
      <c r="BB28" s="99"/>
      <c r="BC28" s="99"/>
      <c r="BD28" s="99"/>
      <c r="BE28" s="99"/>
      <c r="BF28" s="99"/>
      <c r="BG28" s="99"/>
      <c r="BH28" s="99"/>
      <c r="BI28" s="99"/>
      <c r="BJ28" s="99"/>
      <c r="BK28" s="99"/>
      <c r="BL28" s="99"/>
      <c r="BM28" s="99"/>
      <c r="BN28" s="99"/>
      <c r="BO28" s="99"/>
      <c r="BP28" s="99"/>
      <c r="BQ28" s="99"/>
      <c r="BR28" s="99"/>
      <c r="BS28" s="99"/>
      <c r="BT28" s="99"/>
      <c r="BU28" s="100">
        <f t="shared" si="0"/>
        <v>35</v>
      </c>
      <c r="BV28" s="101"/>
    </row>
    <row r="29" spans="1:74" x14ac:dyDescent="0.2">
      <c r="A29" s="93">
        <v>11</v>
      </c>
      <c r="B29" s="109" t="s">
        <v>127</v>
      </c>
      <c r="C29" s="95"/>
      <c r="D29" s="96" t="s">
        <v>118</v>
      </c>
      <c r="E29" s="90"/>
      <c r="F29" s="90"/>
      <c r="G29" s="90">
        <v>2</v>
      </c>
      <c r="H29" s="90">
        <v>2</v>
      </c>
      <c r="I29" s="90">
        <v>2</v>
      </c>
      <c r="J29" s="90">
        <v>2</v>
      </c>
      <c r="K29" s="90">
        <v>2</v>
      </c>
      <c r="L29" s="90">
        <v>2</v>
      </c>
      <c r="M29" s="90">
        <v>1</v>
      </c>
      <c r="N29" s="90">
        <v>0</v>
      </c>
      <c r="O29" s="90">
        <v>0</v>
      </c>
      <c r="P29" s="90">
        <v>0</v>
      </c>
      <c r="Q29" s="90">
        <v>0</v>
      </c>
      <c r="R29" s="90">
        <v>0</v>
      </c>
      <c r="S29" s="90">
        <v>0</v>
      </c>
      <c r="T29" s="90">
        <v>0</v>
      </c>
      <c r="U29" s="90">
        <v>1</v>
      </c>
      <c r="V29" s="90">
        <v>2</v>
      </c>
      <c r="W29" s="90">
        <v>2</v>
      </c>
      <c r="X29" s="90">
        <v>2</v>
      </c>
      <c r="Y29" s="90">
        <v>2</v>
      </c>
      <c r="Z29" s="90">
        <v>2</v>
      </c>
      <c r="AA29" s="90">
        <v>2</v>
      </c>
      <c r="AB29" s="90">
        <v>1</v>
      </c>
      <c r="AC29" s="90">
        <v>2</v>
      </c>
      <c r="AD29" s="90">
        <v>2</v>
      </c>
      <c r="AE29" s="90">
        <v>2</v>
      </c>
      <c r="AF29" s="90">
        <v>2</v>
      </c>
      <c r="AG29" s="90">
        <v>2</v>
      </c>
      <c r="AH29" s="90">
        <v>2</v>
      </c>
      <c r="AI29" s="90">
        <v>2</v>
      </c>
      <c r="AJ29" s="90">
        <v>2</v>
      </c>
      <c r="AK29" s="90">
        <v>2</v>
      </c>
      <c r="AL29" s="90"/>
      <c r="AM29" s="90"/>
      <c r="AN29" s="99"/>
      <c r="AO29" s="99"/>
      <c r="AP29" s="99"/>
      <c r="AQ29" s="99"/>
      <c r="AR29" s="99"/>
      <c r="AS29" s="99"/>
      <c r="AT29" s="99"/>
      <c r="AU29" s="99"/>
      <c r="AV29" s="99"/>
      <c r="AW29" s="99"/>
      <c r="AX29" s="99"/>
      <c r="AY29" s="99"/>
      <c r="AZ29" s="99"/>
      <c r="BA29" s="99"/>
      <c r="BB29" s="99"/>
      <c r="BC29" s="99"/>
      <c r="BD29" s="99"/>
      <c r="BE29" s="99"/>
      <c r="BF29" s="99"/>
      <c r="BG29" s="99"/>
      <c r="BH29" s="99"/>
      <c r="BI29" s="99"/>
      <c r="BJ29" s="99"/>
      <c r="BK29" s="99"/>
      <c r="BL29" s="99"/>
      <c r="BM29" s="99"/>
      <c r="BN29" s="99"/>
      <c r="BO29" s="99"/>
      <c r="BP29" s="99"/>
      <c r="BQ29" s="99"/>
      <c r="BR29" s="99"/>
      <c r="BS29" s="99"/>
      <c r="BT29" s="99"/>
      <c r="BU29" s="100">
        <f t="shared" si="0"/>
        <v>45</v>
      </c>
      <c r="BV29" s="101"/>
    </row>
    <row r="30" spans="1:74" x14ac:dyDescent="0.2">
      <c r="A30" s="93">
        <v>12</v>
      </c>
      <c r="B30" s="109" t="s">
        <v>128</v>
      </c>
      <c r="C30" s="95"/>
      <c r="D30" s="96" t="s">
        <v>118</v>
      </c>
      <c r="E30" s="90"/>
      <c r="F30" s="90"/>
      <c r="G30" s="90">
        <v>3</v>
      </c>
      <c r="H30" s="90">
        <v>3</v>
      </c>
      <c r="I30" s="90">
        <v>3</v>
      </c>
      <c r="J30" s="90">
        <v>3</v>
      </c>
      <c r="K30" s="90">
        <v>3</v>
      </c>
      <c r="L30" s="90">
        <v>1</v>
      </c>
      <c r="M30" s="90">
        <v>2</v>
      </c>
      <c r="N30" s="90">
        <v>0</v>
      </c>
      <c r="O30" s="90">
        <v>0</v>
      </c>
      <c r="P30" s="90">
        <v>0</v>
      </c>
      <c r="Q30" s="90">
        <v>0</v>
      </c>
      <c r="R30" s="90">
        <v>0</v>
      </c>
      <c r="S30" s="90">
        <v>0</v>
      </c>
      <c r="T30" s="90">
        <v>3</v>
      </c>
      <c r="U30" s="111">
        <v>3</v>
      </c>
      <c r="V30" s="90">
        <v>3</v>
      </c>
      <c r="W30" s="90">
        <v>3</v>
      </c>
      <c r="X30" s="90">
        <v>3</v>
      </c>
      <c r="Y30" s="90">
        <v>3</v>
      </c>
      <c r="Z30" s="90">
        <v>3</v>
      </c>
      <c r="AA30" s="90">
        <v>3</v>
      </c>
      <c r="AB30" s="90">
        <v>1</v>
      </c>
      <c r="AC30" s="90">
        <v>3</v>
      </c>
      <c r="AD30" s="90">
        <v>3</v>
      </c>
      <c r="AE30" s="90">
        <v>3</v>
      </c>
      <c r="AF30" s="90">
        <v>3</v>
      </c>
      <c r="AG30" s="90">
        <v>0</v>
      </c>
      <c r="AH30" s="90">
        <v>3</v>
      </c>
      <c r="AI30" s="90">
        <v>3</v>
      </c>
      <c r="AJ30" s="90">
        <v>3</v>
      </c>
      <c r="AK30" s="90">
        <v>3</v>
      </c>
      <c r="AL30" s="90"/>
      <c r="AM30" s="90"/>
      <c r="AN30" s="99"/>
      <c r="AO30" s="99"/>
      <c r="AP30" s="99"/>
      <c r="AQ30" s="99"/>
      <c r="AR30" s="99"/>
      <c r="AS30" s="99"/>
      <c r="AT30" s="99"/>
      <c r="AU30" s="99"/>
      <c r="AV30" s="99"/>
      <c r="AW30" s="99"/>
      <c r="AX30" s="99"/>
      <c r="AY30" s="99"/>
      <c r="AZ30" s="99"/>
      <c r="BA30" s="99"/>
      <c r="BB30" s="99"/>
      <c r="BC30" s="99"/>
      <c r="BD30" s="99"/>
      <c r="BE30" s="99"/>
      <c r="BF30" s="99"/>
      <c r="BG30" s="99"/>
      <c r="BH30" s="99"/>
      <c r="BI30" s="99"/>
      <c r="BJ30" s="99"/>
      <c r="BK30" s="99"/>
      <c r="BL30" s="99"/>
      <c r="BM30" s="99"/>
      <c r="BN30" s="99"/>
      <c r="BO30" s="99"/>
      <c r="BP30" s="99"/>
      <c r="BQ30" s="99"/>
      <c r="BR30" s="99"/>
      <c r="BS30" s="99"/>
      <c r="BT30" s="99"/>
      <c r="BU30" s="100">
        <f t="shared" si="0"/>
        <v>67</v>
      </c>
      <c r="BV30" s="101"/>
    </row>
    <row r="31" spans="1:74" x14ac:dyDescent="0.2">
      <c r="A31" s="93">
        <v>13</v>
      </c>
      <c r="B31" s="109" t="s">
        <v>129</v>
      </c>
      <c r="C31" s="95"/>
      <c r="D31" s="96" t="s">
        <v>118</v>
      </c>
      <c r="E31" s="90"/>
      <c r="F31" s="90"/>
      <c r="G31" s="90">
        <v>3</v>
      </c>
      <c r="H31" s="90">
        <v>3</v>
      </c>
      <c r="I31" s="90">
        <v>3</v>
      </c>
      <c r="J31" s="90">
        <v>3</v>
      </c>
      <c r="K31" s="90">
        <v>3</v>
      </c>
      <c r="L31" s="90">
        <v>1</v>
      </c>
      <c r="M31" s="90">
        <v>2</v>
      </c>
      <c r="N31" s="90">
        <v>0</v>
      </c>
      <c r="O31" s="90">
        <v>0</v>
      </c>
      <c r="P31" s="90">
        <v>0</v>
      </c>
      <c r="Q31" s="90">
        <v>0</v>
      </c>
      <c r="R31" s="90">
        <v>0</v>
      </c>
      <c r="S31" s="90">
        <v>0</v>
      </c>
      <c r="T31" s="90">
        <v>3</v>
      </c>
      <c r="U31" s="90">
        <v>3</v>
      </c>
      <c r="V31" s="90">
        <v>3</v>
      </c>
      <c r="W31" s="90">
        <v>3</v>
      </c>
      <c r="X31" s="90">
        <v>3</v>
      </c>
      <c r="Y31" s="90">
        <v>3</v>
      </c>
      <c r="Z31" s="90">
        <v>3</v>
      </c>
      <c r="AA31" s="90">
        <v>3</v>
      </c>
      <c r="AB31" s="90">
        <v>1</v>
      </c>
      <c r="AC31" s="90">
        <v>3</v>
      </c>
      <c r="AD31" s="90">
        <v>3</v>
      </c>
      <c r="AE31" s="90">
        <v>3</v>
      </c>
      <c r="AF31" s="90">
        <v>3</v>
      </c>
      <c r="AG31" s="90">
        <v>0</v>
      </c>
      <c r="AH31" s="90">
        <v>3</v>
      </c>
      <c r="AI31" s="90">
        <v>3</v>
      </c>
      <c r="AJ31" s="90">
        <v>3</v>
      </c>
      <c r="AK31" s="90">
        <v>3</v>
      </c>
      <c r="AL31" s="90"/>
      <c r="AM31" s="90"/>
      <c r="AN31" s="99"/>
      <c r="AO31" s="99"/>
      <c r="AP31" s="99"/>
      <c r="AQ31" s="99"/>
      <c r="AR31" s="99"/>
      <c r="AS31" s="99"/>
      <c r="AT31" s="99"/>
      <c r="AU31" s="99"/>
      <c r="AV31" s="99"/>
      <c r="AW31" s="99"/>
      <c r="AX31" s="99"/>
      <c r="AY31" s="99"/>
      <c r="AZ31" s="99"/>
      <c r="BA31" s="99"/>
      <c r="BB31" s="99"/>
      <c r="BC31" s="99"/>
      <c r="BD31" s="99"/>
      <c r="BE31" s="99"/>
      <c r="BF31" s="99"/>
      <c r="BG31" s="99"/>
      <c r="BH31" s="99"/>
      <c r="BI31" s="99"/>
      <c r="BJ31" s="99"/>
      <c r="BK31" s="99"/>
      <c r="BL31" s="99"/>
      <c r="BM31" s="99"/>
      <c r="BN31" s="99"/>
      <c r="BO31" s="99"/>
      <c r="BP31" s="99"/>
      <c r="BQ31" s="99"/>
      <c r="BR31" s="99"/>
      <c r="BS31" s="99"/>
      <c r="BT31" s="99"/>
      <c r="BU31" s="100">
        <f t="shared" si="0"/>
        <v>67</v>
      </c>
      <c r="BV31" s="101"/>
    </row>
    <row r="32" spans="1:74" x14ac:dyDescent="0.2">
      <c r="A32" s="93">
        <v>14</v>
      </c>
      <c r="B32" s="109" t="s">
        <v>130</v>
      </c>
      <c r="C32" s="95"/>
      <c r="D32" s="96" t="s">
        <v>118</v>
      </c>
      <c r="E32" s="90"/>
      <c r="F32" s="90"/>
      <c r="G32" s="90">
        <v>0</v>
      </c>
      <c r="H32" s="90">
        <v>0</v>
      </c>
      <c r="I32" s="90">
        <v>0</v>
      </c>
      <c r="J32" s="90">
        <v>0</v>
      </c>
      <c r="K32" s="90">
        <v>0</v>
      </c>
      <c r="L32" s="90">
        <v>0</v>
      </c>
      <c r="M32" s="90">
        <v>0</v>
      </c>
      <c r="N32" s="90">
        <v>0</v>
      </c>
      <c r="O32" s="90">
        <v>0</v>
      </c>
      <c r="P32" s="90">
        <v>0</v>
      </c>
      <c r="Q32" s="90">
        <v>0</v>
      </c>
      <c r="R32" s="90">
        <v>0</v>
      </c>
      <c r="S32" s="90">
        <v>0</v>
      </c>
      <c r="T32" s="90">
        <v>0</v>
      </c>
      <c r="U32" s="90">
        <v>0</v>
      </c>
      <c r="V32" s="90">
        <v>0</v>
      </c>
      <c r="W32" s="90">
        <v>0</v>
      </c>
      <c r="X32" s="90">
        <v>0</v>
      </c>
      <c r="Y32" s="90">
        <v>0</v>
      </c>
      <c r="Z32" s="90">
        <v>0</v>
      </c>
      <c r="AA32" s="90">
        <v>0</v>
      </c>
      <c r="AB32" s="90">
        <v>0</v>
      </c>
      <c r="AC32" s="90">
        <v>0</v>
      </c>
      <c r="AD32" s="90">
        <v>0</v>
      </c>
      <c r="AE32" s="90">
        <v>0</v>
      </c>
      <c r="AF32" s="90">
        <v>0</v>
      </c>
      <c r="AG32" s="90">
        <v>0</v>
      </c>
      <c r="AH32" s="90">
        <v>0</v>
      </c>
      <c r="AI32" s="90">
        <v>0</v>
      </c>
      <c r="AJ32" s="90">
        <v>0</v>
      </c>
      <c r="AK32" s="90">
        <v>0</v>
      </c>
      <c r="AL32" s="90"/>
      <c r="AM32" s="90"/>
      <c r="AN32" s="99"/>
      <c r="AO32" s="99"/>
      <c r="AP32" s="99"/>
      <c r="AQ32" s="99"/>
      <c r="AR32" s="99"/>
      <c r="AS32" s="99"/>
      <c r="AT32" s="99"/>
      <c r="AU32" s="99"/>
      <c r="AV32" s="99"/>
      <c r="AW32" s="99"/>
      <c r="AX32" s="99"/>
      <c r="AY32" s="99"/>
      <c r="AZ32" s="99"/>
      <c r="BA32" s="99"/>
      <c r="BB32" s="99"/>
      <c r="BC32" s="99"/>
      <c r="BD32" s="99"/>
      <c r="BE32" s="99"/>
      <c r="BF32" s="99"/>
      <c r="BG32" s="99"/>
      <c r="BH32" s="99"/>
      <c r="BI32" s="99"/>
      <c r="BJ32" s="99"/>
      <c r="BK32" s="99"/>
      <c r="BL32" s="99"/>
      <c r="BM32" s="99"/>
      <c r="BN32" s="114"/>
      <c r="BO32" s="99"/>
      <c r="BP32" s="99"/>
      <c r="BQ32" s="99"/>
      <c r="BR32" s="99"/>
      <c r="BS32" s="99"/>
      <c r="BT32" s="99"/>
      <c r="BU32" s="100">
        <f t="shared" si="0"/>
        <v>0</v>
      </c>
      <c r="BV32" s="101"/>
    </row>
    <row r="33" spans="1:76" x14ac:dyDescent="0.2">
      <c r="A33" s="93">
        <v>15</v>
      </c>
      <c r="B33" s="109" t="s">
        <v>131</v>
      </c>
      <c r="C33" s="113"/>
      <c r="D33" s="96" t="s">
        <v>118</v>
      </c>
      <c r="E33" s="90"/>
      <c r="F33" s="90"/>
      <c r="G33" s="90">
        <v>0</v>
      </c>
      <c r="H33" s="90">
        <v>0</v>
      </c>
      <c r="I33" s="90">
        <v>0</v>
      </c>
      <c r="J33" s="90">
        <v>0</v>
      </c>
      <c r="K33" s="90">
        <v>0</v>
      </c>
      <c r="L33" s="90">
        <v>0</v>
      </c>
      <c r="M33" s="90">
        <v>0</v>
      </c>
      <c r="N33" s="90">
        <v>0</v>
      </c>
      <c r="O33" s="90">
        <v>0</v>
      </c>
      <c r="P33" s="90">
        <v>0</v>
      </c>
      <c r="Q33" s="90">
        <v>0</v>
      </c>
      <c r="R33" s="90">
        <v>0</v>
      </c>
      <c r="S33" s="90">
        <v>0</v>
      </c>
      <c r="T33" s="90">
        <v>0</v>
      </c>
      <c r="U33" s="90">
        <v>0</v>
      </c>
      <c r="V33" s="90">
        <v>0</v>
      </c>
      <c r="W33" s="90">
        <v>0</v>
      </c>
      <c r="X33" s="90">
        <v>0</v>
      </c>
      <c r="Y33" s="90">
        <v>0</v>
      </c>
      <c r="Z33" s="90">
        <v>0</v>
      </c>
      <c r="AA33" s="90">
        <v>0</v>
      </c>
      <c r="AB33" s="90">
        <v>0</v>
      </c>
      <c r="AC33" s="90">
        <v>0</v>
      </c>
      <c r="AD33" s="90">
        <v>0</v>
      </c>
      <c r="AE33" s="90">
        <v>0</v>
      </c>
      <c r="AF33" s="90">
        <v>0</v>
      </c>
      <c r="AG33" s="90">
        <v>0</v>
      </c>
      <c r="AH33" s="90">
        <v>0</v>
      </c>
      <c r="AI33" s="90">
        <v>0</v>
      </c>
      <c r="AJ33" s="90">
        <v>0</v>
      </c>
      <c r="AK33" s="90">
        <v>0</v>
      </c>
      <c r="AL33" s="90"/>
      <c r="AM33" s="90"/>
      <c r="AN33" s="99"/>
      <c r="AO33" s="99"/>
      <c r="AP33" s="99"/>
      <c r="AQ33" s="99"/>
      <c r="AR33" s="99"/>
      <c r="AS33" s="99"/>
      <c r="AT33" s="99"/>
      <c r="AU33" s="99"/>
      <c r="AV33" s="99"/>
      <c r="AW33" s="99"/>
      <c r="AX33" s="99"/>
      <c r="AY33" s="99"/>
      <c r="AZ33" s="99"/>
      <c r="BA33" s="99"/>
      <c r="BB33" s="99"/>
      <c r="BC33" s="99"/>
      <c r="BD33" s="99"/>
      <c r="BE33" s="99"/>
      <c r="BF33" s="99"/>
      <c r="BG33" s="99"/>
      <c r="BH33" s="99"/>
      <c r="BI33" s="99"/>
      <c r="BJ33" s="99"/>
      <c r="BK33" s="99"/>
      <c r="BL33" s="99"/>
      <c r="BM33" s="99"/>
      <c r="BN33" s="99"/>
      <c r="BO33" s="99"/>
      <c r="BP33" s="99"/>
      <c r="BQ33" s="99"/>
      <c r="BR33" s="99"/>
      <c r="BS33" s="99"/>
      <c r="BT33" s="99"/>
      <c r="BU33" s="100">
        <f t="shared" si="0"/>
        <v>0</v>
      </c>
      <c r="BW33" s="92"/>
      <c r="BX33" s="101"/>
    </row>
    <row r="34" spans="1:76" x14ac:dyDescent="0.2">
      <c r="A34" s="93">
        <v>16</v>
      </c>
      <c r="B34" s="109" t="s">
        <v>132</v>
      </c>
      <c r="C34" s="95"/>
      <c r="D34" s="96" t="s">
        <v>118</v>
      </c>
      <c r="E34" s="90"/>
      <c r="F34" s="90"/>
      <c r="G34" s="90">
        <v>1</v>
      </c>
      <c r="H34" s="90">
        <v>1</v>
      </c>
      <c r="I34" s="90">
        <v>1</v>
      </c>
      <c r="J34" s="90">
        <v>1</v>
      </c>
      <c r="K34" s="90">
        <v>1</v>
      </c>
      <c r="L34" s="90">
        <v>1</v>
      </c>
      <c r="M34" s="90">
        <v>1</v>
      </c>
      <c r="N34" s="90">
        <v>0</v>
      </c>
      <c r="O34" s="90">
        <v>1</v>
      </c>
      <c r="P34" s="90">
        <v>1</v>
      </c>
      <c r="Q34" s="90">
        <v>1</v>
      </c>
      <c r="R34" s="90">
        <v>1</v>
      </c>
      <c r="S34" s="90">
        <v>1</v>
      </c>
      <c r="T34" s="90">
        <v>1</v>
      </c>
      <c r="U34" s="90">
        <v>1</v>
      </c>
      <c r="V34" s="90">
        <v>1</v>
      </c>
      <c r="W34" s="90">
        <v>1</v>
      </c>
      <c r="X34" s="90">
        <v>1</v>
      </c>
      <c r="Y34" s="90">
        <v>1</v>
      </c>
      <c r="Z34" s="90">
        <v>1</v>
      </c>
      <c r="AA34" s="90">
        <v>1</v>
      </c>
      <c r="AB34" s="90">
        <v>0</v>
      </c>
      <c r="AC34" s="90">
        <v>1</v>
      </c>
      <c r="AD34" s="90">
        <v>1</v>
      </c>
      <c r="AE34" s="90">
        <v>1</v>
      </c>
      <c r="AF34" s="90">
        <v>1</v>
      </c>
      <c r="AG34" s="90">
        <v>1</v>
      </c>
      <c r="AH34" s="90">
        <v>1</v>
      </c>
      <c r="AI34" s="90">
        <v>1</v>
      </c>
      <c r="AJ34" s="90">
        <v>1</v>
      </c>
      <c r="AK34" s="90">
        <v>1</v>
      </c>
      <c r="AL34" s="90"/>
      <c r="AM34" s="90"/>
      <c r="AN34" s="99"/>
      <c r="AO34" s="99"/>
      <c r="AP34" s="99"/>
      <c r="AQ34" s="99"/>
      <c r="AR34" s="99"/>
      <c r="AS34" s="99"/>
      <c r="AT34" s="99"/>
      <c r="AU34" s="99"/>
      <c r="AV34" s="99"/>
      <c r="AW34" s="99"/>
      <c r="AX34" s="99"/>
      <c r="AY34" s="99"/>
      <c r="AZ34" s="99"/>
      <c r="BA34" s="99"/>
      <c r="BB34" s="99"/>
      <c r="BC34" s="99"/>
      <c r="BD34" s="99"/>
      <c r="BE34" s="99"/>
      <c r="BF34" s="99"/>
      <c r="BG34" s="99"/>
      <c r="BH34" s="99"/>
      <c r="BI34" s="99"/>
      <c r="BJ34" s="99"/>
      <c r="BK34" s="99"/>
      <c r="BL34" s="99"/>
      <c r="BM34" s="99"/>
      <c r="BN34" s="99"/>
      <c r="BO34" s="99"/>
      <c r="BP34" s="99"/>
      <c r="BQ34" s="99"/>
      <c r="BR34" s="99"/>
      <c r="BS34" s="99"/>
      <c r="BT34" s="99"/>
      <c r="BU34" s="100">
        <f t="shared" si="0"/>
        <v>29</v>
      </c>
      <c r="BW34" s="92"/>
      <c r="BX34" s="101"/>
    </row>
    <row r="35" spans="1:76" x14ac:dyDescent="0.2">
      <c r="A35" s="93">
        <v>17</v>
      </c>
      <c r="B35" s="109" t="s">
        <v>133</v>
      </c>
      <c r="C35" s="95"/>
      <c r="D35" s="96" t="s">
        <v>118</v>
      </c>
      <c r="E35" s="90"/>
      <c r="F35" s="90"/>
      <c r="G35" s="90">
        <v>0</v>
      </c>
      <c r="H35" s="90">
        <v>0</v>
      </c>
      <c r="I35" s="90">
        <v>0</v>
      </c>
      <c r="J35" s="90">
        <v>0</v>
      </c>
      <c r="K35" s="90">
        <v>0</v>
      </c>
      <c r="L35" s="90">
        <v>0</v>
      </c>
      <c r="M35" s="90">
        <v>0</v>
      </c>
      <c r="N35" s="90">
        <v>0</v>
      </c>
      <c r="O35" s="90">
        <v>0</v>
      </c>
      <c r="P35" s="90">
        <v>0</v>
      </c>
      <c r="Q35" s="90">
        <v>0</v>
      </c>
      <c r="R35" s="90">
        <v>0</v>
      </c>
      <c r="S35" s="90">
        <v>0</v>
      </c>
      <c r="T35" s="90">
        <v>0</v>
      </c>
      <c r="U35" s="90">
        <v>0</v>
      </c>
      <c r="V35" s="90">
        <v>0</v>
      </c>
      <c r="W35" s="90">
        <v>0</v>
      </c>
      <c r="X35" s="90">
        <v>0</v>
      </c>
      <c r="Y35" s="90">
        <v>0</v>
      </c>
      <c r="Z35" s="90">
        <v>0</v>
      </c>
      <c r="AA35" s="90">
        <v>0</v>
      </c>
      <c r="AB35" s="90">
        <v>0</v>
      </c>
      <c r="AC35" s="90">
        <v>0</v>
      </c>
      <c r="AD35" s="90">
        <v>0</v>
      </c>
      <c r="AE35" s="90">
        <v>0</v>
      </c>
      <c r="AF35" s="90">
        <v>0</v>
      </c>
      <c r="AG35" s="90">
        <v>0</v>
      </c>
      <c r="AH35" s="90">
        <v>0</v>
      </c>
      <c r="AI35" s="90">
        <v>0</v>
      </c>
      <c r="AJ35" s="90">
        <v>0</v>
      </c>
      <c r="AK35" s="90">
        <v>0</v>
      </c>
      <c r="AL35" s="90"/>
      <c r="AM35" s="90"/>
      <c r="AN35" s="99"/>
      <c r="AO35" s="99"/>
      <c r="AP35" s="99"/>
      <c r="AQ35" s="99"/>
      <c r="AR35" s="99"/>
      <c r="AS35" s="99"/>
      <c r="AT35" s="99"/>
      <c r="AU35" s="99"/>
      <c r="AV35" s="99"/>
      <c r="AW35" s="99"/>
      <c r="AX35" s="99"/>
      <c r="AY35" s="99"/>
      <c r="AZ35" s="99"/>
      <c r="BA35" s="99"/>
      <c r="BB35" s="99"/>
      <c r="BC35" s="99"/>
      <c r="BD35" s="99"/>
      <c r="BE35" s="99"/>
      <c r="BF35" s="99"/>
      <c r="BG35" s="99"/>
      <c r="BH35" s="99"/>
      <c r="BI35" s="99"/>
      <c r="BJ35" s="99"/>
      <c r="BK35" s="99"/>
      <c r="BL35" s="99"/>
      <c r="BM35" s="99"/>
      <c r="BN35" s="99"/>
      <c r="BO35" s="99"/>
      <c r="BP35" s="99"/>
      <c r="BQ35" s="99"/>
      <c r="BR35" s="99"/>
      <c r="BS35" s="99"/>
      <c r="BT35" s="99"/>
      <c r="BU35" s="100">
        <f t="shared" si="0"/>
        <v>0</v>
      </c>
      <c r="BW35" s="92"/>
      <c r="BX35" s="101"/>
    </row>
    <row r="36" spans="1:76" x14ac:dyDescent="0.2">
      <c r="A36" s="93">
        <v>18</v>
      </c>
      <c r="B36" s="109" t="s">
        <v>134</v>
      </c>
      <c r="C36" s="95"/>
      <c r="D36" s="96" t="s">
        <v>118</v>
      </c>
      <c r="E36" s="90"/>
      <c r="F36" s="90"/>
      <c r="G36" s="90">
        <v>0</v>
      </c>
      <c r="H36" s="90">
        <v>0</v>
      </c>
      <c r="I36" s="90">
        <v>0</v>
      </c>
      <c r="J36" s="90">
        <v>0</v>
      </c>
      <c r="K36" s="90">
        <v>0</v>
      </c>
      <c r="L36" s="90">
        <v>0</v>
      </c>
      <c r="M36" s="90">
        <v>0</v>
      </c>
      <c r="N36" s="90">
        <v>0</v>
      </c>
      <c r="O36" s="90">
        <v>0</v>
      </c>
      <c r="P36" s="90">
        <v>0</v>
      </c>
      <c r="Q36" s="90">
        <v>0</v>
      </c>
      <c r="R36" s="90">
        <v>0</v>
      </c>
      <c r="S36" s="90">
        <v>0</v>
      </c>
      <c r="T36" s="90">
        <v>0</v>
      </c>
      <c r="U36" s="90">
        <v>0</v>
      </c>
      <c r="V36" s="90">
        <v>0</v>
      </c>
      <c r="W36" s="90">
        <v>0</v>
      </c>
      <c r="X36" s="90">
        <v>0</v>
      </c>
      <c r="Y36" s="90">
        <v>0</v>
      </c>
      <c r="Z36" s="90">
        <v>0</v>
      </c>
      <c r="AA36" s="90">
        <v>0</v>
      </c>
      <c r="AB36" s="90">
        <v>0</v>
      </c>
      <c r="AC36" s="90">
        <v>0</v>
      </c>
      <c r="AD36" s="90">
        <v>0</v>
      </c>
      <c r="AE36" s="90">
        <v>0</v>
      </c>
      <c r="AF36" s="90">
        <v>0</v>
      </c>
      <c r="AG36" s="90">
        <v>0</v>
      </c>
      <c r="AH36" s="90">
        <v>0</v>
      </c>
      <c r="AI36" s="90">
        <v>0</v>
      </c>
      <c r="AJ36" s="90">
        <v>0</v>
      </c>
      <c r="AK36" s="90">
        <v>0</v>
      </c>
      <c r="AL36" s="90"/>
      <c r="AM36" s="90"/>
      <c r="AN36" s="99"/>
      <c r="AO36" s="99"/>
      <c r="AP36" s="99"/>
      <c r="AQ36" s="99"/>
      <c r="AR36" s="99"/>
      <c r="AS36" s="99"/>
      <c r="AT36" s="99"/>
      <c r="AU36" s="99"/>
      <c r="AV36" s="99"/>
      <c r="AW36" s="99"/>
      <c r="AX36" s="99"/>
      <c r="AY36" s="99"/>
      <c r="AZ36" s="99"/>
      <c r="BA36" s="99"/>
      <c r="BB36" s="99"/>
      <c r="BC36" s="99"/>
      <c r="BD36" s="99"/>
      <c r="BE36" s="99"/>
      <c r="BF36" s="99"/>
      <c r="BG36" s="99"/>
      <c r="BH36" s="99"/>
      <c r="BI36" s="99"/>
      <c r="BJ36" s="99"/>
      <c r="BK36" s="99"/>
      <c r="BL36" s="99"/>
      <c r="BM36" s="99"/>
      <c r="BN36" s="99"/>
      <c r="BO36" s="99"/>
      <c r="BP36" s="99"/>
      <c r="BQ36" s="99"/>
      <c r="BR36" s="99"/>
      <c r="BS36" s="99"/>
      <c r="BT36" s="99"/>
      <c r="BU36" s="100">
        <f t="shared" si="0"/>
        <v>0</v>
      </c>
      <c r="BW36" s="92"/>
      <c r="BX36" s="101"/>
    </row>
    <row r="37" spans="1:76" x14ac:dyDescent="0.2">
      <c r="A37" s="93">
        <v>19</v>
      </c>
      <c r="B37" s="109" t="s">
        <v>135</v>
      </c>
      <c r="C37" s="113"/>
      <c r="D37" s="96" t="s">
        <v>118</v>
      </c>
      <c r="E37" s="90"/>
      <c r="F37" s="90"/>
      <c r="G37" s="90">
        <v>8</v>
      </c>
      <c r="H37" s="90">
        <v>8</v>
      </c>
      <c r="I37" s="90">
        <v>7</v>
      </c>
      <c r="J37" s="90">
        <v>6</v>
      </c>
      <c r="K37" s="90">
        <v>6</v>
      </c>
      <c r="L37" s="90">
        <v>4</v>
      </c>
      <c r="M37" s="90">
        <v>3</v>
      </c>
      <c r="N37" s="90">
        <v>0</v>
      </c>
      <c r="O37" s="90">
        <v>2</v>
      </c>
      <c r="P37" s="90">
        <v>9</v>
      </c>
      <c r="Q37" s="90">
        <v>12</v>
      </c>
      <c r="R37" s="90">
        <v>16</v>
      </c>
      <c r="S37" s="90">
        <v>10</v>
      </c>
      <c r="T37" s="90">
        <v>8</v>
      </c>
      <c r="U37" s="90">
        <v>7</v>
      </c>
      <c r="V37" s="90">
        <v>7</v>
      </c>
      <c r="W37" s="90">
        <v>7</v>
      </c>
      <c r="X37" s="90">
        <v>7</v>
      </c>
      <c r="Y37" s="90">
        <v>8</v>
      </c>
      <c r="Z37" s="90">
        <v>10</v>
      </c>
      <c r="AA37" s="90">
        <v>10</v>
      </c>
      <c r="AB37" s="90">
        <v>3</v>
      </c>
      <c r="AC37" s="90">
        <v>8</v>
      </c>
      <c r="AD37" s="90">
        <v>8</v>
      </c>
      <c r="AE37" s="90">
        <v>8</v>
      </c>
      <c r="AF37" s="90">
        <v>8</v>
      </c>
      <c r="AG37" s="90">
        <v>6</v>
      </c>
      <c r="AH37" s="90">
        <v>5</v>
      </c>
      <c r="AI37" s="90">
        <v>6</v>
      </c>
      <c r="AJ37" s="90">
        <v>5</v>
      </c>
      <c r="AK37" s="90">
        <v>5</v>
      </c>
      <c r="AL37" s="90"/>
      <c r="AM37" s="90"/>
      <c r="AN37" s="99"/>
      <c r="AO37" s="99"/>
      <c r="AP37" s="99"/>
      <c r="AQ37" s="99"/>
      <c r="AR37" s="99"/>
      <c r="AS37" s="99"/>
      <c r="AT37" s="99"/>
      <c r="AU37" s="99"/>
      <c r="AV37" s="99"/>
      <c r="AW37" s="99"/>
      <c r="AX37" s="99"/>
      <c r="AY37" s="99"/>
      <c r="AZ37" s="99"/>
      <c r="BA37" s="99"/>
      <c r="BB37" s="99"/>
      <c r="BC37" s="99"/>
      <c r="BD37" s="99"/>
      <c r="BE37" s="99"/>
      <c r="BF37" s="99"/>
      <c r="BG37" s="99"/>
      <c r="BH37" s="99"/>
      <c r="BI37" s="99"/>
      <c r="BJ37" s="99"/>
      <c r="BK37" s="99"/>
      <c r="BL37" s="99"/>
      <c r="BM37" s="99"/>
      <c r="BN37" s="99"/>
      <c r="BO37" s="99"/>
      <c r="BP37" s="99"/>
      <c r="BQ37" s="99"/>
      <c r="BR37" s="99"/>
      <c r="BS37" s="99"/>
      <c r="BT37" s="99"/>
      <c r="BU37" s="100">
        <f t="shared" si="0"/>
        <v>217</v>
      </c>
      <c r="BW37" s="92"/>
      <c r="BX37" s="101"/>
    </row>
    <row r="38" spans="1:76" x14ac:dyDescent="0.2">
      <c r="A38" s="93">
        <v>20</v>
      </c>
      <c r="B38" s="109" t="s">
        <v>136</v>
      </c>
      <c r="C38" s="113"/>
      <c r="D38" s="96" t="s">
        <v>118</v>
      </c>
      <c r="E38" s="90"/>
      <c r="F38" s="90"/>
      <c r="G38" s="90">
        <v>0</v>
      </c>
      <c r="H38" s="90">
        <v>0</v>
      </c>
      <c r="I38" s="90">
        <v>0</v>
      </c>
      <c r="J38" s="90">
        <v>0</v>
      </c>
      <c r="K38" s="90">
        <v>0</v>
      </c>
      <c r="L38" s="90">
        <v>0</v>
      </c>
      <c r="M38" s="90">
        <v>0</v>
      </c>
      <c r="N38" s="90">
        <v>0</v>
      </c>
      <c r="O38" s="90">
        <v>0</v>
      </c>
      <c r="P38" s="90">
        <v>0</v>
      </c>
      <c r="Q38" s="90">
        <v>0</v>
      </c>
      <c r="R38" s="90">
        <v>0</v>
      </c>
      <c r="S38" s="90">
        <v>0</v>
      </c>
      <c r="T38" s="90">
        <v>0</v>
      </c>
      <c r="U38" s="90">
        <v>0</v>
      </c>
      <c r="V38" s="90">
        <v>0</v>
      </c>
      <c r="W38" s="90">
        <v>0</v>
      </c>
      <c r="X38" s="90">
        <v>0</v>
      </c>
      <c r="Y38" s="90">
        <v>0</v>
      </c>
      <c r="Z38" s="90">
        <v>0</v>
      </c>
      <c r="AA38" s="90">
        <v>0</v>
      </c>
      <c r="AB38" s="90">
        <v>0</v>
      </c>
      <c r="AC38" s="90">
        <v>0</v>
      </c>
      <c r="AD38" s="90">
        <v>0</v>
      </c>
      <c r="AE38" s="90">
        <v>0</v>
      </c>
      <c r="AF38" s="90">
        <v>0</v>
      </c>
      <c r="AG38" s="90">
        <v>0</v>
      </c>
      <c r="AH38" s="90">
        <v>0</v>
      </c>
      <c r="AI38" s="90">
        <v>0</v>
      </c>
      <c r="AJ38" s="90">
        <v>0</v>
      </c>
      <c r="AK38" s="90">
        <v>0</v>
      </c>
      <c r="AL38" s="90"/>
      <c r="AM38" s="90"/>
      <c r="AN38" s="99"/>
      <c r="AO38" s="99"/>
      <c r="AP38" s="99"/>
      <c r="AQ38" s="99"/>
      <c r="AR38" s="99"/>
      <c r="AS38" s="99"/>
      <c r="AT38" s="99"/>
      <c r="AU38" s="99"/>
      <c r="AV38" s="99"/>
      <c r="AW38" s="99"/>
      <c r="AX38" s="99"/>
      <c r="AY38" s="99"/>
      <c r="AZ38" s="99"/>
      <c r="BA38" s="99"/>
      <c r="BB38" s="99"/>
      <c r="BC38" s="99"/>
      <c r="BD38" s="99"/>
      <c r="BE38" s="99"/>
      <c r="BF38" s="99"/>
      <c r="BG38" s="99"/>
      <c r="BH38" s="99"/>
      <c r="BI38" s="99"/>
      <c r="BJ38" s="99"/>
      <c r="BK38" s="99"/>
      <c r="BL38" s="99"/>
      <c r="BM38" s="99"/>
      <c r="BN38" s="99"/>
      <c r="BO38" s="99"/>
      <c r="BP38" s="99"/>
      <c r="BQ38" s="99"/>
      <c r="BR38" s="99"/>
      <c r="BS38" s="99"/>
      <c r="BT38" s="99"/>
      <c r="BU38" s="100">
        <f t="shared" si="0"/>
        <v>0</v>
      </c>
      <c r="BW38" s="92"/>
      <c r="BX38" s="101"/>
    </row>
    <row r="39" spans="1:76" x14ac:dyDescent="0.2">
      <c r="A39" s="93">
        <v>21</v>
      </c>
      <c r="B39" s="109" t="s">
        <v>137</v>
      </c>
      <c r="C39" s="95"/>
      <c r="D39" s="96" t="s">
        <v>118</v>
      </c>
      <c r="E39" s="90"/>
      <c r="F39" s="90"/>
      <c r="G39" s="90">
        <v>8</v>
      </c>
      <c r="H39" s="90">
        <v>7</v>
      </c>
      <c r="I39" s="90">
        <v>6</v>
      </c>
      <c r="J39" s="90">
        <v>6</v>
      </c>
      <c r="K39" s="90">
        <v>6</v>
      </c>
      <c r="L39" s="90">
        <v>4</v>
      </c>
      <c r="M39" s="90">
        <v>3</v>
      </c>
      <c r="N39" s="90">
        <v>0</v>
      </c>
      <c r="O39" s="90">
        <v>2</v>
      </c>
      <c r="P39" s="90">
        <v>10</v>
      </c>
      <c r="Q39" s="90">
        <v>18</v>
      </c>
      <c r="R39" s="90">
        <v>20</v>
      </c>
      <c r="S39" s="90">
        <v>10</v>
      </c>
      <c r="T39" s="90">
        <v>8</v>
      </c>
      <c r="U39" s="90">
        <v>7</v>
      </c>
      <c r="V39" s="90">
        <v>7</v>
      </c>
      <c r="W39" s="90">
        <v>7</v>
      </c>
      <c r="X39" s="90">
        <v>7</v>
      </c>
      <c r="Y39" s="90">
        <v>10</v>
      </c>
      <c r="Z39" s="90">
        <v>15</v>
      </c>
      <c r="AA39" s="90">
        <v>10</v>
      </c>
      <c r="AB39" s="90">
        <v>3</v>
      </c>
      <c r="AC39" s="90">
        <v>6</v>
      </c>
      <c r="AD39" s="90">
        <v>6</v>
      </c>
      <c r="AE39" s="90">
        <v>6</v>
      </c>
      <c r="AF39" s="90">
        <v>6</v>
      </c>
      <c r="AG39" s="90">
        <v>10</v>
      </c>
      <c r="AH39" s="90">
        <v>5</v>
      </c>
      <c r="AI39" s="90">
        <v>6</v>
      </c>
      <c r="AJ39" s="90">
        <v>8</v>
      </c>
      <c r="AK39" s="90">
        <v>10</v>
      </c>
      <c r="AL39" s="90"/>
      <c r="AM39" s="90"/>
      <c r="AN39" s="99"/>
      <c r="AO39" s="99"/>
      <c r="AP39" s="99"/>
      <c r="AQ39" s="99"/>
      <c r="AR39" s="99"/>
      <c r="AS39" s="99"/>
      <c r="AT39" s="99"/>
      <c r="AU39" s="99"/>
      <c r="AV39" s="99"/>
      <c r="AW39" s="99"/>
      <c r="AX39" s="99"/>
      <c r="AY39" s="99"/>
      <c r="AZ39" s="99"/>
      <c r="BA39" s="99"/>
      <c r="BB39" s="99"/>
      <c r="BC39" s="99"/>
      <c r="BD39" s="99"/>
      <c r="BE39" s="99"/>
      <c r="BF39" s="99"/>
      <c r="BG39" s="99"/>
      <c r="BH39" s="99"/>
      <c r="BI39" s="99"/>
      <c r="BJ39" s="99"/>
      <c r="BK39" s="99"/>
      <c r="BL39" s="99"/>
      <c r="BM39" s="99"/>
      <c r="BN39" s="99"/>
      <c r="BO39" s="99"/>
      <c r="BP39" s="99"/>
      <c r="BQ39" s="99"/>
      <c r="BR39" s="99"/>
      <c r="BS39" s="99"/>
      <c r="BT39" s="99"/>
      <c r="BU39" s="100">
        <f t="shared" si="0"/>
        <v>237</v>
      </c>
      <c r="BW39" s="115"/>
      <c r="BX39" s="101"/>
    </row>
    <row r="40" spans="1:76" x14ac:dyDescent="0.2">
      <c r="A40" s="93">
        <v>22</v>
      </c>
      <c r="B40" s="109" t="s">
        <v>138</v>
      </c>
      <c r="C40" s="95"/>
      <c r="D40" s="96" t="s">
        <v>118</v>
      </c>
      <c r="E40" s="90"/>
      <c r="F40" s="90"/>
      <c r="G40" s="90">
        <v>15</v>
      </c>
      <c r="H40" s="90">
        <v>15</v>
      </c>
      <c r="I40" s="90">
        <v>15</v>
      </c>
      <c r="J40" s="90">
        <v>15</v>
      </c>
      <c r="K40" s="90">
        <v>15</v>
      </c>
      <c r="L40" s="90">
        <v>12</v>
      </c>
      <c r="M40" s="90">
        <v>10</v>
      </c>
      <c r="N40" s="90">
        <v>0</v>
      </c>
      <c r="O40" s="90">
        <v>3</v>
      </c>
      <c r="P40" s="90">
        <v>15</v>
      </c>
      <c r="Q40" s="90">
        <v>15</v>
      </c>
      <c r="R40" s="90">
        <v>15</v>
      </c>
      <c r="S40" s="90">
        <v>15</v>
      </c>
      <c r="T40" s="90">
        <v>15</v>
      </c>
      <c r="U40" s="90">
        <v>15</v>
      </c>
      <c r="V40" s="90">
        <v>15</v>
      </c>
      <c r="W40" s="90">
        <v>15</v>
      </c>
      <c r="X40" s="90">
        <v>15</v>
      </c>
      <c r="Y40" s="90">
        <v>15</v>
      </c>
      <c r="Z40" s="90">
        <v>15</v>
      </c>
      <c r="AA40" s="90">
        <v>15</v>
      </c>
      <c r="AB40" s="90">
        <v>5</v>
      </c>
      <c r="AC40" s="90">
        <v>15</v>
      </c>
      <c r="AD40" s="90">
        <v>15</v>
      </c>
      <c r="AE40" s="90">
        <v>15</v>
      </c>
      <c r="AF40" s="90">
        <v>15</v>
      </c>
      <c r="AG40" s="90">
        <v>12</v>
      </c>
      <c r="AH40" s="90">
        <v>10</v>
      </c>
      <c r="AI40" s="90">
        <v>10</v>
      </c>
      <c r="AJ40" s="90">
        <v>10</v>
      </c>
      <c r="AK40" s="90">
        <v>10</v>
      </c>
      <c r="AL40" s="90"/>
      <c r="AM40" s="90"/>
      <c r="AN40" s="99"/>
      <c r="AO40" s="99"/>
      <c r="AP40" s="99"/>
      <c r="AQ40" s="99"/>
      <c r="AR40" s="99"/>
      <c r="AS40" s="99"/>
      <c r="AT40" s="99"/>
      <c r="AU40" s="99"/>
      <c r="AV40" s="99"/>
      <c r="AW40" s="99"/>
      <c r="AX40" s="99"/>
      <c r="AY40" s="99"/>
      <c r="AZ40" s="99"/>
      <c r="BA40" s="99"/>
      <c r="BB40" s="99"/>
      <c r="BC40" s="99"/>
      <c r="BD40" s="99"/>
      <c r="BE40" s="99"/>
      <c r="BF40" s="99"/>
      <c r="BG40" s="99"/>
      <c r="BH40" s="99"/>
      <c r="BI40" s="99"/>
      <c r="BJ40" s="99"/>
      <c r="BK40" s="99"/>
      <c r="BL40" s="99"/>
      <c r="BM40" s="99"/>
      <c r="BN40" s="99"/>
      <c r="BO40" s="99"/>
      <c r="BP40" s="99"/>
      <c r="BQ40" s="99"/>
      <c r="BR40" s="99"/>
      <c r="BS40" s="99"/>
      <c r="BT40" s="99"/>
      <c r="BU40" s="100">
        <f t="shared" si="0"/>
        <v>397</v>
      </c>
      <c r="BW40" s="115"/>
      <c r="BX40" s="101"/>
    </row>
    <row r="41" spans="1:76" x14ac:dyDescent="0.2">
      <c r="A41" s="93">
        <v>23</v>
      </c>
      <c r="B41" s="109" t="s">
        <v>139</v>
      </c>
      <c r="C41" s="95"/>
      <c r="D41" s="96" t="s">
        <v>118</v>
      </c>
      <c r="E41" s="90"/>
      <c r="F41" s="90"/>
      <c r="G41" s="90">
        <v>0</v>
      </c>
      <c r="H41" s="90">
        <v>0</v>
      </c>
      <c r="I41" s="90">
        <v>0</v>
      </c>
      <c r="J41" s="90">
        <v>0</v>
      </c>
      <c r="K41" s="90">
        <v>0</v>
      </c>
      <c r="L41" s="90">
        <v>0</v>
      </c>
      <c r="M41" s="90">
        <v>0</v>
      </c>
      <c r="N41" s="90">
        <v>0</v>
      </c>
      <c r="O41" s="90">
        <v>0</v>
      </c>
      <c r="P41" s="90">
        <v>0</v>
      </c>
      <c r="Q41" s="90">
        <v>0</v>
      </c>
      <c r="R41" s="90">
        <v>0</v>
      </c>
      <c r="S41" s="90">
        <v>0</v>
      </c>
      <c r="T41" s="90">
        <v>0</v>
      </c>
      <c r="U41" s="90">
        <v>0</v>
      </c>
      <c r="V41" s="90">
        <v>0</v>
      </c>
      <c r="W41" s="90">
        <v>0</v>
      </c>
      <c r="X41" s="90">
        <v>0</v>
      </c>
      <c r="Y41" s="90">
        <v>0</v>
      </c>
      <c r="Z41" s="90">
        <v>0</v>
      </c>
      <c r="AA41" s="90">
        <v>0</v>
      </c>
      <c r="AB41" s="90">
        <v>0</v>
      </c>
      <c r="AC41" s="90">
        <v>0</v>
      </c>
      <c r="AD41" s="90">
        <v>0</v>
      </c>
      <c r="AE41" s="90">
        <v>0</v>
      </c>
      <c r="AF41" s="90">
        <v>0</v>
      </c>
      <c r="AG41" s="90">
        <v>0</v>
      </c>
      <c r="AH41" s="90">
        <v>0</v>
      </c>
      <c r="AI41" s="90">
        <v>0</v>
      </c>
      <c r="AJ41" s="90">
        <v>0</v>
      </c>
      <c r="AK41" s="90">
        <v>0</v>
      </c>
      <c r="AL41" s="90"/>
      <c r="AM41" s="90"/>
      <c r="AN41" s="99"/>
      <c r="AO41" s="99"/>
      <c r="AP41" s="99"/>
      <c r="AQ41" s="99"/>
      <c r="AR41" s="99"/>
      <c r="AS41" s="99"/>
      <c r="AT41" s="99"/>
      <c r="AU41" s="99"/>
      <c r="AV41" s="99"/>
      <c r="AW41" s="99"/>
      <c r="AX41" s="99"/>
      <c r="AY41" s="99"/>
      <c r="AZ41" s="99"/>
      <c r="BA41" s="99"/>
      <c r="BB41" s="99"/>
      <c r="BC41" s="99"/>
      <c r="BD41" s="99"/>
      <c r="BE41" s="99"/>
      <c r="BF41" s="99"/>
      <c r="BG41" s="99"/>
      <c r="BH41" s="99"/>
      <c r="BI41" s="99"/>
      <c r="BJ41" s="99"/>
      <c r="BK41" s="99"/>
      <c r="BL41" s="99"/>
      <c r="BM41" s="99"/>
      <c r="BN41" s="99"/>
      <c r="BO41" s="99"/>
      <c r="BP41" s="99"/>
      <c r="BQ41" s="99"/>
      <c r="BR41" s="99"/>
      <c r="BS41" s="99"/>
      <c r="BT41" s="99"/>
      <c r="BU41" s="100">
        <f t="shared" si="0"/>
        <v>0</v>
      </c>
      <c r="BW41" s="115"/>
      <c r="BX41" s="101"/>
    </row>
    <row r="42" spans="1:76" x14ac:dyDescent="0.2">
      <c r="A42" s="93">
        <v>24</v>
      </c>
      <c r="B42" s="109" t="s">
        <v>140</v>
      </c>
      <c r="C42" s="95"/>
      <c r="D42" s="96" t="s">
        <v>118</v>
      </c>
      <c r="E42" s="90"/>
      <c r="F42" s="90"/>
      <c r="G42" s="90">
        <v>0</v>
      </c>
      <c r="H42" s="90">
        <v>0</v>
      </c>
      <c r="I42" s="90">
        <v>0</v>
      </c>
      <c r="J42" s="90">
        <v>0</v>
      </c>
      <c r="K42" s="90">
        <v>0</v>
      </c>
      <c r="L42" s="90">
        <v>0</v>
      </c>
      <c r="M42" s="90">
        <v>0</v>
      </c>
      <c r="N42" s="90">
        <v>0</v>
      </c>
      <c r="O42" s="90">
        <v>0</v>
      </c>
      <c r="P42" s="90">
        <v>0</v>
      </c>
      <c r="Q42" s="90">
        <v>0</v>
      </c>
      <c r="R42" s="90">
        <v>0</v>
      </c>
      <c r="S42" s="90">
        <v>0</v>
      </c>
      <c r="T42" s="90">
        <v>0</v>
      </c>
      <c r="U42" s="90">
        <v>0</v>
      </c>
      <c r="V42" s="90">
        <v>0</v>
      </c>
      <c r="W42" s="90">
        <v>0</v>
      </c>
      <c r="X42" s="90">
        <v>0</v>
      </c>
      <c r="Y42" s="90">
        <v>0</v>
      </c>
      <c r="Z42" s="90">
        <v>0</v>
      </c>
      <c r="AA42" s="90">
        <v>0</v>
      </c>
      <c r="AB42" s="90">
        <v>0</v>
      </c>
      <c r="AC42" s="90">
        <v>0</v>
      </c>
      <c r="AD42" s="90">
        <v>0</v>
      </c>
      <c r="AE42" s="90">
        <v>0</v>
      </c>
      <c r="AF42" s="90">
        <v>0</v>
      </c>
      <c r="AG42" s="90">
        <v>0</v>
      </c>
      <c r="AH42" s="90">
        <v>0</v>
      </c>
      <c r="AI42" s="90">
        <v>0</v>
      </c>
      <c r="AJ42" s="90">
        <v>0</v>
      </c>
      <c r="AK42" s="90">
        <v>0</v>
      </c>
      <c r="AL42" s="90"/>
      <c r="AM42" s="90"/>
      <c r="AN42" s="99"/>
      <c r="AO42" s="99"/>
      <c r="AP42" s="99"/>
      <c r="AQ42" s="99"/>
      <c r="AR42" s="99"/>
      <c r="AS42" s="99"/>
      <c r="AT42" s="99"/>
      <c r="AU42" s="99"/>
      <c r="AV42" s="99"/>
      <c r="AW42" s="99"/>
      <c r="AX42" s="99"/>
      <c r="AY42" s="99"/>
      <c r="AZ42" s="99"/>
      <c r="BA42" s="99"/>
      <c r="BB42" s="99"/>
      <c r="BC42" s="99"/>
      <c r="BD42" s="99"/>
      <c r="BE42" s="99"/>
      <c r="BF42" s="99"/>
      <c r="BG42" s="99"/>
      <c r="BH42" s="99"/>
      <c r="BI42" s="99"/>
      <c r="BJ42" s="99"/>
      <c r="BK42" s="99"/>
      <c r="BL42" s="99"/>
      <c r="BM42" s="99"/>
      <c r="BN42" s="99"/>
      <c r="BO42" s="99"/>
      <c r="BP42" s="99"/>
      <c r="BQ42" s="99"/>
      <c r="BR42" s="99"/>
      <c r="BS42" s="99"/>
      <c r="BT42" s="99"/>
      <c r="BU42" s="100">
        <f t="shared" si="0"/>
        <v>0</v>
      </c>
      <c r="BW42" s="115"/>
      <c r="BX42" s="101"/>
    </row>
    <row r="43" spans="1:76" x14ac:dyDescent="0.2">
      <c r="A43" s="93">
        <v>25</v>
      </c>
      <c r="B43" s="109" t="s">
        <v>141</v>
      </c>
      <c r="C43" s="95"/>
      <c r="D43" s="96" t="s">
        <v>118</v>
      </c>
      <c r="E43" s="90"/>
      <c r="F43" s="90"/>
      <c r="G43" s="90">
        <v>60</v>
      </c>
      <c r="H43" s="90">
        <v>60</v>
      </c>
      <c r="I43" s="90">
        <v>60</v>
      </c>
      <c r="J43" s="90">
        <v>50</v>
      </c>
      <c r="K43" s="90">
        <v>0</v>
      </c>
      <c r="L43" s="90">
        <v>100</v>
      </c>
      <c r="M43" s="90">
        <v>60</v>
      </c>
      <c r="N43" s="90">
        <v>10</v>
      </c>
      <c r="O43" s="90">
        <v>50</v>
      </c>
      <c r="P43" s="90">
        <v>25</v>
      </c>
      <c r="Q43" s="90">
        <v>10</v>
      </c>
      <c r="R43" s="90">
        <v>10</v>
      </c>
      <c r="S43" s="90">
        <v>50</v>
      </c>
      <c r="T43" s="90">
        <v>50</v>
      </c>
      <c r="U43" s="90">
        <v>75</v>
      </c>
      <c r="V43" s="90">
        <v>100</v>
      </c>
      <c r="W43" s="90">
        <v>60</v>
      </c>
      <c r="X43" s="90">
        <v>80</v>
      </c>
      <c r="Y43" s="90">
        <v>100</v>
      </c>
      <c r="Z43" s="90">
        <v>80</v>
      </c>
      <c r="AA43" s="90">
        <v>80</v>
      </c>
      <c r="AB43" s="90">
        <v>100</v>
      </c>
      <c r="AC43" s="90">
        <v>60</v>
      </c>
      <c r="AD43" s="90">
        <v>60</v>
      </c>
      <c r="AE43" s="90">
        <v>60</v>
      </c>
      <c r="AF43" s="90">
        <v>100</v>
      </c>
      <c r="AG43" s="90">
        <v>100</v>
      </c>
      <c r="AH43" s="90">
        <v>50</v>
      </c>
      <c r="AI43" s="90">
        <v>60</v>
      </c>
      <c r="AJ43" s="90">
        <v>60</v>
      </c>
      <c r="AK43" s="90">
        <v>100</v>
      </c>
      <c r="AL43" s="90"/>
      <c r="AM43" s="90"/>
      <c r="AN43" s="99"/>
      <c r="AO43" s="99"/>
      <c r="AP43" s="99"/>
      <c r="AQ43" s="99"/>
      <c r="AR43" s="99"/>
      <c r="AS43" s="99"/>
      <c r="AT43" s="99"/>
      <c r="AU43" s="99"/>
      <c r="AV43" s="99"/>
      <c r="AW43" s="99"/>
      <c r="AX43" s="99"/>
      <c r="AY43" s="99"/>
      <c r="AZ43" s="99"/>
      <c r="BA43" s="99"/>
      <c r="BB43" s="99"/>
      <c r="BC43" s="99"/>
      <c r="BD43" s="99"/>
      <c r="BE43" s="99"/>
      <c r="BF43" s="99"/>
      <c r="BG43" s="99"/>
      <c r="BH43" s="99"/>
      <c r="BI43" s="99"/>
      <c r="BJ43" s="99"/>
      <c r="BK43" s="99"/>
      <c r="BL43" s="99"/>
      <c r="BM43" s="99"/>
      <c r="BN43" s="99"/>
      <c r="BO43" s="99"/>
      <c r="BP43" s="99"/>
      <c r="BQ43" s="99"/>
      <c r="BR43" s="99"/>
      <c r="BS43" s="99"/>
      <c r="BT43" s="99"/>
      <c r="BU43" s="100">
        <f t="shared" si="0"/>
        <v>1920</v>
      </c>
      <c r="BW43" s="115"/>
      <c r="BX43" s="101"/>
    </row>
    <row r="44" spans="1:76" x14ac:dyDescent="0.2">
      <c r="A44" s="93">
        <v>26</v>
      </c>
      <c r="B44" s="109" t="s">
        <v>142</v>
      </c>
      <c r="C44" s="95"/>
      <c r="D44" s="96" t="s">
        <v>118</v>
      </c>
      <c r="E44" s="90"/>
      <c r="F44" s="90"/>
      <c r="G44" s="90">
        <v>0</v>
      </c>
      <c r="H44" s="90">
        <v>0</v>
      </c>
      <c r="I44" s="90">
        <v>0</v>
      </c>
      <c r="J44" s="90">
        <v>0</v>
      </c>
      <c r="K44" s="90">
        <v>0</v>
      </c>
      <c r="L44" s="90">
        <v>0</v>
      </c>
      <c r="M44" s="90">
        <v>0</v>
      </c>
      <c r="N44" s="90">
        <v>0</v>
      </c>
      <c r="O44" s="90">
        <v>0</v>
      </c>
      <c r="P44" s="90">
        <v>0</v>
      </c>
      <c r="Q44" s="90">
        <v>0</v>
      </c>
      <c r="R44" s="90">
        <v>0</v>
      </c>
      <c r="S44" s="90">
        <v>0</v>
      </c>
      <c r="T44" s="90">
        <v>0</v>
      </c>
      <c r="U44" s="90">
        <v>0</v>
      </c>
      <c r="V44" s="90">
        <v>0</v>
      </c>
      <c r="W44" s="90">
        <v>0</v>
      </c>
      <c r="X44" s="90">
        <v>0</v>
      </c>
      <c r="Y44" s="90">
        <v>0</v>
      </c>
      <c r="Z44" s="90">
        <v>0</v>
      </c>
      <c r="AA44" s="90">
        <v>0</v>
      </c>
      <c r="AB44" s="90">
        <v>0</v>
      </c>
      <c r="AC44" s="90">
        <v>0</v>
      </c>
      <c r="AD44" s="90">
        <v>0</v>
      </c>
      <c r="AE44" s="90">
        <v>0</v>
      </c>
      <c r="AF44" s="90">
        <v>0</v>
      </c>
      <c r="AG44" s="90">
        <v>0</v>
      </c>
      <c r="AH44" s="90">
        <v>0</v>
      </c>
      <c r="AI44" s="90">
        <v>0</v>
      </c>
      <c r="AJ44" s="90">
        <v>0</v>
      </c>
      <c r="AK44" s="90">
        <v>0</v>
      </c>
      <c r="AL44" s="90"/>
      <c r="AM44" s="90"/>
      <c r="AN44" s="99"/>
      <c r="AO44" s="99"/>
      <c r="AP44" s="99"/>
      <c r="AQ44" s="99"/>
      <c r="AR44" s="99"/>
      <c r="AS44" s="99"/>
      <c r="AT44" s="99"/>
      <c r="AU44" s="99"/>
      <c r="AV44" s="99"/>
      <c r="AW44" s="99"/>
      <c r="AX44" s="99"/>
      <c r="AY44" s="99"/>
      <c r="AZ44" s="99"/>
      <c r="BA44" s="99"/>
      <c r="BB44" s="99"/>
      <c r="BC44" s="99"/>
      <c r="BD44" s="99"/>
      <c r="BE44" s="99"/>
      <c r="BF44" s="99"/>
      <c r="BG44" s="99"/>
      <c r="BH44" s="99"/>
      <c r="BI44" s="99"/>
      <c r="BJ44" s="99"/>
      <c r="BK44" s="99"/>
      <c r="BL44" s="99"/>
      <c r="BM44" s="99"/>
      <c r="BN44" s="99"/>
      <c r="BO44" s="99"/>
      <c r="BP44" s="99"/>
      <c r="BQ44" s="99"/>
      <c r="BR44" s="99"/>
      <c r="BS44" s="99"/>
      <c r="BT44" s="99"/>
      <c r="BU44" s="100">
        <f t="shared" si="0"/>
        <v>0</v>
      </c>
      <c r="BW44" s="115"/>
      <c r="BX44" s="101"/>
    </row>
    <row r="45" spans="1:76" x14ac:dyDescent="0.2">
      <c r="A45" s="93">
        <v>27</v>
      </c>
      <c r="B45" s="109" t="s">
        <v>143</v>
      </c>
      <c r="C45" s="95"/>
      <c r="D45" s="96" t="s">
        <v>118</v>
      </c>
      <c r="E45" s="90"/>
      <c r="F45" s="90"/>
      <c r="G45" s="90">
        <v>0</v>
      </c>
      <c r="H45" s="90">
        <v>20</v>
      </c>
      <c r="I45" s="90">
        <v>20</v>
      </c>
      <c r="J45" s="90">
        <v>0</v>
      </c>
      <c r="K45" s="90">
        <v>0</v>
      </c>
      <c r="L45" s="90">
        <v>20</v>
      </c>
      <c r="M45" s="90">
        <v>10</v>
      </c>
      <c r="N45" s="90">
        <v>0</v>
      </c>
      <c r="O45" s="90">
        <v>10</v>
      </c>
      <c r="P45" s="90">
        <v>0</v>
      </c>
      <c r="Q45" s="90">
        <v>0</v>
      </c>
      <c r="R45" s="90">
        <v>0</v>
      </c>
      <c r="S45" s="90">
        <v>0</v>
      </c>
      <c r="T45" s="90">
        <v>0</v>
      </c>
      <c r="U45" s="90">
        <v>20</v>
      </c>
      <c r="V45" s="90">
        <v>20</v>
      </c>
      <c r="W45" s="90">
        <v>0</v>
      </c>
      <c r="X45" s="90">
        <v>0</v>
      </c>
      <c r="Y45" s="90">
        <v>20</v>
      </c>
      <c r="Z45" s="90">
        <v>0</v>
      </c>
      <c r="AA45" s="90">
        <v>0</v>
      </c>
      <c r="AB45" s="90">
        <v>0</v>
      </c>
      <c r="AC45" s="90">
        <v>0</v>
      </c>
      <c r="AD45" s="90">
        <v>0</v>
      </c>
      <c r="AE45" s="90">
        <v>0</v>
      </c>
      <c r="AF45" s="90">
        <v>0</v>
      </c>
      <c r="AG45" s="90">
        <v>0</v>
      </c>
      <c r="AH45" s="90">
        <v>0</v>
      </c>
      <c r="AI45" s="90">
        <v>0</v>
      </c>
      <c r="AJ45" s="90">
        <v>0</v>
      </c>
      <c r="AK45" s="90">
        <v>0</v>
      </c>
      <c r="AL45" s="90"/>
      <c r="AM45" s="90"/>
      <c r="AN45" s="99"/>
      <c r="AO45" s="99"/>
      <c r="AP45" s="99"/>
      <c r="AQ45" s="99"/>
      <c r="AR45" s="99"/>
      <c r="AS45" s="99"/>
      <c r="AT45" s="99"/>
      <c r="AU45" s="99"/>
      <c r="AV45" s="99"/>
      <c r="AW45" s="99"/>
      <c r="AX45" s="99"/>
      <c r="AY45" s="99"/>
      <c r="AZ45" s="99"/>
      <c r="BA45" s="99"/>
      <c r="BB45" s="99"/>
      <c r="BC45" s="99"/>
      <c r="BD45" s="99"/>
      <c r="BE45" s="99"/>
      <c r="BF45" s="99"/>
      <c r="BG45" s="99"/>
      <c r="BH45" s="99"/>
      <c r="BI45" s="99"/>
      <c r="BJ45" s="99"/>
      <c r="BK45" s="99"/>
      <c r="BL45" s="99"/>
      <c r="BM45" s="99"/>
      <c r="BN45" s="99"/>
      <c r="BO45" s="99"/>
      <c r="BP45" s="99"/>
      <c r="BQ45" s="99"/>
      <c r="BR45" s="99"/>
      <c r="BS45" s="99"/>
      <c r="BT45" s="99"/>
      <c r="BU45" s="100">
        <f t="shared" si="0"/>
        <v>140</v>
      </c>
      <c r="BW45" s="115"/>
      <c r="BX45" s="101"/>
    </row>
    <row r="46" spans="1:76" x14ac:dyDescent="0.2">
      <c r="A46" s="93"/>
      <c r="B46" s="196" t="s">
        <v>224</v>
      </c>
      <c r="C46" s="95"/>
      <c r="D46" s="228"/>
      <c r="E46" s="229"/>
      <c r="F46" s="229"/>
      <c r="G46" s="229"/>
      <c r="H46" s="229"/>
      <c r="I46" s="229"/>
      <c r="J46" s="229"/>
      <c r="K46" s="229"/>
      <c r="L46" s="229"/>
      <c r="M46" s="229"/>
      <c r="N46" s="229"/>
      <c r="O46" s="229"/>
      <c r="P46" s="229"/>
      <c r="Q46" s="229"/>
      <c r="R46" s="229"/>
      <c r="S46" s="229"/>
      <c r="T46" s="229"/>
      <c r="U46" s="229"/>
      <c r="V46" s="229"/>
      <c r="W46" s="229"/>
      <c r="X46" s="229"/>
      <c r="Y46" s="229"/>
      <c r="Z46" s="229"/>
      <c r="AA46" s="229"/>
      <c r="AB46" s="229"/>
      <c r="AC46" s="229"/>
      <c r="AD46" s="229"/>
      <c r="AE46" s="229"/>
      <c r="AF46" s="229"/>
      <c r="AG46" s="229"/>
      <c r="AH46" s="229"/>
      <c r="AI46" s="229"/>
      <c r="AJ46" s="229"/>
      <c r="AK46" s="229"/>
      <c r="AL46" s="229"/>
      <c r="AM46" s="229"/>
      <c r="AN46" s="229"/>
      <c r="AO46" s="229"/>
      <c r="AP46" s="229"/>
      <c r="AQ46" s="229"/>
      <c r="AR46" s="229"/>
      <c r="AS46" s="229"/>
      <c r="AT46" s="229"/>
      <c r="AU46" s="229"/>
      <c r="AV46" s="229"/>
      <c r="AW46" s="229"/>
      <c r="AX46" s="229"/>
      <c r="AY46" s="229"/>
      <c r="AZ46" s="229"/>
      <c r="BA46" s="229"/>
      <c r="BB46" s="229"/>
      <c r="BC46" s="229"/>
      <c r="BD46" s="229"/>
      <c r="BE46" s="229"/>
      <c r="BF46" s="229"/>
      <c r="BG46" s="229"/>
      <c r="BH46" s="229"/>
      <c r="BI46" s="229"/>
      <c r="BJ46" s="229"/>
      <c r="BK46" s="229"/>
      <c r="BL46" s="229"/>
      <c r="BM46" s="229"/>
      <c r="BN46" s="229"/>
      <c r="BO46" s="229"/>
      <c r="BP46" s="229"/>
      <c r="BQ46" s="229"/>
      <c r="BR46" s="229"/>
      <c r="BS46" s="229"/>
      <c r="BT46" s="229"/>
      <c r="BU46" s="246"/>
      <c r="BW46" s="115"/>
      <c r="BX46" s="101"/>
    </row>
    <row r="47" spans="1:76" x14ac:dyDescent="0.2">
      <c r="A47" s="93">
        <v>28</v>
      </c>
      <c r="B47" s="109" t="s">
        <v>225</v>
      </c>
      <c r="C47" s="95"/>
      <c r="D47" s="96" t="s">
        <v>228</v>
      </c>
      <c r="E47" s="90"/>
      <c r="F47" s="90"/>
      <c r="G47" s="90">
        <v>1554</v>
      </c>
      <c r="H47" s="90">
        <v>1228.5</v>
      </c>
      <c r="I47" s="90">
        <v>1177.5</v>
      </c>
      <c r="J47" s="90">
        <v>817.5</v>
      </c>
      <c r="K47" s="90">
        <v>1020</v>
      </c>
      <c r="L47" s="90">
        <v>592.5</v>
      </c>
      <c r="M47" s="90">
        <v>937.5</v>
      </c>
      <c r="N47" s="90">
        <v>60</v>
      </c>
      <c r="O47" s="90">
        <v>112.5</v>
      </c>
      <c r="P47" s="90">
        <v>952.5</v>
      </c>
      <c r="Q47" s="90">
        <v>1080</v>
      </c>
      <c r="R47" s="90">
        <v>1125</v>
      </c>
      <c r="S47" s="90">
        <v>877.5</v>
      </c>
      <c r="T47" s="90">
        <v>1042.5</v>
      </c>
      <c r="U47" s="90">
        <v>990</v>
      </c>
      <c r="V47" s="90">
        <v>735</v>
      </c>
      <c r="W47" s="90">
        <v>922.5</v>
      </c>
      <c r="X47" s="90">
        <v>855</v>
      </c>
      <c r="Y47" s="90">
        <v>840</v>
      </c>
      <c r="Z47" s="90">
        <v>967.5</v>
      </c>
      <c r="AA47" s="90">
        <v>915</v>
      </c>
      <c r="AB47" s="90">
        <v>307.5</v>
      </c>
      <c r="AC47" s="90">
        <v>1005</v>
      </c>
      <c r="AD47" s="90">
        <v>1065</v>
      </c>
      <c r="AE47" s="90">
        <v>1057.5</v>
      </c>
      <c r="AF47" s="90">
        <v>1147.5</v>
      </c>
      <c r="AG47" s="90">
        <v>945</v>
      </c>
      <c r="AH47" s="90">
        <v>1005</v>
      </c>
      <c r="AI47" s="90">
        <v>855</v>
      </c>
      <c r="AJ47" s="90">
        <v>1057.5</v>
      </c>
      <c r="AK47" s="90">
        <v>885</v>
      </c>
      <c r="AL47" s="90"/>
      <c r="AM47" s="90"/>
      <c r="AN47" s="99"/>
      <c r="AO47" s="99"/>
      <c r="AP47" s="99"/>
      <c r="AQ47" s="99"/>
      <c r="AR47" s="99"/>
      <c r="AS47" s="99"/>
      <c r="AT47" s="99"/>
      <c r="AU47" s="99"/>
      <c r="AV47" s="99"/>
      <c r="AW47" s="99"/>
      <c r="AX47" s="99"/>
      <c r="AY47" s="99"/>
      <c r="AZ47" s="99"/>
      <c r="BA47" s="99"/>
      <c r="BB47" s="99"/>
      <c r="BC47" s="99"/>
      <c r="BD47" s="99"/>
      <c r="BE47" s="99"/>
      <c r="BF47" s="99"/>
      <c r="BG47" s="99"/>
      <c r="BH47" s="99"/>
      <c r="BI47" s="99"/>
      <c r="BJ47" s="99"/>
      <c r="BK47" s="99"/>
      <c r="BL47" s="99"/>
      <c r="BM47" s="99"/>
      <c r="BN47" s="99"/>
      <c r="BO47" s="99"/>
      <c r="BP47" s="99"/>
      <c r="BQ47" s="99"/>
      <c r="BR47" s="99"/>
      <c r="BS47" s="99"/>
      <c r="BT47" s="99"/>
      <c r="BU47" s="100">
        <f>SUM(G47:BG47)</f>
        <v>28132.5</v>
      </c>
      <c r="BW47" s="115"/>
      <c r="BX47" s="101"/>
    </row>
    <row r="48" spans="1:76" x14ac:dyDescent="0.2">
      <c r="A48" s="93">
        <v>29</v>
      </c>
      <c r="B48" s="109" t="s">
        <v>226</v>
      </c>
      <c r="C48" s="95"/>
      <c r="D48" s="96" t="s">
        <v>229</v>
      </c>
      <c r="E48" s="90"/>
      <c r="F48" s="90"/>
      <c r="G48" s="90">
        <v>0</v>
      </c>
      <c r="H48" s="90">
        <v>0</v>
      </c>
      <c r="I48" s="90">
        <v>0</v>
      </c>
      <c r="J48" s="90">
        <v>0</v>
      </c>
      <c r="K48" s="90">
        <v>622</v>
      </c>
      <c r="L48" s="90">
        <v>0</v>
      </c>
      <c r="M48" s="90">
        <v>0</v>
      </c>
      <c r="N48" s="90">
        <v>0</v>
      </c>
      <c r="O48" s="90">
        <v>0</v>
      </c>
      <c r="P48" s="90">
        <v>0</v>
      </c>
      <c r="Q48" s="90">
        <v>202</v>
      </c>
      <c r="R48" s="90">
        <v>0</v>
      </c>
      <c r="S48" s="90">
        <v>0</v>
      </c>
      <c r="T48" s="90">
        <v>96</v>
      </c>
      <c r="U48" s="90">
        <v>0</v>
      </c>
      <c r="V48" s="90">
        <v>80</v>
      </c>
      <c r="W48" s="90">
        <v>490</v>
      </c>
      <c r="X48" s="90">
        <v>1048</v>
      </c>
      <c r="Y48" s="90">
        <v>168</v>
      </c>
      <c r="Z48" s="90">
        <v>256</v>
      </c>
      <c r="AA48" s="90">
        <v>250</v>
      </c>
      <c r="AB48" s="90">
        <v>48</v>
      </c>
      <c r="AC48" s="90">
        <v>34</v>
      </c>
      <c r="AD48" s="90">
        <v>0</v>
      </c>
      <c r="AE48" s="90">
        <v>0</v>
      </c>
      <c r="AF48" s="90">
        <v>0</v>
      </c>
      <c r="AG48" s="90">
        <v>32</v>
      </c>
      <c r="AH48" s="90">
        <v>0</v>
      </c>
      <c r="AI48" s="90">
        <v>340</v>
      </c>
      <c r="AJ48" s="90">
        <v>60</v>
      </c>
      <c r="AK48" s="90">
        <v>68</v>
      </c>
      <c r="AL48" s="90"/>
      <c r="AM48" s="90"/>
      <c r="AN48" s="99"/>
      <c r="AO48" s="99"/>
      <c r="AP48" s="99"/>
      <c r="AQ48" s="99"/>
      <c r="AR48" s="99"/>
      <c r="AS48" s="99"/>
      <c r="AT48" s="99"/>
      <c r="AU48" s="99"/>
      <c r="AV48" s="99"/>
      <c r="AW48" s="99"/>
      <c r="AX48" s="99"/>
      <c r="AY48" s="99"/>
      <c r="AZ48" s="99"/>
      <c r="BA48" s="99"/>
      <c r="BB48" s="99"/>
      <c r="BC48" s="99"/>
      <c r="BD48" s="99"/>
      <c r="BE48" s="99"/>
      <c r="BF48" s="99"/>
      <c r="BG48" s="99"/>
      <c r="BH48" s="99"/>
      <c r="BI48" s="99"/>
      <c r="BJ48" s="99"/>
      <c r="BK48" s="99"/>
      <c r="BL48" s="99"/>
      <c r="BM48" s="99"/>
      <c r="BN48" s="99"/>
      <c r="BO48" s="99"/>
      <c r="BP48" s="99"/>
      <c r="BQ48" s="99"/>
      <c r="BR48" s="99"/>
      <c r="BS48" s="99"/>
      <c r="BT48" s="99"/>
      <c r="BU48" s="100">
        <f>SUM(G48:BG48)</f>
        <v>3794</v>
      </c>
      <c r="BW48" s="115"/>
      <c r="BX48" s="101"/>
    </row>
    <row r="49" spans="1:76" x14ac:dyDescent="0.2">
      <c r="A49" s="93">
        <v>30</v>
      </c>
      <c r="B49" s="109" t="s">
        <v>227</v>
      </c>
      <c r="C49" s="95"/>
      <c r="D49" s="96" t="s">
        <v>228</v>
      </c>
      <c r="E49" s="90"/>
      <c r="F49" s="90"/>
      <c r="G49" s="90">
        <v>315</v>
      </c>
      <c r="H49" s="90">
        <v>210</v>
      </c>
      <c r="I49" s="90">
        <v>315</v>
      </c>
      <c r="J49" s="90">
        <v>255</v>
      </c>
      <c r="K49" s="90">
        <v>330</v>
      </c>
      <c r="L49" s="90">
        <v>255</v>
      </c>
      <c r="M49" s="90">
        <v>270</v>
      </c>
      <c r="N49" s="90">
        <v>30</v>
      </c>
      <c r="O49" s="90">
        <v>0</v>
      </c>
      <c r="P49" s="90">
        <v>255</v>
      </c>
      <c r="Q49" s="90">
        <v>270</v>
      </c>
      <c r="R49" s="90">
        <v>285</v>
      </c>
      <c r="S49" s="90">
        <v>285</v>
      </c>
      <c r="T49" s="90">
        <v>330</v>
      </c>
      <c r="U49" s="90">
        <v>330</v>
      </c>
      <c r="V49" s="90">
        <v>270</v>
      </c>
      <c r="W49" s="90">
        <v>420</v>
      </c>
      <c r="X49" s="90">
        <v>360</v>
      </c>
      <c r="Y49" s="90">
        <v>315</v>
      </c>
      <c r="Z49" s="90">
        <v>390</v>
      </c>
      <c r="AA49" s="90">
        <v>255</v>
      </c>
      <c r="AB49" s="90">
        <v>135</v>
      </c>
      <c r="AC49" s="90">
        <v>270</v>
      </c>
      <c r="AD49" s="90">
        <v>330</v>
      </c>
      <c r="AE49" s="90">
        <v>285</v>
      </c>
      <c r="AF49" s="90">
        <v>270</v>
      </c>
      <c r="AG49" s="90">
        <v>285</v>
      </c>
      <c r="AH49" s="90">
        <v>270</v>
      </c>
      <c r="AI49" s="90">
        <v>315</v>
      </c>
      <c r="AJ49" s="90">
        <v>285</v>
      </c>
      <c r="AK49" s="90">
        <v>315</v>
      </c>
      <c r="AL49" s="90"/>
      <c r="AM49" s="90"/>
      <c r="AN49" s="99"/>
      <c r="AO49" s="99"/>
      <c r="AP49" s="99"/>
      <c r="AQ49" s="99"/>
      <c r="AR49" s="99"/>
      <c r="AS49" s="99"/>
      <c r="AT49" s="99"/>
      <c r="AU49" s="99"/>
      <c r="AV49" s="99"/>
      <c r="AW49" s="99"/>
      <c r="AX49" s="99"/>
      <c r="AY49" s="99"/>
      <c r="AZ49" s="99"/>
      <c r="BA49" s="99"/>
      <c r="BB49" s="99"/>
      <c r="BC49" s="99"/>
      <c r="BD49" s="99"/>
      <c r="BE49" s="99"/>
      <c r="BF49" s="99"/>
      <c r="BG49" s="99"/>
      <c r="BH49" s="99"/>
      <c r="BI49" s="99"/>
      <c r="BJ49" s="99"/>
      <c r="BK49" s="99"/>
      <c r="BL49" s="99"/>
      <c r="BM49" s="99"/>
      <c r="BN49" s="99"/>
      <c r="BO49" s="99"/>
      <c r="BP49" s="99"/>
      <c r="BQ49" s="99"/>
      <c r="BR49" s="99"/>
      <c r="BS49" s="99"/>
      <c r="BT49" s="99"/>
      <c r="BU49" s="100">
        <f>SUM(G49:BG49)</f>
        <v>8505</v>
      </c>
      <c r="BW49" s="115"/>
      <c r="BX49" s="101"/>
    </row>
    <row r="50" spans="1:76" x14ac:dyDescent="0.2">
      <c r="A50" s="247"/>
      <c r="B50" s="229"/>
      <c r="C50" s="229"/>
      <c r="D50" s="229"/>
      <c r="E50" s="229"/>
      <c r="F50" s="229"/>
      <c r="G50" s="229"/>
      <c r="H50" s="229"/>
      <c r="I50" s="229"/>
      <c r="J50" s="229"/>
      <c r="K50" s="229"/>
      <c r="L50" s="229"/>
      <c r="M50" s="229"/>
      <c r="N50" s="229"/>
      <c r="O50" s="229"/>
      <c r="P50" s="229"/>
      <c r="Q50" s="229"/>
      <c r="R50" s="229"/>
      <c r="S50" s="229"/>
      <c r="T50" s="229"/>
      <c r="U50" s="229"/>
      <c r="V50" s="229"/>
      <c r="W50" s="229"/>
      <c r="X50" s="229"/>
      <c r="Y50" s="229"/>
      <c r="Z50" s="229"/>
      <c r="AA50" s="229"/>
      <c r="AB50" s="229"/>
      <c r="AC50" s="229"/>
      <c r="AD50" s="229"/>
      <c r="AE50" s="229"/>
      <c r="AF50" s="229"/>
      <c r="AG50" s="229"/>
      <c r="AH50" s="229"/>
      <c r="AI50" s="229"/>
      <c r="AJ50" s="229"/>
      <c r="AK50" s="229"/>
      <c r="AL50" s="229"/>
      <c r="AM50" s="229"/>
      <c r="AN50" s="229"/>
      <c r="AO50" s="229"/>
      <c r="AP50" s="229"/>
      <c r="AQ50" s="229"/>
      <c r="AR50" s="229"/>
      <c r="AS50" s="229"/>
      <c r="AT50" s="229"/>
      <c r="AU50" s="229"/>
      <c r="AV50" s="229"/>
      <c r="AW50" s="229"/>
      <c r="AX50" s="229"/>
      <c r="AY50" s="229"/>
      <c r="AZ50" s="229"/>
      <c r="BA50" s="229"/>
      <c r="BB50" s="229"/>
      <c r="BC50" s="229"/>
      <c r="BD50" s="229"/>
      <c r="BE50" s="229"/>
      <c r="BF50" s="229"/>
      <c r="BG50" s="229"/>
      <c r="BH50" s="229"/>
      <c r="BI50" s="229"/>
      <c r="BJ50" s="229"/>
      <c r="BK50" s="229"/>
      <c r="BL50" s="229"/>
      <c r="BM50" s="229"/>
      <c r="BN50" s="229"/>
      <c r="BO50" s="229"/>
      <c r="BP50" s="229"/>
      <c r="BQ50" s="229"/>
      <c r="BR50" s="229"/>
      <c r="BS50" s="229"/>
      <c r="BT50" s="229"/>
      <c r="BU50" s="246"/>
      <c r="BW50" s="115"/>
      <c r="BX50" s="101"/>
    </row>
    <row r="51" spans="1:76" x14ac:dyDescent="0.2">
      <c r="A51" s="93" t="s">
        <v>144</v>
      </c>
      <c r="B51" s="102" t="s">
        <v>145</v>
      </c>
      <c r="C51" s="103"/>
      <c r="D51" s="104" t="s">
        <v>16</v>
      </c>
      <c r="E51" s="116">
        <v>0</v>
      </c>
      <c r="F51" s="116">
        <v>0</v>
      </c>
      <c r="G51" s="116">
        <v>66</v>
      </c>
      <c r="H51" s="116">
        <v>72</v>
      </c>
      <c r="I51" s="116">
        <v>68</v>
      </c>
      <c r="J51" s="116">
        <v>62</v>
      </c>
      <c r="K51" s="116">
        <v>66</v>
      </c>
      <c r="L51" s="116">
        <v>58</v>
      </c>
      <c r="M51" s="116">
        <v>59</v>
      </c>
      <c r="N51" s="116">
        <v>0</v>
      </c>
      <c r="O51" s="116">
        <v>11</v>
      </c>
      <c r="P51" s="116">
        <v>70</v>
      </c>
      <c r="Q51" s="116">
        <v>89</v>
      </c>
      <c r="R51" s="116">
        <v>85</v>
      </c>
      <c r="S51" s="116">
        <v>85</v>
      </c>
      <c r="T51" s="116">
        <v>92</v>
      </c>
      <c r="U51" s="116">
        <v>89</v>
      </c>
      <c r="V51" s="116">
        <v>92</v>
      </c>
      <c r="W51" s="116">
        <v>100</v>
      </c>
      <c r="X51" s="116">
        <v>100</v>
      </c>
      <c r="Y51" s="116">
        <v>97</v>
      </c>
      <c r="Z51" s="116">
        <v>105</v>
      </c>
      <c r="AA51" s="116">
        <v>102</v>
      </c>
      <c r="AB51" s="116">
        <v>34</v>
      </c>
      <c r="AC51" s="116">
        <v>80</v>
      </c>
      <c r="AD51" s="116">
        <v>84</v>
      </c>
      <c r="AE51" s="116">
        <v>86</v>
      </c>
      <c r="AF51" s="116">
        <v>62</v>
      </c>
      <c r="AG51" s="116">
        <v>64</v>
      </c>
      <c r="AH51" s="116">
        <v>80</v>
      </c>
      <c r="AI51" s="116">
        <v>82</v>
      </c>
      <c r="AJ51" s="116">
        <v>64</v>
      </c>
      <c r="AK51" s="116">
        <v>72</v>
      </c>
      <c r="AL51" s="116"/>
      <c r="AM51" s="116"/>
      <c r="AN51" s="117"/>
      <c r="AO51" s="117"/>
      <c r="AP51" s="117"/>
      <c r="AQ51" s="117"/>
      <c r="AR51" s="117"/>
      <c r="AS51" s="117"/>
      <c r="AT51" s="117"/>
      <c r="AU51" s="117"/>
      <c r="AV51" s="117"/>
      <c r="AW51" s="117"/>
      <c r="AX51" s="117"/>
      <c r="AY51" s="117"/>
      <c r="AZ51" s="117"/>
      <c r="BA51" s="117"/>
      <c r="BB51" s="117"/>
      <c r="BC51" s="117"/>
      <c r="BD51" s="117"/>
      <c r="BE51" s="117"/>
      <c r="BF51" s="117"/>
      <c r="BG51" s="117"/>
      <c r="BH51" s="117"/>
      <c r="BI51" s="117"/>
      <c r="BJ51" s="117"/>
      <c r="BK51" s="117"/>
      <c r="BL51" s="117"/>
      <c r="BM51" s="117"/>
      <c r="BN51" s="117"/>
      <c r="BO51" s="117"/>
      <c r="BP51" s="117"/>
      <c r="BQ51" s="117"/>
      <c r="BR51" s="117"/>
      <c r="BS51" s="117"/>
      <c r="BT51" s="117"/>
      <c r="BU51" s="100">
        <f>SUM(G51:BG51)</f>
        <v>2276</v>
      </c>
      <c r="BW51" s="92"/>
      <c r="BX51" s="101"/>
    </row>
    <row r="52" spans="1:76" ht="21" thickBot="1" x14ac:dyDescent="0.25">
      <c r="A52" s="199" t="s">
        <v>146</v>
      </c>
      <c r="B52" s="200" t="s">
        <v>147</v>
      </c>
      <c r="C52" s="201"/>
      <c r="D52" s="202" t="s">
        <v>16</v>
      </c>
      <c r="E52" s="203">
        <f>E51*0.935</f>
        <v>0</v>
      </c>
      <c r="F52" s="203">
        <f t="shared" ref="F52" si="7">F51*0.935</f>
        <v>0</v>
      </c>
      <c r="G52" s="204">
        <v>47.927999999999997</v>
      </c>
      <c r="H52" s="204">
        <v>57.395000000000003</v>
      </c>
      <c r="I52" s="204">
        <v>74.628</v>
      </c>
      <c r="J52" s="204">
        <v>57.156999999999996</v>
      </c>
      <c r="K52" s="204">
        <v>65.206999999999994</v>
      </c>
      <c r="L52" s="204">
        <v>45.823</v>
      </c>
      <c r="M52" s="204">
        <v>63.18</v>
      </c>
      <c r="N52" s="204">
        <v>3.698</v>
      </c>
      <c r="O52" s="204">
        <v>2.859</v>
      </c>
      <c r="P52" s="204">
        <v>55.09</v>
      </c>
      <c r="Q52" s="204">
        <v>87.085999999999999</v>
      </c>
      <c r="R52" s="204">
        <v>75.683000000000007</v>
      </c>
      <c r="S52" s="204">
        <v>69.632000000000005</v>
      </c>
      <c r="T52" s="204">
        <v>88.647999999999996</v>
      </c>
      <c r="U52" s="204">
        <v>84.863</v>
      </c>
      <c r="V52" s="204">
        <v>81.754000000000005</v>
      </c>
      <c r="W52" s="204">
        <v>103.089</v>
      </c>
      <c r="X52" s="204">
        <v>84.578999999999994</v>
      </c>
      <c r="Y52" s="204">
        <v>85.653000000000006</v>
      </c>
      <c r="Z52" s="204">
        <v>115.08199999999999</v>
      </c>
      <c r="AA52" s="204">
        <v>90.668999999999997</v>
      </c>
      <c r="AB52" s="204">
        <v>29.106999999999999</v>
      </c>
      <c r="AC52" s="204">
        <v>70.311999999999998</v>
      </c>
      <c r="AD52" s="204">
        <v>76.724999999999994</v>
      </c>
      <c r="AE52" s="204">
        <v>72.094999999999999</v>
      </c>
      <c r="AF52" s="204">
        <v>64.724000000000004</v>
      </c>
      <c r="AG52" s="204">
        <v>63.613</v>
      </c>
      <c r="AH52" s="204">
        <v>63.176000000000002</v>
      </c>
      <c r="AI52" s="204">
        <v>68.575999999999993</v>
      </c>
      <c r="AJ52" s="204">
        <v>77.22</v>
      </c>
      <c r="AK52" s="204">
        <v>92.426000000000002</v>
      </c>
      <c r="AL52" s="204"/>
      <c r="AM52" s="204"/>
      <c r="AN52" s="204"/>
      <c r="AO52" s="204"/>
      <c r="AP52" s="204"/>
      <c r="AQ52" s="204"/>
      <c r="AR52" s="204"/>
      <c r="AS52" s="204"/>
      <c r="AT52" s="204"/>
      <c r="AU52" s="204"/>
      <c r="AV52" s="204"/>
      <c r="AW52" s="204"/>
      <c r="AX52" s="204"/>
      <c r="AY52" s="204"/>
      <c r="AZ52" s="204"/>
      <c r="BA52" s="204"/>
      <c r="BB52" s="204"/>
      <c r="BC52" s="204"/>
      <c r="BD52" s="204"/>
      <c r="BE52" s="204"/>
      <c r="BF52" s="204"/>
      <c r="BG52" s="204"/>
      <c r="BH52" s="203">
        <f t="shared" ref="BH52:BR52" si="8">BH51*0.94</f>
        <v>0</v>
      </c>
      <c r="BI52" s="203">
        <f t="shared" si="8"/>
        <v>0</v>
      </c>
      <c r="BJ52" s="203">
        <f t="shared" si="8"/>
        <v>0</v>
      </c>
      <c r="BK52" s="203">
        <f t="shared" si="8"/>
        <v>0</v>
      </c>
      <c r="BL52" s="203">
        <f t="shared" si="8"/>
        <v>0</v>
      </c>
      <c r="BM52" s="203">
        <f t="shared" si="8"/>
        <v>0</v>
      </c>
      <c r="BN52" s="203">
        <f t="shared" si="8"/>
        <v>0</v>
      </c>
      <c r="BO52" s="203">
        <f t="shared" si="8"/>
        <v>0</v>
      </c>
      <c r="BP52" s="203">
        <f t="shared" si="8"/>
        <v>0</v>
      </c>
      <c r="BQ52" s="203">
        <f t="shared" si="8"/>
        <v>0</v>
      </c>
      <c r="BR52" s="203">
        <f t="shared" si="8"/>
        <v>0</v>
      </c>
      <c r="BS52" s="205">
        <v>0</v>
      </c>
      <c r="BT52" s="205">
        <v>0</v>
      </c>
      <c r="BU52" s="206">
        <f>SUM(G52:BG52)</f>
        <v>2117.6770000000001</v>
      </c>
      <c r="BW52" s="92"/>
      <c r="BX52" s="101"/>
    </row>
    <row r="53" spans="1:76" hidden="1" x14ac:dyDescent="0.2">
      <c r="A53" s="197"/>
      <c r="B53" s="198"/>
      <c r="C53" s="237"/>
      <c r="D53" s="238"/>
      <c r="E53" s="238"/>
      <c r="F53" s="238"/>
      <c r="G53" s="238"/>
      <c r="H53" s="238"/>
      <c r="I53" s="238"/>
      <c r="J53" s="238"/>
      <c r="K53" s="238"/>
      <c r="L53" s="238"/>
      <c r="M53" s="238"/>
      <c r="N53" s="238"/>
      <c r="O53" s="238"/>
      <c r="P53" s="238"/>
      <c r="Q53" s="238"/>
      <c r="R53" s="238"/>
      <c r="S53" s="238"/>
      <c r="T53" s="238"/>
      <c r="U53" s="238"/>
      <c r="V53" s="238"/>
      <c r="W53" s="238"/>
      <c r="X53" s="238"/>
      <c r="Y53" s="238"/>
      <c r="Z53" s="238"/>
      <c r="AA53" s="238"/>
      <c r="AB53" s="238"/>
      <c r="AC53" s="238"/>
      <c r="AD53" s="238"/>
      <c r="AE53" s="238"/>
      <c r="AF53" s="238"/>
      <c r="AG53" s="238"/>
      <c r="AH53" s="238"/>
      <c r="AI53" s="238"/>
      <c r="AJ53" s="238"/>
      <c r="AK53" s="238"/>
      <c r="AL53" s="238"/>
      <c r="AM53" s="238"/>
      <c r="AN53" s="238"/>
      <c r="AO53" s="238"/>
      <c r="AP53" s="238"/>
      <c r="AQ53" s="238"/>
      <c r="AR53" s="238"/>
      <c r="AS53" s="238"/>
      <c r="AT53" s="238"/>
      <c r="AU53" s="238"/>
      <c r="AV53" s="238"/>
      <c r="AW53" s="238"/>
      <c r="AX53" s="238"/>
      <c r="AY53" s="238"/>
      <c r="AZ53" s="238"/>
      <c r="BA53" s="238"/>
      <c r="BB53" s="238"/>
      <c r="BC53" s="238"/>
      <c r="BD53" s="238"/>
      <c r="BE53" s="238"/>
      <c r="BF53" s="238"/>
      <c r="BG53" s="238"/>
      <c r="BH53" s="238"/>
      <c r="BI53" s="238"/>
      <c r="BJ53" s="238"/>
      <c r="BK53" s="238"/>
      <c r="BL53" s="238"/>
      <c r="BM53" s="238"/>
      <c r="BN53" s="238"/>
      <c r="BO53" s="238"/>
      <c r="BP53" s="238"/>
      <c r="BQ53" s="238"/>
      <c r="BR53" s="238"/>
      <c r="BS53" s="238"/>
      <c r="BT53" s="238"/>
      <c r="BU53" s="239"/>
      <c r="BW53" s="92"/>
      <c r="BX53" s="101"/>
    </row>
    <row r="54" spans="1:76" ht="23.25" hidden="1" customHeight="1" x14ac:dyDescent="0.25">
      <c r="A54" s="120" t="s">
        <v>148</v>
      </c>
      <c r="B54" s="121" t="s">
        <v>149</v>
      </c>
      <c r="C54" s="240"/>
      <c r="D54" s="241"/>
      <c r="E54" s="241"/>
      <c r="F54" s="241"/>
      <c r="G54" s="241"/>
      <c r="H54" s="241"/>
      <c r="I54" s="241"/>
      <c r="J54" s="241"/>
      <c r="K54" s="241"/>
      <c r="L54" s="241"/>
      <c r="M54" s="241"/>
      <c r="N54" s="241"/>
      <c r="O54" s="241"/>
      <c r="P54" s="241"/>
      <c r="Q54" s="241"/>
      <c r="R54" s="241"/>
      <c r="S54" s="241"/>
      <c r="T54" s="241"/>
      <c r="U54" s="241"/>
      <c r="V54" s="241"/>
      <c r="W54" s="241"/>
      <c r="X54" s="241"/>
      <c r="Y54" s="241"/>
      <c r="Z54" s="241"/>
      <c r="AA54" s="241"/>
      <c r="AB54" s="241"/>
      <c r="AC54" s="241"/>
      <c r="AD54" s="241"/>
      <c r="AE54" s="241"/>
      <c r="AF54" s="241"/>
      <c r="AG54" s="241"/>
      <c r="AH54" s="241"/>
      <c r="AI54" s="241"/>
      <c r="AJ54" s="241"/>
      <c r="AK54" s="241"/>
      <c r="AL54" s="241"/>
      <c r="AM54" s="241"/>
      <c r="AN54" s="241"/>
      <c r="AO54" s="241"/>
      <c r="AP54" s="241"/>
      <c r="AQ54" s="241"/>
      <c r="AR54" s="241"/>
      <c r="AS54" s="241"/>
      <c r="AT54" s="241"/>
      <c r="AU54" s="241"/>
      <c r="AV54" s="241"/>
      <c r="AW54" s="241"/>
      <c r="AX54" s="241"/>
      <c r="AY54" s="241"/>
      <c r="AZ54" s="241"/>
      <c r="BA54" s="241"/>
      <c r="BB54" s="241"/>
      <c r="BC54" s="241"/>
      <c r="BD54" s="241"/>
      <c r="BE54" s="241"/>
      <c r="BF54" s="241"/>
      <c r="BG54" s="241"/>
      <c r="BH54" s="241"/>
      <c r="BI54" s="241"/>
      <c r="BJ54" s="241"/>
      <c r="BK54" s="241"/>
      <c r="BL54" s="241"/>
      <c r="BM54" s="241"/>
      <c r="BN54" s="241"/>
      <c r="BO54" s="241"/>
      <c r="BP54" s="241"/>
      <c r="BQ54" s="241"/>
      <c r="BR54" s="241"/>
      <c r="BS54" s="241"/>
      <c r="BT54" s="241"/>
      <c r="BU54" s="242"/>
    </row>
    <row r="55" spans="1:76" hidden="1" x14ac:dyDescent="0.2">
      <c r="A55" s="120">
        <v>1</v>
      </c>
      <c r="B55" s="119" t="s">
        <v>150</v>
      </c>
      <c r="C55" s="122"/>
      <c r="D55" s="123" t="s">
        <v>16</v>
      </c>
      <c r="E55" s="111"/>
      <c r="F55" s="111"/>
      <c r="G55" s="111"/>
      <c r="H55" s="111"/>
      <c r="I55" s="111"/>
      <c r="J55" s="111"/>
      <c r="K55" s="111"/>
      <c r="L55" s="111"/>
      <c r="M55" s="111"/>
      <c r="N55" s="111"/>
      <c r="O55" s="111"/>
      <c r="P55" s="111"/>
      <c r="Q55" s="111"/>
      <c r="R55" s="111"/>
      <c r="S55" s="111"/>
      <c r="T55" s="111"/>
      <c r="U55" s="111"/>
      <c r="V55" s="111"/>
      <c r="W55" s="111"/>
      <c r="X55" s="111"/>
      <c r="Y55" s="111"/>
      <c r="Z55" s="111"/>
      <c r="AA55" s="111"/>
      <c r="AB55" s="111"/>
      <c r="AC55" s="111"/>
      <c r="AD55" s="111"/>
      <c r="AE55" s="111"/>
      <c r="AF55" s="111"/>
      <c r="AG55" s="111"/>
      <c r="AH55" s="111"/>
      <c r="AI55" s="111"/>
      <c r="AJ55" s="111"/>
      <c r="AK55" s="111"/>
      <c r="AL55" s="111"/>
      <c r="AM55" s="111"/>
      <c r="AN55" s="112"/>
      <c r="AO55" s="112"/>
      <c r="AP55" s="112"/>
      <c r="AQ55" s="112"/>
      <c r="AR55" s="112"/>
      <c r="AS55" s="112"/>
      <c r="AT55" s="112"/>
      <c r="AU55" s="112"/>
      <c r="AV55" s="112"/>
      <c r="AW55" s="112"/>
      <c r="AX55" s="112"/>
      <c r="AY55" s="112"/>
      <c r="AZ55" s="112"/>
      <c r="BA55" s="112"/>
      <c r="BB55" s="112"/>
      <c r="BC55" s="112"/>
      <c r="BD55" s="112"/>
      <c r="BE55" s="112"/>
      <c r="BF55" s="112"/>
      <c r="BG55" s="112"/>
      <c r="BH55" s="112"/>
      <c r="BI55" s="112"/>
      <c r="BJ55" s="112"/>
      <c r="BK55" s="112"/>
      <c r="BL55" s="112"/>
      <c r="BM55" s="112"/>
      <c r="BN55" s="112"/>
      <c r="BO55" s="112"/>
      <c r="BP55" s="112"/>
      <c r="BQ55" s="112"/>
      <c r="BR55" s="112"/>
      <c r="BS55" s="112"/>
      <c r="BT55" s="112"/>
      <c r="BU55" s="124">
        <f>SUM(E55:AL55)</f>
        <v>0</v>
      </c>
      <c r="BW55" s="92"/>
      <c r="BX55" s="101"/>
    </row>
    <row r="56" spans="1:76" ht="15.75" hidden="1" customHeight="1" x14ac:dyDescent="0.2">
      <c r="A56" s="120">
        <v>2</v>
      </c>
      <c r="B56" s="119" t="s">
        <v>151</v>
      </c>
      <c r="C56" s="122"/>
      <c r="D56" s="123" t="s">
        <v>16</v>
      </c>
      <c r="E56" s="111"/>
      <c r="F56" s="111"/>
      <c r="G56" s="111"/>
      <c r="H56" s="111"/>
      <c r="I56" s="111"/>
      <c r="J56" s="111"/>
      <c r="K56" s="111"/>
      <c r="L56" s="111"/>
      <c r="M56" s="111"/>
      <c r="N56" s="111"/>
      <c r="O56" s="111"/>
      <c r="P56" s="111"/>
      <c r="Q56" s="111"/>
      <c r="R56" s="111"/>
      <c r="S56" s="111"/>
      <c r="T56" s="111"/>
      <c r="U56" s="111"/>
      <c r="V56" s="111"/>
      <c r="W56" s="111"/>
      <c r="X56" s="111"/>
      <c r="Y56" s="111"/>
      <c r="Z56" s="111"/>
      <c r="AA56" s="111"/>
      <c r="AB56" s="111"/>
      <c r="AC56" s="111"/>
      <c r="AD56" s="111"/>
      <c r="AE56" s="111"/>
      <c r="AF56" s="111"/>
      <c r="AG56" s="111"/>
      <c r="AH56" s="111"/>
      <c r="AI56" s="111"/>
      <c r="AJ56" s="111"/>
      <c r="AK56" s="111"/>
      <c r="AL56" s="111"/>
      <c r="AM56" s="111"/>
      <c r="AN56" s="112"/>
      <c r="AO56" s="112"/>
      <c r="AP56" s="112"/>
      <c r="AQ56" s="112"/>
      <c r="AR56" s="112"/>
      <c r="AS56" s="112"/>
      <c r="AT56" s="112"/>
      <c r="AU56" s="112"/>
      <c r="AV56" s="112"/>
      <c r="AW56" s="112"/>
      <c r="AX56" s="112"/>
      <c r="AY56" s="112"/>
      <c r="AZ56" s="112"/>
      <c r="BA56" s="112"/>
      <c r="BB56" s="112"/>
      <c r="BC56" s="112"/>
      <c r="BD56" s="112"/>
      <c r="BE56" s="112"/>
      <c r="BF56" s="112"/>
      <c r="BG56" s="112"/>
      <c r="BH56" s="112"/>
      <c r="BI56" s="112"/>
      <c r="BJ56" s="112"/>
      <c r="BK56" s="112"/>
      <c r="BL56" s="112"/>
      <c r="BM56" s="112"/>
      <c r="BN56" s="112"/>
      <c r="BO56" s="112"/>
      <c r="BP56" s="112"/>
      <c r="BQ56" s="112"/>
      <c r="BR56" s="112"/>
      <c r="BS56" s="112"/>
      <c r="BT56" s="112"/>
      <c r="BU56" s="124">
        <f>SUM(E56:AL56)</f>
        <v>0</v>
      </c>
      <c r="BW56" s="125"/>
      <c r="BX56" s="101"/>
    </row>
    <row r="57" spans="1:76" ht="17.25" hidden="1" customHeight="1" x14ac:dyDescent="0.2">
      <c r="A57" s="120">
        <v>3</v>
      </c>
      <c r="B57" s="119" t="s">
        <v>152</v>
      </c>
      <c r="C57" s="122"/>
      <c r="D57" s="123" t="s">
        <v>153</v>
      </c>
      <c r="E57" s="111"/>
      <c r="F57" s="111"/>
      <c r="G57" s="111"/>
      <c r="H57" s="111"/>
      <c r="I57" s="111"/>
      <c r="J57" s="111"/>
      <c r="K57" s="111"/>
      <c r="L57" s="111"/>
      <c r="M57" s="111"/>
      <c r="N57" s="111"/>
      <c r="O57" s="111"/>
      <c r="P57" s="111"/>
      <c r="Q57" s="111"/>
      <c r="R57" s="111"/>
      <c r="S57" s="111"/>
      <c r="T57" s="111"/>
      <c r="U57" s="111"/>
      <c r="V57" s="111"/>
      <c r="W57" s="111"/>
      <c r="X57" s="111"/>
      <c r="Y57" s="111"/>
      <c r="Z57" s="111"/>
      <c r="AA57" s="111"/>
      <c r="AB57" s="111"/>
      <c r="AC57" s="111"/>
      <c r="AD57" s="111"/>
      <c r="AE57" s="111"/>
      <c r="AF57" s="111"/>
      <c r="AG57" s="111"/>
      <c r="AH57" s="111"/>
      <c r="AI57" s="111"/>
      <c r="AJ57" s="111"/>
      <c r="AK57" s="111"/>
      <c r="AL57" s="111"/>
      <c r="AM57" s="111"/>
      <c r="AN57" s="112"/>
      <c r="AO57" s="112"/>
      <c r="AP57" s="112"/>
      <c r="AQ57" s="112"/>
      <c r="AR57" s="112"/>
      <c r="AS57" s="112"/>
      <c r="AT57" s="112"/>
      <c r="AU57" s="112"/>
      <c r="AV57" s="112"/>
      <c r="AW57" s="112"/>
      <c r="AX57" s="112"/>
      <c r="AY57" s="112"/>
      <c r="AZ57" s="112"/>
      <c r="BA57" s="112"/>
      <c r="BB57" s="112"/>
      <c r="BC57" s="112"/>
      <c r="BD57" s="112"/>
      <c r="BE57" s="112"/>
      <c r="BF57" s="112"/>
      <c r="BG57" s="112"/>
      <c r="BH57" s="112"/>
      <c r="BI57" s="112"/>
      <c r="BJ57" s="112"/>
      <c r="BK57" s="112"/>
      <c r="BL57" s="112"/>
      <c r="BM57" s="112"/>
      <c r="BN57" s="112"/>
      <c r="BO57" s="112"/>
      <c r="BP57" s="112"/>
      <c r="BQ57" s="112"/>
      <c r="BR57" s="112"/>
      <c r="BS57" s="112"/>
      <c r="BT57" s="112"/>
      <c r="BU57" s="124">
        <f>SUM(E57:AL57)</f>
        <v>0</v>
      </c>
      <c r="BX57" s="126"/>
    </row>
    <row r="58" spans="1:76" ht="19.5" hidden="1" customHeight="1" x14ac:dyDescent="0.2">
      <c r="A58" s="118">
        <v>4</v>
      </c>
      <c r="B58" s="127" t="s">
        <v>154</v>
      </c>
      <c r="C58" s="128"/>
      <c r="D58" s="129" t="s">
        <v>29</v>
      </c>
      <c r="E58" s="130"/>
      <c r="F58" s="130"/>
      <c r="G58" s="130"/>
      <c r="H58" s="130"/>
      <c r="I58" s="130" t="e">
        <f>#REF!</f>
        <v>#REF!</v>
      </c>
      <c r="J58" s="130" t="e">
        <f>#REF!</f>
        <v>#REF!</v>
      </c>
      <c r="K58" s="130" t="e">
        <f>#REF!</f>
        <v>#REF!</v>
      </c>
      <c r="L58" s="130" t="e">
        <f>#REF!</f>
        <v>#REF!</v>
      </c>
      <c r="M58" s="130" t="e">
        <f>#REF!</f>
        <v>#REF!</v>
      </c>
      <c r="N58" s="130" t="e">
        <f>#REF!</f>
        <v>#REF!</v>
      </c>
      <c r="O58" s="130" t="e">
        <f>#REF!</f>
        <v>#REF!</v>
      </c>
      <c r="P58" s="130" t="e">
        <f>#REF!</f>
        <v>#REF!</v>
      </c>
      <c r="Q58" s="130" t="e">
        <f>#REF!</f>
        <v>#REF!</v>
      </c>
      <c r="R58" s="130" t="e">
        <f>#REF!</f>
        <v>#REF!</v>
      </c>
      <c r="S58" s="130" t="e">
        <f>#REF!</f>
        <v>#REF!</v>
      </c>
      <c r="T58" s="130" t="e">
        <f>#REF!</f>
        <v>#REF!</v>
      </c>
      <c r="U58" s="130" t="e">
        <f>#REF!</f>
        <v>#REF!</v>
      </c>
      <c r="V58" s="130" t="e">
        <f>#REF!</f>
        <v>#REF!</v>
      </c>
      <c r="W58" s="130" t="e">
        <f>#REF!</f>
        <v>#REF!</v>
      </c>
      <c r="X58" s="130" t="e">
        <f>#REF!</f>
        <v>#REF!</v>
      </c>
      <c r="Y58" s="130" t="e">
        <f>#REF!</f>
        <v>#REF!</v>
      </c>
      <c r="Z58" s="130" t="e">
        <f>#REF!</f>
        <v>#REF!</v>
      </c>
      <c r="AA58" s="130" t="e">
        <f>#REF!</f>
        <v>#REF!</v>
      </c>
      <c r="AB58" s="130" t="e">
        <f>#REF!</f>
        <v>#REF!</v>
      </c>
      <c r="AC58" s="130" t="e">
        <f>#REF!</f>
        <v>#REF!</v>
      </c>
      <c r="AD58" s="130" t="e">
        <f>#REF!</f>
        <v>#REF!</v>
      </c>
      <c r="AE58" s="130" t="e">
        <f>#REF!</f>
        <v>#REF!</v>
      </c>
      <c r="AF58" s="130" t="e">
        <f>#REF!</f>
        <v>#REF!</v>
      </c>
      <c r="AG58" s="130" t="e">
        <f>#REF!</f>
        <v>#REF!</v>
      </c>
      <c r="AH58" s="130" t="e">
        <f>#REF!</f>
        <v>#REF!</v>
      </c>
      <c r="AI58" s="130" t="e">
        <f>#REF!</f>
        <v>#REF!</v>
      </c>
      <c r="AJ58" s="130" t="e">
        <f>#REF!</f>
        <v>#REF!</v>
      </c>
      <c r="AK58" s="130" t="e">
        <f>#REF!</f>
        <v>#REF!</v>
      </c>
      <c r="AL58" s="130" t="e">
        <f>#REF!</f>
        <v>#REF!</v>
      </c>
      <c r="AM58" s="130" t="e">
        <f>#REF!</f>
        <v>#REF!</v>
      </c>
      <c r="AN58" s="131" t="e">
        <f>#REF!</f>
        <v>#REF!</v>
      </c>
      <c r="AO58" s="131" t="e">
        <f>#REF!</f>
        <v>#REF!</v>
      </c>
      <c r="AP58" s="131" t="e">
        <f>#REF!</f>
        <v>#REF!</v>
      </c>
      <c r="AQ58" s="131" t="e">
        <f>#REF!</f>
        <v>#REF!</v>
      </c>
      <c r="AR58" s="131" t="e">
        <f>#REF!</f>
        <v>#REF!</v>
      </c>
      <c r="AS58" s="131" t="e">
        <f>#REF!</f>
        <v>#REF!</v>
      </c>
      <c r="AT58" s="131" t="e">
        <f>#REF!</f>
        <v>#REF!</v>
      </c>
      <c r="AU58" s="131" t="e">
        <f>#REF!</f>
        <v>#REF!</v>
      </c>
      <c r="AV58" s="131" t="e">
        <f>#REF!</f>
        <v>#REF!</v>
      </c>
      <c r="AW58" s="131" t="e">
        <f>#REF!</f>
        <v>#REF!</v>
      </c>
      <c r="AX58" s="131" t="e">
        <f>#REF!</f>
        <v>#REF!</v>
      </c>
      <c r="AY58" s="131" t="e">
        <f>#REF!</f>
        <v>#REF!</v>
      </c>
      <c r="AZ58" s="131" t="e">
        <f>#REF!</f>
        <v>#REF!</v>
      </c>
      <c r="BA58" s="131" t="e">
        <f>#REF!</f>
        <v>#REF!</v>
      </c>
      <c r="BB58" s="131" t="e">
        <f>#REF!</f>
        <v>#REF!</v>
      </c>
      <c r="BC58" s="131" t="e">
        <f>#REF!</f>
        <v>#REF!</v>
      </c>
      <c r="BD58" s="131" t="e">
        <f>#REF!</f>
        <v>#REF!</v>
      </c>
      <c r="BE58" s="131" t="e">
        <f>#REF!</f>
        <v>#REF!</v>
      </c>
      <c r="BF58" s="131" t="e">
        <f>#REF!</f>
        <v>#REF!</v>
      </c>
      <c r="BG58" s="131" t="e">
        <f>#REF!</f>
        <v>#REF!</v>
      </c>
      <c r="BH58" s="131" t="e">
        <f>#REF!</f>
        <v>#REF!</v>
      </c>
      <c r="BI58" s="131" t="e">
        <f>#REF!</f>
        <v>#REF!</v>
      </c>
      <c r="BJ58" s="131">
        <v>2</v>
      </c>
      <c r="BK58" s="131">
        <v>2</v>
      </c>
      <c r="BL58" s="131">
        <v>2</v>
      </c>
      <c r="BM58" s="131">
        <v>2</v>
      </c>
      <c r="BN58" s="131">
        <v>2</v>
      </c>
      <c r="BO58" s="131">
        <v>2</v>
      </c>
      <c r="BP58" s="131">
        <v>2</v>
      </c>
      <c r="BQ58" s="131">
        <v>2</v>
      </c>
      <c r="BR58" s="131">
        <v>2</v>
      </c>
      <c r="BS58" s="131"/>
      <c r="BT58" s="131"/>
      <c r="BU58" s="124" t="e">
        <f>SUM(I58:BS58)</f>
        <v>#REF!</v>
      </c>
      <c r="BX58" s="126"/>
    </row>
    <row r="59" spans="1:76" ht="23.25" hidden="1" customHeight="1" x14ac:dyDescent="0.2">
      <c r="A59" s="120">
        <v>5</v>
      </c>
      <c r="B59" s="119" t="s">
        <v>155</v>
      </c>
      <c r="C59" s="122"/>
      <c r="D59" s="119" t="s">
        <v>156</v>
      </c>
      <c r="E59" s="132"/>
      <c r="F59" s="132"/>
      <c r="G59" s="132"/>
      <c r="H59" s="132"/>
      <c r="I59" s="132">
        <f t="shared" ref="I59:BR59" si="9">I17/I52</f>
        <v>0.89248003430347855</v>
      </c>
      <c r="J59" s="132">
        <f t="shared" si="9"/>
        <v>1.0602900782056441</v>
      </c>
      <c r="K59" s="132">
        <f t="shared" si="9"/>
        <v>1.0454245709816434</v>
      </c>
      <c r="L59" s="132">
        <f t="shared" ref="L59:AJ59" si="10">L17/L52</f>
        <v>1.1575191497719486</v>
      </c>
      <c r="M59" s="132">
        <f t="shared" si="10"/>
        <v>0.8411997467553024</v>
      </c>
      <c r="N59" s="132">
        <f t="shared" si="10"/>
        <v>0</v>
      </c>
      <c r="O59" s="132">
        <f t="shared" si="10"/>
        <v>5.555788737320742</v>
      </c>
      <c r="P59" s="132">
        <f t="shared" si="10"/>
        <v>1.2713922671991285</v>
      </c>
      <c r="Q59" s="132">
        <f t="shared" si="10"/>
        <v>1.0158693705073147</v>
      </c>
      <c r="R59" s="132">
        <f t="shared" si="10"/>
        <v>1.0881439689230079</v>
      </c>
      <c r="S59" s="132">
        <f t="shared" si="10"/>
        <v>1.1090590533088234</v>
      </c>
      <c r="T59" s="132">
        <f t="shared" si="10"/>
        <v>0.891548596697049</v>
      </c>
      <c r="U59" s="132">
        <f t="shared" si="10"/>
        <v>1.0869754781235639</v>
      </c>
      <c r="V59" s="132">
        <f t="shared" si="10"/>
        <v>1.1251559556718935</v>
      </c>
      <c r="W59" s="132">
        <f t="shared" si="10"/>
        <v>1.0252791277439883</v>
      </c>
      <c r="X59" s="132">
        <f t="shared" si="10"/>
        <v>1.2055947693872</v>
      </c>
      <c r="Y59" s="132">
        <f t="shared" si="10"/>
        <v>1.1550558649434344</v>
      </c>
      <c r="Z59" s="132">
        <f t="shared" si="10"/>
        <v>0.86640830016857551</v>
      </c>
      <c r="AA59" s="132">
        <f t="shared" si="10"/>
        <v>1.0642336410460025</v>
      </c>
      <c r="AB59" s="132">
        <f t="shared" si="10"/>
        <v>1.1513381660768887</v>
      </c>
      <c r="AC59" s="132">
        <f t="shared" si="10"/>
        <v>1.0435345318011151</v>
      </c>
      <c r="AD59" s="132">
        <f t="shared" si="10"/>
        <v>1.057999348321929</v>
      </c>
      <c r="AE59" s="132">
        <f t="shared" si="10"/>
        <v>1.1543935085650878</v>
      </c>
      <c r="AF59" s="132">
        <f t="shared" si="10"/>
        <v>1.017288795500896</v>
      </c>
      <c r="AG59" s="132">
        <f t="shared" si="10"/>
        <v>0.9939949381415748</v>
      </c>
      <c r="AH59" s="132">
        <f t="shared" si="10"/>
        <v>1.0603710269722681</v>
      </c>
      <c r="AI59" s="132">
        <f t="shared" si="10"/>
        <v>1.1583206952869811</v>
      </c>
      <c r="AJ59" s="132">
        <f t="shared" si="10"/>
        <v>0.80191660191660197</v>
      </c>
      <c r="AK59" s="132">
        <f t="shared" si="9"/>
        <v>0.83447298379243939</v>
      </c>
      <c r="AL59" s="132" t="e">
        <f t="shared" si="9"/>
        <v>#DIV/0!</v>
      </c>
      <c r="AM59" s="132" t="e">
        <f t="shared" si="9"/>
        <v>#DIV/0!</v>
      </c>
      <c r="AN59" s="132" t="e">
        <f t="shared" si="9"/>
        <v>#DIV/0!</v>
      </c>
      <c r="AO59" s="132" t="e">
        <f t="shared" si="9"/>
        <v>#DIV/0!</v>
      </c>
      <c r="AP59" s="132" t="e">
        <f t="shared" si="9"/>
        <v>#DIV/0!</v>
      </c>
      <c r="AQ59" s="132" t="e">
        <f t="shared" si="9"/>
        <v>#DIV/0!</v>
      </c>
      <c r="AR59" s="132" t="e">
        <f t="shared" si="9"/>
        <v>#DIV/0!</v>
      </c>
      <c r="AS59" s="132" t="e">
        <f t="shared" si="9"/>
        <v>#DIV/0!</v>
      </c>
      <c r="AT59" s="132" t="e">
        <f t="shared" si="9"/>
        <v>#DIV/0!</v>
      </c>
      <c r="AU59" s="132" t="e">
        <f t="shared" si="9"/>
        <v>#DIV/0!</v>
      </c>
      <c r="AV59" s="132" t="e">
        <f t="shared" si="9"/>
        <v>#DIV/0!</v>
      </c>
      <c r="AW59" s="132" t="e">
        <f t="shared" si="9"/>
        <v>#DIV/0!</v>
      </c>
      <c r="AX59" s="132" t="e">
        <f t="shared" si="9"/>
        <v>#DIV/0!</v>
      </c>
      <c r="AY59" s="132" t="e">
        <f t="shared" si="9"/>
        <v>#DIV/0!</v>
      </c>
      <c r="AZ59" s="132" t="e">
        <f t="shared" si="9"/>
        <v>#DIV/0!</v>
      </c>
      <c r="BA59" s="132" t="e">
        <f t="shared" si="9"/>
        <v>#DIV/0!</v>
      </c>
      <c r="BB59" s="132" t="e">
        <f t="shared" si="9"/>
        <v>#DIV/0!</v>
      </c>
      <c r="BC59" s="132" t="e">
        <f t="shared" si="9"/>
        <v>#DIV/0!</v>
      </c>
      <c r="BD59" s="132" t="e">
        <f t="shared" si="9"/>
        <v>#DIV/0!</v>
      </c>
      <c r="BE59" s="132" t="e">
        <f t="shared" si="9"/>
        <v>#DIV/0!</v>
      </c>
      <c r="BF59" s="132" t="e">
        <f t="shared" si="9"/>
        <v>#DIV/0!</v>
      </c>
      <c r="BG59" s="132" t="e">
        <f t="shared" si="9"/>
        <v>#DIV/0!</v>
      </c>
      <c r="BH59" s="132" t="e">
        <f t="shared" si="9"/>
        <v>#DIV/0!</v>
      </c>
      <c r="BI59" s="132" t="e">
        <f t="shared" si="9"/>
        <v>#DIV/0!</v>
      </c>
      <c r="BJ59" s="132" t="e">
        <f t="shared" si="9"/>
        <v>#DIV/0!</v>
      </c>
      <c r="BK59" s="132" t="e">
        <f t="shared" si="9"/>
        <v>#DIV/0!</v>
      </c>
      <c r="BL59" s="132" t="e">
        <f t="shared" si="9"/>
        <v>#DIV/0!</v>
      </c>
      <c r="BM59" s="132" t="e">
        <f t="shared" si="9"/>
        <v>#DIV/0!</v>
      </c>
      <c r="BN59" s="132" t="e">
        <f t="shared" si="9"/>
        <v>#DIV/0!</v>
      </c>
      <c r="BO59" s="132" t="e">
        <f t="shared" si="9"/>
        <v>#DIV/0!</v>
      </c>
      <c r="BP59" s="132" t="e">
        <f t="shared" si="9"/>
        <v>#DIV/0!</v>
      </c>
      <c r="BQ59" s="132" t="e">
        <f t="shared" si="9"/>
        <v>#DIV/0!</v>
      </c>
      <c r="BR59" s="132" t="e">
        <f t="shared" si="9"/>
        <v>#DIV/0!</v>
      </c>
      <c r="BS59" s="133"/>
      <c r="BT59" s="133"/>
      <c r="BU59" s="134" t="e">
        <f xml:space="preserve"> AVERAGE(E59:BS59)</f>
        <v>#DIV/0!</v>
      </c>
    </row>
    <row r="60" spans="1:76" ht="23.25" hidden="1" customHeight="1" x14ac:dyDescent="0.2">
      <c r="A60" s="120"/>
      <c r="B60" s="119"/>
      <c r="C60" s="243"/>
      <c r="D60" s="244"/>
      <c r="E60" s="244"/>
      <c r="F60" s="244"/>
      <c r="G60" s="244"/>
      <c r="H60" s="244"/>
      <c r="I60" s="244"/>
      <c r="J60" s="244"/>
      <c r="K60" s="244"/>
      <c r="L60" s="244"/>
      <c r="M60" s="244"/>
      <c r="N60" s="244"/>
      <c r="O60" s="244"/>
      <c r="P60" s="244"/>
      <c r="Q60" s="244"/>
      <c r="R60" s="244"/>
      <c r="S60" s="244"/>
      <c r="T60" s="244"/>
      <c r="U60" s="244"/>
      <c r="V60" s="244"/>
      <c r="W60" s="244"/>
      <c r="X60" s="244"/>
      <c r="Y60" s="244"/>
      <c r="Z60" s="244"/>
      <c r="AA60" s="244"/>
      <c r="AB60" s="244"/>
      <c r="AC60" s="244"/>
      <c r="AD60" s="244"/>
      <c r="AE60" s="244"/>
      <c r="AF60" s="244"/>
      <c r="AG60" s="244"/>
      <c r="AH60" s="244"/>
      <c r="AI60" s="244"/>
      <c r="AJ60" s="244"/>
      <c r="AK60" s="244"/>
      <c r="AL60" s="244"/>
      <c r="AM60" s="244"/>
      <c r="AN60" s="244"/>
      <c r="AO60" s="244"/>
      <c r="AP60" s="244"/>
      <c r="AQ60" s="244"/>
      <c r="AR60" s="244"/>
      <c r="AS60" s="244"/>
      <c r="AT60" s="244"/>
      <c r="AU60" s="244"/>
      <c r="AV60" s="244"/>
      <c r="AW60" s="244"/>
      <c r="AX60" s="244"/>
      <c r="AY60" s="244"/>
      <c r="AZ60" s="244"/>
      <c r="BA60" s="244"/>
      <c r="BB60" s="244"/>
      <c r="BC60" s="244"/>
      <c r="BD60" s="244"/>
      <c r="BE60" s="244"/>
      <c r="BF60" s="244"/>
      <c r="BG60" s="244"/>
      <c r="BH60" s="244"/>
      <c r="BI60" s="244"/>
      <c r="BJ60" s="244"/>
      <c r="BK60" s="244"/>
      <c r="BL60" s="244"/>
      <c r="BM60" s="244"/>
      <c r="BN60" s="244"/>
      <c r="BO60" s="244"/>
      <c r="BP60" s="244"/>
      <c r="BQ60" s="244"/>
      <c r="BR60" s="244"/>
      <c r="BS60" s="244"/>
      <c r="BT60" s="244"/>
      <c r="BU60" s="245"/>
    </row>
    <row r="61" spans="1:76" hidden="1" x14ac:dyDescent="0.2">
      <c r="A61" s="120" t="s">
        <v>157</v>
      </c>
      <c r="B61" s="119" t="s">
        <v>158</v>
      </c>
      <c r="C61" s="122"/>
      <c r="D61" s="123" t="s">
        <v>159</v>
      </c>
      <c r="E61" s="130" t="e">
        <f>E55/E52</f>
        <v>#DIV/0!</v>
      </c>
      <c r="F61" s="130" t="e">
        <f>F55/F52</f>
        <v>#DIV/0!</v>
      </c>
      <c r="G61" s="130">
        <f>G55/G52</f>
        <v>0</v>
      </c>
      <c r="H61" s="130"/>
      <c r="I61" s="130">
        <f t="shared" ref="I61:AQ61" si="11">I55/I52</f>
        <v>0</v>
      </c>
      <c r="J61" s="130">
        <f t="shared" si="11"/>
        <v>0</v>
      </c>
      <c r="K61" s="130">
        <f t="shared" si="11"/>
        <v>0</v>
      </c>
      <c r="L61" s="130">
        <f t="shared" ref="L61:AJ61" si="12">L55/L52</f>
        <v>0</v>
      </c>
      <c r="M61" s="130">
        <f t="shared" si="12"/>
        <v>0</v>
      </c>
      <c r="N61" s="130">
        <f t="shared" si="12"/>
        <v>0</v>
      </c>
      <c r="O61" s="130">
        <f t="shared" si="12"/>
        <v>0</v>
      </c>
      <c r="P61" s="130">
        <f t="shared" si="12"/>
        <v>0</v>
      </c>
      <c r="Q61" s="130">
        <f t="shared" si="12"/>
        <v>0</v>
      </c>
      <c r="R61" s="130">
        <f t="shared" si="12"/>
        <v>0</v>
      </c>
      <c r="S61" s="130">
        <f t="shared" si="12"/>
        <v>0</v>
      </c>
      <c r="T61" s="130">
        <f t="shared" si="12"/>
        <v>0</v>
      </c>
      <c r="U61" s="130">
        <f t="shared" si="12"/>
        <v>0</v>
      </c>
      <c r="V61" s="130">
        <f t="shared" si="12"/>
        <v>0</v>
      </c>
      <c r="W61" s="130">
        <f t="shared" si="12"/>
        <v>0</v>
      </c>
      <c r="X61" s="130">
        <f t="shared" si="12"/>
        <v>0</v>
      </c>
      <c r="Y61" s="130">
        <f t="shared" si="12"/>
        <v>0</v>
      </c>
      <c r="Z61" s="130">
        <f t="shared" si="12"/>
        <v>0</v>
      </c>
      <c r="AA61" s="130">
        <f t="shared" si="12"/>
        <v>0</v>
      </c>
      <c r="AB61" s="130">
        <f t="shared" si="12"/>
        <v>0</v>
      </c>
      <c r="AC61" s="130">
        <f t="shared" si="12"/>
        <v>0</v>
      </c>
      <c r="AD61" s="130">
        <f t="shared" si="12"/>
        <v>0</v>
      </c>
      <c r="AE61" s="130">
        <f t="shared" si="12"/>
        <v>0</v>
      </c>
      <c r="AF61" s="130">
        <f t="shared" si="12"/>
        <v>0</v>
      </c>
      <c r="AG61" s="130">
        <f t="shared" si="12"/>
        <v>0</v>
      </c>
      <c r="AH61" s="130">
        <f t="shared" si="12"/>
        <v>0</v>
      </c>
      <c r="AI61" s="130">
        <f t="shared" si="12"/>
        <v>0</v>
      </c>
      <c r="AJ61" s="130">
        <f t="shared" si="12"/>
        <v>0</v>
      </c>
      <c r="AK61" s="130">
        <f t="shared" si="11"/>
        <v>0</v>
      </c>
      <c r="AL61" s="130" t="e">
        <f t="shared" si="11"/>
        <v>#DIV/0!</v>
      </c>
      <c r="AM61" s="130" t="e">
        <f t="shared" si="11"/>
        <v>#DIV/0!</v>
      </c>
      <c r="AN61" s="130" t="e">
        <f t="shared" si="11"/>
        <v>#DIV/0!</v>
      </c>
      <c r="AO61" s="130" t="e">
        <f t="shared" si="11"/>
        <v>#DIV/0!</v>
      </c>
      <c r="AP61" s="130" t="e">
        <f t="shared" si="11"/>
        <v>#DIV/0!</v>
      </c>
      <c r="AQ61" s="130" t="e">
        <f t="shared" si="11"/>
        <v>#DIV/0!</v>
      </c>
      <c r="AR61" s="131">
        <v>0</v>
      </c>
      <c r="AS61" s="131">
        <v>0</v>
      </c>
      <c r="AT61" s="131">
        <v>0</v>
      </c>
      <c r="AU61" s="131">
        <v>0</v>
      </c>
      <c r="AV61" s="131">
        <v>0</v>
      </c>
      <c r="AW61" s="131">
        <v>0</v>
      </c>
      <c r="AX61" s="131">
        <v>0</v>
      </c>
      <c r="AY61" s="131">
        <v>0</v>
      </c>
      <c r="AZ61" s="131">
        <v>0</v>
      </c>
      <c r="BA61" s="131">
        <v>0</v>
      </c>
      <c r="BB61" s="131">
        <v>0</v>
      </c>
      <c r="BC61" s="131">
        <v>0</v>
      </c>
      <c r="BD61" s="131">
        <v>0</v>
      </c>
      <c r="BE61" s="131">
        <v>0</v>
      </c>
      <c r="BF61" s="131">
        <v>0</v>
      </c>
      <c r="BG61" s="131">
        <v>0</v>
      </c>
      <c r="BH61" s="131">
        <v>0</v>
      </c>
      <c r="BI61" s="131">
        <v>0</v>
      </c>
      <c r="BJ61" s="131">
        <v>0</v>
      </c>
      <c r="BK61" s="131">
        <v>0</v>
      </c>
      <c r="BL61" s="131">
        <v>0</v>
      </c>
      <c r="BM61" s="131">
        <v>0</v>
      </c>
      <c r="BN61" s="131">
        <v>0</v>
      </c>
      <c r="BO61" s="131">
        <v>0</v>
      </c>
      <c r="BP61" s="131">
        <v>0</v>
      </c>
      <c r="BQ61" s="131">
        <v>0</v>
      </c>
      <c r="BR61" s="131">
        <v>0</v>
      </c>
      <c r="BS61" s="131"/>
      <c r="BT61" s="131"/>
      <c r="BU61" s="124">
        <f>BU55/BU52</f>
        <v>0</v>
      </c>
      <c r="BX61" s="126"/>
    </row>
    <row r="62" spans="1:76" hidden="1" x14ac:dyDescent="0.2">
      <c r="A62" s="120" t="s">
        <v>160</v>
      </c>
      <c r="B62" s="119" t="s">
        <v>161</v>
      </c>
      <c r="C62" s="122"/>
      <c r="D62" s="123" t="s">
        <v>162</v>
      </c>
      <c r="E62" s="111" t="e">
        <f>E56*1000/E52</f>
        <v>#DIV/0!</v>
      </c>
      <c r="F62" s="111" t="e">
        <f>F56*1000/F52</f>
        <v>#DIV/0!</v>
      </c>
      <c r="G62" s="111">
        <f>G56*1000/G52</f>
        <v>0</v>
      </c>
      <c r="H62" s="111"/>
      <c r="I62" s="111">
        <f t="shared" ref="I62:AQ62" si="13">I56*1000/I52</f>
        <v>0</v>
      </c>
      <c r="J62" s="111">
        <f t="shared" si="13"/>
        <v>0</v>
      </c>
      <c r="K62" s="111">
        <f t="shared" si="13"/>
        <v>0</v>
      </c>
      <c r="L62" s="111">
        <f t="shared" ref="L62:AJ62" si="14">L56*1000/L52</f>
        <v>0</v>
      </c>
      <c r="M62" s="111">
        <f t="shared" si="14"/>
        <v>0</v>
      </c>
      <c r="N62" s="111">
        <f t="shared" si="14"/>
        <v>0</v>
      </c>
      <c r="O62" s="111">
        <f t="shared" si="14"/>
        <v>0</v>
      </c>
      <c r="P62" s="111">
        <f t="shared" si="14"/>
        <v>0</v>
      </c>
      <c r="Q62" s="111">
        <f t="shared" si="14"/>
        <v>0</v>
      </c>
      <c r="R62" s="111">
        <f t="shared" si="14"/>
        <v>0</v>
      </c>
      <c r="S62" s="111">
        <f t="shared" si="14"/>
        <v>0</v>
      </c>
      <c r="T62" s="111">
        <f t="shared" si="14"/>
        <v>0</v>
      </c>
      <c r="U62" s="111">
        <f t="shared" si="14"/>
        <v>0</v>
      </c>
      <c r="V62" s="111">
        <f t="shared" si="14"/>
        <v>0</v>
      </c>
      <c r="W62" s="111">
        <f t="shared" si="14"/>
        <v>0</v>
      </c>
      <c r="X62" s="111">
        <f t="shared" si="14"/>
        <v>0</v>
      </c>
      <c r="Y62" s="111">
        <f t="shared" si="14"/>
        <v>0</v>
      </c>
      <c r="Z62" s="111">
        <f t="shared" si="14"/>
        <v>0</v>
      </c>
      <c r="AA62" s="111">
        <f t="shared" si="14"/>
        <v>0</v>
      </c>
      <c r="AB62" s="111">
        <f t="shared" si="14"/>
        <v>0</v>
      </c>
      <c r="AC62" s="111">
        <f t="shared" si="14"/>
        <v>0</v>
      </c>
      <c r="AD62" s="111">
        <f t="shared" si="14"/>
        <v>0</v>
      </c>
      <c r="AE62" s="111">
        <f t="shared" si="14"/>
        <v>0</v>
      </c>
      <c r="AF62" s="111">
        <f t="shared" si="14"/>
        <v>0</v>
      </c>
      <c r="AG62" s="111">
        <f t="shared" si="14"/>
        <v>0</v>
      </c>
      <c r="AH62" s="111">
        <f t="shared" si="14"/>
        <v>0</v>
      </c>
      <c r="AI62" s="111">
        <f t="shared" si="14"/>
        <v>0</v>
      </c>
      <c r="AJ62" s="111">
        <f t="shared" si="14"/>
        <v>0</v>
      </c>
      <c r="AK62" s="111">
        <f t="shared" si="13"/>
        <v>0</v>
      </c>
      <c r="AL62" s="111" t="e">
        <f t="shared" si="13"/>
        <v>#DIV/0!</v>
      </c>
      <c r="AM62" s="111" t="e">
        <f t="shared" si="13"/>
        <v>#DIV/0!</v>
      </c>
      <c r="AN62" s="111" t="e">
        <f t="shared" si="13"/>
        <v>#DIV/0!</v>
      </c>
      <c r="AO62" s="111" t="e">
        <f t="shared" si="13"/>
        <v>#DIV/0!</v>
      </c>
      <c r="AP62" s="111" t="e">
        <f t="shared" si="13"/>
        <v>#DIV/0!</v>
      </c>
      <c r="AQ62" s="111" t="e">
        <f t="shared" si="13"/>
        <v>#DIV/0!</v>
      </c>
      <c r="AR62" s="112">
        <v>0</v>
      </c>
      <c r="AS62" s="112">
        <v>0</v>
      </c>
      <c r="AT62" s="112">
        <v>0</v>
      </c>
      <c r="AU62" s="112">
        <v>0</v>
      </c>
      <c r="AV62" s="112">
        <v>0</v>
      </c>
      <c r="AW62" s="112">
        <v>0</v>
      </c>
      <c r="AX62" s="112">
        <v>0</v>
      </c>
      <c r="AY62" s="112">
        <v>0</v>
      </c>
      <c r="AZ62" s="112">
        <v>0</v>
      </c>
      <c r="BA62" s="112">
        <v>0</v>
      </c>
      <c r="BB62" s="112">
        <v>0</v>
      </c>
      <c r="BC62" s="112">
        <v>0</v>
      </c>
      <c r="BD62" s="112">
        <v>0</v>
      </c>
      <c r="BE62" s="112">
        <v>0</v>
      </c>
      <c r="BF62" s="112">
        <v>0</v>
      </c>
      <c r="BG62" s="112">
        <v>0</v>
      </c>
      <c r="BH62" s="112">
        <v>0</v>
      </c>
      <c r="BI62" s="112">
        <v>0</v>
      </c>
      <c r="BJ62" s="112">
        <v>0</v>
      </c>
      <c r="BK62" s="112">
        <v>0</v>
      </c>
      <c r="BL62" s="112">
        <v>0</v>
      </c>
      <c r="BM62" s="112">
        <v>0</v>
      </c>
      <c r="BN62" s="112">
        <v>0</v>
      </c>
      <c r="BO62" s="112">
        <v>0</v>
      </c>
      <c r="BP62" s="112">
        <v>0</v>
      </c>
      <c r="BQ62" s="112">
        <v>0</v>
      </c>
      <c r="BR62" s="112">
        <v>0</v>
      </c>
      <c r="BS62" s="112"/>
      <c r="BT62" s="112"/>
      <c r="BU62" s="124">
        <f>BU56*1000/BU52</f>
        <v>0</v>
      </c>
      <c r="BX62" s="126"/>
    </row>
    <row r="63" spans="1:76" hidden="1" x14ac:dyDescent="0.2">
      <c r="A63" s="120" t="s">
        <v>163</v>
      </c>
      <c r="B63" s="119" t="s">
        <v>164</v>
      </c>
      <c r="C63" s="122"/>
      <c r="D63" s="123" t="s">
        <v>165</v>
      </c>
      <c r="E63" s="130" t="e">
        <f>E57/E52</f>
        <v>#DIV/0!</v>
      </c>
      <c r="F63" s="130" t="e">
        <f>F57/F52</f>
        <v>#DIV/0!</v>
      </c>
      <c r="G63" s="130">
        <f>G57/G52</f>
        <v>0</v>
      </c>
      <c r="H63" s="130"/>
      <c r="I63" s="130">
        <f t="shared" ref="I63:AQ63" si="15">I57/I52</f>
        <v>0</v>
      </c>
      <c r="J63" s="130">
        <f t="shared" si="15"/>
        <v>0</v>
      </c>
      <c r="K63" s="130">
        <f t="shared" si="15"/>
        <v>0</v>
      </c>
      <c r="L63" s="130">
        <f t="shared" ref="L63:AJ63" si="16">L57/L52</f>
        <v>0</v>
      </c>
      <c r="M63" s="130">
        <f t="shared" si="16"/>
        <v>0</v>
      </c>
      <c r="N63" s="130">
        <f t="shared" si="16"/>
        <v>0</v>
      </c>
      <c r="O63" s="130">
        <f t="shared" si="16"/>
        <v>0</v>
      </c>
      <c r="P63" s="130">
        <f t="shared" si="16"/>
        <v>0</v>
      </c>
      <c r="Q63" s="130">
        <f t="shared" si="16"/>
        <v>0</v>
      </c>
      <c r="R63" s="130">
        <f t="shared" si="16"/>
        <v>0</v>
      </c>
      <c r="S63" s="130">
        <f t="shared" si="16"/>
        <v>0</v>
      </c>
      <c r="T63" s="130">
        <f t="shared" si="16"/>
        <v>0</v>
      </c>
      <c r="U63" s="130">
        <f t="shared" si="16"/>
        <v>0</v>
      </c>
      <c r="V63" s="130">
        <f t="shared" si="16"/>
        <v>0</v>
      </c>
      <c r="W63" s="130">
        <f t="shared" si="16"/>
        <v>0</v>
      </c>
      <c r="X63" s="130">
        <f t="shared" si="16"/>
        <v>0</v>
      </c>
      <c r="Y63" s="130">
        <f t="shared" si="16"/>
        <v>0</v>
      </c>
      <c r="Z63" s="130">
        <f t="shared" si="16"/>
        <v>0</v>
      </c>
      <c r="AA63" s="130">
        <f t="shared" si="16"/>
        <v>0</v>
      </c>
      <c r="AB63" s="130">
        <f t="shared" si="16"/>
        <v>0</v>
      </c>
      <c r="AC63" s="130">
        <f t="shared" si="16"/>
        <v>0</v>
      </c>
      <c r="AD63" s="130">
        <f t="shared" si="16"/>
        <v>0</v>
      </c>
      <c r="AE63" s="130">
        <f t="shared" si="16"/>
        <v>0</v>
      </c>
      <c r="AF63" s="130">
        <f t="shared" si="16"/>
        <v>0</v>
      </c>
      <c r="AG63" s="130">
        <f t="shared" si="16"/>
        <v>0</v>
      </c>
      <c r="AH63" s="130">
        <f t="shared" si="16"/>
        <v>0</v>
      </c>
      <c r="AI63" s="130">
        <f t="shared" si="16"/>
        <v>0</v>
      </c>
      <c r="AJ63" s="130">
        <f t="shared" si="16"/>
        <v>0</v>
      </c>
      <c r="AK63" s="130">
        <f t="shared" si="15"/>
        <v>0</v>
      </c>
      <c r="AL63" s="130" t="e">
        <f t="shared" si="15"/>
        <v>#DIV/0!</v>
      </c>
      <c r="AM63" s="130" t="e">
        <f t="shared" si="15"/>
        <v>#DIV/0!</v>
      </c>
      <c r="AN63" s="130" t="e">
        <f t="shared" si="15"/>
        <v>#DIV/0!</v>
      </c>
      <c r="AO63" s="130" t="e">
        <f t="shared" si="15"/>
        <v>#DIV/0!</v>
      </c>
      <c r="AP63" s="130" t="e">
        <f t="shared" si="15"/>
        <v>#DIV/0!</v>
      </c>
      <c r="AQ63" s="130" t="e">
        <f t="shared" si="15"/>
        <v>#DIV/0!</v>
      </c>
      <c r="AR63" s="131">
        <v>0</v>
      </c>
      <c r="AS63" s="131">
        <v>0</v>
      </c>
      <c r="AT63" s="131">
        <v>0</v>
      </c>
      <c r="AU63" s="131">
        <v>0</v>
      </c>
      <c r="AV63" s="131">
        <v>0</v>
      </c>
      <c r="AW63" s="131">
        <v>0</v>
      </c>
      <c r="AX63" s="131">
        <v>0</v>
      </c>
      <c r="AY63" s="131">
        <v>0</v>
      </c>
      <c r="AZ63" s="131">
        <v>0</v>
      </c>
      <c r="BA63" s="131">
        <v>0</v>
      </c>
      <c r="BB63" s="131">
        <v>0</v>
      </c>
      <c r="BC63" s="131">
        <v>0</v>
      </c>
      <c r="BD63" s="131">
        <v>0</v>
      </c>
      <c r="BE63" s="131">
        <v>0</v>
      </c>
      <c r="BF63" s="131">
        <v>0</v>
      </c>
      <c r="BG63" s="131">
        <v>0</v>
      </c>
      <c r="BH63" s="131">
        <v>0</v>
      </c>
      <c r="BI63" s="131">
        <v>0</v>
      </c>
      <c r="BJ63" s="131">
        <v>0</v>
      </c>
      <c r="BK63" s="131">
        <v>0</v>
      </c>
      <c r="BL63" s="131">
        <v>0</v>
      </c>
      <c r="BM63" s="131">
        <v>0</v>
      </c>
      <c r="BN63" s="131">
        <v>0</v>
      </c>
      <c r="BO63" s="131">
        <v>0</v>
      </c>
      <c r="BP63" s="131">
        <v>0</v>
      </c>
      <c r="BQ63" s="131">
        <v>0</v>
      </c>
      <c r="BR63" s="131">
        <v>0</v>
      </c>
      <c r="BS63" s="131"/>
      <c r="BT63" s="131"/>
      <c r="BU63" s="124">
        <f>BU57/BU52</f>
        <v>0</v>
      </c>
      <c r="BX63" s="126"/>
    </row>
    <row r="64" spans="1:76" hidden="1" x14ac:dyDescent="0.2">
      <c r="A64" s="120" t="s">
        <v>166</v>
      </c>
      <c r="B64" s="119" t="s">
        <v>167</v>
      </c>
      <c r="C64" s="122"/>
      <c r="D64" s="123" t="s">
        <v>168</v>
      </c>
      <c r="E64" s="135"/>
      <c r="F64" s="135"/>
      <c r="G64" s="135"/>
      <c r="H64" s="135"/>
      <c r="I64" s="135">
        <v>0</v>
      </c>
      <c r="J64" s="135">
        <v>0</v>
      </c>
      <c r="K64" s="135"/>
      <c r="L64" s="135"/>
      <c r="M64" s="135"/>
      <c r="N64" s="135"/>
      <c r="O64" s="135"/>
      <c r="P64" s="135"/>
      <c r="Q64" s="135"/>
      <c r="R64" s="135"/>
      <c r="S64" s="135"/>
      <c r="T64" s="135"/>
      <c r="U64" s="135"/>
      <c r="V64" s="135"/>
      <c r="W64" s="135"/>
      <c r="X64" s="135"/>
      <c r="Y64" s="135"/>
      <c r="Z64" s="135"/>
      <c r="AA64" s="135"/>
      <c r="AB64" s="135"/>
      <c r="AC64" s="135"/>
      <c r="AD64" s="135"/>
      <c r="AE64" s="135"/>
      <c r="AF64" s="135"/>
      <c r="AG64" s="135"/>
      <c r="AH64" s="135"/>
      <c r="AI64" s="135"/>
      <c r="AJ64" s="135"/>
      <c r="AK64" s="135"/>
      <c r="AL64" s="135"/>
      <c r="AM64" s="135"/>
      <c r="AN64" s="136"/>
      <c r="AO64" s="136"/>
      <c r="AP64" s="136"/>
      <c r="AQ64" s="136"/>
      <c r="AR64" s="136"/>
      <c r="AS64" s="136"/>
      <c r="AT64" s="136"/>
      <c r="AU64" s="136"/>
      <c r="AV64" s="136"/>
      <c r="AW64" s="136"/>
      <c r="AX64" s="136"/>
      <c r="AY64" s="136"/>
      <c r="AZ64" s="136"/>
      <c r="BA64" s="136"/>
      <c r="BB64" s="136"/>
      <c r="BC64" s="136"/>
      <c r="BD64" s="136"/>
      <c r="BE64" s="136"/>
      <c r="BF64" s="136"/>
      <c r="BG64" s="136"/>
      <c r="BH64" s="136"/>
      <c r="BI64" s="136"/>
      <c r="BJ64" s="136"/>
      <c r="BK64" s="136"/>
      <c r="BL64" s="136"/>
      <c r="BM64" s="136"/>
      <c r="BN64" s="136"/>
      <c r="BO64" s="136"/>
      <c r="BP64" s="136"/>
      <c r="BQ64" s="136"/>
      <c r="BR64" s="136"/>
      <c r="BS64" s="136"/>
      <c r="BT64" s="136"/>
      <c r="BU64" s="137" t="e">
        <f>+#REF!</f>
        <v>#REF!</v>
      </c>
      <c r="BV64" s="126"/>
    </row>
    <row r="65" spans="1:74" hidden="1" x14ac:dyDescent="0.2">
      <c r="A65" s="120" t="s">
        <v>169</v>
      </c>
      <c r="B65" s="119" t="s">
        <v>170</v>
      </c>
      <c r="C65" s="122"/>
      <c r="D65" s="123"/>
      <c r="E65" s="111"/>
      <c r="F65" s="111"/>
      <c r="G65" s="111"/>
      <c r="H65" s="111"/>
      <c r="I65" s="111"/>
      <c r="J65" s="111"/>
      <c r="K65" s="111"/>
      <c r="L65" s="111"/>
      <c r="M65" s="111"/>
      <c r="N65" s="111"/>
      <c r="O65" s="111"/>
      <c r="P65" s="111"/>
      <c r="Q65" s="111"/>
      <c r="R65" s="111"/>
      <c r="S65" s="111"/>
      <c r="T65" s="111"/>
      <c r="U65" s="111"/>
      <c r="V65" s="111"/>
      <c r="W65" s="111"/>
      <c r="X65" s="111"/>
      <c r="Y65" s="111"/>
      <c r="Z65" s="111"/>
      <c r="AA65" s="111"/>
      <c r="AB65" s="111"/>
      <c r="AC65" s="111"/>
      <c r="AD65" s="111"/>
      <c r="AE65" s="111"/>
      <c r="AF65" s="111"/>
      <c r="AG65" s="111"/>
      <c r="AH65" s="111"/>
      <c r="AI65" s="111"/>
      <c r="AJ65" s="111"/>
      <c r="AK65" s="111"/>
      <c r="AL65" s="111"/>
      <c r="AM65" s="111"/>
      <c r="AN65" s="112"/>
      <c r="AO65" s="112"/>
      <c r="AP65" s="112"/>
      <c r="AQ65" s="112"/>
      <c r="AR65" s="112"/>
      <c r="AS65" s="112"/>
      <c r="AT65" s="112"/>
      <c r="AU65" s="112"/>
      <c r="AV65" s="112"/>
      <c r="AW65" s="112"/>
      <c r="AX65" s="112"/>
      <c r="AY65" s="112"/>
      <c r="AZ65" s="112"/>
      <c r="BA65" s="112"/>
      <c r="BB65" s="112"/>
      <c r="BC65" s="112"/>
      <c r="BD65" s="112"/>
      <c r="BE65" s="112"/>
      <c r="BF65" s="112"/>
      <c r="BG65" s="112"/>
      <c r="BH65" s="112"/>
      <c r="BI65" s="112"/>
      <c r="BJ65" s="112"/>
      <c r="BK65" s="112"/>
      <c r="BL65" s="112"/>
      <c r="BM65" s="112"/>
      <c r="BN65" s="112"/>
      <c r="BO65" s="112"/>
      <c r="BP65" s="112"/>
      <c r="BQ65" s="112"/>
      <c r="BR65" s="112"/>
      <c r="BS65" s="112"/>
      <c r="BT65" s="112"/>
      <c r="BU65" s="138" t="s">
        <v>171</v>
      </c>
      <c r="BV65" s="126"/>
    </row>
    <row r="66" spans="1:74" hidden="1" x14ac:dyDescent="0.2">
      <c r="A66" s="120" t="s">
        <v>157</v>
      </c>
      <c r="B66" s="119" t="s">
        <v>172</v>
      </c>
      <c r="C66" s="122"/>
      <c r="D66" s="123" t="s">
        <v>173</v>
      </c>
      <c r="E66" s="111" t="e">
        <f>E52*100/#REF!</f>
        <v>#REF!</v>
      </c>
      <c r="F66" s="111" t="e">
        <f>F52*100/#REF!</f>
        <v>#REF!</v>
      </c>
      <c r="G66" s="111" t="e">
        <f>G52*100/#REF!</f>
        <v>#REF!</v>
      </c>
      <c r="H66" s="111" t="e">
        <f>H52*100/#REF!</f>
        <v>#REF!</v>
      </c>
      <c r="I66" s="111" t="e">
        <f>I52*100/#REF!</f>
        <v>#REF!</v>
      </c>
      <c r="J66" s="111" t="e">
        <f>J52*100/#REF!</f>
        <v>#REF!</v>
      </c>
      <c r="K66" s="111" t="e">
        <f>K52*100/#REF!</f>
        <v>#REF!</v>
      </c>
      <c r="L66" s="111" t="e">
        <f>L52*100/#REF!</f>
        <v>#REF!</v>
      </c>
      <c r="M66" s="111" t="e">
        <f>M52*100/#REF!</f>
        <v>#REF!</v>
      </c>
      <c r="N66" s="111" t="e">
        <f>N52*100/#REF!</f>
        <v>#REF!</v>
      </c>
      <c r="O66" s="111" t="e">
        <f>O52*100/#REF!</f>
        <v>#REF!</v>
      </c>
      <c r="P66" s="111" t="e">
        <f>P52*100/#REF!</f>
        <v>#REF!</v>
      </c>
      <c r="Q66" s="111" t="e">
        <f>Q52*100/#REF!</f>
        <v>#REF!</v>
      </c>
      <c r="R66" s="111" t="e">
        <f>R52*100/#REF!</f>
        <v>#REF!</v>
      </c>
      <c r="S66" s="111" t="e">
        <f>S52*100/#REF!</f>
        <v>#REF!</v>
      </c>
      <c r="T66" s="111" t="e">
        <f>T52*100/#REF!</f>
        <v>#REF!</v>
      </c>
      <c r="U66" s="111" t="e">
        <f>U52*100/#REF!</f>
        <v>#REF!</v>
      </c>
      <c r="V66" s="111" t="e">
        <f>V52*100/#REF!</f>
        <v>#REF!</v>
      </c>
      <c r="W66" s="111" t="e">
        <f>W52*100/#REF!</f>
        <v>#REF!</v>
      </c>
      <c r="X66" s="111" t="e">
        <f>X52*100/#REF!</f>
        <v>#REF!</v>
      </c>
      <c r="Y66" s="111" t="e">
        <f>Y52*100/#REF!</f>
        <v>#REF!</v>
      </c>
      <c r="Z66" s="111" t="e">
        <f>Z52*100/#REF!</f>
        <v>#REF!</v>
      </c>
      <c r="AA66" s="111" t="e">
        <f>AA52*100/#REF!</f>
        <v>#REF!</v>
      </c>
      <c r="AB66" s="111" t="e">
        <f>AB52*100/#REF!</f>
        <v>#REF!</v>
      </c>
      <c r="AC66" s="111" t="e">
        <f>AC52*100/#REF!</f>
        <v>#REF!</v>
      </c>
      <c r="AD66" s="111" t="e">
        <f>AD52*100/#REF!</f>
        <v>#REF!</v>
      </c>
      <c r="AE66" s="111" t="e">
        <f>AE52*100/#REF!</f>
        <v>#REF!</v>
      </c>
      <c r="AF66" s="111" t="e">
        <f>AF52*100/#REF!</f>
        <v>#REF!</v>
      </c>
      <c r="AG66" s="111" t="e">
        <f>AG52*100/#REF!</f>
        <v>#REF!</v>
      </c>
      <c r="AH66" s="111" t="e">
        <f>AH52*100/#REF!</f>
        <v>#REF!</v>
      </c>
      <c r="AI66" s="111" t="e">
        <f>AI52*100/#REF!</f>
        <v>#REF!</v>
      </c>
      <c r="AJ66" s="111" t="e">
        <f>AJ52*100/#REF!</f>
        <v>#REF!</v>
      </c>
      <c r="AK66" s="111" t="e">
        <f>AK52*100/#REF!</f>
        <v>#REF!</v>
      </c>
      <c r="AL66" s="111" t="e">
        <f>AL52*100/#REF!</f>
        <v>#REF!</v>
      </c>
      <c r="AM66" s="111" t="e">
        <f>AM52*100/#REF!</f>
        <v>#REF!</v>
      </c>
      <c r="AN66" s="112"/>
      <c r="AO66" s="112"/>
      <c r="AP66" s="112"/>
      <c r="AQ66" s="112"/>
      <c r="AR66" s="112"/>
      <c r="AS66" s="112"/>
      <c r="AT66" s="112"/>
      <c r="AU66" s="112"/>
      <c r="AV66" s="112"/>
      <c r="AW66" s="112"/>
      <c r="AX66" s="112"/>
      <c r="AY66" s="112"/>
      <c r="AZ66" s="112"/>
      <c r="BA66" s="112"/>
      <c r="BB66" s="112"/>
      <c r="BC66" s="112"/>
      <c r="BD66" s="112"/>
      <c r="BE66" s="112"/>
      <c r="BF66" s="112"/>
      <c r="BG66" s="112"/>
      <c r="BH66" s="112"/>
      <c r="BI66" s="112"/>
      <c r="BJ66" s="112"/>
      <c r="BK66" s="112"/>
      <c r="BL66" s="112"/>
      <c r="BM66" s="112"/>
      <c r="BN66" s="112"/>
      <c r="BO66" s="112"/>
      <c r="BP66" s="112"/>
      <c r="BQ66" s="112"/>
      <c r="BR66" s="112"/>
      <c r="BS66" s="112"/>
      <c r="BT66" s="112"/>
      <c r="BU66" s="138" t="s">
        <v>174</v>
      </c>
      <c r="BV66" s="126"/>
    </row>
    <row r="67" spans="1:74" hidden="1" x14ac:dyDescent="0.2">
      <c r="A67" s="120" t="s">
        <v>160</v>
      </c>
      <c r="B67" s="119" t="s">
        <v>175</v>
      </c>
      <c r="C67" s="122"/>
      <c r="D67" s="123" t="s">
        <v>176</v>
      </c>
      <c r="E67" s="111" t="e">
        <f>#REF!*E61</f>
        <v>#REF!</v>
      </c>
      <c r="F67" s="135" t="e">
        <f>#REF!*F61</f>
        <v>#REF!</v>
      </c>
      <c r="G67" s="135" t="e">
        <f>#REF!*G61</f>
        <v>#REF!</v>
      </c>
      <c r="H67" s="135" t="e">
        <f>#REF!*H61</f>
        <v>#REF!</v>
      </c>
      <c r="I67" s="135" t="e">
        <f>#REF!*I61</f>
        <v>#REF!</v>
      </c>
      <c r="J67" s="135" t="e">
        <f>#REF!*J61</f>
        <v>#REF!</v>
      </c>
      <c r="K67" s="135" t="e">
        <f>#REF!*K61</f>
        <v>#REF!</v>
      </c>
      <c r="L67" s="135" t="e">
        <f>#REF!*L61</f>
        <v>#REF!</v>
      </c>
      <c r="M67" s="135" t="e">
        <f>#REF!*M61</f>
        <v>#REF!</v>
      </c>
      <c r="N67" s="135" t="e">
        <f>#REF!*N61</f>
        <v>#REF!</v>
      </c>
      <c r="O67" s="135" t="e">
        <f>#REF!*O61</f>
        <v>#REF!</v>
      </c>
      <c r="P67" s="135" t="e">
        <f>#REF!*P61</f>
        <v>#REF!</v>
      </c>
      <c r="Q67" s="135" t="e">
        <f>#REF!*Q61</f>
        <v>#REF!</v>
      </c>
      <c r="R67" s="135" t="e">
        <f>#REF!*R61</f>
        <v>#REF!</v>
      </c>
      <c r="S67" s="135" t="e">
        <f>#REF!*S61</f>
        <v>#REF!</v>
      </c>
      <c r="T67" s="135" t="e">
        <f>#REF!*T61</f>
        <v>#REF!</v>
      </c>
      <c r="U67" s="135" t="e">
        <f>#REF!*U61</f>
        <v>#REF!</v>
      </c>
      <c r="V67" s="135" t="e">
        <f>#REF!*V61</f>
        <v>#REF!</v>
      </c>
      <c r="W67" s="135" t="e">
        <f>#REF!*W61</f>
        <v>#REF!</v>
      </c>
      <c r="X67" s="135" t="e">
        <f>#REF!*X61</f>
        <v>#REF!</v>
      </c>
      <c r="Y67" s="135" t="e">
        <f>#REF!*Y61</f>
        <v>#REF!</v>
      </c>
      <c r="Z67" s="135" t="e">
        <f>#REF!*Z61</f>
        <v>#REF!</v>
      </c>
      <c r="AA67" s="135" t="e">
        <f>#REF!*AA61</f>
        <v>#REF!</v>
      </c>
      <c r="AB67" s="135" t="e">
        <f>#REF!*AB61</f>
        <v>#REF!</v>
      </c>
      <c r="AC67" s="135" t="e">
        <f>#REF!*AC61</f>
        <v>#REF!</v>
      </c>
      <c r="AD67" s="135" t="e">
        <f>#REF!*AD61</f>
        <v>#REF!</v>
      </c>
      <c r="AE67" s="135" t="e">
        <f>#REF!*AE61</f>
        <v>#REF!</v>
      </c>
      <c r="AF67" s="135" t="e">
        <f>#REF!*AF61</f>
        <v>#REF!</v>
      </c>
      <c r="AG67" s="135" t="e">
        <f>#REF!*AG61</f>
        <v>#REF!</v>
      </c>
      <c r="AH67" s="135" t="e">
        <f>#REF!*AH61</f>
        <v>#REF!</v>
      </c>
      <c r="AI67" s="135" t="e">
        <f>#REF!*AI61</f>
        <v>#REF!</v>
      </c>
      <c r="AJ67" s="135" t="e">
        <f>#REF!*AJ61</f>
        <v>#REF!</v>
      </c>
      <c r="AK67" s="135" t="e">
        <f>#REF!*AK61</f>
        <v>#REF!</v>
      </c>
      <c r="AL67" s="135" t="e">
        <f>#REF!*AL61</f>
        <v>#REF!</v>
      </c>
      <c r="AM67" s="135" t="e">
        <f>#REF!*AM61</f>
        <v>#REF!</v>
      </c>
      <c r="AN67" s="136"/>
      <c r="AO67" s="136"/>
      <c r="AP67" s="136"/>
      <c r="AQ67" s="136"/>
      <c r="AR67" s="136"/>
      <c r="AS67" s="136"/>
      <c r="AT67" s="136"/>
      <c r="AU67" s="136"/>
      <c r="AV67" s="136"/>
      <c r="AW67" s="136"/>
      <c r="AX67" s="136"/>
      <c r="AY67" s="136"/>
      <c r="AZ67" s="136"/>
      <c r="BA67" s="136"/>
      <c r="BB67" s="136"/>
      <c r="BC67" s="136"/>
      <c r="BD67" s="136"/>
      <c r="BE67" s="136"/>
      <c r="BF67" s="136"/>
      <c r="BG67" s="136"/>
      <c r="BH67" s="136"/>
      <c r="BI67" s="136"/>
      <c r="BJ67" s="136"/>
      <c r="BK67" s="136"/>
      <c r="BL67" s="136"/>
      <c r="BM67" s="136"/>
      <c r="BN67" s="136"/>
      <c r="BO67" s="136"/>
      <c r="BP67" s="136"/>
      <c r="BQ67" s="136"/>
      <c r="BR67" s="136"/>
      <c r="BS67" s="136"/>
      <c r="BT67" s="136"/>
      <c r="BU67" s="139" t="e">
        <f>BU61*#REF!</f>
        <v>#REF!</v>
      </c>
      <c r="BV67" s="126"/>
    </row>
    <row r="68" spans="1:74" hidden="1" x14ac:dyDescent="0.2">
      <c r="A68" s="120" t="s">
        <v>163</v>
      </c>
      <c r="B68" s="119" t="s">
        <v>177</v>
      </c>
      <c r="C68" s="122"/>
      <c r="D68" s="123" t="s">
        <v>176</v>
      </c>
      <c r="E68" s="111" t="e">
        <f>#REF!*E62</f>
        <v>#REF!</v>
      </c>
      <c r="F68" s="135" t="e">
        <f>#REF!*F62</f>
        <v>#REF!</v>
      </c>
      <c r="G68" s="135" t="e">
        <f>#REF!*G62</f>
        <v>#REF!</v>
      </c>
      <c r="H68" s="135" t="e">
        <f>#REF!*H62</f>
        <v>#REF!</v>
      </c>
      <c r="I68" s="135" t="e">
        <f>#REF!*I62</f>
        <v>#REF!</v>
      </c>
      <c r="J68" s="135" t="e">
        <f>#REF!*J62</f>
        <v>#REF!</v>
      </c>
      <c r="K68" s="135" t="e">
        <f>#REF!*K62</f>
        <v>#REF!</v>
      </c>
      <c r="L68" s="135" t="e">
        <f>#REF!*L62</f>
        <v>#REF!</v>
      </c>
      <c r="M68" s="135" t="e">
        <f>#REF!*M62</f>
        <v>#REF!</v>
      </c>
      <c r="N68" s="135" t="e">
        <f>#REF!*N62</f>
        <v>#REF!</v>
      </c>
      <c r="O68" s="135" t="e">
        <f>#REF!*O62</f>
        <v>#REF!</v>
      </c>
      <c r="P68" s="135" t="e">
        <f>#REF!*P62</f>
        <v>#REF!</v>
      </c>
      <c r="Q68" s="135" t="e">
        <f>#REF!*Q62</f>
        <v>#REF!</v>
      </c>
      <c r="R68" s="135" t="e">
        <f>#REF!*R62</f>
        <v>#REF!</v>
      </c>
      <c r="S68" s="135" t="e">
        <f>#REF!*S62</f>
        <v>#REF!</v>
      </c>
      <c r="T68" s="135" t="e">
        <f>#REF!*T62</f>
        <v>#REF!</v>
      </c>
      <c r="U68" s="135" t="e">
        <f>#REF!*U62</f>
        <v>#REF!</v>
      </c>
      <c r="V68" s="135" t="e">
        <f>#REF!*V62</f>
        <v>#REF!</v>
      </c>
      <c r="W68" s="135" t="e">
        <f>#REF!*W62</f>
        <v>#REF!</v>
      </c>
      <c r="X68" s="135" t="e">
        <f>#REF!*X62</f>
        <v>#REF!</v>
      </c>
      <c r="Y68" s="135" t="e">
        <f>#REF!*Y62</f>
        <v>#REF!</v>
      </c>
      <c r="Z68" s="135" t="e">
        <f>#REF!*Z62</f>
        <v>#REF!</v>
      </c>
      <c r="AA68" s="135" t="e">
        <f>#REF!*AA62</f>
        <v>#REF!</v>
      </c>
      <c r="AB68" s="135" t="e">
        <f>#REF!*AB62</f>
        <v>#REF!</v>
      </c>
      <c r="AC68" s="135" t="e">
        <f>#REF!*AC62</f>
        <v>#REF!</v>
      </c>
      <c r="AD68" s="135" t="e">
        <f>#REF!*AD62</f>
        <v>#REF!</v>
      </c>
      <c r="AE68" s="135" t="e">
        <f>#REF!*AE62</f>
        <v>#REF!</v>
      </c>
      <c r="AF68" s="135" t="e">
        <f>#REF!*AF62</f>
        <v>#REF!</v>
      </c>
      <c r="AG68" s="135" t="e">
        <f>#REF!*AG62</f>
        <v>#REF!</v>
      </c>
      <c r="AH68" s="135" t="e">
        <f>#REF!*AH62</f>
        <v>#REF!</v>
      </c>
      <c r="AI68" s="135" t="e">
        <f>#REF!*AI62</f>
        <v>#REF!</v>
      </c>
      <c r="AJ68" s="135" t="e">
        <f>#REF!*AJ62</f>
        <v>#REF!</v>
      </c>
      <c r="AK68" s="135" t="e">
        <f>#REF!*AK62</f>
        <v>#REF!</v>
      </c>
      <c r="AL68" s="135" t="e">
        <f>#REF!*AL62</f>
        <v>#REF!</v>
      </c>
      <c r="AM68" s="135" t="e">
        <f>#REF!*AM62</f>
        <v>#REF!</v>
      </c>
      <c r="AN68" s="136"/>
      <c r="AO68" s="136"/>
      <c r="AP68" s="136"/>
      <c r="AQ68" s="136"/>
      <c r="AR68" s="136"/>
      <c r="AS68" s="136"/>
      <c r="AT68" s="136"/>
      <c r="AU68" s="136"/>
      <c r="AV68" s="136"/>
      <c r="AW68" s="136"/>
      <c r="AX68" s="136"/>
      <c r="AY68" s="136"/>
      <c r="AZ68" s="136"/>
      <c r="BA68" s="136"/>
      <c r="BB68" s="136"/>
      <c r="BC68" s="136"/>
      <c r="BD68" s="136"/>
      <c r="BE68" s="136"/>
      <c r="BF68" s="136"/>
      <c r="BG68" s="136"/>
      <c r="BH68" s="136"/>
      <c r="BI68" s="136"/>
      <c r="BJ68" s="136"/>
      <c r="BK68" s="136"/>
      <c r="BL68" s="136"/>
      <c r="BM68" s="136"/>
      <c r="BN68" s="136"/>
      <c r="BO68" s="136"/>
      <c r="BP68" s="136"/>
      <c r="BQ68" s="136"/>
      <c r="BR68" s="136"/>
      <c r="BS68" s="136"/>
      <c r="BT68" s="136"/>
      <c r="BU68" s="139" t="e">
        <f>BU62*#REF!</f>
        <v>#REF!</v>
      </c>
      <c r="BV68" s="126"/>
    </row>
    <row r="69" spans="1:74" hidden="1" x14ac:dyDescent="0.2">
      <c r="A69" s="120" t="s">
        <v>166</v>
      </c>
      <c r="B69" s="119" t="s">
        <v>178</v>
      </c>
      <c r="C69" s="122"/>
      <c r="D69" s="123" t="s">
        <v>176</v>
      </c>
      <c r="E69" s="111" t="e">
        <f>#REF!*E63</f>
        <v>#REF!</v>
      </c>
      <c r="F69" s="135" t="e">
        <f>#REF!*F63</f>
        <v>#REF!</v>
      </c>
      <c r="G69" s="135" t="e">
        <f>#REF!*G63</f>
        <v>#REF!</v>
      </c>
      <c r="H69" s="135" t="e">
        <f>#REF!*H63</f>
        <v>#REF!</v>
      </c>
      <c r="I69" s="135" t="e">
        <f>#REF!*I63</f>
        <v>#REF!</v>
      </c>
      <c r="J69" s="135" t="e">
        <f>#REF!*J63</f>
        <v>#REF!</v>
      </c>
      <c r="K69" s="135" t="e">
        <f>#REF!*K63</f>
        <v>#REF!</v>
      </c>
      <c r="L69" s="135" t="e">
        <f>#REF!*L63</f>
        <v>#REF!</v>
      </c>
      <c r="M69" s="135" t="e">
        <f>#REF!*M63</f>
        <v>#REF!</v>
      </c>
      <c r="N69" s="135" t="e">
        <f>#REF!*N63</f>
        <v>#REF!</v>
      </c>
      <c r="O69" s="135" t="e">
        <f>#REF!*O63</f>
        <v>#REF!</v>
      </c>
      <c r="P69" s="135" t="e">
        <f>#REF!*P63</f>
        <v>#REF!</v>
      </c>
      <c r="Q69" s="135" t="e">
        <f>#REF!*Q63</f>
        <v>#REF!</v>
      </c>
      <c r="R69" s="135" t="e">
        <f>#REF!*R63</f>
        <v>#REF!</v>
      </c>
      <c r="S69" s="135" t="e">
        <f>#REF!*S63</f>
        <v>#REF!</v>
      </c>
      <c r="T69" s="135" t="e">
        <f>#REF!*T63</f>
        <v>#REF!</v>
      </c>
      <c r="U69" s="135" t="e">
        <f>#REF!*U63</f>
        <v>#REF!</v>
      </c>
      <c r="V69" s="135" t="e">
        <f>#REF!*V63</f>
        <v>#REF!</v>
      </c>
      <c r="W69" s="135" t="e">
        <f>#REF!*W63</f>
        <v>#REF!</v>
      </c>
      <c r="X69" s="135" t="e">
        <f>#REF!*X63</f>
        <v>#REF!</v>
      </c>
      <c r="Y69" s="135" t="e">
        <f>#REF!*Y63</f>
        <v>#REF!</v>
      </c>
      <c r="Z69" s="135" t="e">
        <f>#REF!*Z63</f>
        <v>#REF!</v>
      </c>
      <c r="AA69" s="135" t="e">
        <f>#REF!*AA63</f>
        <v>#REF!</v>
      </c>
      <c r="AB69" s="135" t="e">
        <f>#REF!*AB63</f>
        <v>#REF!</v>
      </c>
      <c r="AC69" s="135" t="e">
        <f>#REF!*AC63</f>
        <v>#REF!</v>
      </c>
      <c r="AD69" s="135" t="e">
        <f>#REF!*AD63</f>
        <v>#REF!</v>
      </c>
      <c r="AE69" s="135" t="e">
        <f>#REF!*AE63</f>
        <v>#REF!</v>
      </c>
      <c r="AF69" s="135" t="e">
        <f>#REF!*AF63</f>
        <v>#REF!</v>
      </c>
      <c r="AG69" s="135" t="e">
        <f>#REF!*AG63</f>
        <v>#REF!</v>
      </c>
      <c r="AH69" s="135" t="e">
        <f>#REF!*AH63</f>
        <v>#REF!</v>
      </c>
      <c r="AI69" s="135" t="e">
        <f>#REF!*AI63</f>
        <v>#REF!</v>
      </c>
      <c r="AJ69" s="135" t="e">
        <f>#REF!*AJ63</f>
        <v>#REF!</v>
      </c>
      <c r="AK69" s="135" t="e">
        <f>#REF!*AK63</f>
        <v>#REF!</v>
      </c>
      <c r="AL69" s="135" t="e">
        <f>#REF!*AL63</f>
        <v>#REF!</v>
      </c>
      <c r="AM69" s="135" t="e">
        <f>#REF!*AM63</f>
        <v>#REF!</v>
      </c>
      <c r="AN69" s="136"/>
      <c r="AO69" s="136"/>
      <c r="AP69" s="136"/>
      <c r="AQ69" s="136"/>
      <c r="AR69" s="136"/>
      <c r="AS69" s="136"/>
      <c r="AT69" s="136"/>
      <c r="AU69" s="136"/>
      <c r="AV69" s="136"/>
      <c r="AW69" s="136"/>
      <c r="AX69" s="136"/>
      <c r="AY69" s="136"/>
      <c r="AZ69" s="136"/>
      <c r="BA69" s="136"/>
      <c r="BB69" s="136"/>
      <c r="BC69" s="136"/>
      <c r="BD69" s="136"/>
      <c r="BE69" s="136"/>
      <c r="BF69" s="136"/>
      <c r="BG69" s="136"/>
      <c r="BH69" s="136"/>
      <c r="BI69" s="136"/>
      <c r="BJ69" s="136"/>
      <c r="BK69" s="136"/>
      <c r="BL69" s="136"/>
      <c r="BM69" s="136"/>
      <c r="BN69" s="136"/>
      <c r="BO69" s="136"/>
      <c r="BP69" s="136"/>
      <c r="BQ69" s="136"/>
      <c r="BR69" s="136"/>
      <c r="BS69" s="136"/>
      <c r="BT69" s="136"/>
      <c r="BU69" s="139" t="e">
        <f>BU63*#REF!</f>
        <v>#REF!</v>
      </c>
      <c r="BV69" s="126"/>
    </row>
    <row r="70" spans="1:74" hidden="1" x14ac:dyDescent="0.2">
      <c r="A70" s="120" t="s">
        <v>179</v>
      </c>
      <c r="B70" s="119" t="s">
        <v>180</v>
      </c>
      <c r="C70" s="122"/>
      <c r="D70" s="123" t="s">
        <v>176</v>
      </c>
      <c r="E70" s="111" t="e">
        <f>#REF!*E64</f>
        <v>#REF!</v>
      </c>
      <c r="F70" s="135" t="e">
        <f>#REF!*F64</f>
        <v>#REF!</v>
      </c>
      <c r="G70" s="135" t="e">
        <f>#REF!*G64</f>
        <v>#REF!</v>
      </c>
      <c r="H70" s="135" t="e">
        <f>#REF!*H64</f>
        <v>#REF!</v>
      </c>
      <c r="I70" s="135" t="e">
        <f>#REF!*I64</f>
        <v>#REF!</v>
      </c>
      <c r="J70" s="135" t="e">
        <f>#REF!*J64</f>
        <v>#REF!</v>
      </c>
      <c r="K70" s="135" t="e">
        <f>#REF!*K64</f>
        <v>#REF!</v>
      </c>
      <c r="L70" s="135" t="e">
        <f>#REF!*L64</f>
        <v>#REF!</v>
      </c>
      <c r="M70" s="135" t="e">
        <f>#REF!*M64</f>
        <v>#REF!</v>
      </c>
      <c r="N70" s="135" t="e">
        <f>#REF!*N64</f>
        <v>#REF!</v>
      </c>
      <c r="O70" s="135" t="e">
        <f>#REF!*O64</f>
        <v>#REF!</v>
      </c>
      <c r="P70" s="135" t="e">
        <f>#REF!*P64</f>
        <v>#REF!</v>
      </c>
      <c r="Q70" s="135" t="e">
        <f>#REF!*Q64</f>
        <v>#REF!</v>
      </c>
      <c r="R70" s="135" t="e">
        <f>#REF!*R64</f>
        <v>#REF!</v>
      </c>
      <c r="S70" s="135" t="e">
        <f>#REF!*S64</f>
        <v>#REF!</v>
      </c>
      <c r="T70" s="135" t="e">
        <f>#REF!*T64</f>
        <v>#REF!</v>
      </c>
      <c r="U70" s="135" t="e">
        <f>#REF!*U64</f>
        <v>#REF!</v>
      </c>
      <c r="V70" s="135" t="e">
        <f>#REF!*V64</f>
        <v>#REF!</v>
      </c>
      <c r="W70" s="135" t="e">
        <f>#REF!*W64</f>
        <v>#REF!</v>
      </c>
      <c r="X70" s="135" t="e">
        <f>#REF!*X64</f>
        <v>#REF!</v>
      </c>
      <c r="Y70" s="135" t="e">
        <f>#REF!*Y64</f>
        <v>#REF!</v>
      </c>
      <c r="Z70" s="135" t="e">
        <f>#REF!*Z64</f>
        <v>#REF!</v>
      </c>
      <c r="AA70" s="135" t="e">
        <f>#REF!*AA64</f>
        <v>#REF!</v>
      </c>
      <c r="AB70" s="135" t="e">
        <f>#REF!*AB64</f>
        <v>#REF!</v>
      </c>
      <c r="AC70" s="135" t="e">
        <f>#REF!*AC64</f>
        <v>#REF!</v>
      </c>
      <c r="AD70" s="135" t="e">
        <f>#REF!*AD64</f>
        <v>#REF!</v>
      </c>
      <c r="AE70" s="135" t="e">
        <f>#REF!*AE64</f>
        <v>#REF!</v>
      </c>
      <c r="AF70" s="135" t="e">
        <f>#REF!*AF64</f>
        <v>#REF!</v>
      </c>
      <c r="AG70" s="135" t="e">
        <f>#REF!*AG64</f>
        <v>#REF!</v>
      </c>
      <c r="AH70" s="135" t="e">
        <f>#REF!*AH64</f>
        <v>#REF!</v>
      </c>
      <c r="AI70" s="135" t="e">
        <f>#REF!*AI64</f>
        <v>#REF!</v>
      </c>
      <c r="AJ70" s="135" t="e">
        <f>#REF!*AJ64</f>
        <v>#REF!</v>
      </c>
      <c r="AK70" s="135" t="e">
        <f>#REF!*AK64</f>
        <v>#REF!</v>
      </c>
      <c r="AL70" s="135" t="e">
        <f>#REF!*AL64</f>
        <v>#REF!</v>
      </c>
      <c r="AM70" s="135" t="e">
        <f>#REF!*AM64</f>
        <v>#REF!</v>
      </c>
      <c r="AN70" s="136"/>
      <c r="AO70" s="136"/>
      <c r="AP70" s="136"/>
      <c r="AQ70" s="136"/>
      <c r="AR70" s="136"/>
      <c r="AS70" s="136"/>
      <c r="AT70" s="136"/>
      <c r="AU70" s="136"/>
      <c r="AV70" s="136"/>
      <c r="AW70" s="136"/>
      <c r="AX70" s="136"/>
      <c r="AY70" s="136"/>
      <c r="AZ70" s="136"/>
      <c r="BA70" s="136"/>
      <c r="BB70" s="136"/>
      <c r="BC70" s="136"/>
      <c r="BD70" s="136"/>
      <c r="BE70" s="136"/>
      <c r="BF70" s="136"/>
      <c r="BG70" s="136"/>
      <c r="BH70" s="136"/>
      <c r="BI70" s="136"/>
      <c r="BJ70" s="136"/>
      <c r="BK70" s="136"/>
      <c r="BL70" s="136"/>
      <c r="BM70" s="136"/>
      <c r="BN70" s="136"/>
      <c r="BO70" s="136"/>
      <c r="BP70" s="136"/>
      <c r="BQ70" s="136"/>
      <c r="BR70" s="136"/>
      <c r="BS70" s="136"/>
      <c r="BT70" s="136"/>
      <c r="BU70" s="139" t="e">
        <f>BU64*#REF!</f>
        <v>#REF!</v>
      </c>
      <c r="BV70" s="126"/>
    </row>
    <row r="71" spans="1:74" hidden="1" x14ac:dyDescent="0.2">
      <c r="A71" s="120" t="s">
        <v>181</v>
      </c>
      <c r="B71" s="119" t="s">
        <v>182</v>
      </c>
      <c r="C71" s="122"/>
      <c r="D71" s="123" t="s">
        <v>176</v>
      </c>
      <c r="E71" s="111" t="e">
        <f>#REF!/E52</f>
        <v>#REF!</v>
      </c>
      <c r="F71" s="135" t="e">
        <f>#REF!/F52</f>
        <v>#REF!</v>
      </c>
      <c r="G71" s="135" t="e">
        <f>#REF!/G52</f>
        <v>#REF!</v>
      </c>
      <c r="H71" s="135" t="e">
        <f>#REF!/H52</f>
        <v>#REF!</v>
      </c>
      <c r="I71" s="135" t="e">
        <f>#REF!/I52</f>
        <v>#REF!</v>
      </c>
      <c r="J71" s="135" t="e">
        <f>#REF!/J52</f>
        <v>#REF!</v>
      </c>
      <c r="K71" s="135" t="e">
        <f>#REF!/K52</f>
        <v>#REF!</v>
      </c>
      <c r="L71" s="135" t="e">
        <f>#REF!/L52</f>
        <v>#REF!</v>
      </c>
      <c r="M71" s="135" t="e">
        <f>#REF!/M52</f>
        <v>#REF!</v>
      </c>
      <c r="N71" s="135" t="e">
        <f>#REF!/N52</f>
        <v>#REF!</v>
      </c>
      <c r="O71" s="135" t="e">
        <f>#REF!/O52</f>
        <v>#REF!</v>
      </c>
      <c r="P71" s="135" t="e">
        <f>#REF!/P52</f>
        <v>#REF!</v>
      </c>
      <c r="Q71" s="135" t="e">
        <f>#REF!/Q52</f>
        <v>#REF!</v>
      </c>
      <c r="R71" s="135" t="e">
        <f>#REF!/R52</f>
        <v>#REF!</v>
      </c>
      <c r="S71" s="135" t="e">
        <f>#REF!/S52</f>
        <v>#REF!</v>
      </c>
      <c r="T71" s="135" t="e">
        <f>#REF!/T52</f>
        <v>#REF!</v>
      </c>
      <c r="U71" s="135" t="e">
        <f>#REF!/U52</f>
        <v>#REF!</v>
      </c>
      <c r="V71" s="135" t="e">
        <f>#REF!/V52</f>
        <v>#REF!</v>
      </c>
      <c r="W71" s="135" t="e">
        <f>#REF!/W52</f>
        <v>#REF!</v>
      </c>
      <c r="X71" s="135" t="e">
        <f>#REF!/X52</f>
        <v>#REF!</v>
      </c>
      <c r="Y71" s="135" t="e">
        <f>#REF!/Y52</f>
        <v>#REF!</v>
      </c>
      <c r="Z71" s="135" t="e">
        <f>#REF!/Z52</f>
        <v>#REF!</v>
      </c>
      <c r="AA71" s="135" t="e">
        <f>#REF!/AA52</f>
        <v>#REF!</v>
      </c>
      <c r="AB71" s="135" t="e">
        <f>#REF!/AB52</f>
        <v>#REF!</v>
      </c>
      <c r="AC71" s="135" t="e">
        <f>#REF!/AC52</f>
        <v>#REF!</v>
      </c>
      <c r="AD71" s="135" t="e">
        <f>#REF!/AD52</f>
        <v>#REF!</v>
      </c>
      <c r="AE71" s="135" t="e">
        <f>#REF!/AE52</f>
        <v>#REF!</v>
      </c>
      <c r="AF71" s="135" t="e">
        <f>#REF!/AF52</f>
        <v>#REF!</v>
      </c>
      <c r="AG71" s="135" t="e">
        <f>#REF!/AG52</f>
        <v>#REF!</v>
      </c>
      <c r="AH71" s="135" t="e">
        <f>#REF!/AH52</f>
        <v>#REF!</v>
      </c>
      <c r="AI71" s="135" t="e">
        <f>#REF!/AI52</f>
        <v>#REF!</v>
      </c>
      <c r="AJ71" s="135" t="e">
        <f>#REF!/AJ52</f>
        <v>#REF!</v>
      </c>
      <c r="AK71" s="135" t="e">
        <f>#REF!/AK52</f>
        <v>#REF!</v>
      </c>
      <c r="AL71" s="135" t="e">
        <f>#REF!/AL52</f>
        <v>#REF!</v>
      </c>
      <c r="AM71" s="135" t="e">
        <f>#REF!/AM52</f>
        <v>#REF!</v>
      </c>
      <c r="AN71" s="136"/>
      <c r="AO71" s="136"/>
      <c r="AP71" s="136"/>
      <c r="AQ71" s="136"/>
      <c r="AR71" s="136"/>
      <c r="AS71" s="136"/>
      <c r="AT71" s="136"/>
      <c r="AU71" s="136"/>
      <c r="AV71" s="136"/>
      <c r="AW71" s="136"/>
      <c r="AX71" s="136"/>
      <c r="AY71" s="136"/>
      <c r="AZ71" s="136"/>
      <c r="BA71" s="136"/>
      <c r="BB71" s="136"/>
      <c r="BC71" s="136"/>
      <c r="BD71" s="136"/>
      <c r="BE71" s="136"/>
      <c r="BF71" s="136"/>
      <c r="BG71" s="136"/>
      <c r="BH71" s="136"/>
      <c r="BI71" s="136"/>
      <c r="BJ71" s="136"/>
      <c r="BK71" s="136"/>
      <c r="BL71" s="136"/>
      <c r="BM71" s="136"/>
      <c r="BN71" s="136"/>
      <c r="BO71" s="136"/>
      <c r="BP71" s="136"/>
      <c r="BQ71" s="136"/>
      <c r="BR71" s="136"/>
      <c r="BS71" s="136"/>
      <c r="BT71" s="136"/>
      <c r="BU71" s="139" t="e">
        <f>#REF!/BU52</f>
        <v>#REF!</v>
      </c>
      <c r="BV71" s="126"/>
    </row>
    <row r="72" spans="1:74" hidden="1" x14ac:dyDescent="0.2">
      <c r="A72" s="120" t="s">
        <v>183</v>
      </c>
      <c r="B72" s="119" t="s">
        <v>184</v>
      </c>
      <c r="C72" s="122"/>
      <c r="D72" s="123" t="s">
        <v>176</v>
      </c>
      <c r="E72" s="135">
        <v>291</v>
      </c>
      <c r="F72" s="135">
        <v>291</v>
      </c>
      <c r="G72" s="135">
        <v>291</v>
      </c>
      <c r="H72" s="135">
        <v>291</v>
      </c>
      <c r="I72" s="135">
        <v>291</v>
      </c>
      <c r="J72" s="135">
        <v>291</v>
      </c>
      <c r="K72" s="135">
        <v>291</v>
      </c>
      <c r="L72" s="135">
        <v>291</v>
      </c>
      <c r="M72" s="135">
        <v>291</v>
      </c>
      <c r="N72" s="135">
        <v>291</v>
      </c>
      <c r="O72" s="135">
        <v>291</v>
      </c>
      <c r="P72" s="135">
        <v>291</v>
      </c>
      <c r="Q72" s="135">
        <v>291</v>
      </c>
      <c r="R72" s="135">
        <v>291</v>
      </c>
      <c r="S72" s="135">
        <v>291</v>
      </c>
      <c r="T72" s="135">
        <v>291</v>
      </c>
      <c r="U72" s="135">
        <v>291</v>
      </c>
      <c r="V72" s="135">
        <v>291</v>
      </c>
      <c r="W72" s="135">
        <v>291</v>
      </c>
      <c r="X72" s="135">
        <v>291</v>
      </c>
      <c r="Y72" s="135">
        <v>291</v>
      </c>
      <c r="Z72" s="135">
        <v>291</v>
      </c>
      <c r="AA72" s="135">
        <v>291</v>
      </c>
      <c r="AB72" s="135">
        <v>291</v>
      </c>
      <c r="AC72" s="135">
        <v>291</v>
      </c>
      <c r="AD72" s="135">
        <v>291</v>
      </c>
      <c r="AE72" s="135">
        <v>291</v>
      </c>
      <c r="AF72" s="135">
        <v>291</v>
      </c>
      <c r="AG72" s="135">
        <v>291</v>
      </c>
      <c r="AH72" s="135">
        <v>291</v>
      </c>
      <c r="AI72" s="135">
        <v>291</v>
      </c>
      <c r="AJ72" s="135">
        <v>291</v>
      </c>
      <c r="AK72" s="135">
        <v>291</v>
      </c>
      <c r="AL72" s="135">
        <v>291</v>
      </c>
      <c r="AM72" s="135">
        <v>291</v>
      </c>
      <c r="AN72" s="136"/>
      <c r="AO72" s="136"/>
      <c r="AP72" s="136"/>
      <c r="AQ72" s="136"/>
      <c r="AR72" s="136"/>
      <c r="AS72" s="136"/>
      <c r="AT72" s="136"/>
      <c r="AU72" s="136"/>
      <c r="AV72" s="136"/>
      <c r="AW72" s="136"/>
      <c r="AX72" s="136"/>
      <c r="AY72" s="136"/>
      <c r="AZ72" s="136"/>
      <c r="BA72" s="136"/>
      <c r="BB72" s="136"/>
      <c r="BC72" s="136"/>
      <c r="BD72" s="136"/>
      <c r="BE72" s="136"/>
      <c r="BF72" s="136"/>
      <c r="BG72" s="136"/>
      <c r="BH72" s="136"/>
      <c r="BI72" s="136"/>
      <c r="BJ72" s="136"/>
      <c r="BK72" s="136"/>
      <c r="BL72" s="136"/>
      <c r="BM72" s="136"/>
      <c r="BN72" s="136"/>
      <c r="BO72" s="136"/>
      <c r="BP72" s="136"/>
      <c r="BQ72" s="136"/>
      <c r="BR72" s="136"/>
      <c r="BS72" s="136"/>
      <c r="BT72" s="136"/>
      <c r="BU72" s="139">
        <f>AVERAGE(E72:AL72)</f>
        <v>291</v>
      </c>
      <c r="BV72" s="126"/>
    </row>
    <row r="73" spans="1:74" ht="20.25" hidden="1" customHeight="1" x14ac:dyDescent="0.2">
      <c r="A73" s="120"/>
      <c r="B73" s="119"/>
      <c r="C73" s="122"/>
      <c r="D73" s="243"/>
      <c r="E73" s="244"/>
      <c r="F73" s="244"/>
      <c r="G73" s="244"/>
      <c r="H73" s="244"/>
      <c r="I73" s="244"/>
      <c r="J73" s="244"/>
      <c r="K73" s="244"/>
      <c r="L73" s="244"/>
      <c r="M73" s="244"/>
      <c r="N73" s="244"/>
      <c r="O73" s="244"/>
      <c r="P73" s="244"/>
      <c r="Q73" s="244"/>
      <c r="R73" s="244"/>
      <c r="S73" s="244"/>
      <c r="T73" s="244"/>
      <c r="U73" s="244"/>
      <c r="V73" s="244"/>
      <c r="W73" s="244"/>
      <c r="X73" s="244"/>
      <c r="Y73" s="244"/>
      <c r="Z73" s="244"/>
      <c r="AA73" s="244"/>
      <c r="AB73" s="244"/>
      <c r="AC73" s="244"/>
      <c r="AD73" s="244"/>
      <c r="AE73" s="244"/>
      <c r="AF73" s="244"/>
      <c r="AG73" s="244"/>
      <c r="AH73" s="244"/>
      <c r="AI73" s="244"/>
      <c r="AJ73" s="244"/>
      <c r="AK73" s="244"/>
      <c r="AL73" s="244"/>
      <c r="AM73" s="244"/>
      <c r="AN73" s="244"/>
      <c r="AO73" s="244"/>
      <c r="AP73" s="244"/>
      <c r="AQ73" s="244"/>
      <c r="AR73" s="244"/>
      <c r="AS73" s="244"/>
      <c r="AT73" s="244"/>
      <c r="AU73" s="244"/>
      <c r="AV73" s="244"/>
      <c r="AW73" s="244"/>
      <c r="AX73" s="244"/>
      <c r="AY73" s="244"/>
      <c r="AZ73" s="244"/>
      <c r="BA73" s="244"/>
      <c r="BB73" s="244"/>
      <c r="BC73" s="244"/>
      <c r="BD73" s="244"/>
      <c r="BE73" s="244"/>
      <c r="BF73" s="244"/>
      <c r="BG73" s="244"/>
      <c r="BH73" s="244"/>
      <c r="BI73" s="244"/>
      <c r="BJ73" s="244"/>
      <c r="BK73" s="244"/>
      <c r="BL73" s="244"/>
      <c r="BM73" s="244"/>
      <c r="BN73" s="244"/>
      <c r="BO73" s="244"/>
      <c r="BP73" s="244"/>
      <c r="BQ73" s="244"/>
      <c r="BR73" s="244"/>
      <c r="BS73" s="244"/>
      <c r="BT73" s="244"/>
      <c r="BU73" s="245"/>
      <c r="BV73" s="126"/>
    </row>
    <row r="74" spans="1:74" hidden="1" x14ac:dyDescent="0.2">
      <c r="A74" s="120" t="s">
        <v>179</v>
      </c>
      <c r="B74" s="119" t="s">
        <v>185</v>
      </c>
      <c r="C74" s="122"/>
      <c r="D74" s="123"/>
      <c r="E74" s="140"/>
      <c r="F74" s="141"/>
      <c r="G74" s="141"/>
      <c r="H74" s="141"/>
      <c r="I74" s="142"/>
      <c r="J74" s="142"/>
      <c r="K74" s="142"/>
      <c r="L74" s="142"/>
      <c r="M74" s="142"/>
      <c r="N74" s="142"/>
      <c r="O74" s="142"/>
      <c r="P74" s="142"/>
      <c r="Q74" s="142"/>
      <c r="R74" s="142"/>
      <c r="S74" s="142"/>
      <c r="T74" s="142"/>
      <c r="U74" s="142"/>
      <c r="V74" s="142"/>
      <c r="W74" s="142"/>
      <c r="X74" s="142"/>
      <c r="Y74" s="142"/>
      <c r="Z74" s="142"/>
      <c r="AA74" s="142"/>
      <c r="AB74" s="142"/>
      <c r="AC74" s="142"/>
      <c r="AD74" s="142"/>
      <c r="AE74" s="142"/>
      <c r="AF74" s="142"/>
      <c r="AG74" s="142"/>
      <c r="AH74" s="142"/>
      <c r="AI74" s="142"/>
      <c r="AJ74" s="142"/>
      <c r="AK74" s="142"/>
      <c r="AL74" s="142"/>
      <c r="AM74" s="142"/>
      <c r="AN74" s="143"/>
      <c r="AO74" s="143"/>
      <c r="AP74" s="143"/>
      <c r="AQ74" s="143"/>
      <c r="AR74" s="143"/>
      <c r="AS74" s="143"/>
      <c r="AT74" s="143"/>
      <c r="AU74" s="143"/>
      <c r="AV74" s="143"/>
      <c r="AW74" s="143"/>
      <c r="AX74" s="143"/>
      <c r="AY74" s="143"/>
      <c r="AZ74" s="143"/>
      <c r="BA74" s="143"/>
      <c r="BB74" s="143"/>
      <c r="BC74" s="143"/>
      <c r="BD74" s="143"/>
      <c r="BE74" s="143"/>
      <c r="BF74" s="143"/>
      <c r="BG74" s="143"/>
      <c r="BH74" s="143"/>
      <c r="BI74" s="143"/>
      <c r="BJ74" s="143"/>
      <c r="BK74" s="143"/>
      <c r="BL74" s="143"/>
      <c r="BM74" s="143"/>
      <c r="BN74" s="143"/>
      <c r="BO74" s="143"/>
      <c r="BP74" s="143"/>
      <c r="BQ74" s="143"/>
      <c r="BR74" s="143"/>
      <c r="BS74" s="143"/>
      <c r="BT74" s="143"/>
      <c r="BU74" s="124" t="s">
        <v>186</v>
      </c>
      <c r="BV74" s="126"/>
    </row>
    <row r="75" spans="1:74" hidden="1" x14ac:dyDescent="0.2">
      <c r="A75" s="120"/>
      <c r="B75" s="144" t="s">
        <v>187</v>
      </c>
      <c r="C75" s="145"/>
      <c r="D75" s="123"/>
      <c r="E75" s="140"/>
      <c r="F75" s="141"/>
      <c r="G75" s="141"/>
      <c r="H75" s="146"/>
      <c r="I75" s="228"/>
      <c r="J75" s="229"/>
      <c r="K75" s="229"/>
      <c r="L75" s="229"/>
      <c r="M75" s="229"/>
      <c r="N75" s="229"/>
      <c r="O75" s="229"/>
      <c r="P75" s="229"/>
      <c r="Q75" s="229"/>
      <c r="R75" s="229"/>
      <c r="S75" s="229"/>
      <c r="T75" s="229"/>
      <c r="U75" s="229"/>
      <c r="V75" s="229"/>
      <c r="W75" s="229"/>
      <c r="X75" s="229"/>
      <c r="Y75" s="229"/>
      <c r="Z75" s="229"/>
      <c r="AA75" s="229"/>
      <c r="AB75" s="229"/>
      <c r="AC75" s="229"/>
      <c r="AD75" s="229"/>
      <c r="AE75" s="229"/>
      <c r="AF75" s="229"/>
      <c r="AG75" s="229"/>
      <c r="AH75" s="229"/>
      <c r="AI75" s="229"/>
      <c r="AJ75" s="229"/>
      <c r="AK75" s="229"/>
      <c r="AL75" s="230"/>
      <c r="AM75" s="147"/>
      <c r="AN75" s="147"/>
      <c r="AO75" s="147"/>
      <c r="AP75" s="147"/>
      <c r="AQ75" s="147"/>
      <c r="AR75" s="147"/>
      <c r="AS75" s="147"/>
      <c r="AT75" s="147"/>
      <c r="AU75" s="147"/>
      <c r="AV75" s="147"/>
      <c r="AW75" s="147"/>
      <c r="AX75" s="147"/>
      <c r="AY75" s="147"/>
      <c r="AZ75" s="147"/>
      <c r="BA75" s="147"/>
      <c r="BB75" s="147"/>
      <c r="BC75" s="147"/>
      <c r="BD75" s="147"/>
      <c r="BE75" s="147"/>
      <c r="BF75" s="147"/>
      <c r="BG75" s="147"/>
      <c r="BH75" s="147"/>
      <c r="BI75" s="147"/>
      <c r="BJ75" s="147"/>
      <c r="BK75" s="147"/>
      <c r="BL75" s="147"/>
      <c r="BM75" s="147"/>
      <c r="BN75" s="147"/>
      <c r="BO75" s="147"/>
      <c r="BP75" s="147"/>
      <c r="BQ75" s="147"/>
      <c r="BR75" s="147"/>
      <c r="BS75" s="147"/>
      <c r="BT75" s="147"/>
      <c r="BU75" s="148" t="s">
        <v>187</v>
      </c>
      <c r="BV75" s="126"/>
    </row>
    <row r="76" spans="1:74" hidden="1" x14ac:dyDescent="0.2">
      <c r="A76" s="149" t="s">
        <v>157</v>
      </c>
      <c r="B76" s="119" t="s">
        <v>188</v>
      </c>
      <c r="C76" s="122"/>
      <c r="D76" s="123" t="s">
        <v>16</v>
      </c>
      <c r="E76" s="111"/>
      <c r="F76" s="111"/>
      <c r="G76" s="111"/>
      <c r="H76" s="111"/>
      <c r="I76" s="150">
        <v>1.6</v>
      </c>
      <c r="J76" s="150">
        <v>3.5</v>
      </c>
      <c r="K76" s="150">
        <v>12</v>
      </c>
      <c r="L76" s="150">
        <v>26.5</v>
      </c>
      <c r="M76" s="150">
        <v>26.5</v>
      </c>
      <c r="N76" s="150">
        <v>26.5</v>
      </c>
      <c r="O76" s="150">
        <v>26.5</v>
      </c>
      <c r="P76" s="150">
        <v>26.5</v>
      </c>
      <c r="Q76" s="150">
        <v>26.5</v>
      </c>
      <c r="R76" s="150">
        <v>26.5</v>
      </c>
      <c r="S76" s="150">
        <v>26.5</v>
      </c>
      <c r="T76" s="150">
        <v>26.5</v>
      </c>
      <c r="U76" s="150">
        <v>26.5</v>
      </c>
      <c r="V76" s="150">
        <v>26.5</v>
      </c>
      <c r="W76" s="150">
        <v>26.5</v>
      </c>
      <c r="X76" s="150">
        <v>26.5</v>
      </c>
      <c r="Y76" s="150">
        <v>26.5</v>
      </c>
      <c r="Z76" s="150">
        <v>26.5</v>
      </c>
      <c r="AA76" s="150">
        <v>26.5</v>
      </c>
      <c r="AB76" s="150">
        <v>26.5</v>
      </c>
      <c r="AC76" s="150">
        <v>26.5</v>
      </c>
      <c r="AD76" s="150">
        <v>26.5</v>
      </c>
      <c r="AE76" s="150">
        <v>26.5</v>
      </c>
      <c r="AF76" s="150">
        <v>26.5</v>
      </c>
      <c r="AG76" s="150">
        <v>26.5</v>
      </c>
      <c r="AH76" s="150">
        <v>26.5</v>
      </c>
      <c r="AI76" s="150">
        <v>26.5</v>
      </c>
      <c r="AJ76" s="150">
        <v>26.5</v>
      </c>
      <c r="AK76" s="150">
        <v>26.5</v>
      </c>
      <c r="AL76" s="150">
        <v>12</v>
      </c>
      <c r="AM76" s="150">
        <v>17.5</v>
      </c>
      <c r="AN76" s="151">
        <v>26</v>
      </c>
      <c r="AO76" s="151">
        <v>2.5</v>
      </c>
      <c r="AP76" s="151">
        <v>0</v>
      </c>
      <c r="AQ76" s="151">
        <v>0</v>
      </c>
      <c r="AR76" s="151">
        <v>23.5</v>
      </c>
      <c r="AS76" s="151">
        <v>2.5</v>
      </c>
      <c r="AT76" s="151">
        <v>2.5</v>
      </c>
      <c r="AU76" s="151">
        <v>2.5</v>
      </c>
      <c r="AV76" s="151">
        <v>2.5</v>
      </c>
      <c r="AW76" s="151">
        <v>2.5</v>
      </c>
      <c r="AX76" s="151">
        <v>2.5</v>
      </c>
      <c r="AY76" s="151">
        <v>2.5</v>
      </c>
      <c r="AZ76" s="151">
        <v>2.5</v>
      </c>
      <c r="BA76" s="151">
        <v>2.5</v>
      </c>
      <c r="BB76" s="151">
        <v>2.5</v>
      </c>
      <c r="BC76" s="151">
        <v>2.5</v>
      </c>
      <c r="BD76" s="151">
        <v>2.5</v>
      </c>
      <c r="BE76" s="151">
        <v>2.5</v>
      </c>
      <c r="BF76" s="151">
        <v>2.5</v>
      </c>
      <c r="BG76" s="151">
        <v>2.5</v>
      </c>
      <c r="BH76" s="151">
        <v>2.5</v>
      </c>
      <c r="BI76" s="151">
        <v>2.5</v>
      </c>
      <c r="BJ76" s="151">
        <v>2.5</v>
      </c>
      <c r="BK76" s="151">
        <v>2.5</v>
      </c>
      <c r="BL76" s="151">
        <v>2.5</v>
      </c>
      <c r="BM76" s="151">
        <v>2.5</v>
      </c>
      <c r="BN76" s="151">
        <v>2.5</v>
      </c>
      <c r="BO76" s="151">
        <v>2.5</v>
      </c>
      <c r="BP76" s="151">
        <v>2.5</v>
      </c>
      <c r="BQ76" s="151">
        <v>2.5</v>
      </c>
      <c r="BR76" s="151">
        <v>2.5</v>
      </c>
      <c r="BS76" s="151"/>
      <c r="BT76" s="151"/>
      <c r="BU76" s="124">
        <f>SUM(I76:BS76)</f>
        <v>852.6</v>
      </c>
      <c r="BV76" s="126"/>
    </row>
    <row r="77" spans="1:74" hidden="1" x14ac:dyDescent="0.2">
      <c r="A77" s="149" t="s">
        <v>160</v>
      </c>
      <c r="B77" s="119" t="s">
        <v>189</v>
      </c>
      <c r="C77" s="122"/>
      <c r="D77" s="123" t="s">
        <v>16</v>
      </c>
      <c r="E77" s="111"/>
      <c r="F77" s="111"/>
      <c r="G77" s="111"/>
      <c r="H77" s="111"/>
      <c r="I77" s="111">
        <v>0</v>
      </c>
      <c r="J77" s="111">
        <v>0</v>
      </c>
      <c r="K77" s="111">
        <v>0</v>
      </c>
      <c r="L77" s="111">
        <v>0</v>
      </c>
      <c r="M77" s="111">
        <v>0</v>
      </c>
      <c r="N77" s="111">
        <v>0</v>
      </c>
      <c r="O77" s="111">
        <v>0</v>
      </c>
      <c r="P77" s="111">
        <v>0</v>
      </c>
      <c r="Q77" s="111">
        <v>0</v>
      </c>
      <c r="R77" s="111">
        <v>0</v>
      </c>
      <c r="S77" s="111">
        <v>0</v>
      </c>
      <c r="T77" s="111">
        <v>0</v>
      </c>
      <c r="U77" s="111">
        <v>0</v>
      </c>
      <c r="V77" s="111">
        <v>0</v>
      </c>
      <c r="W77" s="111">
        <v>0</v>
      </c>
      <c r="X77" s="111">
        <v>0</v>
      </c>
      <c r="Y77" s="111">
        <v>0</v>
      </c>
      <c r="Z77" s="111">
        <v>0</v>
      </c>
      <c r="AA77" s="111">
        <v>0</v>
      </c>
      <c r="AB77" s="111">
        <v>0</v>
      </c>
      <c r="AC77" s="111">
        <v>0</v>
      </c>
      <c r="AD77" s="111">
        <v>0</v>
      </c>
      <c r="AE77" s="111">
        <v>0</v>
      </c>
      <c r="AF77" s="111">
        <v>0</v>
      </c>
      <c r="AG77" s="111">
        <v>0</v>
      </c>
      <c r="AH77" s="111">
        <v>0</v>
      </c>
      <c r="AI77" s="111">
        <v>0</v>
      </c>
      <c r="AJ77" s="111">
        <v>0</v>
      </c>
      <c r="AK77" s="111">
        <v>0</v>
      </c>
      <c r="AL77" s="111">
        <v>0</v>
      </c>
      <c r="AM77" s="111">
        <v>0</v>
      </c>
      <c r="AN77" s="112">
        <v>0</v>
      </c>
      <c r="AO77" s="112">
        <v>0</v>
      </c>
      <c r="AP77" s="112">
        <v>15</v>
      </c>
      <c r="AQ77" s="112">
        <v>0</v>
      </c>
      <c r="AR77" s="112">
        <v>0</v>
      </c>
      <c r="AS77" s="112">
        <v>12.5</v>
      </c>
      <c r="AT77" s="112">
        <v>12.5</v>
      </c>
      <c r="AU77" s="112">
        <v>12.5</v>
      </c>
      <c r="AV77" s="112">
        <v>12.5</v>
      </c>
      <c r="AW77" s="112">
        <v>12.5</v>
      </c>
      <c r="AX77" s="112">
        <v>12.5</v>
      </c>
      <c r="AY77" s="112">
        <v>12.5</v>
      </c>
      <c r="AZ77" s="112">
        <v>12.5</v>
      </c>
      <c r="BA77" s="112">
        <v>12.5</v>
      </c>
      <c r="BB77" s="112">
        <v>12.5</v>
      </c>
      <c r="BC77" s="112">
        <v>12.5</v>
      </c>
      <c r="BD77" s="112">
        <v>12.5</v>
      </c>
      <c r="BE77" s="112">
        <v>12.5</v>
      </c>
      <c r="BF77" s="112">
        <v>12.5</v>
      </c>
      <c r="BG77" s="112">
        <v>12.5</v>
      </c>
      <c r="BH77" s="112">
        <v>12.5</v>
      </c>
      <c r="BI77" s="112">
        <v>12.5</v>
      </c>
      <c r="BJ77" s="112">
        <v>12.5</v>
      </c>
      <c r="BK77" s="112">
        <v>12.5</v>
      </c>
      <c r="BL77" s="112">
        <v>12.5</v>
      </c>
      <c r="BM77" s="112">
        <v>12.5</v>
      </c>
      <c r="BN77" s="112">
        <v>12.5</v>
      </c>
      <c r="BO77" s="112">
        <v>12.5</v>
      </c>
      <c r="BP77" s="112">
        <v>12.5</v>
      </c>
      <c r="BQ77" s="112">
        <v>12.5</v>
      </c>
      <c r="BR77" s="112">
        <v>12.5</v>
      </c>
      <c r="BS77" s="112"/>
      <c r="BT77" s="112"/>
      <c r="BU77" s="124">
        <f>SUM(I77:BS77)</f>
        <v>340</v>
      </c>
      <c r="BV77" s="126"/>
    </row>
    <row r="78" spans="1:74" hidden="1" x14ac:dyDescent="0.2">
      <c r="A78" s="149" t="s">
        <v>163</v>
      </c>
      <c r="B78" s="119" t="s">
        <v>190</v>
      </c>
      <c r="C78" s="122"/>
      <c r="D78" s="123" t="s">
        <v>16</v>
      </c>
      <c r="E78" s="111"/>
      <c r="F78" s="111"/>
      <c r="G78" s="111"/>
      <c r="H78" s="111"/>
      <c r="I78" s="111">
        <v>0</v>
      </c>
      <c r="J78" s="111">
        <v>0</v>
      </c>
      <c r="K78" s="111">
        <v>0</v>
      </c>
      <c r="L78" s="111">
        <v>0</v>
      </c>
      <c r="M78" s="111">
        <v>0</v>
      </c>
      <c r="N78" s="111">
        <v>0</v>
      </c>
      <c r="O78" s="111">
        <v>0</v>
      </c>
      <c r="P78" s="111">
        <v>0</v>
      </c>
      <c r="Q78" s="111">
        <v>0</v>
      </c>
      <c r="R78" s="111">
        <v>0</v>
      </c>
      <c r="S78" s="111">
        <v>0</v>
      </c>
      <c r="T78" s="111">
        <v>0</v>
      </c>
      <c r="U78" s="111">
        <v>0</v>
      </c>
      <c r="V78" s="111">
        <v>0</v>
      </c>
      <c r="W78" s="111">
        <v>0</v>
      </c>
      <c r="X78" s="111">
        <v>0</v>
      </c>
      <c r="Y78" s="111">
        <v>0</v>
      </c>
      <c r="Z78" s="111">
        <v>0</v>
      </c>
      <c r="AA78" s="111">
        <v>0</v>
      </c>
      <c r="AB78" s="111">
        <v>0</v>
      </c>
      <c r="AC78" s="111">
        <v>0</v>
      </c>
      <c r="AD78" s="111">
        <v>0</v>
      </c>
      <c r="AE78" s="111">
        <v>0</v>
      </c>
      <c r="AF78" s="111">
        <v>0</v>
      </c>
      <c r="AG78" s="111">
        <v>0</v>
      </c>
      <c r="AH78" s="111">
        <v>0</v>
      </c>
      <c r="AI78" s="111">
        <v>0</v>
      </c>
      <c r="AJ78" s="111">
        <v>0</v>
      </c>
      <c r="AK78" s="111">
        <v>0</v>
      </c>
      <c r="AL78" s="111">
        <v>0</v>
      </c>
      <c r="AM78" s="111">
        <v>0</v>
      </c>
      <c r="AN78" s="112">
        <v>0</v>
      </c>
      <c r="AO78" s="112">
        <v>32.5</v>
      </c>
      <c r="AP78" s="112">
        <v>5.5</v>
      </c>
      <c r="AQ78" s="112">
        <v>32.5</v>
      </c>
      <c r="AR78" s="112">
        <v>23.5</v>
      </c>
      <c r="AS78" s="112">
        <v>38</v>
      </c>
      <c r="AT78" s="112">
        <v>38</v>
      </c>
      <c r="AU78" s="112">
        <v>38</v>
      </c>
      <c r="AV78" s="112">
        <v>38</v>
      </c>
      <c r="AW78" s="112">
        <v>38</v>
      </c>
      <c r="AX78" s="112">
        <v>38</v>
      </c>
      <c r="AY78" s="112">
        <v>38</v>
      </c>
      <c r="AZ78" s="112">
        <v>38</v>
      </c>
      <c r="BA78" s="112">
        <v>38</v>
      </c>
      <c r="BB78" s="112">
        <v>38</v>
      </c>
      <c r="BC78" s="112">
        <v>38</v>
      </c>
      <c r="BD78" s="112">
        <v>38</v>
      </c>
      <c r="BE78" s="112">
        <v>38</v>
      </c>
      <c r="BF78" s="112">
        <v>38</v>
      </c>
      <c r="BG78" s="112">
        <v>38</v>
      </c>
      <c r="BH78" s="112">
        <v>38</v>
      </c>
      <c r="BI78" s="112">
        <v>38</v>
      </c>
      <c r="BJ78" s="112">
        <v>38</v>
      </c>
      <c r="BK78" s="112">
        <v>38</v>
      </c>
      <c r="BL78" s="112">
        <v>38</v>
      </c>
      <c r="BM78" s="112">
        <v>38</v>
      </c>
      <c r="BN78" s="112">
        <v>38</v>
      </c>
      <c r="BO78" s="112">
        <v>38</v>
      </c>
      <c r="BP78" s="112">
        <v>38</v>
      </c>
      <c r="BQ78" s="112">
        <v>38</v>
      </c>
      <c r="BR78" s="112">
        <v>38</v>
      </c>
      <c r="BS78" s="112"/>
      <c r="BT78" s="112"/>
      <c r="BU78" s="124">
        <f>SUM(I78:BS78)</f>
        <v>1082</v>
      </c>
      <c r="BV78" s="126"/>
    </row>
    <row r="79" spans="1:74" hidden="1" x14ac:dyDescent="0.2">
      <c r="A79" s="149" t="s">
        <v>166</v>
      </c>
      <c r="B79" s="119" t="s">
        <v>191</v>
      </c>
      <c r="C79" s="122"/>
      <c r="D79" s="123" t="s">
        <v>16</v>
      </c>
      <c r="E79" s="111"/>
      <c r="F79" s="111"/>
      <c r="G79" s="111"/>
      <c r="H79" s="111"/>
      <c r="I79" s="111">
        <v>0</v>
      </c>
      <c r="J79" s="111">
        <v>0</v>
      </c>
      <c r="K79" s="111">
        <v>0</v>
      </c>
      <c r="L79" s="111">
        <v>0</v>
      </c>
      <c r="M79" s="111">
        <v>0</v>
      </c>
      <c r="N79" s="111">
        <v>0</v>
      </c>
      <c r="O79" s="111">
        <v>0</v>
      </c>
      <c r="P79" s="111">
        <v>0</v>
      </c>
      <c r="Q79" s="111">
        <v>0</v>
      </c>
      <c r="R79" s="111">
        <v>0</v>
      </c>
      <c r="S79" s="111">
        <v>0</v>
      </c>
      <c r="T79" s="111">
        <v>0</v>
      </c>
      <c r="U79" s="111">
        <v>0</v>
      </c>
      <c r="V79" s="111">
        <v>0</v>
      </c>
      <c r="W79" s="111">
        <v>0</v>
      </c>
      <c r="X79" s="111">
        <v>0</v>
      </c>
      <c r="Y79" s="111">
        <v>0</v>
      </c>
      <c r="Z79" s="111">
        <v>0</v>
      </c>
      <c r="AA79" s="111">
        <v>0</v>
      </c>
      <c r="AB79" s="111">
        <v>0</v>
      </c>
      <c r="AC79" s="111">
        <v>0</v>
      </c>
      <c r="AD79" s="111">
        <v>0</v>
      </c>
      <c r="AE79" s="111">
        <v>0</v>
      </c>
      <c r="AF79" s="111">
        <v>0</v>
      </c>
      <c r="AG79" s="111">
        <v>0</v>
      </c>
      <c r="AH79" s="111">
        <v>0</v>
      </c>
      <c r="AI79" s="111">
        <v>0</v>
      </c>
      <c r="AJ79" s="111">
        <v>0</v>
      </c>
      <c r="AK79" s="111">
        <v>0</v>
      </c>
      <c r="AL79" s="111">
        <v>0</v>
      </c>
      <c r="AM79" s="111">
        <v>0</v>
      </c>
      <c r="AN79" s="112">
        <v>0</v>
      </c>
      <c r="AO79" s="112">
        <v>0</v>
      </c>
      <c r="AP79" s="112">
        <v>0</v>
      </c>
      <c r="AQ79" s="112">
        <v>0</v>
      </c>
      <c r="AR79" s="112">
        <v>0</v>
      </c>
      <c r="AS79" s="112">
        <v>0</v>
      </c>
      <c r="AT79" s="112">
        <v>0</v>
      </c>
      <c r="AU79" s="112">
        <v>0</v>
      </c>
      <c r="AV79" s="112">
        <v>0</v>
      </c>
      <c r="AW79" s="112">
        <v>0</v>
      </c>
      <c r="AX79" s="112">
        <v>0</v>
      </c>
      <c r="AY79" s="112">
        <v>0</v>
      </c>
      <c r="AZ79" s="112">
        <v>0</v>
      </c>
      <c r="BA79" s="112">
        <v>0</v>
      </c>
      <c r="BB79" s="112">
        <v>0</v>
      </c>
      <c r="BC79" s="112">
        <v>0</v>
      </c>
      <c r="BD79" s="112">
        <v>0</v>
      </c>
      <c r="BE79" s="112">
        <v>0</v>
      </c>
      <c r="BF79" s="112">
        <v>0</v>
      </c>
      <c r="BG79" s="112">
        <v>0</v>
      </c>
      <c r="BH79" s="112">
        <v>0</v>
      </c>
      <c r="BI79" s="112">
        <v>0</v>
      </c>
      <c r="BJ79" s="112">
        <v>0</v>
      </c>
      <c r="BK79" s="112">
        <v>0</v>
      </c>
      <c r="BL79" s="112">
        <v>0</v>
      </c>
      <c r="BM79" s="112">
        <v>0</v>
      </c>
      <c r="BN79" s="112">
        <v>0</v>
      </c>
      <c r="BO79" s="112">
        <v>0</v>
      </c>
      <c r="BP79" s="112">
        <v>0</v>
      </c>
      <c r="BQ79" s="112">
        <v>0</v>
      </c>
      <c r="BR79" s="112">
        <v>0</v>
      </c>
      <c r="BS79" s="112"/>
      <c r="BT79" s="112"/>
      <c r="BU79" s="124">
        <f>SUM(I79:BS79)</f>
        <v>0</v>
      </c>
      <c r="BV79" s="126"/>
    </row>
    <row r="80" spans="1:74" hidden="1" x14ac:dyDescent="0.2">
      <c r="A80" s="152"/>
      <c r="B80" s="119" t="s">
        <v>192</v>
      </c>
      <c r="C80" s="122"/>
      <c r="D80" s="123" t="s">
        <v>16</v>
      </c>
      <c r="E80" s="153">
        <f t="shared" ref="E80:BU80" si="17">SUM(E76:E79)</f>
        <v>0</v>
      </c>
      <c r="F80" s="153">
        <f t="shared" si="17"/>
        <v>0</v>
      </c>
      <c r="G80" s="153">
        <f t="shared" si="17"/>
        <v>0</v>
      </c>
      <c r="H80" s="153">
        <f t="shared" si="17"/>
        <v>0</v>
      </c>
      <c r="I80" s="153">
        <f t="shared" si="17"/>
        <v>1.6</v>
      </c>
      <c r="J80" s="153">
        <f t="shared" si="17"/>
        <v>3.5</v>
      </c>
      <c r="K80" s="153">
        <f t="shared" si="17"/>
        <v>12</v>
      </c>
      <c r="L80" s="153">
        <f t="shared" ref="L80:AJ80" si="18">SUM(L76:L79)</f>
        <v>26.5</v>
      </c>
      <c r="M80" s="153">
        <f t="shared" si="18"/>
        <v>26.5</v>
      </c>
      <c r="N80" s="153">
        <f t="shared" si="18"/>
        <v>26.5</v>
      </c>
      <c r="O80" s="153">
        <f t="shared" si="18"/>
        <v>26.5</v>
      </c>
      <c r="P80" s="153">
        <f t="shared" si="18"/>
        <v>26.5</v>
      </c>
      <c r="Q80" s="153">
        <f t="shared" si="18"/>
        <v>26.5</v>
      </c>
      <c r="R80" s="153">
        <f t="shared" si="18"/>
        <v>26.5</v>
      </c>
      <c r="S80" s="153">
        <f t="shared" si="18"/>
        <v>26.5</v>
      </c>
      <c r="T80" s="153">
        <f t="shared" si="18"/>
        <v>26.5</v>
      </c>
      <c r="U80" s="153">
        <f t="shared" si="18"/>
        <v>26.5</v>
      </c>
      <c r="V80" s="153">
        <f t="shared" si="18"/>
        <v>26.5</v>
      </c>
      <c r="W80" s="153">
        <f t="shared" si="18"/>
        <v>26.5</v>
      </c>
      <c r="X80" s="153">
        <f t="shared" si="18"/>
        <v>26.5</v>
      </c>
      <c r="Y80" s="153">
        <f t="shared" si="18"/>
        <v>26.5</v>
      </c>
      <c r="Z80" s="153">
        <f t="shared" si="18"/>
        <v>26.5</v>
      </c>
      <c r="AA80" s="153">
        <f t="shared" si="18"/>
        <v>26.5</v>
      </c>
      <c r="AB80" s="153">
        <f t="shared" si="18"/>
        <v>26.5</v>
      </c>
      <c r="AC80" s="153">
        <f t="shared" si="18"/>
        <v>26.5</v>
      </c>
      <c r="AD80" s="153">
        <f t="shared" si="18"/>
        <v>26.5</v>
      </c>
      <c r="AE80" s="153">
        <f t="shared" si="18"/>
        <v>26.5</v>
      </c>
      <c r="AF80" s="153">
        <f t="shared" si="18"/>
        <v>26.5</v>
      </c>
      <c r="AG80" s="153">
        <f t="shared" si="18"/>
        <v>26.5</v>
      </c>
      <c r="AH80" s="153">
        <f t="shared" si="18"/>
        <v>26.5</v>
      </c>
      <c r="AI80" s="153">
        <f t="shared" si="18"/>
        <v>26.5</v>
      </c>
      <c r="AJ80" s="153">
        <f t="shared" si="18"/>
        <v>26.5</v>
      </c>
      <c r="AK80" s="153">
        <f t="shared" si="17"/>
        <v>26.5</v>
      </c>
      <c r="AL80" s="153">
        <f t="shared" si="17"/>
        <v>12</v>
      </c>
      <c r="AM80" s="153">
        <f t="shared" si="17"/>
        <v>17.5</v>
      </c>
      <c r="AN80" s="153">
        <f t="shared" si="17"/>
        <v>26</v>
      </c>
      <c r="AO80" s="153">
        <f t="shared" si="17"/>
        <v>35</v>
      </c>
      <c r="AP80" s="153">
        <f t="shared" si="17"/>
        <v>20.5</v>
      </c>
      <c r="AQ80" s="153">
        <f t="shared" si="17"/>
        <v>32.5</v>
      </c>
      <c r="AR80" s="153">
        <f t="shared" si="17"/>
        <v>47</v>
      </c>
      <c r="AS80" s="153">
        <f t="shared" si="17"/>
        <v>53</v>
      </c>
      <c r="AT80" s="153">
        <f t="shared" si="17"/>
        <v>53</v>
      </c>
      <c r="AU80" s="153">
        <f t="shared" si="17"/>
        <v>53</v>
      </c>
      <c r="AV80" s="153">
        <f t="shared" si="17"/>
        <v>53</v>
      </c>
      <c r="AW80" s="153">
        <f t="shared" si="17"/>
        <v>53</v>
      </c>
      <c r="AX80" s="153">
        <f t="shared" si="17"/>
        <v>53</v>
      </c>
      <c r="AY80" s="153">
        <f t="shared" si="17"/>
        <v>53</v>
      </c>
      <c r="AZ80" s="153">
        <f t="shared" si="17"/>
        <v>53</v>
      </c>
      <c r="BA80" s="153">
        <f t="shared" si="17"/>
        <v>53</v>
      </c>
      <c r="BB80" s="153">
        <f t="shared" si="17"/>
        <v>53</v>
      </c>
      <c r="BC80" s="153">
        <f t="shared" si="17"/>
        <v>53</v>
      </c>
      <c r="BD80" s="153">
        <f t="shared" si="17"/>
        <v>53</v>
      </c>
      <c r="BE80" s="153">
        <f t="shared" si="17"/>
        <v>53</v>
      </c>
      <c r="BF80" s="153">
        <f t="shared" si="17"/>
        <v>53</v>
      </c>
      <c r="BG80" s="153">
        <f t="shared" si="17"/>
        <v>53</v>
      </c>
      <c r="BH80" s="153">
        <f t="shared" si="17"/>
        <v>53</v>
      </c>
      <c r="BI80" s="153">
        <f t="shared" si="17"/>
        <v>53</v>
      </c>
      <c r="BJ80" s="153">
        <f t="shared" si="17"/>
        <v>53</v>
      </c>
      <c r="BK80" s="153">
        <f t="shared" si="17"/>
        <v>53</v>
      </c>
      <c r="BL80" s="153">
        <f t="shared" si="17"/>
        <v>53</v>
      </c>
      <c r="BM80" s="153">
        <f t="shared" si="17"/>
        <v>53</v>
      </c>
      <c r="BN80" s="153">
        <f t="shared" si="17"/>
        <v>53</v>
      </c>
      <c r="BO80" s="153">
        <f t="shared" si="17"/>
        <v>53</v>
      </c>
      <c r="BP80" s="153">
        <f t="shared" si="17"/>
        <v>53</v>
      </c>
      <c r="BQ80" s="153">
        <f t="shared" si="17"/>
        <v>53</v>
      </c>
      <c r="BR80" s="153">
        <f t="shared" si="17"/>
        <v>53</v>
      </c>
      <c r="BS80" s="154"/>
      <c r="BT80" s="154"/>
      <c r="BU80" s="138">
        <f t="shared" si="17"/>
        <v>2274.6</v>
      </c>
      <c r="BV80" s="126"/>
    </row>
    <row r="81" spans="1:74" hidden="1" x14ac:dyDescent="0.2">
      <c r="A81" s="152"/>
      <c r="B81" s="144" t="s">
        <v>193</v>
      </c>
      <c r="C81" s="145"/>
      <c r="D81" s="141"/>
      <c r="E81" s="141"/>
      <c r="F81" s="141"/>
      <c r="G81" s="141"/>
      <c r="H81" s="141"/>
      <c r="I81" s="228"/>
      <c r="J81" s="229"/>
      <c r="K81" s="229"/>
      <c r="L81" s="229"/>
      <c r="M81" s="229"/>
      <c r="N81" s="229"/>
      <c r="O81" s="229"/>
      <c r="P81" s="229"/>
      <c r="Q81" s="229"/>
      <c r="R81" s="229"/>
      <c r="S81" s="229"/>
      <c r="T81" s="229"/>
      <c r="U81" s="229"/>
      <c r="V81" s="229"/>
      <c r="W81" s="229"/>
      <c r="X81" s="229"/>
      <c r="Y81" s="229"/>
      <c r="Z81" s="229"/>
      <c r="AA81" s="229"/>
      <c r="AB81" s="229"/>
      <c r="AC81" s="229"/>
      <c r="AD81" s="229"/>
      <c r="AE81" s="229"/>
      <c r="AF81" s="229"/>
      <c r="AG81" s="229"/>
      <c r="AH81" s="229"/>
      <c r="AI81" s="229"/>
      <c r="AJ81" s="229"/>
      <c r="AK81" s="229"/>
      <c r="AL81" s="230"/>
      <c r="AM81" s="147"/>
      <c r="AN81" s="147"/>
      <c r="AO81" s="147"/>
      <c r="AP81" s="147"/>
      <c r="AQ81" s="147"/>
      <c r="AR81" s="147"/>
      <c r="AS81" s="147"/>
      <c r="AT81" s="147"/>
      <c r="AU81" s="147"/>
      <c r="AV81" s="147"/>
      <c r="AW81" s="147"/>
      <c r="AX81" s="147"/>
      <c r="AY81" s="147"/>
      <c r="AZ81" s="147"/>
      <c r="BA81" s="147"/>
      <c r="BB81" s="147"/>
      <c r="BC81" s="147"/>
      <c r="BD81" s="147"/>
      <c r="BE81" s="147"/>
      <c r="BF81" s="147"/>
      <c r="BG81" s="147"/>
      <c r="BH81" s="147"/>
      <c r="BI81" s="147"/>
      <c r="BJ81" s="147"/>
      <c r="BK81" s="147"/>
      <c r="BL81" s="147"/>
      <c r="BM81" s="147"/>
      <c r="BN81" s="147"/>
      <c r="BO81" s="147"/>
      <c r="BP81" s="147"/>
      <c r="BQ81" s="147"/>
      <c r="BR81" s="147"/>
      <c r="BS81" s="147"/>
      <c r="BT81" s="147"/>
      <c r="BU81" s="155" t="s">
        <v>193</v>
      </c>
      <c r="BV81" s="126"/>
    </row>
    <row r="82" spans="1:74" hidden="1" x14ac:dyDescent="0.2">
      <c r="A82" s="149" t="s">
        <v>157</v>
      </c>
      <c r="B82" s="119" t="s">
        <v>188</v>
      </c>
      <c r="C82" s="122"/>
      <c r="D82" s="123" t="s">
        <v>16</v>
      </c>
      <c r="E82" s="111"/>
      <c r="F82" s="111"/>
      <c r="G82" s="111"/>
      <c r="H82" s="111"/>
      <c r="I82" s="111">
        <v>0</v>
      </c>
      <c r="J82" s="111">
        <v>0</v>
      </c>
      <c r="K82" s="111">
        <v>0</v>
      </c>
      <c r="L82" s="111">
        <v>0</v>
      </c>
      <c r="M82" s="111">
        <v>0</v>
      </c>
      <c r="N82" s="111">
        <v>0</v>
      </c>
      <c r="O82" s="111">
        <v>0</v>
      </c>
      <c r="P82" s="111">
        <v>0</v>
      </c>
      <c r="Q82" s="111">
        <v>0</v>
      </c>
      <c r="R82" s="111">
        <v>0</v>
      </c>
      <c r="S82" s="111">
        <v>0</v>
      </c>
      <c r="T82" s="111">
        <v>0</v>
      </c>
      <c r="U82" s="111">
        <v>0</v>
      </c>
      <c r="V82" s="111">
        <v>0</v>
      </c>
      <c r="W82" s="111">
        <v>0</v>
      </c>
      <c r="X82" s="111">
        <v>0</v>
      </c>
      <c r="Y82" s="111">
        <v>0</v>
      </c>
      <c r="Z82" s="111">
        <v>0</v>
      </c>
      <c r="AA82" s="111">
        <v>0</v>
      </c>
      <c r="AB82" s="111">
        <v>0</v>
      </c>
      <c r="AC82" s="111">
        <v>0</v>
      </c>
      <c r="AD82" s="111">
        <v>0</v>
      </c>
      <c r="AE82" s="111">
        <v>0</v>
      </c>
      <c r="AF82" s="111">
        <v>0</v>
      </c>
      <c r="AG82" s="111">
        <v>0</v>
      </c>
      <c r="AH82" s="111">
        <v>0</v>
      </c>
      <c r="AI82" s="111">
        <v>0</v>
      </c>
      <c r="AJ82" s="111">
        <v>0</v>
      </c>
      <c r="AK82" s="111">
        <v>0</v>
      </c>
      <c r="AL82" s="111">
        <v>0</v>
      </c>
      <c r="AM82" s="111">
        <v>0</v>
      </c>
      <c r="AN82" s="112">
        <v>0</v>
      </c>
      <c r="AO82" s="112">
        <v>0</v>
      </c>
      <c r="AP82" s="112">
        <v>0</v>
      </c>
      <c r="AQ82" s="112">
        <v>0</v>
      </c>
      <c r="AR82" s="112">
        <v>0</v>
      </c>
      <c r="AS82" s="112">
        <v>0</v>
      </c>
      <c r="AT82" s="112">
        <v>0</v>
      </c>
      <c r="AU82" s="112">
        <v>0</v>
      </c>
      <c r="AV82" s="112">
        <v>0</v>
      </c>
      <c r="AW82" s="112">
        <v>0</v>
      </c>
      <c r="AX82" s="112">
        <v>0</v>
      </c>
      <c r="AY82" s="112">
        <v>0</v>
      </c>
      <c r="AZ82" s="112">
        <v>0</v>
      </c>
      <c r="BA82" s="112">
        <v>0</v>
      </c>
      <c r="BB82" s="112">
        <v>0</v>
      </c>
      <c r="BC82" s="112">
        <v>0</v>
      </c>
      <c r="BD82" s="112">
        <v>0</v>
      </c>
      <c r="BE82" s="112">
        <v>0</v>
      </c>
      <c r="BF82" s="112">
        <v>0</v>
      </c>
      <c r="BG82" s="112">
        <v>0</v>
      </c>
      <c r="BH82" s="112">
        <v>0</v>
      </c>
      <c r="BI82" s="112">
        <v>0</v>
      </c>
      <c r="BJ82" s="112">
        <v>0</v>
      </c>
      <c r="BK82" s="112">
        <v>0</v>
      </c>
      <c r="BL82" s="112">
        <v>0</v>
      </c>
      <c r="BM82" s="112">
        <v>0</v>
      </c>
      <c r="BN82" s="112">
        <v>0</v>
      </c>
      <c r="BO82" s="112">
        <v>0</v>
      </c>
      <c r="BP82" s="112">
        <v>0</v>
      </c>
      <c r="BQ82" s="112">
        <v>0</v>
      </c>
      <c r="BR82" s="112">
        <v>0</v>
      </c>
      <c r="BS82" s="112"/>
      <c r="BT82" s="112"/>
      <c r="BU82" s="124">
        <f>SUM(E82:AL82)</f>
        <v>0</v>
      </c>
      <c r="BV82" s="126"/>
    </row>
    <row r="83" spans="1:74" hidden="1" x14ac:dyDescent="0.2">
      <c r="A83" s="149" t="s">
        <v>160</v>
      </c>
      <c r="B83" s="119" t="s">
        <v>189</v>
      </c>
      <c r="C83" s="122"/>
      <c r="D83" s="123" t="s">
        <v>16</v>
      </c>
      <c r="E83" s="111"/>
      <c r="F83" s="111"/>
      <c r="G83" s="111"/>
      <c r="H83" s="111"/>
      <c r="I83" s="111">
        <v>0</v>
      </c>
      <c r="J83" s="111">
        <v>0</v>
      </c>
      <c r="K83" s="111">
        <v>0</v>
      </c>
      <c r="L83" s="111">
        <v>0</v>
      </c>
      <c r="M83" s="111">
        <v>0</v>
      </c>
      <c r="N83" s="111">
        <v>0</v>
      </c>
      <c r="O83" s="111">
        <v>0</v>
      </c>
      <c r="P83" s="111">
        <v>0</v>
      </c>
      <c r="Q83" s="111">
        <v>0</v>
      </c>
      <c r="R83" s="111">
        <v>0</v>
      </c>
      <c r="S83" s="111">
        <v>0</v>
      </c>
      <c r="T83" s="111">
        <v>0</v>
      </c>
      <c r="U83" s="111">
        <v>0</v>
      </c>
      <c r="V83" s="111">
        <v>0</v>
      </c>
      <c r="W83" s="111">
        <v>0</v>
      </c>
      <c r="X83" s="111">
        <v>0</v>
      </c>
      <c r="Y83" s="111">
        <v>0</v>
      </c>
      <c r="Z83" s="111">
        <v>0</v>
      </c>
      <c r="AA83" s="111">
        <v>0</v>
      </c>
      <c r="AB83" s="111">
        <v>0</v>
      </c>
      <c r="AC83" s="111">
        <v>0</v>
      </c>
      <c r="AD83" s="111">
        <v>0</v>
      </c>
      <c r="AE83" s="111">
        <v>0</v>
      </c>
      <c r="AF83" s="111">
        <v>0</v>
      </c>
      <c r="AG83" s="111">
        <v>0</v>
      </c>
      <c r="AH83" s="111">
        <v>0</v>
      </c>
      <c r="AI83" s="111">
        <v>0</v>
      </c>
      <c r="AJ83" s="111">
        <v>0</v>
      </c>
      <c r="AK83" s="111">
        <v>0</v>
      </c>
      <c r="AL83" s="111">
        <v>0</v>
      </c>
      <c r="AM83" s="111">
        <v>0</v>
      </c>
      <c r="AN83" s="112">
        <v>0</v>
      </c>
      <c r="AO83" s="112">
        <v>0</v>
      </c>
      <c r="AP83" s="112">
        <v>0</v>
      </c>
      <c r="AQ83" s="112">
        <v>0</v>
      </c>
      <c r="AR83" s="112">
        <v>0</v>
      </c>
      <c r="AS83" s="112">
        <v>0</v>
      </c>
      <c r="AT83" s="112">
        <v>0</v>
      </c>
      <c r="AU83" s="112">
        <v>0</v>
      </c>
      <c r="AV83" s="112">
        <v>0</v>
      </c>
      <c r="AW83" s="112">
        <v>0</v>
      </c>
      <c r="AX83" s="112">
        <v>0</v>
      </c>
      <c r="AY83" s="112">
        <v>0</v>
      </c>
      <c r="AZ83" s="112">
        <v>0</v>
      </c>
      <c r="BA83" s="112">
        <v>0</v>
      </c>
      <c r="BB83" s="112">
        <v>0</v>
      </c>
      <c r="BC83" s="112">
        <v>0</v>
      </c>
      <c r="BD83" s="112">
        <v>0</v>
      </c>
      <c r="BE83" s="112">
        <v>0</v>
      </c>
      <c r="BF83" s="112">
        <v>0</v>
      </c>
      <c r="BG83" s="112">
        <v>0</v>
      </c>
      <c r="BH83" s="112">
        <v>0</v>
      </c>
      <c r="BI83" s="112">
        <v>0</v>
      </c>
      <c r="BJ83" s="112">
        <v>0</v>
      </c>
      <c r="BK83" s="112">
        <v>0</v>
      </c>
      <c r="BL83" s="112">
        <v>0</v>
      </c>
      <c r="BM83" s="112">
        <v>0</v>
      </c>
      <c r="BN83" s="112">
        <v>0</v>
      </c>
      <c r="BO83" s="112">
        <v>0</v>
      </c>
      <c r="BP83" s="112">
        <v>0</v>
      </c>
      <c r="BQ83" s="112">
        <v>0</v>
      </c>
      <c r="BR83" s="112">
        <v>0</v>
      </c>
      <c r="BS83" s="112"/>
      <c r="BT83" s="112"/>
      <c r="BU83" s="124">
        <f>SUM(E83:AL83)</f>
        <v>0</v>
      </c>
      <c r="BV83" s="126"/>
    </row>
    <row r="84" spans="1:74" hidden="1" x14ac:dyDescent="0.2">
      <c r="A84" s="149" t="s">
        <v>163</v>
      </c>
      <c r="B84" s="119" t="s">
        <v>190</v>
      </c>
      <c r="C84" s="122"/>
      <c r="D84" s="123" t="s">
        <v>16</v>
      </c>
      <c r="E84" s="111"/>
      <c r="F84" s="111"/>
      <c r="G84" s="111"/>
      <c r="H84" s="111"/>
      <c r="I84" s="111">
        <v>0</v>
      </c>
      <c r="J84" s="111">
        <v>0</v>
      </c>
      <c r="K84" s="111">
        <v>0</v>
      </c>
      <c r="L84" s="111">
        <v>0</v>
      </c>
      <c r="M84" s="111">
        <v>0</v>
      </c>
      <c r="N84" s="111">
        <v>0</v>
      </c>
      <c r="O84" s="111">
        <v>0</v>
      </c>
      <c r="P84" s="111">
        <v>0</v>
      </c>
      <c r="Q84" s="111">
        <v>0</v>
      </c>
      <c r="R84" s="111">
        <v>0</v>
      </c>
      <c r="S84" s="111">
        <v>0</v>
      </c>
      <c r="T84" s="111">
        <v>0</v>
      </c>
      <c r="U84" s="111">
        <v>0</v>
      </c>
      <c r="V84" s="111">
        <v>0</v>
      </c>
      <c r="W84" s="111">
        <v>0</v>
      </c>
      <c r="X84" s="111">
        <v>0</v>
      </c>
      <c r="Y84" s="111">
        <v>0</v>
      </c>
      <c r="Z84" s="111">
        <v>0</v>
      </c>
      <c r="AA84" s="111">
        <v>0</v>
      </c>
      <c r="AB84" s="111">
        <v>0</v>
      </c>
      <c r="AC84" s="111">
        <v>0</v>
      </c>
      <c r="AD84" s="111">
        <v>0</v>
      </c>
      <c r="AE84" s="111">
        <v>0</v>
      </c>
      <c r="AF84" s="111">
        <v>0</v>
      </c>
      <c r="AG84" s="111">
        <v>0</v>
      </c>
      <c r="AH84" s="111">
        <v>0</v>
      </c>
      <c r="AI84" s="111">
        <v>0</v>
      </c>
      <c r="AJ84" s="111">
        <v>0</v>
      </c>
      <c r="AK84" s="111">
        <v>0</v>
      </c>
      <c r="AL84" s="111">
        <v>0</v>
      </c>
      <c r="AM84" s="111">
        <v>0</v>
      </c>
      <c r="AN84" s="112">
        <v>0</v>
      </c>
      <c r="AO84" s="112">
        <v>0</v>
      </c>
      <c r="AP84" s="112">
        <v>0</v>
      </c>
      <c r="AQ84" s="112">
        <v>0</v>
      </c>
      <c r="AR84" s="112">
        <v>0</v>
      </c>
      <c r="AS84" s="112">
        <v>0</v>
      </c>
      <c r="AT84" s="112">
        <v>0</v>
      </c>
      <c r="AU84" s="112">
        <v>0</v>
      </c>
      <c r="AV84" s="112">
        <v>0</v>
      </c>
      <c r="AW84" s="112">
        <v>0</v>
      </c>
      <c r="AX84" s="112">
        <v>0</v>
      </c>
      <c r="AY84" s="112">
        <v>0</v>
      </c>
      <c r="AZ84" s="112">
        <v>0</v>
      </c>
      <c r="BA84" s="112">
        <v>0</v>
      </c>
      <c r="BB84" s="112">
        <v>0</v>
      </c>
      <c r="BC84" s="112">
        <v>0</v>
      </c>
      <c r="BD84" s="112">
        <v>0</v>
      </c>
      <c r="BE84" s="112">
        <v>0</v>
      </c>
      <c r="BF84" s="112">
        <v>0</v>
      </c>
      <c r="BG84" s="112">
        <v>0</v>
      </c>
      <c r="BH84" s="112">
        <v>0</v>
      </c>
      <c r="BI84" s="112">
        <v>0</v>
      </c>
      <c r="BJ84" s="112">
        <v>0</v>
      </c>
      <c r="BK84" s="112">
        <v>0</v>
      </c>
      <c r="BL84" s="112">
        <v>0</v>
      </c>
      <c r="BM84" s="112">
        <v>0</v>
      </c>
      <c r="BN84" s="112">
        <v>0</v>
      </c>
      <c r="BO84" s="112">
        <v>0</v>
      </c>
      <c r="BP84" s="112">
        <v>0</v>
      </c>
      <c r="BQ84" s="112">
        <v>0</v>
      </c>
      <c r="BR84" s="112">
        <v>0</v>
      </c>
      <c r="BS84" s="112"/>
      <c r="BT84" s="112"/>
      <c r="BU84" s="124">
        <f>SUM(E84:AL84)</f>
        <v>0</v>
      </c>
      <c r="BV84" s="126"/>
    </row>
    <row r="85" spans="1:74" hidden="1" x14ac:dyDescent="0.2">
      <c r="A85" s="149" t="s">
        <v>166</v>
      </c>
      <c r="B85" s="119" t="s">
        <v>191</v>
      </c>
      <c r="C85" s="122"/>
      <c r="D85" s="123" t="s">
        <v>16</v>
      </c>
      <c r="E85" s="111"/>
      <c r="F85" s="111"/>
      <c r="G85" s="111"/>
      <c r="H85" s="111"/>
      <c r="I85" s="111">
        <v>0</v>
      </c>
      <c r="J85" s="111">
        <v>0</v>
      </c>
      <c r="K85" s="111">
        <v>0</v>
      </c>
      <c r="L85" s="111">
        <v>0</v>
      </c>
      <c r="M85" s="111">
        <v>0</v>
      </c>
      <c r="N85" s="111">
        <v>0</v>
      </c>
      <c r="O85" s="111">
        <v>0</v>
      </c>
      <c r="P85" s="111">
        <v>0</v>
      </c>
      <c r="Q85" s="111">
        <v>0</v>
      </c>
      <c r="R85" s="111">
        <v>0</v>
      </c>
      <c r="S85" s="111">
        <v>0</v>
      </c>
      <c r="T85" s="111">
        <v>0</v>
      </c>
      <c r="U85" s="111">
        <v>0</v>
      </c>
      <c r="V85" s="111">
        <v>0</v>
      </c>
      <c r="W85" s="111">
        <v>0</v>
      </c>
      <c r="X85" s="111">
        <v>0</v>
      </c>
      <c r="Y85" s="111">
        <v>0</v>
      </c>
      <c r="Z85" s="111">
        <v>0</v>
      </c>
      <c r="AA85" s="111">
        <v>0</v>
      </c>
      <c r="AB85" s="111">
        <v>0</v>
      </c>
      <c r="AC85" s="111">
        <v>0</v>
      </c>
      <c r="AD85" s="111">
        <v>0</v>
      </c>
      <c r="AE85" s="111">
        <v>0</v>
      </c>
      <c r="AF85" s="111">
        <v>0</v>
      </c>
      <c r="AG85" s="111">
        <v>0</v>
      </c>
      <c r="AH85" s="111">
        <v>0</v>
      </c>
      <c r="AI85" s="111">
        <v>0</v>
      </c>
      <c r="AJ85" s="111">
        <v>0</v>
      </c>
      <c r="AK85" s="111">
        <v>0</v>
      </c>
      <c r="AL85" s="111">
        <v>0</v>
      </c>
      <c r="AM85" s="111">
        <v>0</v>
      </c>
      <c r="AN85" s="112">
        <v>0</v>
      </c>
      <c r="AO85" s="112">
        <v>0</v>
      </c>
      <c r="AP85" s="112">
        <v>0</v>
      </c>
      <c r="AQ85" s="112">
        <v>0</v>
      </c>
      <c r="AR85" s="112">
        <v>0</v>
      </c>
      <c r="AS85" s="112">
        <v>0</v>
      </c>
      <c r="AT85" s="112">
        <v>0</v>
      </c>
      <c r="AU85" s="112">
        <v>0</v>
      </c>
      <c r="AV85" s="112">
        <v>0</v>
      </c>
      <c r="AW85" s="112">
        <v>0</v>
      </c>
      <c r="AX85" s="112">
        <v>0</v>
      </c>
      <c r="AY85" s="112">
        <v>0</v>
      </c>
      <c r="AZ85" s="112">
        <v>0</v>
      </c>
      <c r="BA85" s="112">
        <v>0</v>
      </c>
      <c r="BB85" s="112">
        <v>0</v>
      </c>
      <c r="BC85" s="112">
        <v>0</v>
      </c>
      <c r="BD85" s="112">
        <v>0</v>
      </c>
      <c r="BE85" s="112">
        <v>0</v>
      </c>
      <c r="BF85" s="112">
        <v>0</v>
      </c>
      <c r="BG85" s="112">
        <v>0</v>
      </c>
      <c r="BH85" s="112">
        <v>0</v>
      </c>
      <c r="BI85" s="112">
        <v>0</v>
      </c>
      <c r="BJ85" s="112">
        <v>0</v>
      </c>
      <c r="BK85" s="112">
        <v>0</v>
      </c>
      <c r="BL85" s="112">
        <v>0</v>
      </c>
      <c r="BM85" s="112">
        <v>0</v>
      </c>
      <c r="BN85" s="112">
        <v>0</v>
      </c>
      <c r="BO85" s="112">
        <v>0</v>
      </c>
      <c r="BP85" s="112">
        <v>0</v>
      </c>
      <c r="BQ85" s="112">
        <v>0</v>
      </c>
      <c r="BR85" s="112">
        <v>0</v>
      </c>
      <c r="BS85" s="112"/>
      <c r="BT85" s="112"/>
      <c r="BU85" s="124">
        <f>SUM(E85:AL85)</f>
        <v>0</v>
      </c>
      <c r="BV85" s="126"/>
    </row>
    <row r="86" spans="1:74" hidden="1" x14ac:dyDescent="0.2">
      <c r="A86" s="149" t="s">
        <v>179</v>
      </c>
      <c r="B86" s="119" t="s">
        <v>194</v>
      </c>
      <c r="C86" s="122"/>
      <c r="D86" s="123" t="s">
        <v>16</v>
      </c>
      <c r="E86" s="111"/>
      <c r="F86" s="111"/>
      <c r="G86" s="111"/>
      <c r="H86" s="111"/>
      <c r="I86" s="111">
        <v>0</v>
      </c>
      <c r="J86" s="111">
        <v>0</v>
      </c>
      <c r="K86" s="111">
        <v>0</v>
      </c>
      <c r="L86" s="111">
        <v>0</v>
      </c>
      <c r="M86" s="111">
        <v>0</v>
      </c>
      <c r="N86" s="111">
        <v>0</v>
      </c>
      <c r="O86" s="111">
        <v>0</v>
      </c>
      <c r="P86" s="111">
        <v>0</v>
      </c>
      <c r="Q86" s="111">
        <v>0</v>
      </c>
      <c r="R86" s="111">
        <v>0</v>
      </c>
      <c r="S86" s="111">
        <v>0</v>
      </c>
      <c r="T86" s="111">
        <v>0</v>
      </c>
      <c r="U86" s="111">
        <v>0</v>
      </c>
      <c r="V86" s="111">
        <v>0</v>
      </c>
      <c r="W86" s="111">
        <v>0</v>
      </c>
      <c r="X86" s="111">
        <v>0</v>
      </c>
      <c r="Y86" s="111">
        <v>0</v>
      </c>
      <c r="Z86" s="111">
        <v>0</v>
      </c>
      <c r="AA86" s="111">
        <v>0</v>
      </c>
      <c r="AB86" s="111">
        <v>0</v>
      </c>
      <c r="AC86" s="111">
        <v>0</v>
      </c>
      <c r="AD86" s="111">
        <v>0</v>
      </c>
      <c r="AE86" s="111">
        <v>0</v>
      </c>
      <c r="AF86" s="111">
        <v>0</v>
      </c>
      <c r="AG86" s="111">
        <v>0</v>
      </c>
      <c r="AH86" s="111">
        <v>0</v>
      </c>
      <c r="AI86" s="111">
        <v>0</v>
      </c>
      <c r="AJ86" s="111">
        <v>0</v>
      </c>
      <c r="AK86" s="111">
        <v>0</v>
      </c>
      <c r="AL86" s="111">
        <v>0</v>
      </c>
      <c r="AM86" s="111">
        <v>0</v>
      </c>
      <c r="AN86" s="112">
        <v>0</v>
      </c>
      <c r="AO86" s="112">
        <v>0</v>
      </c>
      <c r="AP86" s="112">
        <v>0</v>
      </c>
      <c r="AQ86" s="112">
        <v>0</v>
      </c>
      <c r="AR86" s="112">
        <v>0</v>
      </c>
      <c r="AS86" s="112">
        <v>0</v>
      </c>
      <c r="AT86" s="112">
        <v>0</v>
      </c>
      <c r="AU86" s="112">
        <v>0</v>
      </c>
      <c r="AV86" s="112">
        <v>0</v>
      </c>
      <c r="AW86" s="112">
        <v>0</v>
      </c>
      <c r="AX86" s="112">
        <v>0</v>
      </c>
      <c r="AY86" s="112">
        <v>0</v>
      </c>
      <c r="AZ86" s="112">
        <v>0</v>
      </c>
      <c r="BA86" s="112">
        <v>0</v>
      </c>
      <c r="BB86" s="112">
        <v>0</v>
      </c>
      <c r="BC86" s="112">
        <v>0</v>
      </c>
      <c r="BD86" s="112">
        <v>0</v>
      </c>
      <c r="BE86" s="112">
        <v>0</v>
      </c>
      <c r="BF86" s="112">
        <v>0</v>
      </c>
      <c r="BG86" s="112">
        <v>0</v>
      </c>
      <c r="BH86" s="112">
        <v>0</v>
      </c>
      <c r="BI86" s="112">
        <v>0</v>
      </c>
      <c r="BJ86" s="112">
        <v>0</v>
      </c>
      <c r="BK86" s="112">
        <v>0</v>
      </c>
      <c r="BL86" s="112">
        <v>0</v>
      </c>
      <c r="BM86" s="112">
        <v>0</v>
      </c>
      <c r="BN86" s="112">
        <v>0</v>
      </c>
      <c r="BO86" s="112">
        <v>0</v>
      </c>
      <c r="BP86" s="112">
        <v>0</v>
      </c>
      <c r="BQ86" s="112">
        <v>0</v>
      </c>
      <c r="BR86" s="112">
        <v>0</v>
      </c>
      <c r="BS86" s="112"/>
      <c r="BT86" s="112"/>
      <c r="BU86" s="124">
        <f>SUM(E86:AL86)</f>
        <v>0</v>
      </c>
      <c r="BV86" s="126"/>
    </row>
    <row r="87" spans="1:74" hidden="1" x14ac:dyDescent="0.2">
      <c r="A87" s="152"/>
      <c r="B87" s="119" t="s">
        <v>192</v>
      </c>
      <c r="C87" s="122"/>
      <c r="D87" s="123" t="s">
        <v>16</v>
      </c>
      <c r="E87" s="153">
        <f t="shared" ref="E87:BU87" si="19">SUM(E82:E86)</f>
        <v>0</v>
      </c>
      <c r="F87" s="153">
        <f t="shared" si="19"/>
        <v>0</v>
      </c>
      <c r="G87" s="153">
        <f t="shared" si="19"/>
        <v>0</v>
      </c>
      <c r="H87" s="153">
        <f t="shared" si="19"/>
        <v>0</v>
      </c>
      <c r="I87" s="153">
        <f t="shared" si="19"/>
        <v>0</v>
      </c>
      <c r="J87" s="153">
        <f t="shared" si="19"/>
        <v>0</v>
      </c>
      <c r="K87" s="153">
        <f t="shared" si="19"/>
        <v>0</v>
      </c>
      <c r="L87" s="153">
        <f t="shared" ref="L87:AJ87" si="20">SUM(L82:L86)</f>
        <v>0</v>
      </c>
      <c r="M87" s="153">
        <f t="shared" si="20"/>
        <v>0</v>
      </c>
      <c r="N87" s="153">
        <f t="shared" si="20"/>
        <v>0</v>
      </c>
      <c r="O87" s="153">
        <f t="shared" si="20"/>
        <v>0</v>
      </c>
      <c r="P87" s="153">
        <f t="shared" si="20"/>
        <v>0</v>
      </c>
      <c r="Q87" s="153">
        <f t="shared" si="20"/>
        <v>0</v>
      </c>
      <c r="R87" s="153">
        <f t="shared" si="20"/>
        <v>0</v>
      </c>
      <c r="S87" s="153">
        <f t="shared" si="20"/>
        <v>0</v>
      </c>
      <c r="T87" s="153">
        <f t="shared" si="20"/>
        <v>0</v>
      </c>
      <c r="U87" s="153">
        <f t="shared" si="20"/>
        <v>0</v>
      </c>
      <c r="V87" s="153">
        <f t="shared" si="20"/>
        <v>0</v>
      </c>
      <c r="W87" s="153">
        <f t="shared" si="20"/>
        <v>0</v>
      </c>
      <c r="X87" s="153">
        <f t="shared" si="20"/>
        <v>0</v>
      </c>
      <c r="Y87" s="153">
        <f t="shared" si="20"/>
        <v>0</v>
      </c>
      <c r="Z87" s="153">
        <f t="shared" si="20"/>
        <v>0</v>
      </c>
      <c r="AA87" s="153">
        <f t="shared" si="20"/>
        <v>0</v>
      </c>
      <c r="AB87" s="153">
        <f t="shared" si="20"/>
        <v>0</v>
      </c>
      <c r="AC87" s="153">
        <f t="shared" si="20"/>
        <v>0</v>
      </c>
      <c r="AD87" s="153">
        <f t="shared" si="20"/>
        <v>0</v>
      </c>
      <c r="AE87" s="153">
        <f t="shared" si="20"/>
        <v>0</v>
      </c>
      <c r="AF87" s="153">
        <f t="shared" si="20"/>
        <v>0</v>
      </c>
      <c r="AG87" s="153">
        <f t="shared" si="20"/>
        <v>0</v>
      </c>
      <c r="AH87" s="153">
        <f t="shared" si="20"/>
        <v>0</v>
      </c>
      <c r="AI87" s="153">
        <f t="shared" si="20"/>
        <v>0</v>
      </c>
      <c r="AJ87" s="153">
        <f t="shared" si="20"/>
        <v>0</v>
      </c>
      <c r="AK87" s="153">
        <f t="shared" si="19"/>
        <v>0</v>
      </c>
      <c r="AL87" s="153">
        <f t="shared" si="19"/>
        <v>0</v>
      </c>
      <c r="AM87" s="153">
        <f t="shared" si="19"/>
        <v>0</v>
      </c>
      <c r="AN87" s="153">
        <f t="shared" si="19"/>
        <v>0</v>
      </c>
      <c r="AO87" s="154">
        <v>0</v>
      </c>
      <c r="AP87" s="154">
        <v>0</v>
      </c>
      <c r="AQ87" s="154">
        <v>0</v>
      </c>
      <c r="AR87" s="154">
        <v>0</v>
      </c>
      <c r="AS87" s="154">
        <v>0</v>
      </c>
      <c r="AT87" s="154">
        <v>0</v>
      </c>
      <c r="AU87" s="154">
        <v>0</v>
      </c>
      <c r="AV87" s="154">
        <v>0</v>
      </c>
      <c r="AW87" s="154">
        <v>0</v>
      </c>
      <c r="AX87" s="154">
        <v>0</v>
      </c>
      <c r="AY87" s="154">
        <v>0</v>
      </c>
      <c r="AZ87" s="154">
        <v>0</v>
      </c>
      <c r="BA87" s="154">
        <v>0</v>
      </c>
      <c r="BB87" s="154">
        <v>0</v>
      </c>
      <c r="BC87" s="154">
        <v>0</v>
      </c>
      <c r="BD87" s="154">
        <v>0</v>
      </c>
      <c r="BE87" s="154">
        <v>0</v>
      </c>
      <c r="BF87" s="154">
        <v>0</v>
      </c>
      <c r="BG87" s="154">
        <v>0</v>
      </c>
      <c r="BH87" s="154">
        <v>0</v>
      </c>
      <c r="BI87" s="154">
        <v>0</v>
      </c>
      <c r="BJ87" s="154">
        <v>0</v>
      </c>
      <c r="BK87" s="154">
        <v>0</v>
      </c>
      <c r="BL87" s="154">
        <v>0</v>
      </c>
      <c r="BM87" s="154">
        <v>0</v>
      </c>
      <c r="BN87" s="154">
        <v>0</v>
      </c>
      <c r="BO87" s="154">
        <v>0</v>
      </c>
      <c r="BP87" s="154">
        <v>0</v>
      </c>
      <c r="BQ87" s="154">
        <v>0</v>
      </c>
      <c r="BR87" s="154">
        <v>0</v>
      </c>
      <c r="BS87" s="154"/>
      <c r="BT87" s="154"/>
      <c r="BU87" s="124">
        <f t="shared" si="19"/>
        <v>0</v>
      </c>
    </row>
    <row r="88" spans="1:74" hidden="1" x14ac:dyDescent="0.2">
      <c r="A88" s="152"/>
      <c r="B88" s="119" t="s">
        <v>195</v>
      </c>
      <c r="C88" s="122"/>
      <c r="D88" s="123" t="s">
        <v>16</v>
      </c>
      <c r="E88" s="153">
        <f t="shared" ref="E88:BU88" si="21">E80+E87</f>
        <v>0</v>
      </c>
      <c r="F88" s="153">
        <f t="shared" si="21"/>
        <v>0</v>
      </c>
      <c r="G88" s="153">
        <f t="shared" si="21"/>
        <v>0</v>
      </c>
      <c r="H88" s="153">
        <f t="shared" si="21"/>
        <v>0</v>
      </c>
      <c r="I88" s="153">
        <f t="shared" si="21"/>
        <v>1.6</v>
      </c>
      <c r="J88" s="153">
        <f t="shared" si="21"/>
        <v>3.5</v>
      </c>
      <c r="K88" s="153">
        <f t="shared" si="21"/>
        <v>12</v>
      </c>
      <c r="L88" s="153">
        <f t="shared" ref="L88:AJ88" si="22">L80+L87</f>
        <v>26.5</v>
      </c>
      <c r="M88" s="153">
        <f t="shared" si="22"/>
        <v>26.5</v>
      </c>
      <c r="N88" s="153">
        <f t="shared" si="22"/>
        <v>26.5</v>
      </c>
      <c r="O88" s="153">
        <f t="shared" si="22"/>
        <v>26.5</v>
      </c>
      <c r="P88" s="153">
        <f t="shared" si="22"/>
        <v>26.5</v>
      </c>
      <c r="Q88" s="153">
        <f t="shared" si="22"/>
        <v>26.5</v>
      </c>
      <c r="R88" s="153">
        <f t="shared" si="22"/>
        <v>26.5</v>
      </c>
      <c r="S88" s="153">
        <f t="shared" si="22"/>
        <v>26.5</v>
      </c>
      <c r="T88" s="153">
        <f t="shared" si="22"/>
        <v>26.5</v>
      </c>
      <c r="U88" s="153">
        <f t="shared" si="22"/>
        <v>26.5</v>
      </c>
      <c r="V88" s="153">
        <f t="shared" si="22"/>
        <v>26.5</v>
      </c>
      <c r="W88" s="153">
        <f t="shared" si="22"/>
        <v>26.5</v>
      </c>
      <c r="X88" s="153">
        <f t="shared" si="22"/>
        <v>26.5</v>
      </c>
      <c r="Y88" s="153">
        <f t="shared" si="22"/>
        <v>26.5</v>
      </c>
      <c r="Z88" s="153">
        <f t="shared" si="22"/>
        <v>26.5</v>
      </c>
      <c r="AA88" s="153">
        <f t="shared" si="22"/>
        <v>26.5</v>
      </c>
      <c r="AB88" s="153">
        <f t="shared" si="22"/>
        <v>26.5</v>
      </c>
      <c r="AC88" s="153">
        <f t="shared" si="22"/>
        <v>26.5</v>
      </c>
      <c r="AD88" s="153">
        <f t="shared" si="22"/>
        <v>26.5</v>
      </c>
      <c r="AE88" s="153">
        <f t="shared" si="22"/>
        <v>26.5</v>
      </c>
      <c r="AF88" s="153">
        <f t="shared" si="22"/>
        <v>26.5</v>
      </c>
      <c r="AG88" s="153">
        <f t="shared" si="22"/>
        <v>26.5</v>
      </c>
      <c r="AH88" s="153">
        <f t="shared" si="22"/>
        <v>26.5</v>
      </c>
      <c r="AI88" s="153">
        <f t="shared" si="22"/>
        <v>26.5</v>
      </c>
      <c r="AJ88" s="153">
        <f t="shared" si="22"/>
        <v>26.5</v>
      </c>
      <c r="AK88" s="153">
        <f t="shared" si="21"/>
        <v>26.5</v>
      </c>
      <c r="AL88" s="153">
        <f t="shared" si="21"/>
        <v>12</v>
      </c>
      <c r="AM88" s="153">
        <f t="shared" si="21"/>
        <v>17.5</v>
      </c>
      <c r="AN88" s="153">
        <f t="shared" si="21"/>
        <v>26</v>
      </c>
      <c r="AO88" s="153">
        <f t="shared" si="21"/>
        <v>35</v>
      </c>
      <c r="AP88" s="153">
        <f t="shared" si="21"/>
        <v>20.5</v>
      </c>
      <c r="AQ88" s="153">
        <f t="shared" si="21"/>
        <v>32.5</v>
      </c>
      <c r="AR88" s="153">
        <f t="shared" si="21"/>
        <v>47</v>
      </c>
      <c r="AS88" s="153">
        <f t="shared" si="21"/>
        <v>53</v>
      </c>
      <c r="AT88" s="153">
        <f t="shared" si="21"/>
        <v>53</v>
      </c>
      <c r="AU88" s="153">
        <f t="shared" si="21"/>
        <v>53</v>
      </c>
      <c r="AV88" s="153">
        <f t="shared" si="21"/>
        <v>53</v>
      </c>
      <c r="AW88" s="153">
        <f t="shared" si="21"/>
        <v>53</v>
      </c>
      <c r="AX88" s="153">
        <f t="shared" si="21"/>
        <v>53</v>
      </c>
      <c r="AY88" s="153">
        <f t="shared" si="21"/>
        <v>53</v>
      </c>
      <c r="AZ88" s="153">
        <f t="shared" si="21"/>
        <v>53</v>
      </c>
      <c r="BA88" s="153">
        <f t="shared" si="21"/>
        <v>53</v>
      </c>
      <c r="BB88" s="153">
        <f t="shared" si="21"/>
        <v>53</v>
      </c>
      <c r="BC88" s="153">
        <f t="shared" si="21"/>
        <v>53</v>
      </c>
      <c r="BD88" s="153">
        <f t="shared" si="21"/>
        <v>53</v>
      </c>
      <c r="BE88" s="153">
        <f t="shared" si="21"/>
        <v>53</v>
      </c>
      <c r="BF88" s="153">
        <f t="shared" si="21"/>
        <v>53</v>
      </c>
      <c r="BG88" s="153">
        <f t="shared" si="21"/>
        <v>53</v>
      </c>
      <c r="BH88" s="153">
        <f t="shared" si="21"/>
        <v>53</v>
      </c>
      <c r="BI88" s="153">
        <f t="shared" si="21"/>
        <v>53</v>
      </c>
      <c r="BJ88" s="153">
        <f t="shared" si="21"/>
        <v>53</v>
      </c>
      <c r="BK88" s="153">
        <f t="shared" si="21"/>
        <v>53</v>
      </c>
      <c r="BL88" s="153">
        <f t="shared" si="21"/>
        <v>53</v>
      </c>
      <c r="BM88" s="153">
        <f t="shared" si="21"/>
        <v>53</v>
      </c>
      <c r="BN88" s="153">
        <f t="shared" si="21"/>
        <v>53</v>
      </c>
      <c r="BO88" s="153">
        <f t="shared" si="21"/>
        <v>53</v>
      </c>
      <c r="BP88" s="153">
        <f t="shared" si="21"/>
        <v>53</v>
      </c>
      <c r="BQ88" s="153">
        <f t="shared" si="21"/>
        <v>53</v>
      </c>
      <c r="BR88" s="153">
        <f t="shared" si="21"/>
        <v>53</v>
      </c>
      <c r="BS88" s="154"/>
      <c r="BT88" s="154"/>
      <c r="BU88" s="124">
        <f t="shared" si="21"/>
        <v>2274.6</v>
      </c>
    </row>
    <row r="89" spans="1:74" ht="21" hidden="1" thickBot="1" x14ac:dyDescent="0.25">
      <c r="A89" s="156"/>
      <c r="B89" s="157" t="s">
        <v>11</v>
      </c>
      <c r="C89" s="158"/>
      <c r="D89" s="159" t="s">
        <v>196</v>
      </c>
      <c r="E89" s="160">
        <f>E93</f>
        <v>0</v>
      </c>
      <c r="F89" s="160">
        <f t="shared" ref="F89:BR89" si="23">F93</f>
        <v>0</v>
      </c>
      <c r="G89" s="160">
        <v>12.5</v>
      </c>
      <c r="H89" s="160">
        <f t="shared" si="23"/>
        <v>0</v>
      </c>
      <c r="I89" s="160">
        <f t="shared" si="23"/>
        <v>26</v>
      </c>
      <c r="J89" s="160">
        <f t="shared" si="23"/>
        <v>17</v>
      </c>
      <c r="K89" s="160">
        <f t="shared" si="23"/>
        <v>17</v>
      </c>
      <c r="L89" s="160">
        <f t="shared" ref="L89:AJ89" si="24">L93</f>
        <v>17</v>
      </c>
      <c r="M89" s="160">
        <f t="shared" si="24"/>
        <v>17</v>
      </c>
      <c r="N89" s="160">
        <f t="shared" si="24"/>
        <v>17</v>
      </c>
      <c r="O89" s="160">
        <f t="shared" si="24"/>
        <v>17</v>
      </c>
      <c r="P89" s="160">
        <f t="shared" si="24"/>
        <v>17</v>
      </c>
      <c r="Q89" s="160">
        <f t="shared" si="24"/>
        <v>17</v>
      </c>
      <c r="R89" s="160">
        <f t="shared" si="24"/>
        <v>17</v>
      </c>
      <c r="S89" s="160">
        <f t="shared" si="24"/>
        <v>17</v>
      </c>
      <c r="T89" s="160">
        <f t="shared" si="24"/>
        <v>17</v>
      </c>
      <c r="U89" s="160">
        <f t="shared" si="24"/>
        <v>17</v>
      </c>
      <c r="V89" s="160">
        <f t="shared" si="24"/>
        <v>17</v>
      </c>
      <c r="W89" s="160">
        <f t="shared" si="24"/>
        <v>17</v>
      </c>
      <c r="X89" s="160">
        <f t="shared" si="24"/>
        <v>17</v>
      </c>
      <c r="Y89" s="160">
        <f t="shared" si="24"/>
        <v>17</v>
      </c>
      <c r="Z89" s="160">
        <f t="shared" si="24"/>
        <v>17</v>
      </c>
      <c r="AA89" s="160">
        <f t="shared" si="24"/>
        <v>17</v>
      </c>
      <c r="AB89" s="160">
        <f t="shared" si="24"/>
        <v>17</v>
      </c>
      <c r="AC89" s="160">
        <f t="shared" si="24"/>
        <v>17</v>
      </c>
      <c r="AD89" s="160">
        <f t="shared" si="24"/>
        <v>17</v>
      </c>
      <c r="AE89" s="160">
        <f t="shared" si="24"/>
        <v>17</v>
      </c>
      <c r="AF89" s="160">
        <f t="shared" si="24"/>
        <v>17</v>
      </c>
      <c r="AG89" s="160">
        <f t="shared" si="24"/>
        <v>17</v>
      </c>
      <c r="AH89" s="160">
        <f t="shared" si="24"/>
        <v>17</v>
      </c>
      <c r="AI89" s="160">
        <f t="shared" si="24"/>
        <v>17</v>
      </c>
      <c r="AJ89" s="160">
        <f t="shared" si="24"/>
        <v>17</v>
      </c>
      <c r="AK89" s="160">
        <f t="shared" si="23"/>
        <v>17</v>
      </c>
      <c r="AL89" s="160">
        <f t="shared" si="23"/>
        <v>17</v>
      </c>
      <c r="AM89" s="160">
        <f t="shared" si="23"/>
        <v>15</v>
      </c>
      <c r="AN89" s="160">
        <f t="shared" si="23"/>
        <v>15</v>
      </c>
      <c r="AO89" s="160">
        <f t="shared" si="23"/>
        <v>15</v>
      </c>
      <c r="AP89" s="160">
        <f t="shared" si="23"/>
        <v>13.2</v>
      </c>
      <c r="AQ89" s="160" t="e">
        <f t="shared" si="23"/>
        <v>#REF!</v>
      </c>
      <c r="AR89" s="160" t="e">
        <f t="shared" si="23"/>
        <v>#REF!</v>
      </c>
      <c r="AS89" s="160" t="e">
        <f t="shared" si="23"/>
        <v>#REF!</v>
      </c>
      <c r="AT89" s="160" t="e">
        <f t="shared" si="23"/>
        <v>#REF!</v>
      </c>
      <c r="AU89" s="160" t="e">
        <f t="shared" si="23"/>
        <v>#REF!</v>
      </c>
      <c r="AV89" s="160" t="e">
        <f t="shared" si="23"/>
        <v>#REF!</v>
      </c>
      <c r="AW89" s="160" t="e">
        <f t="shared" si="23"/>
        <v>#REF!</v>
      </c>
      <c r="AX89" s="160" t="e">
        <f t="shared" si="23"/>
        <v>#REF!</v>
      </c>
      <c r="AY89" s="160" t="e">
        <f t="shared" si="23"/>
        <v>#REF!</v>
      </c>
      <c r="AZ89" s="160" t="e">
        <f t="shared" si="23"/>
        <v>#REF!</v>
      </c>
      <c r="BA89" s="160" t="e">
        <f t="shared" si="23"/>
        <v>#REF!</v>
      </c>
      <c r="BB89" s="160" t="e">
        <f t="shared" si="23"/>
        <v>#REF!</v>
      </c>
      <c r="BC89" s="160" t="e">
        <f t="shared" si="23"/>
        <v>#REF!</v>
      </c>
      <c r="BD89" s="160" t="e">
        <f t="shared" si="23"/>
        <v>#REF!</v>
      </c>
      <c r="BE89" s="160" t="e">
        <f t="shared" si="23"/>
        <v>#REF!</v>
      </c>
      <c r="BF89" s="160" t="e">
        <f t="shared" si="23"/>
        <v>#REF!</v>
      </c>
      <c r="BG89" s="160" t="e">
        <f t="shared" si="23"/>
        <v>#REF!</v>
      </c>
      <c r="BH89" s="160" t="e">
        <f t="shared" si="23"/>
        <v>#REF!</v>
      </c>
      <c r="BI89" s="160" t="e">
        <f t="shared" si="23"/>
        <v>#REF!</v>
      </c>
      <c r="BJ89" s="160" t="e">
        <f t="shared" si="23"/>
        <v>#REF!</v>
      </c>
      <c r="BK89" s="160" t="e">
        <f t="shared" si="23"/>
        <v>#REF!</v>
      </c>
      <c r="BL89" s="160" t="e">
        <f t="shared" si="23"/>
        <v>#REF!</v>
      </c>
      <c r="BM89" s="160" t="e">
        <f t="shared" si="23"/>
        <v>#REF!</v>
      </c>
      <c r="BN89" s="160" t="e">
        <f t="shared" si="23"/>
        <v>#REF!</v>
      </c>
      <c r="BO89" s="160" t="e">
        <f t="shared" si="23"/>
        <v>#REF!</v>
      </c>
      <c r="BP89" s="160" t="e">
        <f t="shared" si="23"/>
        <v>#REF!</v>
      </c>
      <c r="BQ89" s="160" t="e">
        <f t="shared" si="23"/>
        <v>#REF!</v>
      </c>
      <c r="BR89" s="160" t="e">
        <f t="shared" si="23"/>
        <v>#REF!</v>
      </c>
      <c r="BS89" s="161"/>
      <c r="BT89" s="161"/>
      <c r="BU89" s="162">
        <f>+BU93</f>
        <v>16.976470588235294</v>
      </c>
    </row>
    <row r="90" spans="1:74" ht="21" hidden="1" thickBot="1" x14ac:dyDescent="0.25">
      <c r="A90" s="163"/>
      <c r="B90" s="164"/>
      <c r="C90" s="165"/>
      <c r="D90" s="164"/>
      <c r="E90" s="164"/>
      <c r="F90" s="164"/>
      <c r="G90" s="164"/>
      <c r="H90" s="164"/>
      <c r="I90" s="164"/>
      <c r="J90" s="164"/>
      <c r="K90" s="164"/>
      <c r="L90" s="164"/>
      <c r="M90" s="164"/>
      <c r="N90" s="164"/>
      <c r="O90" s="164"/>
      <c r="P90" s="164"/>
      <c r="Q90" s="164"/>
      <c r="R90" s="164"/>
      <c r="S90" s="164"/>
      <c r="T90" s="164"/>
      <c r="U90" s="164"/>
      <c r="V90" s="164"/>
      <c r="W90" s="164"/>
      <c r="X90" s="164"/>
      <c r="Y90" s="164"/>
      <c r="Z90" s="164"/>
      <c r="AA90" s="164"/>
      <c r="AB90" s="164"/>
      <c r="AC90" s="164"/>
      <c r="AD90" s="164"/>
      <c r="AE90" s="164"/>
      <c r="AF90" s="164"/>
      <c r="AG90" s="164"/>
      <c r="AH90" s="164"/>
      <c r="AI90" s="164"/>
      <c r="AJ90" s="164"/>
      <c r="AK90" s="164"/>
      <c r="AL90" s="164"/>
      <c r="AM90" s="164"/>
      <c r="AN90" s="164"/>
      <c r="AO90" s="164"/>
      <c r="AP90" s="164"/>
      <c r="AQ90" s="161"/>
      <c r="AR90" s="164"/>
      <c r="AS90" s="164"/>
      <c r="AT90" s="164"/>
      <c r="AU90" s="164"/>
      <c r="AV90" s="164"/>
      <c r="AW90" s="164"/>
      <c r="AX90" s="164"/>
      <c r="AY90" s="164"/>
      <c r="AZ90" s="164"/>
      <c r="BA90" s="164"/>
      <c r="BB90" s="164"/>
      <c r="BC90" s="164"/>
      <c r="BD90" s="164"/>
      <c r="BE90" s="164"/>
      <c r="BF90" s="164"/>
      <c r="BG90" s="164"/>
      <c r="BH90" s="164"/>
      <c r="BI90" s="164"/>
      <c r="BJ90" s="164"/>
      <c r="BK90" s="164"/>
      <c r="BL90" s="164"/>
      <c r="BM90" s="164"/>
      <c r="BN90" s="164"/>
      <c r="BO90" s="164"/>
      <c r="BP90" s="164"/>
      <c r="BQ90" s="164"/>
      <c r="BR90" s="164"/>
      <c r="BS90" s="164"/>
      <c r="BT90" s="164"/>
      <c r="BU90" s="166"/>
    </row>
    <row r="91" spans="1:74" hidden="1" x14ac:dyDescent="0.2">
      <c r="A91" s="167" t="s">
        <v>197</v>
      </c>
      <c r="B91" s="168" t="s">
        <v>198</v>
      </c>
      <c r="C91" s="168"/>
      <c r="D91" s="169"/>
      <c r="E91" s="169"/>
      <c r="F91" s="170" t="s">
        <v>199</v>
      </c>
      <c r="G91" s="169"/>
      <c r="H91" s="169"/>
      <c r="I91" s="169"/>
      <c r="J91" s="169"/>
      <c r="K91" s="169"/>
      <c r="L91" s="169"/>
      <c r="M91" s="169"/>
      <c r="N91" s="169"/>
      <c r="O91" s="169"/>
      <c r="P91" s="169"/>
      <c r="Q91" s="169"/>
      <c r="R91" s="169"/>
      <c r="S91" s="169"/>
      <c r="T91" s="169"/>
      <c r="U91" s="169"/>
      <c r="V91" s="169"/>
      <c r="W91" s="169"/>
      <c r="X91" s="169"/>
      <c r="Y91" s="169"/>
      <c r="Z91" s="169"/>
      <c r="AA91" s="169"/>
      <c r="AB91" s="169"/>
      <c r="AC91" s="169"/>
      <c r="AD91" s="169"/>
      <c r="AE91" s="169"/>
      <c r="AF91" s="169"/>
      <c r="AG91" s="169"/>
      <c r="AH91" s="169"/>
      <c r="AI91" s="169"/>
      <c r="AJ91" s="169"/>
      <c r="AK91" s="169"/>
      <c r="AL91" s="169"/>
      <c r="AM91" s="169"/>
      <c r="AN91" s="171"/>
      <c r="AO91" s="171"/>
      <c r="AP91" s="171"/>
      <c r="AQ91" s="171"/>
      <c r="AR91" s="171"/>
      <c r="AS91" s="172"/>
      <c r="AT91" s="172"/>
      <c r="AU91" s="172"/>
      <c r="AV91" s="172"/>
      <c r="AW91" s="172"/>
      <c r="AX91" s="172"/>
      <c r="AY91" s="172"/>
      <c r="AZ91" s="172"/>
      <c r="BA91" s="172"/>
      <c r="BB91" s="172"/>
      <c r="BC91" s="172"/>
      <c r="BD91" s="172"/>
      <c r="BE91" s="172"/>
      <c r="BF91" s="172"/>
      <c r="BG91" s="172"/>
      <c r="BH91" s="172"/>
      <c r="BI91" s="172"/>
      <c r="BJ91" s="172"/>
      <c r="BK91" s="172"/>
      <c r="BL91" s="172"/>
      <c r="BM91" s="172"/>
      <c r="BN91" s="172"/>
      <c r="BO91" s="172"/>
      <c r="BP91" s="172"/>
      <c r="BQ91" s="172"/>
      <c r="BR91" s="172"/>
      <c r="BS91" s="173"/>
      <c r="BT91" s="173"/>
      <c r="BU91" s="164"/>
    </row>
    <row r="92" spans="1:74" hidden="1" x14ac:dyDescent="0.2">
      <c r="A92" s="120"/>
      <c r="B92" s="141"/>
      <c r="C92" s="174"/>
      <c r="D92" s="123" t="s">
        <v>101</v>
      </c>
      <c r="E92" s="123">
        <v>1</v>
      </c>
      <c r="F92" s="123">
        <v>2</v>
      </c>
      <c r="G92" s="123">
        <v>3</v>
      </c>
      <c r="H92" s="123">
        <v>4</v>
      </c>
      <c r="I92" s="123">
        <v>5</v>
      </c>
      <c r="J92" s="123">
        <v>6</v>
      </c>
      <c r="K92" s="123">
        <v>7</v>
      </c>
      <c r="L92" s="123">
        <v>8</v>
      </c>
      <c r="M92" s="123">
        <v>8</v>
      </c>
      <c r="N92" s="123">
        <v>8</v>
      </c>
      <c r="O92" s="123">
        <v>8</v>
      </c>
      <c r="P92" s="123">
        <v>8</v>
      </c>
      <c r="Q92" s="123">
        <v>8</v>
      </c>
      <c r="R92" s="123">
        <v>8</v>
      </c>
      <c r="S92" s="123">
        <v>8</v>
      </c>
      <c r="T92" s="123">
        <v>8</v>
      </c>
      <c r="U92" s="123">
        <v>8</v>
      </c>
      <c r="V92" s="123">
        <v>8</v>
      </c>
      <c r="W92" s="123">
        <v>8</v>
      </c>
      <c r="X92" s="123">
        <v>8</v>
      </c>
      <c r="Y92" s="123">
        <v>8</v>
      </c>
      <c r="Z92" s="123">
        <v>8</v>
      </c>
      <c r="AA92" s="123">
        <v>8</v>
      </c>
      <c r="AB92" s="123">
        <v>8</v>
      </c>
      <c r="AC92" s="123">
        <v>8</v>
      </c>
      <c r="AD92" s="123">
        <v>8</v>
      </c>
      <c r="AE92" s="123">
        <v>8</v>
      </c>
      <c r="AF92" s="123">
        <v>8</v>
      </c>
      <c r="AG92" s="123">
        <v>8</v>
      </c>
      <c r="AH92" s="123">
        <v>8</v>
      </c>
      <c r="AI92" s="123">
        <v>8</v>
      </c>
      <c r="AJ92" s="123">
        <v>8</v>
      </c>
      <c r="AK92" s="123">
        <v>8</v>
      </c>
      <c r="AL92" s="123">
        <v>9</v>
      </c>
      <c r="AM92" s="123">
        <v>10</v>
      </c>
      <c r="AN92" s="175">
        <v>11</v>
      </c>
      <c r="AO92" s="175">
        <v>12</v>
      </c>
      <c r="AP92" s="175">
        <v>13</v>
      </c>
      <c r="AQ92" s="175">
        <v>14</v>
      </c>
      <c r="AR92" s="175">
        <v>15</v>
      </c>
      <c r="AS92" s="175">
        <v>16</v>
      </c>
      <c r="AT92" s="175">
        <v>16</v>
      </c>
      <c r="AU92" s="175">
        <v>16</v>
      </c>
      <c r="AV92" s="175">
        <v>16</v>
      </c>
      <c r="AW92" s="175">
        <v>16</v>
      </c>
      <c r="AX92" s="175">
        <v>16</v>
      </c>
      <c r="AY92" s="175">
        <v>16</v>
      </c>
      <c r="AZ92" s="175">
        <v>16</v>
      </c>
      <c r="BA92" s="175">
        <v>16</v>
      </c>
      <c r="BB92" s="175">
        <v>16</v>
      </c>
      <c r="BC92" s="175">
        <v>16</v>
      </c>
      <c r="BD92" s="175">
        <v>16</v>
      </c>
      <c r="BE92" s="175">
        <v>16</v>
      </c>
      <c r="BF92" s="175">
        <v>16</v>
      </c>
      <c r="BG92" s="175">
        <v>16</v>
      </c>
      <c r="BH92" s="175">
        <v>16</v>
      </c>
      <c r="BI92" s="175">
        <v>16</v>
      </c>
      <c r="BJ92" s="175">
        <v>16</v>
      </c>
      <c r="BK92" s="175">
        <v>16</v>
      </c>
      <c r="BL92" s="175">
        <v>16</v>
      </c>
      <c r="BM92" s="175">
        <v>16</v>
      </c>
      <c r="BN92" s="175">
        <v>16</v>
      </c>
      <c r="BO92" s="175">
        <v>16</v>
      </c>
      <c r="BP92" s="175">
        <v>16</v>
      </c>
      <c r="BQ92" s="175">
        <v>16</v>
      </c>
      <c r="BR92" s="175">
        <v>16</v>
      </c>
      <c r="BS92" s="175"/>
      <c r="BT92" s="175"/>
      <c r="BU92" s="176" t="s">
        <v>192</v>
      </c>
    </row>
    <row r="93" spans="1:74" hidden="1" x14ac:dyDescent="0.2">
      <c r="A93" s="149" t="s">
        <v>157</v>
      </c>
      <c r="B93" s="141" t="s">
        <v>200</v>
      </c>
      <c r="C93" s="174"/>
      <c r="D93" s="177" t="s">
        <v>196</v>
      </c>
      <c r="E93" s="130"/>
      <c r="F93" s="130"/>
      <c r="G93" s="130"/>
      <c r="H93" s="130"/>
      <c r="I93" s="130">
        <v>26</v>
      </c>
      <c r="J93" s="130">
        <v>17</v>
      </c>
      <c r="K93" s="130">
        <v>17</v>
      </c>
      <c r="L93" s="130">
        <v>17</v>
      </c>
      <c r="M93" s="130">
        <v>17</v>
      </c>
      <c r="N93" s="130">
        <v>17</v>
      </c>
      <c r="O93" s="130">
        <v>17</v>
      </c>
      <c r="P93" s="130">
        <v>17</v>
      </c>
      <c r="Q93" s="130">
        <v>17</v>
      </c>
      <c r="R93" s="130">
        <v>17</v>
      </c>
      <c r="S93" s="130">
        <v>17</v>
      </c>
      <c r="T93" s="130">
        <v>17</v>
      </c>
      <c r="U93" s="130">
        <v>17</v>
      </c>
      <c r="V93" s="130">
        <v>17</v>
      </c>
      <c r="W93" s="130">
        <v>17</v>
      </c>
      <c r="X93" s="130">
        <v>17</v>
      </c>
      <c r="Y93" s="130">
        <v>17</v>
      </c>
      <c r="Z93" s="130">
        <v>17</v>
      </c>
      <c r="AA93" s="130">
        <v>17</v>
      </c>
      <c r="AB93" s="130">
        <v>17</v>
      </c>
      <c r="AC93" s="130">
        <v>17</v>
      </c>
      <c r="AD93" s="130">
        <v>17</v>
      </c>
      <c r="AE93" s="130">
        <v>17</v>
      </c>
      <c r="AF93" s="130">
        <v>17</v>
      </c>
      <c r="AG93" s="130">
        <v>17</v>
      </c>
      <c r="AH93" s="130">
        <v>17</v>
      </c>
      <c r="AI93" s="130">
        <v>17</v>
      </c>
      <c r="AJ93" s="130">
        <v>17</v>
      </c>
      <c r="AK93" s="130">
        <v>17</v>
      </c>
      <c r="AL93" s="130">
        <v>17</v>
      </c>
      <c r="AM93" s="130">
        <v>15</v>
      </c>
      <c r="AN93" s="131">
        <v>15</v>
      </c>
      <c r="AO93" s="131">
        <v>15</v>
      </c>
      <c r="AP93" s="131">
        <v>13.2</v>
      </c>
      <c r="AQ93" s="131" t="e">
        <f>#REF!</f>
        <v>#REF!</v>
      </c>
      <c r="AR93" s="131" t="e">
        <f>#REF!</f>
        <v>#REF!</v>
      </c>
      <c r="AS93" s="131" t="e">
        <f>#REF!</f>
        <v>#REF!</v>
      </c>
      <c r="AT93" s="131" t="e">
        <f>#REF!</f>
        <v>#REF!</v>
      </c>
      <c r="AU93" s="131" t="e">
        <f>#REF!</f>
        <v>#REF!</v>
      </c>
      <c r="AV93" s="131" t="e">
        <f>#REF!</f>
        <v>#REF!</v>
      </c>
      <c r="AW93" s="131" t="e">
        <f>#REF!</f>
        <v>#REF!</v>
      </c>
      <c r="AX93" s="131" t="e">
        <f>#REF!</f>
        <v>#REF!</v>
      </c>
      <c r="AY93" s="131" t="e">
        <f>#REF!</f>
        <v>#REF!</v>
      </c>
      <c r="AZ93" s="131" t="e">
        <f>#REF!</f>
        <v>#REF!</v>
      </c>
      <c r="BA93" s="131" t="e">
        <f>#REF!</f>
        <v>#REF!</v>
      </c>
      <c r="BB93" s="131" t="e">
        <f>#REF!</f>
        <v>#REF!</v>
      </c>
      <c r="BC93" s="131" t="e">
        <f>#REF!</f>
        <v>#REF!</v>
      </c>
      <c r="BD93" s="131" t="e">
        <f>#REF!</f>
        <v>#REF!</v>
      </c>
      <c r="BE93" s="131" t="e">
        <f>#REF!</f>
        <v>#REF!</v>
      </c>
      <c r="BF93" s="131" t="e">
        <f>#REF!</f>
        <v>#REF!</v>
      </c>
      <c r="BG93" s="131" t="e">
        <f>#REF!</f>
        <v>#REF!</v>
      </c>
      <c r="BH93" s="131" t="e">
        <f>#REF!</f>
        <v>#REF!</v>
      </c>
      <c r="BI93" s="131" t="e">
        <f>#REF!</f>
        <v>#REF!</v>
      </c>
      <c r="BJ93" s="131" t="e">
        <f>#REF!</f>
        <v>#REF!</v>
      </c>
      <c r="BK93" s="131" t="e">
        <f>#REF!</f>
        <v>#REF!</v>
      </c>
      <c r="BL93" s="131" t="e">
        <f>#REF!</f>
        <v>#REF!</v>
      </c>
      <c r="BM93" s="131" t="e">
        <f>#REF!</f>
        <v>#REF!</v>
      </c>
      <c r="BN93" s="131" t="e">
        <f>#REF!</f>
        <v>#REF!</v>
      </c>
      <c r="BO93" s="131" t="e">
        <f>#REF!</f>
        <v>#REF!</v>
      </c>
      <c r="BP93" s="131" t="e">
        <f>#REF!</f>
        <v>#REF!</v>
      </c>
      <c r="BQ93" s="131" t="e">
        <f>#REF!</f>
        <v>#REF!</v>
      </c>
      <c r="BR93" s="131" t="e">
        <f>#REF!</f>
        <v>#REF!</v>
      </c>
      <c r="BS93" s="131"/>
      <c r="BT93" s="131"/>
      <c r="BU93" s="178">
        <f>AVERAGE(E93:AP93)</f>
        <v>16.976470588235294</v>
      </c>
    </row>
    <row r="94" spans="1:74" hidden="1" x14ac:dyDescent="0.2">
      <c r="A94" s="149" t="s">
        <v>160</v>
      </c>
      <c r="B94" s="141" t="s">
        <v>201</v>
      </c>
      <c r="C94" s="174"/>
      <c r="D94" s="177" t="s">
        <v>14</v>
      </c>
      <c r="E94" s="130"/>
      <c r="F94" s="130"/>
      <c r="G94" s="130"/>
      <c r="H94" s="130"/>
      <c r="I94" s="130">
        <v>2.85</v>
      </c>
      <c r="J94" s="130">
        <v>2.85</v>
      </c>
      <c r="K94" s="130">
        <v>2.85</v>
      </c>
      <c r="L94" s="130">
        <v>2.85</v>
      </c>
      <c r="M94" s="130">
        <v>2.85</v>
      </c>
      <c r="N94" s="130">
        <v>2.85</v>
      </c>
      <c r="O94" s="130">
        <v>2.85</v>
      </c>
      <c r="P94" s="130">
        <v>2.85</v>
      </c>
      <c r="Q94" s="130">
        <v>2.85</v>
      </c>
      <c r="R94" s="130">
        <v>2.85</v>
      </c>
      <c r="S94" s="130">
        <v>2.85</v>
      </c>
      <c r="T94" s="130">
        <v>2.85</v>
      </c>
      <c r="U94" s="130">
        <v>2.85</v>
      </c>
      <c r="V94" s="130">
        <v>2.85</v>
      </c>
      <c r="W94" s="130">
        <v>2.85</v>
      </c>
      <c r="X94" s="130">
        <v>2.85</v>
      </c>
      <c r="Y94" s="130">
        <v>2.85</v>
      </c>
      <c r="Z94" s="130">
        <v>2.85</v>
      </c>
      <c r="AA94" s="130">
        <v>2.85</v>
      </c>
      <c r="AB94" s="130">
        <v>2.85</v>
      </c>
      <c r="AC94" s="130">
        <v>2.85</v>
      </c>
      <c r="AD94" s="130">
        <v>2.85</v>
      </c>
      <c r="AE94" s="130">
        <v>2.85</v>
      </c>
      <c r="AF94" s="130">
        <v>2.85</v>
      </c>
      <c r="AG94" s="130">
        <v>2.85</v>
      </c>
      <c r="AH94" s="130">
        <v>2.85</v>
      </c>
      <c r="AI94" s="130">
        <v>2.85</v>
      </c>
      <c r="AJ94" s="130">
        <v>2.85</v>
      </c>
      <c r="AK94" s="130">
        <v>2.85</v>
      </c>
      <c r="AL94" s="130">
        <v>2.85</v>
      </c>
      <c r="AM94" s="130">
        <v>2.85</v>
      </c>
      <c r="AN94" s="131">
        <v>2.85</v>
      </c>
      <c r="AO94" s="131">
        <v>2.85</v>
      </c>
      <c r="AP94" s="131">
        <v>2.85</v>
      </c>
      <c r="AQ94" s="131">
        <v>2.85</v>
      </c>
      <c r="AR94" s="131">
        <v>2.85</v>
      </c>
      <c r="AS94" s="131">
        <v>2.85</v>
      </c>
      <c r="AT94" s="131">
        <v>2.85</v>
      </c>
      <c r="AU94" s="131">
        <v>2.85</v>
      </c>
      <c r="AV94" s="131">
        <v>2.85</v>
      </c>
      <c r="AW94" s="131">
        <v>2.85</v>
      </c>
      <c r="AX94" s="131">
        <v>2.85</v>
      </c>
      <c r="AY94" s="131">
        <v>2.85</v>
      </c>
      <c r="AZ94" s="131">
        <v>2.85</v>
      </c>
      <c r="BA94" s="131">
        <v>2.85</v>
      </c>
      <c r="BB94" s="131">
        <v>2.85</v>
      </c>
      <c r="BC94" s="131">
        <v>2.85</v>
      </c>
      <c r="BD94" s="131">
        <v>2.85</v>
      </c>
      <c r="BE94" s="131">
        <v>2.85</v>
      </c>
      <c r="BF94" s="131">
        <v>2.85</v>
      </c>
      <c r="BG94" s="131">
        <v>2.85</v>
      </c>
      <c r="BH94" s="131">
        <v>2.85</v>
      </c>
      <c r="BI94" s="131">
        <v>2.85</v>
      </c>
      <c r="BJ94" s="131">
        <v>2.85</v>
      </c>
      <c r="BK94" s="131">
        <v>2.85</v>
      </c>
      <c r="BL94" s="131">
        <v>2.85</v>
      </c>
      <c r="BM94" s="131">
        <v>2.85</v>
      </c>
      <c r="BN94" s="131">
        <v>2.85</v>
      </c>
      <c r="BO94" s="131">
        <v>2.85</v>
      </c>
      <c r="BP94" s="131">
        <v>2.85</v>
      </c>
      <c r="BQ94" s="131">
        <v>2.85</v>
      </c>
      <c r="BR94" s="131">
        <v>2.85</v>
      </c>
      <c r="BS94" s="131"/>
      <c r="BT94" s="131"/>
      <c r="BU94" s="178">
        <f>AVERAGE(E94:AL94)</f>
        <v>2.8499999999999996</v>
      </c>
    </row>
    <row r="95" spans="1:74" hidden="1" x14ac:dyDescent="0.2">
      <c r="A95" s="149" t="s">
        <v>163</v>
      </c>
      <c r="B95" s="141" t="s">
        <v>202</v>
      </c>
      <c r="C95" s="174"/>
      <c r="D95" s="177" t="s">
        <v>203</v>
      </c>
      <c r="E95" s="111"/>
      <c r="F95" s="111"/>
      <c r="G95" s="111"/>
      <c r="H95" s="111"/>
      <c r="I95" s="111" t="e">
        <f>#REF!</f>
        <v>#REF!</v>
      </c>
      <c r="J95" s="111" t="e">
        <f>#REF!</f>
        <v>#REF!</v>
      </c>
      <c r="K95" s="111" t="e">
        <f>#REF!</f>
        <v>#REF!</v>
      </c>
      <c r="L95" s="111" t="e">
        <f>#REF!</f>
        <v>#REF!</v>
      </c>
      <c r="M95" s="111" t="e">
        <f>#REF!</f>
        <v>#REF!</v>
      </c>
      <c r="N95" s="111" t="e">
        <f>#REF!</f>
        <v>#REF!</v>
      </c>
      <c r="O95" s="111" t="e">
        <f>#REF!</f>
        <v>#REF!</v>
      </c>
      <c r="P95" s="111" t="e">
        <f>#REF!</f>
        <v>#REF!</v>
      </c>
      <c r="Q95" s="111" t="e">
        <f>#REF!</f>
        <v>#REF!</v>
      </c>
      <c r="R95" s="111" t="e">
        <f>#REF!</f>
        <v>#REF!</v>
      </c>
      <c r="S95" s="111" t="e">
        <f>#REF!</f>
        <v>#REF!</v>
      </c>
      <c r="T95" s="111" t="e">
        <f>#REF!</f>
        <v>#REF!</v>
      </c>
      <c r="U95" s="111" t="e">
        <f>#REF!</f>
        <v>#REF!</v>
      </c>
      <c r="V95" s="111" t="e">
        <f>#REF!</f>
        <v>#REF!</v>
      </c>
      <c r="W95" s="111" t="e">
        <f>#REF!</f>
        <v>#REF!</v>
      </c>
      <c r="X95" s="111" t="e">
        <f>#REF!</f>
        <v>#REF!</v>
      </c>
      <c r="Y95" s="111" t="e">
        <f>#REF!</f>
        <v>#REF!</v>
      </c>
      <c r="Z95" s="111" t="e">
        <f>#REF!</f>
        <v>#REF!</v>
      </c>
      <c r="AA95" s="111" t="e">
        <f>#REF!</f>
        <v>#REF!</v>
      </c>
      <c r="AB95" s="111" t="e">
        <f>#REF!</f>
        <v>#REF!</v>
      </c>
      <c r="AC95" s="111" t="e">
        <f>#REF!</f>
        <v>#REF!</v>
      </c>
      <c r="AD95" s="111" t="e">
        <f>#REF!</f>
        <v>#REF!</v>
      </c>
      <c r="AE95" s="111" t="e">
        <f>#REF!</f>
        <v>#REF!</v>
      </c>
      <c r="AF95" s="111" t="e">
        <f>#REF!</f>
        <v>#REF!</v>
      </c>
      <c r="AG95" s="111" t="e">
        <f>#REF!</f>
        <v>#REF!</v>
      </c>
      <c r="AH95" s="111" t="e">
        <f>#REF!</f>
        <v>#REF!</v>
      </c>
      <c r="AI95" s="111" t="e">
        <f>#REF!</f>
        <v>#REF!</v>
      </c>
      <c r="AJ95" s="111" t="e">
        <f>#REF!</f>
        <v>#REF!</v>
      </c>
      <c r="AK95" s="111" t="e">
        <f>#REF!</f>
        <v>#REF!</v>
      </c>
      <c r="AL95" s="111" t="e">
        <f>#REF!</f>
        <v>#REF!</v>
      </c>
      <c r="AM95" s="111" t="e">
        <f>#REF!</f>
        <v>#REF!</v>
      </c>
      <c r="AN95" s="111" t="e">
        <f>#REF!</f>
        <v>#REF!</v>
      </c>
      <c r="AO95" s="112" t="e">
        <f>#REF!</f>
        <v>#REF!</v>
      </c>
      <c r="AP95" s="112" t="e">
        <f>#REF!</f>
        <v>#REF!</v>
      </c>
      <c r="AQ95" s="112" t="e">
        <f>#REF!</f>
        <v>#REF!</v>
      </c>
      <c r="AR95" s="112" t="e">
        <f>#REF!</f>
        <v>#REF!</v>
      </c>
      <c r="AS95" s="112" t="e">
        <f>#REF!</f>
        <v>#REF!</v>
      </c>
      <c r="AT95" s="112" t="e">
        <f>#REF!</f>
        <v>#REF!</v>
      </c>
      <c r="AU95" s="112" t="e">
        <f>#REF!</f>
        <v>#REF!</v>
      </c>
      <c r="AV95" s="112" t="e">
        <f>#REF!</f>
        <v>#REF!</v>
      </c>
      <c r="AW95" s="112" t="e">
        <f>#REF!</f>
        <v>#REF!</v>
      </c>
      <c r="AX95" s="112" t="e">
        <f>#REF!</f>
        <v>#REF!</v>
      </c>
      <c r="AY95" s="112" t="e">
        <f>#REF!</f>
        <v>#REF!</v>
      </c>
      <c r="AZ95" s="112" t="e">
        <f>#REF!</f>
        <v>#REF!</v>
      </c>
      <c r="BA95" s="112" t="e">
        <f>#REF!</f>
        <v>#REF!</v>
      </c>
      <c r="BB95" s="112" t="e">
        <f>#REF!</f>
        <v>#REF!</v>
      </c>
      <c r="BC95" s="112" t="e">
        <f>#REF!</f>
        <v>#REF!</v>
      </c>
      <c r="BD95" s="112" t="e">
        <f>#REF!</f>
        <v>#REF!</v>
      </c>
      <c r="BE95" s="112" t="e">
        <f>#REF!</f>
        <v>#REF!</v>
      </c>
      <c r="BF95" s="112" t="e">
        <f>#REF!</f>
        <v>#REF!</v>
      </c>
      <c r="BG95" s="112" t="e">
        <f>#REF!</f>
        <v>#REF!</v>
      </c>
      <c r="BH95" s="112" t="e">
        <f>#REF!</f>
        <v>#REF!</v>
      </c>
      <c r="BI95" s="112" t="e">
        <f>#REF!</f>
        <v>#REF!</v>
      </c>
      <c r="BJ95" s="112" t="e">
        <f>#REF!</f>
        <v>#REF!</v>
      </c>
      <c r="BK95" s="112" t="e">
        <f>#REF!</f>
        <v>#REF!</v>
      </c>
      <c r="BL95" s="112" t="e">
        <f>#REF!</f>
        <v>#REF!</v>
      </c>
      <c r="BM95" s="112" t="e">
        <f>#REF!</f>
        <v>#REF!</v>
      </c>
      <c r="BN95" s="112" t="e">
        <f>#REF!</f>
        <v>#REF!</v>
      </c>
      <c r="BO95" s="112" t="e">
        <f>#REF!</f>
        <v>#REF!</v>
      </c>
      <c r="BP95" s="112" t="e">
        <f>#REF!</f>
        <v>#REF!</v>
      </c>
      <c r="BQ95" s="112" t="e">
        <f>#REF!</f>
        <v>#REF!</v>
      </c>
      <c r="BR95" s="112" t="e">
        <f>#REF!</f>
        <v>#REF!</v>
      </c>
      <c r="BS95" s="112"/>
      <c r="BT95" s="112"/>
      <c r="BU95" s="178" t="e">
        <f>AVERAGE(E95:AP95)</f>
        <v>#REF!</v>
      </c>
    </row>
    <row r="96" spans="1:74" hidden="1" x14ac:dyDescent="0.2">
      <c r="A96" s="149" t="s">
        <v>166</v>
      </c>
      <c r="B96" s="141" t="s">
        <v>204</v>
      </c>
      <c r="C96" s="174"/>
      <c r="D96" s="177" t="s">
        <v>16</v>
      </c>
      <c r="E96" s="130"/>
      <c r="F96" s="130"/>
      <c r="G96" s="130"/>
      <c r="H96" s="130"/>
      <c r="I96" s="130">
        <f t="shared" ref="I96:BR96" si="25">+I88</f>
        <v>1.6</v>
      </c>
      <c r="J96" s="130">
        <f t="shared" si="25"/>
        <v>3.5</v>
      </c>
      <c r="K96" s="130">
        <f t="shared" si="25"/>
        <v>12</v>
      </c>
      <c r="L96" s="130">
        <f t="shared" ref="L96:AJ96" si="26">+L88</f>
        <v>26.5</v>
      </c>
      <c r="M96" s="130">
        <f t="shared" si="26"/>
        <v>26.5</v>
      </c>
      <c r="N96" s="130">
        <f t="shared" si="26"/>
        <v>26.5</v>
      </c>
      <c r="O96" s="130">
        <f t="shared" si="26"/>
        <v>26.5</v>
      </c>
      <c r="P96" s="130">
        <f t="shared" si="26"/>
        <v>26.5</v>
      </c>
      <c r="Q96" s="130">
        <f t="shared" si="26"/>
        <v>26.5</v>
      </c>
      <c r="R96" s="130">
        <f t="shared" si="26"/>
        <v>26.5</v>
      </c>
      <c r="S96" s="130">
        <f t="shared" si="26"/>
        <v>26.5</v>
      </c>
      <c r="T96" s="130">
        <f t="shared" si="26"/>
        <v>26.5</v>
      </c>
      <c r="U96" s="130">
        <f t="shared" si="26"/>
        <v>26.5</v>
      </c>
      <c r="V96" s="130">
        <f t="shared" si="26"/>
        <v>26.5</v>
      </c>
      <c r="W96" s="130">
        <f t="shared" si="26"/>
        <v>26.5</v>
      </c>
      <c r="X96" s="130">
        <f t="shared" si="26"/>
        <v>26.5</v>
      </c>
      <c r="Y96" s="130">
        <f t="shared" si="26"/>
        <v>26.5</v>
      </c>
      <c r="Z96" s="130">
        <f t="shared" si="26"/>
        <v>26.5</v>
      </c>
      <c r="AA96" s="130">
        <f t="shared" si="26"/>
        <v>26.5</v>
      </c>
      <c r="AB96" s="130">
        <f t="shared" si="26"/>
        <v>26.5</v>
      </c>
      <c r="AC96" s="130">
        <f t="shared" si="26"/>
        <v>26.5</v>
      </c>
      <c r="AD96" s="130">
        <f t="shared" si="26"/>
        <v>26.5</v>
      </c>
      <c r="AE96" s="130">
        <f t="shared" si="26"/>
        <v>26.5</v>
      </c>
      <c r="AF96" s="130">
        <f t="shared" si="26"/>
        <v>26.5</v>
      </c>
      <c r="AG96" s="130">
        <f t="shared" si="26"/>
        <v>26.5</v>
      </c>
      <c r="AH96" s="130">
        <f t="shared" si="26"/>
        <v>26.5</v>
      </c>
      <c r="AI96" s="130">
        <f t="shared" si="26"/>
        <v>26.5</v>
      </c>
      <c r="AJ96" s="130">
        <f t="shared" si="26"/>
        <v>26.5</v>
      </c>
      <c r="AK96" s="130">
        <f t="shared" si="25"/>
        <v>26.5</v>
      </c>
      <c r="AL96" s="130">
        <f t="shared" si="25"/>
        <v>12</v>
      </c>
      <c r="AM96" s="130">
        <f t="shared" si="25"/>
        <v>17.5</v>
      </c>
      <c r="AN96" s="130">
        <f t="shared" si="25"/>
        <v>26</v>
      </c>
      <c r="AO96" s="130">
        <f t="shared" si="25"/>
        <v>35</v>
      </c>
      <c r="AP96" s="130">
        <f t="shared" si="25"/>
        <v>20.5</v>
      </c>
      <c r="AQ96" s="130">
        <f t="shared" si="25"/>
        <v>32.5</v>
      </c>
      <c r="AR96" s="130">
        <f t="shared" si="25"/>
        <v>47</v>
      </c>
      <c r="AS96" s="130">
        <f t="shared" si="25"/>
        <v>53</v>
      </c>
      <c r="AT96" s="130">
        <f t="shared" si="25"/>
        <v>53</v>
      </c>
      <c r="AU96" s="130">
        <f t="shared" si="25"/>
        <v>53</v>
      </c>
      <c r="AV96" s="130">
        <f t="shared" si="25"/>
        <v>53</v>
      </c>
      <c r="AW96" s="130">
        <f t="shared" si="25"/>
        <v>53</v>
      </c>
      <c r="AX96" s="130">
        <f t="shared" si="25"/>
        <v>53</v>
      </c>
      <c r="AY96" s="130">
        <f t="shared" si="25"/>
        <v>53</v>
      </c>
      <c r="AZ96" s="130">
        <f t="shared" si="25"/>
        <v>53</v>
      </c>
      <c r="BA96" s="130">
        <f t="shared" si="25"/>
        <v>53</v>
      </c>
      <c r="BB96" s="130">
        <f t="shared" si="25"/>
        <v>53</v>
      </c>
      <c r="BC96" s="130">
        <f t="shared" si="25"/>
        <v>53</v>
      </c>
      <c r="BD96" s="130">
        <f t="shared" si="25"/>
        <v>53</v>
      </c>
      <c r="BE96" s="130">
        <f t="shared" si="25"/>
        <v>53</v>
      </c>
      <c r="BF96" s="130">
        <f t="shared" si="25"/>
        <v>53</v>
      </c>
      <c r="BG96" s="130">
        <f t="shared" si="25"/>
        <v>53</v>
      </c>
      <c r="BH96" s="130">
        <f t="shared" si="25"/>
        <v>53</v>
      </c>
      <c r="BI96" s="130">
        <f t="shared" si="25"/>
        <v>53</v>
      </c>
      <c r="BJ96" s="130">
        <f t="shared" si="25"/>
        <v>53</v>
      </c>
      <c r="BK96" s="130">
        <f t="shared" si="25"/>
        <v>53</v>
      </c>
      <c r="BL96" s="130">
        <f t="shared" si="25"/>
        <v>53</v>
      </c>
      <c r="BM96" s="130">
        <f t="shared" si="25"/>
        <v>53</v>
      </c>
      <c r="BN96" s="130">
        <f t="shared" si="25"/>
        <v>53</v>
      </c>
      <c r="BO96" s="130">
        <f t="shared" si="25"/>
        <v>53</v>
      </c>
      <c r="BP96" s="130">
        <f t="shared" si="25"/>
        <v>53</v>
      </c>
      <c r="BQ96" s="130">
        <f t="shared" si="25"/>
        <v>53</v>
      </c>
      <c r="BR96" s="130">
        <f t="shared" si="25"/>
        <v>53</v>
      </c>
      <c r="BS96" s="131"/>
      <c r="BT96" s="131"/>
      <c r="BU96" s="178">
        <f>SUM(E96:AP96)</f>
        <v>817.1</v>
      </c>
    </row>
    <row r="97" spans="1:73" hidden="1" x14ac:dyDescent="0.2">
      <c r="A97" s="149" t="s">
        <v>179</v>
      </c>
      <c r="B97" s="141" t="s">
        <v>205</v>
      </c>
      <c r="C97" s="174"/>
      <c r="D97" s="177" t="s">
        <v>206</v>
      </c>
      <c r="E97" s="111">
        <v>24</v>
      </c>
      <c r="F97" s="111">
        <v>24</v>
      </c>
      <c r="G97" s="111">
        <v>24</v>
      </c>
      <c r="H97" s="111"/>
      <c r="I97" s="111">
        <v>24</v>
      </c>
      <c r="J97" s="111">
        <v>24</v>
      </c>
      <c r="K97" s="111">
        <v>24</v>
      </c>
      <c r="L97" s="111">
        <v>24</v>
      </c>
      <c r="M97" s="111">
        <v>24</v>
      </c>
      <c r="N97" s="111">
        <v>24</v>
      </c>
      <c r="O97" s="111">
        <v>24</v>
      </c>
      <c r="P97" s="111">
        <v>24</v>
      </c>
      <c r="Q97" s="111">
        <v>24</v>
      </c>
      <c r="R97" s="111">
        <v>24</v>
      </c>
      <c r="S97" s="111">
        <v>24</v>
      </c>
      <c r="T97" s="111">
        <v>24</v>
      </c>
      <c r="U97" s="111">
        <v>24</v>
      </c>
      <c r="V97" s="111">
        <v>24</v>
      </c>
      <c r="W97" s="111">
        <v>24</v>
      </c>
      <c r="X97" s="111">
        <v>24</v>
      </c>
      <c r="Y97" s="111">
        <v>24</v>
      </c>
      <c r="Z97" s="111">
        <v>24</v>
      </c>
      <c r="AA97" s="111">
        <v>24</v>
      </c>
      <c r="AB97" s="111">
        <v>24</v>
      </c>
      <c r="AC97" s="111">
        <v>24</v>
      </c>
      <c r="AD97" s="111">
        <v>24</v>
      </c>
      <c r="AE97" s="111">
        <v>24</v>
      </c>
      <c r="AF97" s="111">
        <v>24</v>
      </c>
      <c r="AG97" s="111">
        <v>24</v>
      </c>
      <c r="AH97" s="111">
        <v>24</v>
      </c>
      <c r="AI97" s="111">
        <v>24</v>
      </c>
      <c r="AJ97" s="111">
        <v>24</v>
      </c>
      <c r="AK97" s="111">
        <v>24</v>
      </c>
      <c r="AL97" s="111">
        <v>24</v>
      </c>
      <c r="AM97" s="111">
        <v>24</v>
      </c>
      <c r="AN97" s="111">
        <v>24</v>
      </c>
      <c r="AO97" s="111">
        <v>24</v>
      </c>
      <c r="AP97" s="111">
        <v>24</v>
      </c>
      <c r="AQ97" s="111">
        <v>24</v>
      </c>
      <c r="AR97" s="111">
        <v>24</v>
      </c>
      <c r="AS97" s="111">
        <v>24</v>
      </c>
      <c r="AT97" s="111">
        <v>24</v>
      </c>
      <c r="AU97" s="111">
        <v>24</v>
      </c>
      <c r="AV97" s="111">
        <v>24</v>
      </c>
      <c r="AW97" s="111">
        <v>24</v>
      </c>
      <c r="AX97" s="111">
        <v>24</v>
      </c>
      <c r="AY97" s="111">
        <v>24</v>
      </c>
      <c r="AZ97" s="111">
        <v>24</v>
      </c>
      <c r="BA97" s="111">
        <v>24</v>
      </c>
      <c r="BB97" s="111">
        <v>24</v>
      </c>
      <c r="BC97" s="111">
        <v>24</v>
      </c>
      <c r="BD97" s="111">
        <v>24</v>
      </c>
      <c r="BE97" s="111">
        <v>24</v>
      </c>
      <c r="BF97" s="111">
        <v>24</v>
      </c>
      <c r="BG97" s="111">
        <v>24</v>
      </c>
      <c r="BH97" s="111">
        <v>24</v>
      </c>
      <c r="BI97" s="111">
        <v>24</v>
      </c>
      <c r="BJ97" s="111">
        <v>24</v>
      </c>
      <c r="BK97" s="111">
        <v>24</v>
      </c>
      <c r="BL97" s="111">
        <v>24</v>
      </c>
      <c r="BM97" s="111">
        <v>24</v>
      </c>
      <c r="BN97" s="111">
        <v>24</v>
      </c>
      <c r="BO97" s="111">
        <v>24</v>
      </c>
      <c r="BP97" s="111">
        <v>24</v>
      </c>
      <c r="BQ97" s="111">
        <v>24</v>
      </c>
      <c r="BR97" s="111">
        <v>24</v>
      </c>
      <c r="BS97" s="112"/>
      <c r="BT97" s="112"/>
      <c r="BU97" s="178">
        <f>SUM(E97:AP97)</f>
        <v>888</v>
      </c>
    </row>
    <row r="98" spans="1:73" hidden="1" x14ac:dyDescent="0.2">
      <c r="A98" s="149" t="s">
        <v>181</v>
      </c>
      <c r="B98" s="141" t="s">
        <v>207</v>
      </c>
      <c r="C98" s="174"/>
      <c r="D98" s="177" t="s">
        <v>206</v>
      </c>
      <c r="E98" s="130">
        <f t="shared" ref="E98:BR98" si="27">E58</f>
        <v>0</v>
      </c>
      <c r="F98" s="111">
        <f t="shared" si="27"/>
        <v>0</v>
      </c>
      <c r="G98" s="111">
        <f t="shared" si="27"/>
        <v>0</v>
      </c>
      <c r="H98" s="111"/>
      <c r="I98" s="130" t="e">
        <f t="shared" si="27"/>
        <v>#REF!</v>
      </c>
      <c r="J98" s="130" t="e">
        <f t="shared" si="27"/>
        <v>#REF!</v>
      </c>
      <c r="K98" s="130" t="e">
        <f t="shared" si="27"/>
        <v>#REF!</v>
      </c>
      <c r="L98" s="130" t="e">
        <f t="shared" ref="L98:AJ98" si="28">L58</f>
        <v>#REF!</v>
      </c>
      <c r="M98" s="130" t="e">
        <f t="shared" si="28"/>
        <v>#REF!</v>
      </c>
      <c r="N98" s="130" t="e">
        <f t="shared" si="28"/>
        <v>#REF!</v>
      </c>
      <c r="O98" s="130" t="e">
        <f t="shared" si="28"/>
        <v>#REF!</v>
      </c>
      <c r="P98" s="130" t="e">
        <f t="shared" si="28"/>
        <v>#REF!</v>
      </c>
      <c r="Q98" s="130" t="e">
        <f t="shared" si="28"/>
        <v>#REF!</v>
      </c>
      <c r="R98" s="130" t="e">
        <f t="shared" si="28"/>
        <v>#REF!</v>
      </c>
      <c r="S98" s="130" t="e">
        <f t="shared" si="28"/>
        <v>#REF!</v>
      </c>
      <c r="T98" s="130" t="e">
        <f t="shared" si="28"/>
        <v>#REF!</v>
      </c>
      <c r="U98" s="130" t="e">
        <f t="shared" si="28"/>
        <v>#REF!</v>
      </c>
      <c r="V98" s="130" t="e">
        <f t="shared" si="28"/>
        <v>#REF!</v>
      </c>
      <c r="W98" s="130" t="e">
        <f t="shared" si="28"/>
        <v>#REF!</v>
      </c>
      <c r="X98" s="130" t="e">
        <f t="shared" si="28"/>
        <v>#REF!</v>
      </c>
      <c r="Y98" s="130" t="e">
        <f t="shared" si="28"/>
        <v>#REF!</v>
      </c>
      <c r="Z98" s="130" t="e">
        <f t="shared" si="28"/>
        <v>#REF!</v>
      </c>
      <c r="AA98" s="130" t="e">
        <f t="shared" si="28"/>
        <v>#REF!</v>
      </c>
      <c r="AB98" s="130" t="e">
        <f t="shared" si="28"/>
        <v>#REF!</v>
      </c>
      <c r="AC98" s="130" t="e">
        <f t="shared" si="28"/>
        <v>#REF!</v>
      </c>
      <c r="AD98" s="130" t="e">
        <f t="shared" si="28"/>
        <v>#REF!</v>
      </c>
      <c r="AE98" s="130" t="e">
        <f t="shared" si="28"/>
        <v>#REF!</v>
      </c>
      <c r="AF98" s="130" t="e">
        <f t="shared" si="28"/>
        <v>#REF!</v>
      </c>
      <c r="AG98" s="130" t="e">
        <f t="shared" si="28"/>
        <v>#REF!</v>
      </c>
      <c r="AH98" s="130" t="e">
        <f t="shared" si="28"/>
        <v>#REF!</v>
      </c>
      <c r="AI98" s="130" t="e">
        <f t="shared" si="28"/>
        <v>#REF!</v>
      </c>
      <c r="AJ98" s="130" t="e">
        <f t="shared" si="28"/>
        <v>#REF!</v>
      </c>
      <c r="AK98" s="130" t="e">
        <f t="shared" si="27"/>
        <v>#REF!</v>
      </c>
      <c r="AL98" s="130" t="e">
        <f t="shared" si="27"/>
        <v>#REF!</v>
      </c>
      <c r="AM98" s="130" t="e">
        <f t="shared" si="27"/>
        <v>#REF!</v>
      </c>
      <c r="AN98" s="130" t="e">
        <f t="shared" si="27"/>
        <v>#REF!</v>
      </c>
      <c r="AO98" s="130" t="e">
        <f t="shared" si="27"/>
        <v>#REF!</v>
      </c>
      <c r="AP98" s="130" t="e">
        <f t="shared" si="27"/>
        <v>#REF!</v>
      </c>
      <c r="AQ98" s="130" t="e">
        <f t="shared" si="27"/>
        <v>#REF!</v>
      </c>
      <c r="AR98" s="130" t="e">
        <f t="shared" si="27"/>
        <v>#REF!</v>
      </c>
      <c r="AS98" s="130" t="e">
        <f t="shared" si="27"/>
        <v>#REF!</v>
      </c>
      <c r="AT98" s="130" t="e">
        <f t="shared" si="27"/>
        <v>#REF!</v>
      </c>
      <c r="AU98" s="130" t="e">
        <f t="shared" si="27"/>
        <v>#REF!</v>
      </c>
      <c r="AV98" s="130" t="e">
        <f t="shared" si="27"/>
        <v>#REF!</v>
      </c>
      <c r="AW98" s="130" t="e">
        <f t="shared" si="27"/>
        <v>#REF!</v>
      </c>
      <c r="AX98" s="130" t="e">
        <f t="shared" si="27"/>
        <v>#REF!</v>
      </c>
      <c r="AY98" s="130" t="e">
        <f t="shared" si="27"/>
        <v>#REF!</v>
      </c>
      <c r="AZ98" s="130" t="e">
        <f t="shared" si="27"/>
        <v>#REF!</v>
      </c>
      <c r="BA98" s="130" t="e">
        <f t="shared" si="27"/>
        <v>#REF!</v>
      </c>
      <c r="BB98" s="130" t="e">
        <f t="shared" si="27"/>
        <v>#REF!</v>
      </c>
      <c r="BC98" s="130" t="e">
        <f t="shared" si="27"/>
        <v>#REF!</v>
      </c>
      <c r="BD98" s="130" t="e">
        <f t="shared" si="27"/>
        <v>#REF!</v>
      </c>
      <c r="BE98" s="130" t="e">
        <f t="shared" si="27"/>
        <v>#REF!</v>
      </c>
      <c r="BF98" s="130" t="e">
        <f t="shared" si="27"/>
        <v>#REF!</v>
      </c>
      <c r="BG98" s="130" t="e">
        <f t="shared" si="27"/>
        <v>#REF!</v>
      </c>
      <c r="BH98" s="130" t="e">
        <f t="shared" si="27"/>
        <v>#REF!</v>
      </c>
      <c r="BI98" s="130" t="e">
        <f t="shared" si="27"/>
        <v>#REF!</v>
      </c>
      <c r="BJ98" s="130">
        <f t="shared" si="27"/>
        <v>2</v>
      </c>
      <c r="BK98" s="130">
        <f t="shared" si="27"/>
        <v>2</v>
      </c>
      <c r="BL98" s="130">
        <f t="shared" si="27"/>
        <v>2</v>
      </c>
      <c r="BM98" s="130">
        <f t="shared" si="27"/>
        <v>2</v>
      </c>
      <c r="BN98" s="130">
        <f t="shared" si="27"/>
        <v>2</v>
      </c>
      <c r="BO98" s="130">
        <f t="shared" si="27"/>
        <v>2</v>
      </c>
      <c r="BP98" s="130">
        <f t="shared" si="27"/>
        <v>2</v>
      </c>
      <c r="BQ98" s="130">
        <f t="shared" si="27"/>
        <v>2</v>
      </c>
      <c r="BR98" s="130">
        <f t="shared" si="27"/>
        <v>2</v>
      </c>
      <c r="BS98" s="131"/>
      <c r="BT98" s="131"/>
      <c r="BU98" s="178" t="e">
        <f>SUM(E98:AP98)</f>
        <v>#REF!</v>
      </c>
    </row>
    <row r="99" spans="1:73" hidden="1" x14ac:dyDescent="0.2">
      <c r="A99" s="149" t="s">
        <v>183</v>
      </c>
      <c r="B99" s="141" t="s">
        <v>208</v>
      </c>
      <c r="C99" s="174"/>
      <c r="D99" s="177" t="s">
        <v>206</v>
      </c>
      <c r="E99" s="111">
        <v>0</v>
      </c>
      <c r="F99" s="111">
        <v>0</v>
      </c>
      <c r="G99" s="111">
        <v>0</v>
      </c>
      <c r="H99" s="111"/>
      <c r="I99" s="111">
        <v>0</v>
      </c>
      <c r="J99" s="111">
        <v>0</v>
      </c>
      <c r="K99" s="111">
        <v>0</v>
      </c>
      <c r="L99" s="111">
        <v>0</v>
      </c>
      <c r="M99" s="111">
        <v>0</v>
      </c>
      <c r="N99" s="111">
        <v>0</v>
      </c>
      <c r="O99" s="111">
        <v>0</v>
      </c>
      <c r="P99" s="111">
        <v>0</v>
      </c>
      <c r="Q99" s="111">
        <v>0</v>
      </c>
      <c r="R99" s="111">
        <v>0</v>
      </c>
      <c r="S99" s="111">
        <v>0</v>
      </c>
      <c r="T99" s="111">
        <v>0</v>
      </c>
      <c r="U99" s="111">
        <v>0</v>
      </c>
      <c r="V99" s="111">
        <v>0</v>
      </c>
      <c r="W99" s="111">
        <v>0</v>
      </c>
      <c r="X99" s="111">
        <v>0</v>
      </c>
      <c r="Y99" s="111">
        <v>0</v>
      </c>
      <c r="Z99" s="111">
        <v>0</v>
      </c>
      <c r="AA99" s="111">
        <v>0</v>
      </c>
      <c r="AB99" s="111">
        <v>0</v>
      </c>
      <c r="AC99" s="111">
        <v>0</v>
      </c>
      <c r="AD99" s="111">
        <v>0</v>
      </c>
      <c r="AE99" s="111">
        <v>0</v>
      </c>
      <c r="AF99" s="111">
        <v>0</v>
      </c>
      <c r="AG99" s="111">
        <v>0</v>
      </c>
      <c r="AH99" s="111">
        <v>0</v>
      </c>
      <c r="AI99" s="111">
        <v>0</v>
      </c>
      <c r="AJ99" s="111">
        <v>0</v>
      </c>
      <c r="AK99" s="111">
        <v>0</v>
      </c>
      <c r="AL99" s="111">
        <v>0</v>
      </c>
      <c r="AM99" s="111">
        <v>0</v>
      </c>
      <c r="AN99" s="111">
        <v>0</v>
      </c>
      <c r="AO99" s="112">
        <v>0</v>
      </c>
      <c r="AP99" s="112">
        <v>0</v>
      </c>
      <c r="AQ99" s="112">
        <v>0</v>
      </c>
      <c r="AR99" s="112">
        <v>0</v>
      </c>
      <c r="AS99" s="112">
        <v>0</v>
      </c>
      <c r="AT99" s="112">
        <v>0</v>
      </c>
      <c r="AU99" s="112">
        <v>0</v>
      </c>
      <c r="AV99" s="112">
        <v>0</v>
      </c>
      <c r="AW99" s="112">
        <v>0</v>
      </c>
      <c r="AX99" s="112">
        <v>0</v>
      </c>
      <c r="AY99" s="112">
        <v>0</v>
      </c>
      <c r="AZ99" s="112">
        <v>0</v>
      </c>
      <c r="BA99" s="112">
        <v>0</v>
      </c>
      <c r="BB99" s="112">
        <v>0</v>
      </c>
      <c r="BC99" s="112">
        <v>0</v>
      </c>
      <c r="BD99" s="112">
        <v>0</v>
      </c>
      <c r="BE99" s="112">
        <v>0</v>
      </c>
      <c r="BF99" s="112">
        <v>0</v>
      </c>
      <c r="BG99" s="112">
        <v>0</v>
      </c>
      <c r="BH99" s="112">
        <v>0</v>
      </c>
      <c r="BI99" s="112">
        <v>0</v>
      </c>
      <c r="BJ99" s="112">
        <v>0</v>
      </c>
      <c r="BK99" s="112">
        <v>0</v>
      </c>
      <c r="BL99" s="112">
        <v>0</v>
      </c>
      <c r="BM99" s="112">
        <v>0</v>
      </c>
      <c r="BN99" s="112">
        <v>0</v>
      </c>
      <c r="BO99" s="112">
        <v>0</v>
      </c>
      <c r="BP99" s="112">
        <v>0</v>
      </c>
      <c r="BQ99" s="112">
        <v>0</v>
      </c>
      <c r="BR99" s="112">
        <v>0</v>
      </c>
      <c r="BS99" s="112"/>
      <c r="BT99" s="112"/>
      <c r="BU99" s="178">
        <f>SUM(E99:AP99)</f>
        <v>0</v>
      </c>
    </row>
    <row r="100" spans="1:73" hidden="1" x14ac:dyDescent="0.2">
      <c r="A100" s="149"/>
      <c r="B100" s="141"/>
      <c r="C100" s="174"/>
      <c r="D100" s="177"/>
      <c r="E100" s="130"/>
      <c r="F100" s="177"/>
      <c r="G100" s="130"/>
      <c r="H100" s="141"/>
      <c r="I100" s="141"/>
      <c r="J100" s="141"/>
      <c r="K100" s="141"/>
      <c r="L100" s="141"/>
      <c r="M100" s="141"/>
      <c r="N100" s="141"/>
      <c r="O100" s="141"/>
      <c r="P100" s="141"/>
      <c r="Q100" s="141"/>
      <c r="R100" s="141"/>
      <c r="S100" s="141"/>
      <c r="T100" s="141"/>
      <c r="U100" s="141"/>
      <c r="V100" s="141"/>
      <c r="W100" s="141"/>
      <c r="X100" s="141"/>
      <c r="Y100" s="141"/>
      <c r="Z100" s="141"/>
      <c r="AA100" s="141"/>
      <c r="AB100" s="141"/>
      <c r="AC100" s="141"/>
      <c r="AD100" s="141"/>
      <c r="AE100" s="141"/>
      <c r="AF100" s="141"/>
      <c r="AG100" s="141"/>
      <c r="AH100" s="141"/>
      <c r="AI100" s="141"/>
      <c r="AJ100" s="141"/>
      <c r="AK100" s="141"/>
      <c r="AL100" s="141"/>
      <c r="AM100" s="141"/>
      <c r="AN100" s="146"/>
      <c r="AO100" s="146"/>
      <c r="AP100" s="146"/>
      <c r="AQ100" s="146"/>
      <c r="AR100" s="146"/>
      <c r="AS100" s="146"/>
      <c r="AT100" s="146"/>
      <c r="AU100" s="146"/>
      <c r="AV100" s="146"/>
      <c r="AW100" s="146"/>
      <c r="AX100" s="146"/>
      <c r="AY100" s="146"/>
      <c r="AZ100" s="146"/>
      <c r="BA100" s="146"/>
      <c r="BB100" s="146"/>
      <c r="BC100" s="146"/>
      <c r="BD100" s="146"/>
      <c r="BE100" s="146"/>
      <c r="BF100" s="146"/>
      <c r="BG100" s="146"/>
      <c r="BH100" s="146"/>
      <c r="BI100" s="146"/>
      <c r="BJ100" s="146"/>
      <c r="BK100" s="146"/>
      <c r="BL100" s="146"/>
      <c r="BM100" s="146"/>
      <c r="BN100" s="146"/>
      <c r="BO100" s="146"/>
      <c r="BP100" s="146"/>
      <c r="BQ100" s="146"/>
      <c r="BR100" s="146"/>
      <c r="BS100" s="146"/>
      <c r="BT100" s="146"/>
      <c r="BU100" s="178"/>
    </row>
    <row r="101" spans="1:73" hidden="1" x14ac:dyDescent="0.2">
      <c r="A101" s="149" t="s">
        <v>209</v>
      </c>
      <c r="B101" s="141" t="s">
        <v>210</v>
      </c>
      <c r="C101" s="174"/>
      <c r="D101" s="177" t="s">
        <v>211</v>
      </c>
      <c r="E101" s="111">
        <f>E93*E94*E95*60/1000000</f>
        <v>0</v>
      </c>
      <c r="F101" s="111">
        <f>F93*F94*F95*60/1000000</f>
        <v>0</v>
      </c>
      <c r="G101" s="111">
        <f>G93*G94*G95*60/1000000</f>
        <v>0</v>
      </c>
      <c r="H101" s="111"/>
      <c r="I101" s="111" t="e">
        <f>I93*I94*I95*60/1000000</f>
        <v>#REF!</v>
      </c>
      <c r="J101" s="111" t="e">
        <f t="shared" ref="J101:BR101" si="29">J93*J94*J95*60/1000000</f>
        <v>#REF!</v>
      </c>
      <c r="K101" s="111" t="e">
        <f t="shared" si="29"/>
        <v>#REF!</v>
      </c>
      <c r="L101" s="111" t="e">
        <f t="shared" ref="L101:AJ101" si="30">L93*L94*L95*60/1000000</f>
        <v>#REF!</v>
      </c>
      <c r="M101" s="111" t="e">
        <f t="shared" si="30"/>
        <v>#REF!</v>
      </c>
      <c r="N101" s="111" t="e">
        <f t="shared" si="30"/>
        <v>#REF!</v>
      </c>
      <c r="O101" s="111" t="e">
        <f t="shared" si="30"/>
        <v>#REF!</v>
      </c>
      <c r="P101" s="111" t="e">
        <f t="shared" si="30"/>
        <v>#REF!</v>
      </c>
      <c r="Q101" s="111" t="e">
        <f t="shared" si="30"/>
        <v>#REF!</v>
      </c>
      <c r="R101" s="111" t="e">
        <f t="shared" si="30"/>
        <v>#REF!</v>
      </c>
      <c r="S101" s="111" t="e">
        <f t="shared" si="30"/>
        <v>#REF!</v>
      </c>
      <c r="T101" s="111" t="e">
        <f t="shared" si="30"/>
        <v>#REF!</v>
      </c>
      <c r="U101" s="111" t="e">
        <f t="shared" si="30"/>
        <v>#REF!</v>
      </c>
      <c r="V101" s="111" t="e">
        <f t="shared" si="30"/>
        <v>#REF!</v>
      </c>
      <c r="W101" s="111" t="e">
        <f t="shared" si="30"/>
        <v>#REF!</v>
      </c>
      <c r="X101" s="111" t="e">
        <f t="shared" si="30"/>
        <v>#REF!</v>
      </c>
      <c r="Y101" s="111" t="e">
        <f t="shared" si="30"/>
        <v>#REF!</v>
      </c>
      <c r="Z101" s="111" t="e">
        <f t="shared" si="30"/>
        <v>#REF!</v>
      </c>
      <c r="AA101" s="111" t="e">
        <f t="shared" si="30"/>
        <v>#REF!</v>
      </c>
      <c r="AB101" s="111" t="e">
        <f t="shared" si="30"/>
        <v>#REF!</v>
      </c>
      <c r="AC101" s="111" t="e">
        <f t="shared" si="30"/>
        <v>#REF!</v>
      </c>
      <c r="AD101" s="111" t="e">
        <f t="shared" si="30"/>
        <v>#REF!</v>
      </c>
      <c r="AE101" s="111" t="e">
        <f t="shared" si="30"/>
        <v>#REF!</v>
      </c>
      <c r="AF101" s="111" t="e">
        <f t="shared" si="30"/>
        <v>#REF!</v>
      </c>
      <c r="AG101" s="111" t="e">
        <f t="shared" si="30"/>
        <v>#REF!</v>
      </c>
      <c r="AH101" s="111" t="e">
        <f t="shared" si="30"/>
        <v>#REF!</v>
      </c>
      <c r="AI101" s="111" t="e">
        <f t="shared" si="30"/>
        <v>#REF!</v>
      </c>
      <c r="AJ101" s="111" t="e">
        <f t="shared" si="30"/>
        <v>#REF!</v>
      </c>
      <c r="AK101" s="111" t="e">
        <f t="shared" si="29"/>
        <v>#REF!</v>
      </c>
      <c r="AL101" s="111" t="e">
        <f t="shared" si="29"/>
        <v>#REF!</v>
      </c>
      <c r="AM101" s="111" t="e">
        <f t="shared" si="29"/>
        <v>#REF!</v>
      </c>
      <c r="AN101" s="111" t="e">
        <f t="shared" si="29"/>
        <v>#REF!</v>
      </c>
      <c r="AO101" s="111" t="e">
        <f t="shared" si="29"/>
        <v>#REF!</v>
      </c>
      <c r="AP101" s="111" t="e">
        <f t="shared" si="29"/>
        <v>#REF!</v>
      </c>
      <c r="AQ101" s="111" t="e">
        <f t="shared" si="29"/>
        <v>#REF!</v>
      </c>
      <c r="AR101" s="111" t="e">
        <f t="shared" si="29"/>
        <v>#REF!</v>
      </c>
      <c r="AS101" s="111" t="e">
        <f t="shared" si="29"/>
        <v>#REF!</v>
      </c>
      <c r="AT101" s="111" t="e">
        <f t="shared" si="29"/>
        <v>#REF!</v>
      </c>
      <c r="AU101" s="111" t="e">
        <f t="shared" si="29"/>
        <v>#REF!</v>
      </c>
      <c r="AV101" s="111" t="e">
        <f t="shared" si="29"/>
        <v>#REF!</v>
      </c>
      <c r="AW101" s="111" t="e">
        <f t="shared" si="29"/>
        <v>#REF!</v>
      </c>
      <c r="AX101" s="111" t="e">
        <f t="shared" si="29"/>
        <v>#REF!</v>
      </c>
      <c r="AY101" s="111" t="e">
        <f t="shared" si="29"/>
        <v>#REF!</v>
      </c>
      <c r="AZ101" s="111" t="e">
        <f t="shared" si="29"/>
        <v>#REF!</v>
      </c>
      <c r="BA101" s="111" t="e">
        <f t="shared" si="29"/>
        <v>#REF!</v>
      </c>
      <c r="BB101" s="111" t="e">
        <f t="shared" si="29"/>
        <v>#REF!</v>
      </c>
      <c r="BC101" s="111" t="e">
        <f t="shared" si="29"/>
        <v>#REF!</v>
      </c>
      <c r="BD101" s="111" t="e">
        <f t="shared" si="29"/>
        <v>#REF!</v>
      </c>
      <c r="BE101" s="111" t="e">
        <f t="shared" si="29"/>
        <v>#REF!</v>
      </c>
      <c r="BF101" s="111" t="e">
        <f t="shared" si="29"/>
        <v>#REF!</v>
      </c>
      <c r="BG101" s="111" t="e">
        <f t="shared" si="29"/>
        <v>#REF!</v>
      </c>
      <c r="BH101" s="111" t="e">
        <f t="shared" si="29"/>
        <v>#REF!</v>
      </c>
      <c r="BI101" s="111" t="e">
        <f t="shared" si="29"/>
        <v>#REF!</v>
      </c>
      <c r="BJ101" s="111" t="e">
        <f t="shared" si="29"/>
        <v>#REF!</v>
      </c>
      <c r="BK101" s="111" t="e">
        <f t="shared" si="29"/>
        <v>#REF!</v>
      </c>
      <c r="BL101" s="111" t="e">
        <f t="shared" si="29"/>
        <v>#REF!</v>
      </c>
      <c r="BM101" s="111" t="e">
        <f t="shared" si="29"/>
        <v>#REF!</v>
      </c>
      <c r="BN101" s="111" t="e">
        <f t="shared" si="29"/>
        <v>#REF!</v>
      </c>
      <c r="BO101" s="111" t="e">
        <f t="shared" si="29"/>
        <v>#REF!</v>
      </c>
      <c r="BP101" s="111" t="e">
        <f t="shared" si="29"/>
        <v>#REF!</v>
      </c>
      <c r="BQ101" s="111" t="e">
        <f t="shared" si="29"/>
        <v>#REF!</v>
      </c>
      <c r="BR101" s="111" t="e">
        <f t="shared" si="29"/>
        <v>#REF!</v>
      </c>
      <c r="BS101" s="112"/>
      <c r="BT101" s="112"/>
      <c r="BU101" s="178" t="e">
        <f>BU93*BU94*BU95*60/1000000</f>
        <v>#REF!</v>
      </c>
    </row>
    <row r="102" spans="1:73" hidden="1" x14ac:dyDescent="0.2">
      <c r="A102" s="149" t="s">
        <v>212</v>
      </c>
      <c r="B102" s="141" t="s">
        <v>213</v>
      </c>
      <c r="C102" s="174"/>
      <c r="D102" s="177" t="s">
        <v>214</v>
      </c>
      <c r="E102" s="111" t="e">
        <f t="shared" ref="E102:BU102" si="31">1/E101</f>
        <v>#DIV/0!</v>
      </c>
      <c r="F102" s="111" t="e">
        <f t="shared" si="31"/>
        <v>#DIV/0!</v>
      </c>
      <c r="G102" s="111" t="e">
        <f t="shared" si="31"/>
        <v>#DIV/0!</v>
      </c>
      <c r="H102" s="111"/>
      <c r="I102" s="111" t="e">
        <f t="shared" si="31"/>
        <v>#REF!</v>
      </c>
      <c r="J102" s="111" t="e">
        <f t="shared" si="31"/>
        <v>#REF!</v>
      </c>
      <c r="K102" s="111" t="e">
        <f t="shared" si="31"/>
        <v>#REF!</v>
      </c>
      <c r="L102" s="111" t="e">
        <f t="shared" ref="L102:AJ102" si="32">1/L101</f>
        <v>#REF!</v>
      </c>
      <c r="M102" s="111" t="e">
        <f t="shared" si="32"/>
        <v>#REF!</v>
      </c>
      <c r="N102" s="111" t="e">
        <f t="shared" si="32"/>
        <v>#REF!</v>
      </c>
      <c r="O102" s="111" t="e">
        <f t="shared" si="32"/>
        <v>#REF!</v>
      </c>
      <c r="P102" s="111" t="e">
        <f t="shared" si="32"/>
        <v>#REF!</v>
      </c>
      <c r="Q102" s="111" t="e">
        <f t="shared" si="32"/>
        <v>#REF!</v>
      </c>
      <c r="R102" s="111" t="e">
        <f t="shared" si="32"/>
        <v>#REF!</v>
      </c>
      <c r="S102" s="111" t="e">
        <f t="shared" si="32"/>
        <v>#REF!</v>
      </c>
      <c r="T102" s="111" t="e">
        <f t="shared" si="32"/>
        <v>#REF!</v>
      </c>
      <c r="U102" s="111" t="e">
        <f t="shared" si="32"/>
        <v>#REF!</v>
      </c>
      <c r="V102" s="111" t="e">
        <f t="shared" si="32"/>
        <v>#REF!</v>
      </c>
      <c r="W102" s="111" t="e">
        <f t="shared" si="32"/>
        <v>#REF!</v>
      </c>
      <c r="X102" s="111" t="e">
        <f t="shared" si="32"/>
        <v>#REF!</v>
      </c>
      <c r="Y102" s="111" t="e">
        <f t="shared" si="32"/>
        <v>#REF!</v>
      </c>
      <c r="Z102" s="111" t="e">
        <f t="shared" si="32"/>
        <v>#REF!</v>
      </c>
      <c r="AA102" s="111" t="e">
        <f t="shared" si="32"/>
        <v>#REF!</v>
      </c>
      <c r="AB102" s="111" t="e">
        <f t="shared" si="32"/>
        <v>#REF!</v>
      </c>
      <c r="AC102" s="111" t="e">
        <f t="shared" si="32"/>
        <v>#REF!</v>
      </c>
      <c r="AD102" s="111" t="e">
        <f t="shared" si="32"/>
        <v>#REF!</v>
      </c>
      <c r="AE102" s="111" t="e">
        <f t="shared" si="32"/>
        <v>#REF!</v>
      </c>
      <c r="AF102" s="111" t="e">
        <f t="shared" si="32"/>
        <v>#REF!</v>
      </c>
      <c r="AG102" s="111" t="e">
        <f t="shared" si="32"/>
        <v>#REF!</v>
      </c>
      <c r="AH102" s="111" t="e">
        <f t="shared" si="32"/>
        <v>#REF!</v>
      </c>
      <c r="AI102" s="111" t="e">
        <f t="shared" si="32"/>
        <v>#REF!</v>
      </c>
      <c r="AJ102" s="111" t="e">
        <f t="shared" si="32"/>
        <v>#REF!</v>
      </c>
      <c r="AK102" s="111" t="e">
        <f t="shared" si="31"/>
        <v>#REF!</v>
      </c>
      <c r="AL102" s="111" t="e">
        <f t="shared" si="31"/>
        <v>#REF!</v>
      </c>
      <c r="AM102" s="111" t="e">
        <f t="shared" si="31"/>
        <v>#REF!</v>
      </c>
      <c r="AN102" s="111" t="e">
        <f t="shared" si="31"/>
        <v>#REF!</v>
      </c>
      <c r="AO102" s="111" t="e">
        <f t="shared" si="31"/>
        <v>#REF!</v>
      </c>
      <c r="AP102" s="111" t="e">
        <f t="shared" si="31"/>
        <v>#REF!</v>
      </c>
      <c r="AQ102" s="111" t="e">
        <f t="shared" si="31"/>
        <v>#REF!</v>
      </c>
      <c r="AR102" s="111" t="e">
        <f t="shared" si="31"/>
        <v>#REF!</v>
      </c>
      <c r="AS102" s="111" t="e">
        <f t="shared" si="31"/>
        <v>#REF!</v>
      </c>
      <c r="AT102" s="111" t="e">
        <f t="shared" si="31"/>
        <v>#REF!</v>
      </c>
      <c r="AU102" s="111" t="e">
        <f t="shared" si="31"/>
        <v>#REF!</v>
      </c>
      <c r="AV102" s="111" t="e">
        <f t="shared" si="31"/>
        <v>#REF!</v>
      </c>
      <c r="AW102" s="111" t="e">
        <f t="shared" si="31"/>
        <v>#REF!</v>
      </c>
      <c r="AX102" s="111" t="e">
        <f t="shared" si="31"/>
        <v>#REF!</v>
      </c>
      <c r="AY102" s="111" t="e">
        <f t="shared" si="31"/>
        <v>#REF!</v>
      </c>
      <c r="AZ102" s="111" t="e">
        <f t="shared" si="31"/>
        <v>#REF!</v>
      </c>
      <c r="BA102" s="111" t="e">
        <f t="shared" si="31"/>
        <v>#REF!</v>
      </c>
      <c r="BB102" s="111" t="e">
        <f t="shared" si="31"/>
        <v>#REF!</v>
      </c>
      <c r="BC102" s="111" t="e">
        <f t="shared" si="31"/>
        <v>#REF!</v>
      </c>
      <c r="BD102" s="111" t="e">
        <f t="shared" si="31"/>
        <v>#REF!</v>
      </c>
      <c r="BE102" s="111" t="e">
        <f t="shared" si="31"/>
        <v>#REF!</v>
      </c>
      <c r="BF102" s="111" t="e">
        <f t="shared" si="31"/>
        <v>#REF!</v>
      </c>
      <c r="BG102" s="111" t="e">
        <f t="shared" si="31"/>
        <v>#REF!</v>
      </c>
      <c r="BH102" s="111" t="e">
        <f t="shared" si="31"/>
        <v>#REF!</v>
      </c>
      <c r="BI102" s="111" t="e">
        <f t="shared" si="31"/>
        <v>#REF!</v>
      </c>
      <c r="BJ102" s="111" t="e">
        <f t="shared" si="31"/>
        <v>#REF!</v>
      </c>
      <c r="BK102" s="111" t="e">
        <f t="shared" si="31"/>
        <v>#REF!</v>
      </c>
      <c r="BL102" s="111" t="e">
        <f t="shared" si="31"/>
        <v>#REF!</v>
      </c>
      <c r="BM102" s="111" t="e">
        <f t="shared" si="31"/>
        <v>#REF!</v>
      </c>
      <c r="BN102" s="111" t="e">
        <f t="shared" si="31"/>
        <v>#REF!</v>
      </c>
      <c r="BO102" s="111" t="e">
        <f t="shared" si="31"/>
        <v>#REF!</v>
      </c>
      <c r="BP102" s="111" t="e">
        <f t="shared" si="31"/>
        <v>#REF!</v>
      </c>
      <c r="BQ102" s="111" t="e">
        <f t="shared" si="31"/>
        <v>#REF!</v>
      </c>
      <c r="BR102" s="111" t="e">
        <f t="shared" si="31"/>
        <v>#REF!</v>
      </c>
      <c r="BS102" s="112"/>
      <c r="BT102" s="112"/>
      <c r="BU102" s="178" t="e">
        <f t="shared" si="31"/>
        <v>#REF!</v>
      </c>
    </row>
    <row r="103" spans="1:73" hidden="1" x14ac:dyDescent="0.2">
      <c r="A103" s="149" t="s">
        <v>215</v>
      </c>
      <c r="B103" s="141" t="s">
        <v>216</v>
      </c>
      <c r="C103" s="174"/>
      <c r="D103" s="177" t="s">
        <v>206</v>
      </c>
      <c r="E103" s="111">
        <f t="shared" ref="E103:BU103" si="33">E97-E99</f>
        <v>24</v>
      </c>
      <c r="F103" s="111">
        <f t="shared" si="33"/>
        <v>24</v>
      </c>
      <c r="G103" s="111">
        <f t="shared" si="33"/>
        <v>24</v>
      </c>
      <c r="H103" s="111"/>
      <c r="I103" s="111">
        <f t="shared" si="33"/>
        <v>24</v>
      </c>
      <c r="J103" s="111">
        <f t="shared" si="33"/>
        <v>24</v>
      </c>
      <c r="K103" s="111">
        <f t="shared" si="33"/>
        <v>24</v>
      </c>
      <c r="L103" s="111">
        <f t="shared" ref="L103:AJ103" si="34">L97-L99</f>
        <v>24</v>
      </c>
      <c r="M103" s="111">
        <f t="shared" si="34"/>
        <v>24</v>
      </c>
      <c r="N103" s="111">
        <f t="shared" si="34"/>
        <v>24</v>
      </c>
      <c r="O103" s="111">
        <f t="shared" si="34"/>
        <v>24</v>
      </c>
      <c r="P103" s="111">
        <f t="shared" si="34"/>
        <v>24</v>
      </c>
      <c r="Q103" s="111">
        <f t="shared" si="34"/>
        <v>24</v>
      </c>
      <c r="R103" s="111">
        <f t="shared" si="34"/>
        <v>24</v>
      </c>
      <c r="S103" s="111">
        <f t="shared" si="34"/>
        <v>24</v>
      </c>
      <c r="T103" s="111">
        <f t="shared" si="34"/>
        <v>24</v>
      </c>
      <c r="U103" s="111">
        <f t="shared" si="34"/>
        <v>24</v>
      </c>
      <c r="V103" s="111">
        <f t="shared" si="34"/>
        <v>24</v>
      </c>
      <c r="W103" s="111">
        <f t="shared" si="34"/>
        <v>24</v>
      </c>
      <c r="X103" s="111">
        <f t="shared" si="34"/>
        <v>24</v>
      </c>
      <c r="Y103" s="111">
        <f t="shared" si="34"/>
        <v>24</v>
      </c>
      <c r="Z103" s="111">
        <f t="shared" si="34"/>
        <v>24</v>
      </c>
      <c r="AA103" s="111">
        <f t="shared" si="34"/>
        <v>24</v>
      </c>
      <c r="AB103" s="111">
        <f t="shared" si="34"/>
        <v>24</v>
      </c>
      <c r="AC103" s="111">
        <f t="shared" si="34"/>
        <v>24</v>
      </c>
      <c r="AD103" s="111">
        <f t="shared" si="34"/>
        <v>24</v>
      </c>
      <c r="AE103" s="111">
        <f t="shared" si="34"/>
        <v>24</v>
      </c>
      <c r="AF103" s="111">
        <f t="shared" si="34"/>
        <v>24</v>
      </c>
      <c r="AG103" s="111">
        <f t="shared" si="34"/>
        <v>24</v>
      </c>
      <c r="AH103" s="111">
        <f t="shared" si="34"/>
        <v>24</v>
      </c>
      <c r="AI103" s="111">
        <f t="shared" si="34"/>
        <v>24</v>
      </c>
      <c r="AJ103" s="111">
        <f t="shared" si="34"/>
        <v>24</v>
      </c>
      <c r="AK103" s="111">
        <f t="shared" si="33"/>
        <v>24</v>
      </c>
      <c r="AL103" s="111">
        <f t="shared" si="33"/>
        <v>24</v>
      </c>
      <c r="AM103" s="111">
        <f t="shared" si="33"/>
        <v>24</v>
      </c>
      <c r="AN103" s="111">
        <f t="shared" si="33"/>
        <v>24</v>
      </c>
      <c r="AO103" s="111">
        <f t="shared" si="33"/>
        <v>24</v>
      </c>
      <c r="AP103" s="111">
        <f t="shared" si="33"/>
        <v>24</v>
      </c>
      <c r="AQ103" s="111">
        <f t="shared" si="33"/>
        <v>24</v>
      </c>
      <c r="AR103" s="111">
        <f t="shared" si="33"/>
        <v>24</v>
      </c>
      <c r="AS103" s="111">
        <f t="shared" si="33"/>
        <v>24</v>
      </c>
      <c r="AT103" s="111">
        <f t="shared" si="33"/>
        <v>24</v>
      </c>
      <c r="AU103" s="111">
        <f t="shared" si="33"/>
        <v>24</v>
      </c>
      <c r="AV103" s="111">
        <f t="shared" si="33"/>
        <v>24</v>
      </c>
      <c r="AW103" s="111">
        <f t="shared" si="33"/>
        <v>24</v>
      </c>
      <c r="AX103" s="111">
        <f t="shared" si="33"/>
        <v>24</v>
      </c>
      <c r="AY103" s="111">
        <f t="shared" si="33"/>
        <v>24</v>
      </c>
      <c r="AZ103" s="111">
        <f t="shared" si="33"/>
        <v>24</v>
      </c>
      <c r="BA103" s="111">
        <f t="shared" si="33"/>
        <v>24</v>
      </c>
      <c r="BB103" s="111">
        <f t="shared" si="33"/>
        <v>24</v>
      </c>
      <c r="BC103" s="111">
        <f t="shared" si="33"/>
        <v>24</v>
      </c>
      <c r="BD103" s="111">
        <f t="shared" si="33"/>
        <v>24</v>
      </c>
      <c r="BE103" s="111">
        <f t="shared" si="33"/>
        <v>24</v>
      </c>
      <c r="BF103" s="111">
        <f t="shared" si="33"/>
        <v>24</v>
      </c>
      <c r="BG103" s="111">
        <f t="shared" si="33"/>
        <v>24</v>
      </c>
      <c r="BH103" s="111">
        <f t="shared" si="33"/>
        <v>24</v>
      </c>
      <c r="BI103" s="111">
        <f t="shared" si="33"/>
        <v>24</v>
      </c>
      <c r="BJ103" s="111">
        <f t="shared" si="33"/>
        <v>24</v>
      </c>
      <c r="BK103" s="111">
        <f t="shared" si="33"/>
        <v>24</v>
      </c>
      <c r="BL103" s="111">
        <f t="shared" si="33"/>
        <v>24</v>
      </c>
      <c r="BM103" s="111">
        <f t="shared" si="33"/>
        <v>24</v>
      </c>
      <c r="BN103" s="111">
        <f t="shared" si="33"/>
        <v>24</v>
      </c>
      <c r="BO103" s="111">
        <f t="shared" si="33"/>
        <v>24</v>
      </c>
      <c r="BP103" s="111">
        <f t="shared" si="33"/>
        <v>24</v>
      </c>
      <c r="BQ103" s="111">
        <f t="shared" si="33"/>
        <v>24</v>
      </c>
      <c r="BR103" s="111">
        <f t="shared" si="33"/>
        <v>24</v>
      </c>
      <c r="BS103" s="112"/>
      <c r="BT103" s="112"/>
      <c r="BU103" s="178">
        <f t="shared" si="33"/>
        <v>888</v>
      </c>
    </row>
    <row r="104" spans="1:73" hidden="1" x14ac:dyDescent="0.2">
      <c r="A104" s="149" t="s">
        <v>217</v>
      </c>
      <c r="B104" s="141" t="s">
        <v>218</v>
      </c>
      <c r="C104" s="174"/>
      <c r="D104" s="177" t="s">
        <v>206</v>
      </c>
      <c r="E104" s="111">
        <f t="shared" ref="E104:BU104" si="35">E97-E98</f>
        <v>24</v>
      </c>
      <c r="F104" s="111">
        <f t="shared" si="35"/>
        <v>24</v>
      </c>
      <c r="G104" s="111">
        <f t="shared" si="35"/>
        <v>24</v>
      </c>
      <c r="H104" s="111"/>
      <c r="I104" s="111" t="e">
        <f t="shared" si="35"/>
        <v>#REF!</v>
      </c>
      <c r="J104" s="111" t="e">
        <f t="shared" si="35"/>
        <v>#REF!</v>
      </c>
      <c r="K104" s="111" t="e">
        <f t="shared" si="35"/>
        <v>#REF!</v>
      </c>
      <c r="L104" s="111" t="e">
        <f t="shared" ref="L104:AJ104" si="36">L97-L98</f>
        <v>#REF!</v>
      </c>
      <c r="M104" s="111" t="e">
        <f t="shared" si="36"/>
        <v>#REF!</v>
      </c>
      <c r="N104" s="111" t="e">
        <f t="shared" si="36"/>
        <v>#REF!</v>
      </c>
      <c r="O104" s="111" t="e">
        <f t="shared" si="36"/>
        <v>#REF!</v>
      </c>
      <c r="P104" s="111" t="e">
        <f t="shared" si="36"/>
        <v>#REF!</v>
      </c>
      <c r="Q104" s="111" t="e">
        <f t="shared" si="36"/>
        <v>#REF!</v>
      </c>
      <c r="R104" s="111" t="e">
        <f t="shared" si="36"/>
        <v>#REF!</v>
      </c>
      <c r="S104" s="111" t="e">
        <f t="shared" si="36"/>
        <v>#REF!</v>
      </c>
      <c r="T104" s="111" t="e">
        <f t="shared" si="36"/>
        <v>#REF!</v>
      </c>
      <c r="U104" s="111" t="e">
        <f t="shared" si="36"/>
        <v>#REF!</v>
      </c>
      <c r="V104" s="111" t="e">
        <f t="shared" si="36"/>
        <v>#REF!</v>
      </c>
      <c r="W104" s="111" t="e">
        <f t="shared" si="36"/>
        <v>#REF!</v>
      </c>
      <c r="X104" s="111" t="e">
        <f t="shared" si="36"/>
        <v>#REF!</v>
      </c>
      <c r="Y104" s="111" t="e">
        <f t="shared" si="36"/>
        <v>#REF!</v>
      </c>
      <c r="Z104" s="111" t="e">
        <f t="shared" si="36"/>
        <v>#REF!</v>
      </c>
      <c r="AA104" s="111" t="e">
        <f t="shared" si="36"/>
        <v>#REF!</v>
      </c>
      <c r="AB104" s="111" t="e">
        <f t="shared" si="36"/>
        <v>#REF!</v>
      </c>
      <c r="AC104" s="111" t="e">
        <f t="shared" si="36"/>
        <v>#REF!</v>
      </c>
      <c r="AD104" s="111" t="e">
        <f t="shared" si="36"/>
        <v>#REF!</v>
      </c>
      <c r="AE104" s="111" t="e">
        <f t="shared" si="36"/>
        <v>#REF!</v>
      </c>
      <c r="AF104" s="111" t="e">
        <f t="shared" si="36"/>
        <v>#REF!</v>
      </c>
      <c r="AG104" s="111" t="e">
        <f t="shared" si="36"/>
        <v>#REF!</v>
      </c>
      <c r="AH104" s="111" t="e">
        <f t="shared" si="36"/>
        <v>#REF!</v>
      </c>
      <c r="AI104" s="111" t="e">
        <f t="shared" si="36"/>
        <v>#REF!</v>
      </c>
      <c r="AJ104" s="111" t="e">
        <f t="shared" si="36"/>
        <v>#REF!</v>
      </c>
      <c r="AK104" s="111" t="e">
        <f t="shared" si="35"/>
        <v>#REF!</v>
      </c>
      <c r="AL104" s="111" t="e">
        <f t="shared" si="35"/>
        <v>#REF!</v>
      </c>
      <c r="AM104" s="111" t="e">
        <f t="shared" si="35"/>
        <v>#REF!</v>
      </c>
      <c r="AN104" s="111" t="e">
        <f t="shared" si="35"/>
        <v>#REF!</v>
      </c>
      <c r="AO104" s="111" t="e">
        <f t="shared" si="35"/>
        <v>#REF!</v>
      </c>
      <c r="AP104" s="111" t="e">
        <f t="shared" si="35"/>
        <v>#REF!</v>
      </c>
      <c r="AQ104" s="111" t="e">
        <f t="shared" si="35"/>
        <v>#REF!</v>
      </c>
      <c r="AR104" s="111" t="e">
        <f t="shared" si="35"/>
        <v>#REF!</v>
      </c>
      <c r="AS104" s="111" t="e">
        <f t="shared" si="35"/>
        <v>#REF!</v>
      </c>
      <c r="AT104" s="111" t="e">
        <f t="shared" si="35"/>
        <v>#REF!</v>
      </c>
      <c r="AU104" s="111" t="e">
        <f t="shared" si="35"/>
        <v>#REF!</v>
      </c>
      <c r="AV104" s="111" t="e">
        <f t="shared" si="35"/>
        <v>#REF!</v>
      </c>
      <c r="AW104" s="111" t="e">
        <f t="shared" si="35"/>
        <v>#REF!</v>
      </c>
      <c r="AX104" s="111" t="e">
        <f t="shared" si="35"/>
        <v>#REF!</v>
      </c>
      <c r="AY104" s="111" t="e">
        <f t="shared" si="35"/>
        <v>#REF!</v>
      </c>
      <c r="AZ104" s="111" t="e">
        <f t="shared" si="35"/>
        <v>#REF!</v>
      </c>
      <c r="BA104" s="111" t="e">
        <f t="shared" si="35"/>
        <v>#REF!</v>
      </c>
      <c r="BB104" s="111" t="e">
        <f t="shared" si="35"/>
        <v>#REF!</v>
      </c>
      <c r="BC104" s="111" t="e">
        <f t="shared" si="35"/>
        <v>#REF!</v>
      </c>
      <c r="BD104" s="111" t="e">
        <f t="shared" si="35"/>
        <v>#REF!</v>
      </c>
      <c r="BE104" s="111" t="e">
        <f t="shared" si="35"/>
        <v>#REF!</v>
      </c>
      <c r="BF104" s="111" t="e">
        <f t="shared" si="35"/>
        <v>#REF!</v>
      </c>
      <c r="BG104" s="111" t="e">
        <f t="shared" si="35"/>
        <v>#REF!</v>
      </c>
      <c r="BH104" s="111" t="e">
        <f t="shared" si="35"/>
        <v>#REF!</v>
      </c>
      <c r="BI104" s="111" t="e">
        <f t="shared" si="35"/>
        <v>#REF!</v>
      </c>
      <c r="BJ104" s="111">
        <f t="shared" si="35"/>
        <v>22</v>
      </c>
      <c r="BK104" s="111">
        <f t="shared" si="35"/>
        <v>22</v>
      </c>
      <c r="BL104" s="111">
        <f t="shared" si="35"/>
        <v>22</v>
      </c>
      <c r="BM104" s="111">
        <f t="shared" si="35"/>
        <v>22</v>
      </c>
      <c r="BN104" s="111">
        <f t="shared" si="35"/>
        <v>22</v>
      </c>
      <c r="BO104" s="111">
        <f t="shared" si="35"/>
        <v>22</v>
      </c>
      <c r="BP104" s="111">
        <f t="shared" si="35"/>
        <v>22</v>
      </c>
      <c r="BQ104" s="111">
        <f t="shared" si="35"/>
        <v>22</v>
      </c>
      <c r="BR104" s="111">
        <f t="shared" si="35"/>
        <v>22</v>
      </c>
      <c r="BS104" s="112"/>
      <c r="BT104" s="112"/>
      <c r="BU104" s="178" t="e">
        <f t="shared" si="35"/>
        <v>#REF!</v>
      </c>
    </row>
    <row r="105" spans="1:73" hidden="1" x14ac:dyDescent="0.2">
      <c r="A105" s="149" t="s">
        <v>219</v>
      </c>
      <c r="B105" s="141" t="s">
        <v>220</v>
      </c>
      <c r="C105" s="174"/>
      <c r="D105" s="177"/>
      <c r="E105" s="111">
        <f t="shared" ref="E105:BU105" si="37">E104/E103</f>
        <v>1</v>
      </c>
      <c r="F105" s="111">
        <f t="shared" si="37"/>
        <v>1</v>
      </c>
      <c r="G105" s="111">
        <f t="shared" si="37"/>
        <v>1</v>
      </c>
      <c r="H105" s="111"/>
      <c r="I105" s="111" t="e">
        <f t="shared" si="37"/>
        <v>#REF!</v>
      </c>
      <c r="J105" s="111" t="e">
        <f t="shared" si="37"/>
        <v>#REF!</v>
      </c>
      <c r="K105" s="111" t="e">
        <f t="shared" si="37"/>
        <v>#REF!</v>
      </c>
      <c r="L105" s="111" t="e">
        <f t="shared" ref="L105:AJ105" si="38">L104/L103</f>
        <v>#REF!</v>
      </c>
      <c r="M105" s="111" t="e">
        <f t="shared" si="38"/>
        <v>#REF!</v>
      </c>
      <c r="N105" s="111" t="e">
        <f t="shared" si="38"/>
        <v>#REF!</v>
      </c>
      <c r="O105" s="111" t="e">
        <f t="shared" si="38"/>
        <v>#REF!</v>
      </c>
      <c r="P105" s="111" t="e">
        <f t="shared" si="38"/>
        <v>#REF!</v>
      </c>
      <c r="Q105" s="111" t="e">
        <f t="shared" si="38"/>
        <v>#REF!</v>
      </c>
      <c r="R105" s="111" t="e">
        <f t="shared" si="38"/>
        <v>#REF!</v>
      </c>
      <c r="S105" s="111" t="e">
        <f t="shared" si="38"/>
        <v>#REF!</v>
      </c>
      <c r="T105" s="111" t="e">
        <f t="shared" si="38"/>
        <v>#REF!</v>
      </c>
      <c r="U105" s="111" t="e">
        <f t="shared" si="38"/>
        <v>#REF!</v>
      </c>
      <c r="V105" s="111" t="e">
        <f t="shared" si="38"/>
        <v>#REF!</v>
      </c>
      <c r="W105" s="111" t="e">
        <f t="shared" si="38"/>
        <v>#REF!</v>
      </c>
      <c r="X105" s="111" t="e">
        <f t="shared" si="38"/>
        <v>#REF!</v>
      </c>
      <c r="Y105" s="111" t="e">
        <f t="shared" si="38"/>
        <v>#REF!</v>
      </c>
      <c r="Z105" s="111" t="e">
        <f t="shared" si="38"/>
        <v>#REF!</v>
      </c>
      <c r="AA105" s="111" t="e">
        <f t="shared" si="38"/>
        <v>#REF!</v>
      </c>
      <c r="AB105" s="111" t="e">
        <f t="shared" si="38"/>
        <v>#REF!</v>
      </c>
      <c r="AC105" s="111" t="e">
        <f t="shared" si="38"/>
        <v>#REF!</v>
      </c>
      <c r="AD105" s="111" t="e">
        <f t="shared" si="38"/>
        <v>#REF!</v>
      </c>
      <c r="AE105" s="111" t="e">
        <f t="shared" si="38"/>
        <v>#REF!</v>
      </c>
      <c r="AF105" s="111" t="e">
        <f t="shared" si="38"/>
        <v>#REF!</v>
      </c>
      <c r="AG105" s="111" t="e">
        <f t="shared" si="38"/>
        <v>#REF!</v>
      </c>
      <c r="AH105" s="111" t="e">
        <f t="shared" si="38"/>
        <v>#REF!</v>
      </c>
      <c r="AI105" s="111" t="e">
        <f t="shared" si="38"/>
        <v>#REF!</v>
      </c>
      <c r="AJ105" s="111" t="e">
        <f t="shared" si="38"/>
        <v>#REF!</v>
      </c>
      <c r="AK105" s="111" t="e">
        <f t="shared" si="37"/>
        <v>#REF!</v>
      </c>
      <c r="AL105" s="111" t="e">
        <f t="shared" si="37"/>
        <v>#REF!</v>
      </c>
      <c r="AM105" s="111" t="e">
        <f t="shared" si="37"/>
        <v>#REF!</v>
      </c>
      <c r="AN105" s="111" t="e">
        <f t="shared" si="37"/>
        <v>#REF!</v>
      </c>
      <c r="AO105" s="111" t="e">
        <f t="shared" si="37"/>
        <v>#REF!</v>
      </c>
      <c r="AP105" s="111" t="e">
        <f t="shared" si="37"/>
        <v>#REF!</v>
      </c>
      <c r="AQ105" s="111" t="e">
        <f t="shared" si="37"/>
        <v>#REF!</v>
      </c>
      <c r="AR105" s="111" t="e">
        <f t="shared" si="37"/>
        <v>#REF!</v>
      </c>
      <c r="AS105" s="111" t="e">
        <f t="shared" si="37"/>
        <v>#REF!</v>
      </c>
      <c r="AT105" s="111" t="e">
        <f t="shared" si="37"/>
        <v>#REF!</v>
      </c>
      <c r="AU105" s="111" t="e">
        <f t="shared" si="37"/>
        <v>#REF!</v>
      </c>
      <c r="AV105" s="111" t="e">
        <f t="shared" si="37"/>
        <v>#REF!</v>
      </c>
      <c r="AW105" s="111" t="e">
        <f t="shared" si="37"/>
        <v>#REF!</v>
      </c>
      <c r="AX105" s="111" t="e">
        <f t="shared" si="37"/>
        <v>#REF!</v>
      </c>
      <c r="AY105" s="111" t="e">
        <f t="shared" si="37"/>
        <v>#REF!</v>
      </c>
      <c r="AZ105" s="111" t="e">
        <f t="shared" si="37"/>
        <v>#REF!</v>
      </c>
      <c r="BA105" s="111" t="e">
        <f t="shared" si="37"/>
        <v>#REF!</v>
      </c>
      <c r="BB105" s="111" t="e">
        <f t="shared" si="37"/>
        <v>#REF!</v>
      </c>
      <c r="BC105" s="111" t="e">
        <f t="shared" si="37"/>
        <v>#REF!</v>
      </c>
      <c r="BD105" s="111" t="e">
        <f t="shared" si="37"/>
        <v>#REF!</v>
      </c>
      <c r="BE105" s="111" t="e">
        <f t="shared" si="37"/>
        <v>#REF!</v>
      </c>
      <c r="BF105" s="111" t="e">
        <f t="shared" si="37"/>
        <v>#REF!</v>
      </c>
      <c r="BG105" s="111" t="e">
        <f t="shared" si="37"/>
        <v>#REF!</v>
      </c>
      <c r="BH105" s="111" t="e">
        <f t="shared" si="37"/>
        <v>#REF!</v>
      </c>
      <c r="BI105" s="111" t="e">
        <f t="shared" si="37"/>
        <v>#REF!</v>
      </c>
      <c r="BJ105" s="111">
        <f t="shared" si="37"/>
        <v>0.91666666666666663</v>
      </c>
      <c r="BK105" s="111">
        <f t="shared" si="37"/>
        <v>0.91666666666666663</v>
      </c>
      <c r="BL105" s="111">
        <f t="shared" si="37"/>
        <v>0.91666666666666663</v>
      </c>
      <c r="BM105" s="111">
        <f t="shared" si="37"/>
        <v>0.91666666666666663</v>
      </c>
      <c r="BN105" s="111">
        <f t="shared" si="37"/>
        <v>0.91666666666666663</v>
      </c>
      <c r="BO105" s="111">
        <f t="shared" si="37"/>
        <v>0.91666666666666663</v>
      </c>
      <c r="BP105" s="111">
        <f t="shared" si="37"/>
        <v>0.91666666666666663</v>
      </c>
      <c r="BQ105" s="111">
        <f t="shared" si="37"/>
        <v>0.91666666666666663</v>
      </c>
      <c r="BR105" s="111">
        <f t="shared" si="37"/>
        <v>0.91666666666666663</v>
      </c>
      <c r="BS105" s="112"/>
      <c r="BT105" s="112"/>
      <c r="BU105" s="178" t="e">
        <f t="shared" si="37"/>
        <v>#REF!</v>
      </c>
    </row>
    <row r="106" spans="1:73" hidden="1" x14ac:dyDescent="0.2">
      <c r="A106" s="149" t="s">
        <v>14</v>
      </c>
      <c r="B106" s="141" t="s">
        <v>221</v>
      </c>
      <c r="C106" s="174"/>
      <c r="D106" s="177"/>
      <c r="E106" s="111" t="e">
        <f t="shared" ref="E106:BU106" si="39">E102*E96/E104</f>
        <v>#DIV/0!</v>
      </c>
      <c r="F106" s="111" t="e">
        <f t="shared" si="39"/>
        <v>#DIV/0!</v>
      </c>
      <c r="G106" s="111" t="e">
        <f t="shared" si="39"/>
        <v>#DIV/0!</v>
      </c>
      <c r="H106" s="111"/>
      <c r="I106" s="111" t="e">
        <f t="shared" si="39"/>
        <v>#REF!</v>
      </c>
      <c r="J106" s="111" t="e">
        <f t="shared" si="39"/>
        <v>#REF!</v>
      </c>
      <c r="K106" s="111" t="e">
        <f t="shared" si="39"/>
        <v>#REF!</v>
      </c>
      <c r="L106" s="111" t="e">
        <f t="shared" ref="L106:AJ106" si="40">L102*L96/L104</f>
        <v>#REF!</v>
      </c>
      <c r="M106" s="111" t="e">
        <f t="shared" si="40"/>
        <v>#REF!</v>
      </c>
      <c r="N106" s="111" t="e">
        <f t="shared" si="40"/>
        <v>#REF!</v>
      </c>
      <c r="O106" s="111" t="e">
        <f t="shared" si="40"/>
        <v>#REF!</v>
      </c>
      <c r="P106" s="111" t="e">
        <f t="shared" si="40"/>
        <v>#REF!</v>
      </c>
      <c r="Q106" s="111" t="e">
        <f t="shared" si="40"/>
        <v>#REF!</v>
      </c>
      <c r="R106" s="111" t="e">
        <f t="shared" si="40"/>
        <v>#REF!</v>
      </c>
      <c r="S106" s="111" t="e">
        <f t="shared" si="40"/>
        <v>#REF!</v>
      </c>
      <c r="T106" s="111" t="e">
        <f t="shared" si="40"/>
        <v>#REF!</v>
      </c>
      <c r="U106" s="111" t="e">
        <f t="shared" si="40"/>
        <v>#REF!</v>
      </c>
      <c r="V106" s="111" t="e">
        <f t="shared" si="40"/>
        <v>#REF!</v>
      </c>
      <c r="W106" s="111" t="e">
        <f t="shared" si="40"/>
        <v>#REF!</v>
      </c>
      <c r="X106" s="111" t="e">
        <f t="shared" si="40"/>
        <v>#REF!</v>
      </c>
      <c r="Y106" s="111" t="e">
        <f t="shared" si="40"/>
        <v>#REF!</v>
      </c>
      <c r="Z106" s="111" t="e">
        <f t="shared" si="40"/>
        <v>#REF!</v>
      </c>
      <c r="AA106" s="111" t="e">
        <f t="shared" si="40"/>
        <v>#REF!</v>
      </c>
      <c r="AB106" s="111" t="e">
        <f t="shared" si="40"/>
        <v>#REF!</v>
      </c>
      <c r="AC106" s="111" t="e">
        <f t="shared" si="40"/>
        <v>#REF!</v>
      </c>
      <c r="AD106" s="111" t="e">
        <f t="shared" si="40"/>
        <v>#REF!</v>
      </c>
      <c r="AE106" s="111" t="e">
        <f t="shared" si="40"/>
        <v>#REF!</v>
      </c>
      <c r="AF106" s="111" t="e">
        <f t="shared" si="40"/>
        <v>#REF!</v>
      </c>
      <c r="AG106" s="111" t="e">
        <f t="shared" si="40"/>
        <v>#REF!</v>
      </c>
      <c r="AH106" s="111" t="e">
        <f t="shared" si="40"/>
        <v>#REF!</v>
      </c>
      <c r="AI106" s="111" t="e">
        <f t="shared" si="40"/>
        <v>#REF!</v>
      </c>
      <c r="AJ106" s="111" t="e">
        <f t="shared" si="40"/>
        <v>#REF!</v>
      </c>
      <c r="AK106" s="111" t="e">
        <f t="shared" si="39"/>
        <v>#REF!</v>
      </c>
      <c r="AL106" s="111" t="e">
        <f t="shared" si="39"/>
        <v>#REF!</v>
      </c>
      <c r="AM106" s="111" t="e">
        <f t="shared" si="39"/>
        <v>#REF!</v>
      </c>
      <c r="AN106" s="111" t="e">
        <f t="shared" si="39"/>
        <v>#REF!</v>
      </c>
      <c r="AO106" s="111" t="e">
        <f t="shared" si="39"/>
        <v>#REF!</v>
      </c>
      <c r="AP106" s="111" t="e">
        <f t="shared" si="39"/>
        <v>#REF!</v>
      </c>
      <c r="AQ106" s="111" t="e">
        <f t="shared" si="39"/>
        <v>#REF!</v>
      </c>
      <c r="AR106" s="111" t="e">
        <f t="shared" si="39"/>
        <v>#REF!</v>
      </c>
      <c r="AS106" s="111" t="e">
        <f t="shared" si="39"/>
        <v>#REF!</v>
      </c>
      <c r="AT106" s="111" t="e">
        <f t="shared" si="39"/>
        <v>#REF!</v>
      </c>
      <c r="AU106" s="111" t="e">
        <f t="shared" si="39"/>
        <v>#REF!</v>
      </c>
      <c r="AV106" s="111" t="e">
        <f t="shared" si="39"/>
        <v>#REF!</v>
      </c>
      <c r="AW106" s="111" t="e">
        <f t="shared" si="39"/>
        <v>#REF!</v>
      </c>
      <c r="AX106" s="111" t="e">
        <f t="shared" si="39"/>
        <v>#REF!</v>
      </c>
      <c r="AY106" s="111" t="e">
        <f t="shared" si="39"/>
        <v>#REF!</v>
      </c>
      <c r="AZ106" s="111" t="e">
        <f t="shared" si="39"/>
        <v>#REF!</v>
      </c>
      <c r="BA106" s="111" t="e">
        <f t="shared" si="39"/>
        <v>#REF!</v>
      </c>
      <c r="BB106" s="111" t="e">
        <f t="shared" si="39"/>
        <v>#REF!</v>
      </c>
      <c r="BC106" s="111" t="e">
        <f t="shared" si="39"/>
        <v>#REF!</v>
      </c>
      <c r="BD106" s="111" t="e">
        <f t="shared" si="39"/>
        <v>#REF!</v>
      </c>
      <c r="BE106" s="111" t="e">
        <f t="shared" si="39"/>
        <v>#REF!</v>
      </c>
      <c r="BF106" s="111" t="e">
        <f t="shared" si="39"/>
        <v>#REF!</v>
      </c>
      <c r="BG106" s="111" t="e">
        <f t="shared" si="39"/>
        <v>#REF!</v>
      </c>
      <c r="BH106" s="111" t="e">
        <f t="shared" si="39"/>
        <v>#REF!</v>
      </c>
      <c r="BI106" s="111" t="e">
        <f t="shared" si="39"/>
        <v>#REF!</v>
      </c>
      <c r="BJ106" s="111" t="e">
        <f t="shared" si="39"/>
        <v>#REF!</v>
      </c>
      <c r="BK106" s="111" t="e">
        <f t="shared" si="39"/>
        <v>#REF!</v>
      </c>
      <c r="BL106" s="111" t="e">
        <f t="shared" si="39"/>
        <v>#REF!</v>
      </c>
      <c r="BM106" s="111" t="e">
        <f t="shared" si="39"/>
        <v>#REF!</v>
      </c>
      <c r="BN106" s="111" t="e">
        <f t="shared" si="39"/>
        <v>#REF!</v>
      </c>
      <c r="BO106" s="111" t="e">
        <f t="shared" si="39"/>
        <v>#REF!</v>
      </c>
      <c r="BP106" s="111" t="e">
        <f t="shared" si="39"/>
        <v>#REF!</v>
      </c>
      <c r="BQ106" s="111" t="e">
        <f t="shared" si="39"/>
        <v>#REF!</v>
      </c>
      <c r="BR106" s="111" t="e">
        <f t="shared" si="39"/>
        <v>#REF!</v>
      </c>
      <c r="BS106" s="112"/>
      <c r="BT106" s="112"/>
      <c r="BU106" s="178" t="e">
        <f t="shared" si="39"/>
        <v>#REF!</v>
      </c>
    </row>
    <row r="107" spans="1:73" ht="21" hidden="1" thickBot="1" x14ac:dyDescent="0.25">
      <c r="A107" s="179"/>
      <c r="B107" s="157" t="s">
        <v>222</v>
      </c>
      <c r="C107" s="158"/>
      <c r="D107" s="159" t="s">
        <v>173</v>
      </c>
      <c r="E107" s="180" t="e">
        <f t="shared" ref="E107:BU107" si="41">E106*E105*100</f>
        <v>#DIV/0!</v>
      </c>
      <c r="F107" s="180" t="e">
        <f t="shared" si="41"/>
        <v>#DIV/0!</v>
      </c>
      <c r="G107" s="180" t="e">
        <f t="shared" si="41"/>
        <v>#DIV/0!</v>
      </c>
      <c r="H107" s="180">
        <f t="shared" si="41"/>
        <v>0</v>
      </c>
      <c r="I107" s="180" t="e">
        <f t="shared" si="41"/>
        <v>#REF!</v>
      </c>
      <c r="J107" s="180" t="e">
        <f t="shared" si="41"/>
        <v>#REF!</v>
      </c>
      <c r="K107" s="180" t="e">
        <f t="shared" si="41"/>
        <v>#REF!</v>
      </c>
      <c r="L107" s="180" t="e">
        <f t="shared" ref="L107:AJ107" si="42">L106*L105*100</f>
        <v>#REF!</v>
      </c>
      <c r="M107" s="180" t="e">
        <f t="shared" si="42"/>
        <v>#REF!</v>
      </c>
      <c r="N107" s="180" t="e">
        <f t="shared" si="42"/>
        <v>#REF!</v>
      </c>
      <c r="O107" s="180" t="e">
        <f t="shared" si="42"/>
        <v>#REF!</v>
      </c>
      <c r="P107" s="180" t="e">
        <f t="shared" si="42"/>
        <v>#REF!</v>
      </c>
      <c r="Q107" s="180" t="e">
        <f t="shared" si="42"/>
        <v>#REF!</v>
      </c>
      <c r="R107" s="180" t="e">
        <f t="shared" si="42"/>
        <v>#REF!</v>
      </c>
      <c r="S107" s="180" t="e">
        <f t="shared" si="42"/>
        <v>#REF!</v>
      </c>
      <c r="T107" s="180" t="e">
        <f t="shared" si="42"/>
        <v>#REF!</v>
      </c>
      <c r="U107" s="180" t="e">
        <f t="shared" si="42"/>
        <v>#REF!</v>
      </c>
      <c r="V107" s="180" t="e">
        <f t="shared" si="42"/>
        <v>#REF!</v>
      </c>
      <c r="W107" s="180" t="e">
        <f t="shared" si="42"/>
        <v>#REF!</v>
      </c>
      <c r="X107" s="180" t="e">
        <f t="shared" si="42"/>
        <v>#REF!</v>
      </c>
      <c r="Y107" s="180" t="e">
        <f t="shared" si="42"/>
        <v>#REF!</v>
      </c>
      <c r="Z107" s="180" t="e">
        <f t="shared" si="42"/>
        <v>#REF!</v>
      </c>
      <c r="AA107" s="180" t="e">
        <f t="shared" si="42"/>
        <v>#REF!</v>
      </c>
      <c r="AB107" s="180" t="e">
        <f t="shared" si="42"/>
        <v>#REF!</v>
      </c>
      <c r="AC107" s="180" t="e">
        <f t="shared" si="42"/>
        <v>#REF!</v>
      </c>
      <c r="AD107" s="180" t="e">
        <f t="shared" si="42"/>
        <v>#REF!</v>
      </c>
      <c r="AE107" s="180" t="e">
        <f t="shared" si="42"/>
        <v>#REF!</v>
      </c>
      <c r="AF107" s="180" t="e">
        <f t="shared" si="42"/>
        <v>#REF!</v>
      </c>
      <c r="AG107" s="180" t="e">
        <f t="shared" si="42"/>
        <v>#REF!</v>
      </c>
      <c r="AH107" s="180" t="e">
        <f t="shared" si="42"/>
        <v>#REF!</v>
      </c>
      <c r="AI107" s="180" t="e">
        <f t="shared" si="42"/>
        <v>#REF!</v>
      </c>
      <c r="AJ107" s="180" t="e">
        <f t="shared" si="42"/>
        <v>#REF!</v>
      </c>
      <c r="AK107" s="180" t="e">
        <f t="shared" si="41"/>
        <v>#REF!</v>
      </c>
      <c r="AL107" s="180" t="e">
        <f t="shared" si="41"/>
        <v>#REF!</v>
      </c>
      <c r="AM107" s="180" t="e">
        <f t="shared" si="41"/>
        <v>#REF!</v>
      </c>
      <c r="AN107" s="180" t="e">
        <f t="shared" si="41"/>
        <v>#REF!</v>
      </c>
      <c r="AO107" s="180" t="e">
        <f t="shared" si="41"/>
        <v>#REF!</v>
      </c>
      <c r="AP107" s="180" t="e">
        <f t="shared" si="41"/>
        <v>#REF!</v>
      </c>
      <c r="AQ107" s="180" t="e">
        <f t="shared" si="41"/>
        <v>#REF!</v>
      </c>
      <c r="AR107" s="180" t="e">
        <f t="shared" si="41"/>
        <v>#REF!</v>
      </c>
      <c r="AS107" s="180" t="e">
        <f t="shared" si="41"/>
        <v>#REF!</v>
      </c>
      <c r="AT107" s="180" t="e">
        <f t="shared" si="41"/>
        <v>#REF!</v>
      </c>
      <c r="AU107" s="180" t="e">
        <f t="shared" si="41"/>
        <v>#REF!</v>
      </c>
      <c r="AV107" s="180" t="e">
        <f t="shared" si="41"/>
        <v>#REF!</v>
      </c>
      <c r="AW107" s="180" t="e">
        <f t="shared" si="41"/>
        <v>#REF!</v>
      </c>
      <c r="AX107" s="180" t="e">
        <f t="shared" si="41"/>
        <v>#REF!</v>
      </c>
      <c r="AY107" s="180" t="e">
        <f t="shared" si="41"/>
        <v>#REF!</v>
      </c>
      <c r="AZ107" s="180" t="e">
        <f t="shared" si="41"/>
        <v>#REF!</v>
      </c>
      <c r="BA107" s="180" t="e">
        <f t="shared" si="41"/>
        <v>#REF!</v>
      </c>
      <c r="BB107" s="180" t="e">
        <f t="shared" si="41"/>
        <v>#REF!</v>
      </c>
      <c r="BC107" s="180" t="e">
        <f t="shared" si="41"/>
        <v>#REF!</v>
      </c>
      <c r="BD107" s="180" t="e">
        <f t="shared" si="41"/>
        <v>#REF!</v>
      </c>
      <c r="BE107" s="180" t="e">
        <f t="shared" si="41"/>
        <v>#REF!</v>
      </c>
      <c r="BF107" s="180" t="e">
        <f t="shared" si="41"/>
        <v>#REF!</v>
      </c>
      <c r="BG107" s="180" t="e">
        <f t="shared" si="41"/>
        <v>#REF!</v>
      </c>
      <c r="BH107" s="180" t="e">
        <f t="shared" si="41"/>
        <v>#REF!</v>
      </c>
      <c r="BI107" s="180" t="e">
        <f t="shared" si="41"/>
        <v>#REF!</v>
      </c>
      <c r="BJ107" s="180" t="e">
        <f t="shared" si="41"/>
        <v>#REF!</v>
      </c>
      <c r="BK107" s="180" t="e">
        <f t="shared" si="41"/>
        <v>#REF!</v>
      </c>
      <c r="BL107" s="180" t="e">
        <f t="shared" si="41"/>
        <v>#REF!</v>
      </c>
      <c r="BM107" s="180" t="e">
        <f t="shared" si="41"/>
        <v>#REF!</v>
      </c>
      <c r="BN107" s="180" t="e">
        <f t="shared" si="41"/>
        <v>#REF!</v>
      </c>
      <c r="BO107" s="180" t="e">
        <f t="shared" si="41"/>
        <v>#REF!</v>
      </c>
      <c r="BP107" s="180" t="e">
        <f t="shared" si="41"/>
        <v>#REF!</v>
      </c>
      <c r="BQ107" s="180" t="e">
        <f t="shared" si="41"/>
        <v>#REF!</v>
      </c>
      <c r="BR107" s="180" t="e">
        <f t="shared" si="41"/>
        <v>#REF!</v>
      </c>
      <c r="BS107" s="181"/>
      <c r="BT107" s="181"/>
      <c r="BU107" s="162" t="e">
        <f t="shared" si="41"/>
        <v>#REF!</v>
      </c>
    </row>
    <row r="108" spans="1:73" x14ac:dyDescent="0.2">
      <c r="A108" s="164"/>
      <c r="B108" s="164"/>
      <c r="C108" s="165"/>
      <c r="D108" s="164"/>
      <c r="E108" s="164"/>
      <c r="F108" s="164"/>
      <c r="G108" s="164"/>
      <c r="H108" s="164"/>
      <c r="I108" s="164"/>
      <c r="J108" s="164"/>
      <c r="K108" s="164"/>
      <c r="L108" s="164"/>
      <c r="M108" s="164"/>
      <c r="N108" s="164"/>
      <c r="O108" s="164"/>
      <c r="P108" s="164"/>
      <c r="Q108" s="164"/>
      <c r="R108" s="164"/>
      <c r="S108" s="164"/>
      <c r="T108" s="164"/>
      <c r="U108" s="164"/>
      <c r="V108" s="164"/>
      <c r="W108" s="164"/>
      <c r="X108" s="164"/>
      <c r="Y108" s="164"/>
      <c r="Z108" s="164"/>
      <c r="AA108" s="164"/>
      <c r="AB108" s="164"/>
      <c r="AC108" s="164"/>
      <c r="AD108" s="164"/>
      <c r="AE108" s="164"/>
      <c r="AF108" s="164"/>
      <c r="AG108" s="164"/>
      <c r="AH108" s="164"/>
      <c r="AI108" s="164"/>
      <c r="AJ108" s="164"/>
      <c r="AK108" s="164"/>
      <c r="AL108" s="164"/>
      <c r="AM108" s="164"/>
      <c r="AN108" s="164"/>
      <c r="AO108" s="164"/>
      <c r="AP108" s="164"/>
      <c r="AQ108" s="164"/>
      <c r="AR108" s="164"/>
      <c r="AS108" s="182"/>
      <c r="AT108" s="182"/>
      <c r="AU108" s="182"/>
      <c r="AV108" s="182"/>
      <c r="AW108" s="182"/>
      <c r="AX108" s="182"/>
      <c r="AY108" s="182"/>
      <c r="AZ108" s="182"/>
      <c r="BA108" s="182"/>
      <c r="BB108" s="182"/>
      <c r="BC108" s="182"/>
      <c r="BD108" s="182"/>
      <c r="BE108" s="182"/>
      <c r="BF108" s="182"/>
      <c r="BG108" s="182"/>
      <c r="BH108" s="182"/>
      <c r="BI108" s="182"/>
      <c r="BJ108" s="182"/>
      <c r="BK108" s="182"/>
      <c r="BL108" s="182"/>
      <c r="BM108" s="182"/>
      <c r="BN108" s="182"/>
      <c r="BO108" s="182"/>
      <c r="BP108" s="182"/>
      <c r="BQ108" s="182"/>
      <c r="BR108" s="182"/>
      <c r="BS108" s="182"/>
      <c r="BT108" s="182"/>
      <c r="BU108" s="164"/>
    </row>
    <row r="109" spans="1:73" x14ac:dyDescent="0.2">
      <c r="A109" s="164"/>
      <c r="B109" s="164"/>
      <c r="C109" s="165"/>
      <c r="D109" s="164"/>
      <c r="E109" s="164"/>
      <c r="F109" s="164"/>
      <c r="G109" s="164"/>
      <c r="H109" s="164"/>
      <c r="I109" s="164"/>
      <c r="J109" s="164"/>
      <c r="K109" s="164"/>
      <c r="L109" s="164"/>
      <c r="M109" s="164"/>
      <c r="N109" s="164"/>
      <c r="O109" s="164"/>
      <c r="P109" s="164"/>
      <c r="Q109" s="164"/>
      <c r="R109" s="164"/>
      <c r="S109" s="164"/>
      <c r="T109" s="164"/>
      <c r="U109" s="164"/>
      <c r="V109" s="164"/>
      <c r="W109" s="164"/>
      <c r="X109" s="164"/>
      <c r="Y109" s="164"/>
      <c r="Z109" s="164"/>
      <c r="AA109" s="164"/>
      <c r="AB109" s="164"/>
      <c r="AC109" s="164"/>
      <c r="AD109" s="164"/>
      <c r="AE109" s="164"/>
      <c r="AF109" s="164"/>
      <c r="AG109" s="164"/>
      <c r="AH109" s="164"/>
      <c r="AI109" s="164"/>
      <c r="AJ109" s="164"/>
      <c r="AK109" s="164"/>
      <c r="AL109" s="164"/>
      <c r="AM109" s="164"/>
      <c r="AN109" s="164"/>
      <c r="AO109" s="164"/>
      <c r="AP109" s="164"/>
      <c r="AQ109" s="164"/>
      <c r="AR109" s="164"/>
      <c r="AS109" s="182"/>
      <c r="AT109" s="182"/>
      <c r="AU109" s="182"/>
      <c r="AV109" s="182"/>
      <c r="AW109" s="182"/>
      <c r="AX109" s="182"/>
      <c r="AY109" s="182"/>
      <c r="AZ109" s="182"/>
      <c r="BA109" s="182"/>
      <c r="BB109" s="182"/>
      <c r="BC109" s="182"/>
      <c r="BD109" s="182"/>
      <c r="BE109" s="182"/>
      <c r="BF109" s="182"/>
      <c r="BG109" s="182"/>
      <c r="BH109" s="182"/>
      <c r="BI109" s="182"/>
      <c r="BJ109" s="182"/>
      <c r="BK109" s="182"/>
      <c r="BL109" s="182"/>
      <c r="BM109" s="182"/>
      <c r="BN109" s="182"/>
      <c r="BO109" s="182"/>
      <c r="BP109" s="182"/>
      <c r="BQ109" s="182"/>
      <c r="BR109" s="182"/>
      <c r="BS109" s="182"/>
      <c r="BT109" s="182"/>
      <c r="BU109" s="164"/>
    </row>
    <row r="110" spans="1:73" ht="26.25" customHeight="1" x14ac:dyDescent="0.2">
      <c r="A110" s="164"/>
      <c r="B110" s="164"/>
      <c r="C110" s="165"/>
      <c r="D110" s="164"/>
      <c r="E110" s="164"/>
      <c r="F110" s="164"/>
      <c r="G110" s="164"/>
      <c r="H110" s="164"/>
      <c r="I110" s="164"/>
      <c r="J110" s="164"/>
      <c r="K110" s="164"/>
      <c r="L110" s="164"/>
      <c r="M110" s="164"/>
      <c r="N110" s="164"/>
      <c r="O110" s="164"/>
      <c r="P110" s="164"/>
      <c r="Q110" s="164"/>
      <c r="R110" s="164"/>
      <c r="S110" s="164"/>
      <c r="T110" s="164"/>
      <c r="U110" s="164"/>
      <c r="V110" s="164"/>
      <c r="W110" s="164"/>
      <c r="X110" s="164"/>
      <c r="Y110" s="164"/>
      <c r="Z110" s="164"/>
      <c r="AA110" s="164"/>
      <c r="AB110" s="164"/>
      <c r="AC110" s="164"/>
      <c r="AD110" s="164"/>
      <c r="AE110" s="164"/>
      <c r="AF110" s="164"/>
      <c r="AG110" s="164"/>
      <c r="AH110" s="164"/>
      <c r="AI110" s="164"/>
      <c r="AJ110" s="164"/>
      <c r="AK110" s="164"/>
      <c r="AL110" s="164"/>
      <c r="AM110" s="164"/>
      <c r="AN110" s="164"/>
      <c r="AO110" s="164"/>
      <c r="AP110" s="164"/>
      <c r="AQ110" s="164"/>
      <c r="AR110" s="164"/>
      <c r="AS110" s="164"/>
      <c r="AT110" s="164"/>
      <c r="AU110" s="164"/>
      <c r="AV110" s="164"/>
      <c r="AW110" s="164"/>
      <c r="AX110" s="164"/>
      <c r="AY110" s="164"/>
      <c r="AZ110" s="164"/>
      <c r="BA110" s="164"/>
      <c r="BB110" s="164"/>
      <c r="BC110" s="164"/>
      <c r="BD110" s="164"/>
      <c r="BE110" s="164"/>
      <c r="BF110" s="164"/>
      <c r="BG110" s="164"/>
      <c r="BH110" s="164"/>
      <c r="BI110" s="164"/>
      <c r="BJ110" s="164"/>
      <c r="BK110" s="164"/>
      <c r="BL110" s="164"/>
      <c r="BM110" s="164"/>
      <c r="BN110" s="164"/>
      <c r="BO110" s="164"/>
      <c r="BP110" s="164"/>
      <c r="BQ110" s="164"/>
      <c r="BR110" s="164"/>
      <c r="BS110" s="164"/>
      <c r="BT110" s="164"/>
      <c r="BU110" s="182"/>
    </row>
    <row r="111" spans="1:73" ht="15.75" customHeight="1" x14ac:dyDescent="0.2">
      <c r="A111" s="164"/>
      <c r="B111" s="164"/>
      <c r="C111" s="165"/>
      <c r="D111" s="164"/>
      <c r="E111" s="164"/>
      <c r="F111" s="164"/>
      <c r="G111" s="164"/>
      <c r="H111" s="164"/>
      <c r="I111" s="164"/>
      <c r="J111" s="164"/>
      <c r="K111" s="164"/>
      <c r="L111" s="164"/>
      <c r="M111" s="164"/>
      <c r="N111" s="164"/>
      <c r="O111" s="164"/>
      <c r="P111" s="164"/>
      <c r="Q111" s="164"/>
      <c r="R111" s="164"/>
      <c r="S111" s="164"/>
      <c r="T111" s="164"/>
      <c r="U111" s="164"/>
      <c r="V111" s="164"/>
      <c r="W111" s="164"/>
      <c r="X111" s="164"/>
      <c r="Y111" s="164"/>
      <c r="Z111" s="164"/>
      <c r="AA111" s="164"/>
      <c r="AB111" s="164"/>
      <c r="AC111" s="164"/>
      <c r="AD111" s="164"/>
      <c r="AE111" s="164"/>
      <c r="AF111" s="164"/>
      <c r="AG111" s="164"/>
      <c r="AH111" s="164"/>
      <c r="AI111" s="164"/>
      <c r="AJ111" s="164"/>
      <c r="AK111" s="164"/>
      <c r="AL111" s="164"/>
      <c r="AM111" s="164"/>
      <c r="AN111" s="164"/>
      <c r="AO111" s="164"/>
      <c r="AP111" s="164"/>
      <c r="AQ111" s="164"/>
      <c r="AR111" s="164"/>
      <c r="AS111" s="164"/>
      <c r="AT111" s="164"/>
      <c r="AU111" s="164"/>
      <c r="AV111" s="164"/>
      <c r="AW111" s="164"/>
      <c r="AX111" s="164"/>
      <c r="AY111" s="164"/>
      <c r="AZ111" s="164"/>
      <c r="BA111" s="164"/>
      <c r="BB111" s="164"/>
      <c r="BC111" s="164"/>
      <c r="BD111" s="164"/>
      <c r="BE111" s="164"/>
      <c r="BF111" s="164"/>
      <c r="BG111" s="164"/>
      <c r="BH111" s="164"/>
      <c r="BI111" s="164"/>
      <c r="BJ111" s="164"/>
      <c r="BK111" s="164"/>
      <c r="BL111" s="164"/>
      <c r="BM111" s="164"/>
      <c r="BN111" s="164"/>
      <c r="BO111" s="164"/>
      <c r="BP111" s="164"/>
      <c r="BQ111" s="164"/>
      <c r="BR111" s="164"/>
      <c r="BS111" s="164"/>
      <c r="BT111" s="164"/>
      <c r="BU111" s="182"/>
    </row>
    <row r="112" spans="1:73" x14ac:dyDescent="0.2">
      <c r="A112" s="164"/>
      <c r="B112" s="164"/>
      <c r="C112" s="165"/>
      <c r="D112" s="164"/>
      <c r="E112" s="164"/>
      <c r="F112" s="164"/>
      <c r="G112" s="164"/>
      <c r="H112" s="164"/>
      <c r="I112" s="164"/>
      <c r="J112" s="164"/>
      <c r="K112" s="164"/>
      <c r="L112" s="164"/>
      <c r="M112" s="164"/>
      <c r="N112" s="164"/>
      <c r="O112" s="164"/>
      <c r="P112" s="164"/>
      <c r="Q112" s="164"/>
      <c r="R112" s="164"/>
      <c r="S112" s="164"/>
      <c r="T112" s="164"/>
      <c r="U112" s="164"/>
      <c r="V112" s="164"/>
      <c r="W112" s="164"/>
      <c r="X112" s="164"/>
      <c r="Y112" s="164"/>
      <c r="Z112" s="164"/>
      <c r="AA112" s="164"/>
      <c r="AB112" s="164"/>
      <c r="AC112" s="164"/>
      <c r="AD112" s="164"/>
      <c r="AE112" s="164"/>
      <c r="AF112" s="164"/>
      <c r="AG112" s="164"/>
      <c r="AH112" s="164"/>
      <c r="AI112" s="164"/>
      <c r="AJ112" s="164"/>
      <c r="AK112" s="164"/>
      <c r="AL112" s="164"/>
      <c r="AM112" s="164"/>
      <c r="AN112" s="164"/>
      <c r="AO112" s="164"/>
      <c r="AP112" s="164"/>
      <c r="AQ112" s="164"/>
      <c r="AR112" s="164"/>
      <c r="AS112" s="164"/>
      <c r="AT112" s="164"/>
      <c r="AU112" s="164"/>
      <c r="AV112" s="164"/>
      <c r="AW112" s="164"/>
      <c r="AX112" s="164"/>
      <c r="AY112" s="164"/>
      <c r="AZ112" s="164"/>
      <c r="BA112" s="164"/>
      <c r="BB112" s="164"/>
      <c r="BC112" s="164"/>
      <c r="BD112" s="164"/>
      <c r="BE112" s="164"/>
      <c r="BF112" s="164"/>
      <c r="BG112" s="164"/>
      <c r="BH112" s="164"/>
      <c r="BI112" s="164"/>
      <c r="BJ112" s="164"/>
      <c r="BK112" s="164"/>
      <c r="BL112" s="164"/>
      <c r="BM112" s="164"/>
      <c r="BN112" s="164"/>
      <c r="BO112" s="164"/>
      <c r="BP112" s="164"/>
      <c r="BQ112" s="164"/>
      <c r="BR112" s="164"/>
      <c r="BS112" s="164"/>
      <c r="BT112" s="164"/>
      <c r="BU112" s="182"/>
    </row>
    <row r="113" spans="1:73" x14ac:dyDescent="0.2">
      <c r="A113" s="164"/>
      <c r="B113" s="164"/>
      <c r="C113" s="165"/>
      <c r="D113" s="164"/>
      <c r="E113" s="164"/>
      <c r="F113" s="164"/>
      <c r="G113" s="164"/>
      <c r="H113" s="164"/>
      <c r="I113" s="164"/>
      <c r="J113" s="164"/>
      <c r="K113" s="164"/>
      <c r="L113" s="164"/>
      <c r="M113" s="164"/>
      <c r="N113" s="164"/>
      <c r="O113" s="164"/>
      <c r="P113" s="164"/>
      <c r="Q113" s="164"/>
      <c r="R113" s="164"/>
      <c r="S113" s="164"/>
      <c r="T113" s="164"/>
      <c r="U113" s="164"/>
      <c r="V113" s="164"/>
      <c r="W113" s="164"/>
      <c r="X113" s="164"/>
      <c r="Y113" s="164"/>
      <c r="Z113" s="164"/>
      <c r="AA113" s="164"/>
      <c r="AB113" s="164"/>
      <c r="AC113" s="164"/>
      <c r="AD113" s="164"/>
      <c r="AE113" s="164"/>
      <c r="AF113" s="164"/>
      <c r="AG113" s="164"/>
      <c r="AH113" s="164"/>
      <c r="AI113" s="164"/>
      <c r="AJ113" s="164"/>
      <c r="AK113" s="164"/>
      <c r="AL113" s="164"/>
      <c r="AM113" s="164"/>
      <c r="AN113" s="164"/>
      <c r="AO113" s="164"/>
      <c r="AP113" s="164"/>
      <c r="AQ113" s="164"/>
      <c r="AR113" s="164"/>
      <c r="AS113" s="164"/>
      <c r="AT113" s="164"/>
      <c r="AU113" s="164"/>
      <c r="AV113" s="164"/>
      <c r="AW113" s="164"/>
      <c r="AX113" s="164"/>
      <c r="AY113" s="164"/>
      <c r="AZ113" s="164"/>
      <c r="BA113" s="164"/>
      <c r="BB113" s="164"/>
      <c r="BC113" s="164"/>
      <c r="BD113" s="164"/>
      <c r="BE113" s="164"/>
      <c r="BF113" s="164"/>
      <c r="BG113" s="164"/>
      <c r="BH113" s="164"/>
      <c r="BI113" s="164"/>
      <c r="BJ113" s="164"/>
      <c r="BK113" s="164"/>
      <c r="BL113" s="164"/>
      <c r="BM113" s="164"/>
      <c r="BN113" s="164"/>
      <c r="BO113" s="164"/>
      <c r="BP113" s="164"/>
      <c r="BQ113" s="164"/>
      <c r="BR113" s="164"/>
      <c r="BS113" s="164"/>
      <c r="BT113" s="164"/>
      <c r="BU113" s="182"/>
    </row>
    <row r="114" spans="1:73" x14ac:dyDescent="0.2">
      <c r="A114" s="164"/>
      <c r="B114" s="164"/>
      <c r="C114" s="165"/>
      <c r="D114" s="164"/>
      <c r="E114" s="164"/>
      <c r="F114" s="164"/>
      <c r="G114" s="164"/>
      <c r="H114" s="164"/>
      <c r="I114" s="164"/>
      <c r="J114" s="164"/>
      <c r="K114" s="164"/>
      <c r="L114" s="164"/>
      <c r="M114" s="164"/>
      <c r="N114" s="164"/>
      <c r="O114" s="164"/>
      <c r="P114" s="164"/>
      <c r="Q114" s="164"/>
      <c r="R114" s="164"/>
      <c r="S114" s="164"/>
      <c r="T114" s="164"/>
      <c r="U114" s="164"/>
      <c r="V114" s="164"/>
      <c r="W114" s="164"/>
      <c r="X114" s="164"/>
      <c r="Y114" s="164"/>
      <c r="Z114" s="164"/>
      <c r="AA114" s="164"/>
      <c r="AB114" s="164"/>
      <c r="AC114" s="164"/>
      <c r="AD114" s="164"/>
      <c r="AE114" s="164"/>
      <c r="AF114" s="164"/>
      <c r="AG114" s="164"/>
      <c r="AH114" s="164"/>
      <c r="AI114" s="164"/>
      <c r="AJ114" s="164"/>
      <c r="AK114" s="164"/>
      <c r="AL114" s="164"/>
      <c r="AM114" s="164"/>
      <c r="AN114" s="164"/>
      <c r="AO114" s="164"/>
      <c r="AP114" s="164"/>
      <c r="AQ114" s="164"/>
      <c r="AR114" s="164"/>
      <c r="AS114" s="164"/>
      <c r="AT114" s="164"/>
      <c r="AU114" s="164"/>
      <c r="AV114" s="164"/>
      <c r="AW114" s="164"/>
      <c r="AX114" s="164"/>
      <c r="AY114" s="164"/>
      <c r="AZ114" s="164"/>
      <c r="BA114" s="164"/>
      <c r="BB114" s="164"/>
      <c r="BC114" s="164"/>
      <c r="BD114" s="164"/>
      <c r="BE114" s="164"/>
      <c r="BF114" s="164"/>
      <c r="BG114" s="164"/>
      <c r="BH114" s="164"/>
      <c r="BI114" s="164"/>
      <c r="BJ114" s="164"/>
      <c r="BK114" s="164"/>
      <c r="BL114" s="164"/>
      <c r="BM114" s="164"/>
      <c r="BN114" s="164"/>
      <c r="BO114" s="164"/>
      <c r="BP114" s="164"/>
      <c r="BQ114" s="164"/>
      <c r="BR114" s="164"/>
      <c r="BS114" s="164"/>
      <c r="BT114" s="164"/>
      <c r="BU114" s="182"/>
    </row>
    <row r="115" spans="1:73" x14ac:dyDescent="0.2">
      <c r="A115" s="164"/>
      <c r="B115" s="164"/>
      <c r="C115" s="165"/>
      <c r="D115" s="164"/>
      <c r="E115" s="164"/>
      <c r="F115" s="164"/>
      <c r="G115" s="164"/>
      <c r="H115" s="164"/>
      <c r="I115" s="164"/>
      <c r="J115" s="164"/>
      <c r="K115" s="164"/>
      <c r="L115" s="164"/>
      <c r="M115" s="164"/>
      <c r="N115" s="164"/>
      <c r="O115" s="164"/>
      <c r="P115" s="164"/>
      <c r="Q115" s="164"/>
      <c r="R115" s="164"/>
      <c r="S115" s="164"/>
      <c r="T115" s="164"/>
      <c r="U115" s="164"/>
      <c r="V115" s="164"/>
      <c r="W115" s="164"/>
      <c r="X115" s="164"/>
      <c r="Y115" s="164"/>
      <c r="Z115" s="164"/>
      <c r="AA115" s="164"/>
      <c r="AB115" s="164"/>
      <c r="AC115" s="164"/>
      <c r="AD115" s="164"/>
      <c r="AE115" s="164"/>
      <c r="AF115" s="164"/>
      <c r="AG115" s="164"/>
      <c r="AH115" s="164"/>
      <c r="AI115" s="164"/>
      <c r="AJ115" s="164"/>
      <c r="AK115" s="164"/>
      <c r="AL115" s="164"/>
      <c r="AM115" s="164"/>
      <c r="AN115" s="164"/>
      <c r="AO115" s="164"/>
      <c r="AP115" s="164"/>
      <c r="AQ115" s="164"/>
      <c r="AR115" s="164"/>
      <c r="AS115" s="164"/>
      <c r="AT115" s="164"/>
      <c r="AU115" s="164"/>
      <c r="AV115" s="164"/>
      <c r="AW115" s="164"/>
      <c r="AX115" s="164"/>
      <c r="AY115" s="164"/>
      <c r="AZ115" s="164"/>
      <c r="BA115" s="164"/>
      <c r="BB115" s="164"/>
      <c r="BC115" s="164"/>
      <c r="BD115" s="164"/>
      <c r="BE115" s="164"/>
      <c r="BF115" s="164"/>
      <c r="BG115" s="164"/>
      <c r="BH115" s="164"/>
      <c r="BI115" s="164"/>
      <c r="BJ115" s="164"/>
      <c r="BK115" s="164"/>
      <c r="BL115" s="164"/>
      <c r="BM115" s="164"/>
      <c r="BN115" s="164"/>
      <c r="BO115" s="164"/>
      <c r="BP115" s="164"/>
      <c r="BQ115" s="164"/>
      <c r="BR115" s="164"/>
      <c r="BS115" s="164"/>
      <c r="BT115" s="164"/>
      <c r="BU115" s="182"/>
    </row>
    <row r="116" spans="1:73" x14ac:dyDescent="0.2">
      <c r="A116" s="164"/>
      <c r="B116" s="164" t="s">
        <v>274</v>
      </c>
      <c r="C116" s="165"/>
      <c r="D116" s="164"/>
      <c r="E116" s="164"/>
      <c r="F116" s="164"/>
      <c r="G116" s="164"/>
      <c r="H116" s="164"/>
      <c r="I116" s="164"/>
      <c r="J116" s="164"/>
      <c r="K116" s="164"/>
      <c r="L116" s="164"/>
      <c r="M116" s="164"/>
      <c r="N116" s="164"/>
      <c r="O116" s="164"/>
      <c r="P116" s="164"/>
      <c r="Q116" s="164"/>
      <c r="R116" s="164"/>
      <c r="S116" s="164"/>
      <c r="T116" s="164"/>
      <c r="U116" s="164"/>
      <c r="V116" s="164"/>
      <c r="W116" s="164"/>
      <c r="X116" s="164"/>
      <c r="Y116" s="164"/>
      <c r="Z116" s="164"/>
      <c r="AA116" s="164"/>
      <c r="AB116" s="164"/>
      <c r="AC116" s="164"/>
      <c r="AD116" s="164"/>
      <c r="AE116" s="164"/>
      <c r="AF116" s="164"/>
      <c r="AG116" s="164"/>
      <c r="AH116" s="164"/>
      <c r="AI116" s="164"/>
      <c r="AJ116" s="164"/>
      <c r="AK116" s="164"/>
      <c r="AL116" s="164"/>
      <c r="AM116" s="164"/>
      <c r="AN116" s="164"/>
      <c r="AO116" s="164"/>
      <c r="AP116" s="164"/>
      <c r="AQ116" s="164"/>
      <c r="AR116" s="164"/>
      <c r="AS116" s="164"/>
      <c r="AT116" s="164"/>
      <c r="AU116" s="164"/>
      <c r="AV116" s="164"/>
      <c r="AW116" s="164"/>
      <c r="AX116" s="164"/>
      <c r="AY116" s="164"/>
      <c r="AZ116" s="164"/>
      <c r="BA116" s="164"/>
      <c r="BB116" s="164"/>
      <c r="BC116" s="164"/>
      <c r="BD116" s="164"/>
      <c r="BE116" s="164"/>
      <c r="BF116" s="164"/>
      <c r="BG116" s="164"/>
      <c r="BH116" s="164"/>
      <c r="BI116" s="164"/>
      <c r="BJ116" s="164"/>
      <c r="BK116" s="164"/>
      <c r="BL116" s="164"/>
      <c r="BM116" s="164"/>
      <c r="BN116" s="164"/>
      <c r="BO116" s="164"/>
      <c r="BP116" s="164"/>
      <c r="BQ116" s="164"/>
      <c r="BR116" s="164"/>
      <c r="BS116" s="164"/>
      <c r="BT116" s="164"/>
      <c r="BU116" s="182"/>
    </row>
    <row r="117" spans="1:73" x14ac:dyDescent="0.2">
      <c r="A117" s="164"/>
      <c r="B117" s="141" t="s">
        <v>150</v>
      </c>
      <c r="C117" s="174"/>
      <c r="D117" s="141" t="s">
        <v>16</v>
      </c>
      <c r="E117" s="141"/>
      <c r="F117" s="141"/>
      <c r="G117" s="141">
        <v>123.9</v>
      </c>
      <c r="H117" s="141">
        <v>108.7</v>
      </c>
      <c r="I117" s="141">
        <v>97.2</v>
      </c>
      <c r="J117" s="141">
        <v>91.4</v>
      </c>
      <c r="K117" s="141">
        <v>97.4</v>
      </c>
      <c r="L117" s="141">
        <v>85.8</v>
      </c>
      <c r="M117" s="141">
        <v>96.2</v>
      </c>
      <c r="N117" s="141">
        <v>0</v>
      </c>
      <c r="O117" s="141">
        <v>18.5</v>
      </c>
      <c r="P117" s="141">
        <v>118.3</v>
      </c>
      <c r="Q117" s="141">
        <v>140.4</v>
      </c>
      <c r="R117" s="141">
        <v>148.69999999999999</v>
      </c>
      <c r="S117" s="141">
        <v>151.6</v>
      </c>
      <c r="T117" s="141">
        <v>155.80000000000001</v>
      </c>
      <c r="U117" s="141">
        <v>141.69999999999999</v>
      </c>
      <c r="V117" s="141">
        <v>136.80000000000001</v>
      </c>
      <c r="W117" s="141">
        <v>145.1</v>
      </c>
      <c r="X117" s="141">
        <v>135.9</v>
      </c>
      <c r="Y117" s="141">
        <v>131</v>
      </c>
      <c r="Z117" s="141">
        <v>141.9</v>
      </c>
      <c r="AA117" s="141">
        <v>141.4</v>
      </c>
      <c r="AB117" s="141">
        <v>57.8</v>
      </c>
      <c r="AC117" s="141">
        <v>150</v>
      </c>
      <c r="AD117" s="141">
        <v>150.30000000000001</v>
      </c>
      <c r="AE117" s="141">
        <v>142.80000000000001</v>
      </c>
      <c r="AF117" s="141">
        <v>119</v>
      </c>
      <c r="AG117" s="141">
        <v>118.6</v>
      </c>
      <c r="AH117" s="141">
        <v>132.9</v>
      </c>
      <c r="AI117" s="141">
        <v>141.30000000000001</v>
      </c>
      <c r="AJ117" s="141">
        <v>122</v>
      </c>
      <c r="AK117" s="141">
        <v>127.6</v>
      </c>
      <c r="AL117" s="164"/>
      <c r="AM117" s="164"/>
      <c r="AN117" s="164"/>
      <c r="AO117" s="164"/>
      <c r="AP117" s="164"/>
      <c r="AQ117" s="164"/>
      <c r="AR117" s="164"/>
      <c r="AS117" s="164"/>
      <c r="AT117" s="164"/>
      <c r="AU117" s="164"/>
      <c r="AV117" s="164"/>
      <c r="AW117" s="164"/>
      <c r="AX117" s="164"/>
      <c r="AY117" s="164"/>
      <c r="AZ117" s="164"/>
      <c r="BA117" s="164"/>
      <c r="BB117" s="164"/>
      <c r="BC117" s="164"/>
      <c r="BD117" s="164"/>
      <c r="BE117" s="164"/>
      <c r="BF117" s="164"/>
      <c r="BG117" s="164"/>
      <c r="BH117" s="164"/>
      <c r="BI117" s="164"/>
      <c r="BJ117" s="164"/>
      <c r="BK117" s="164"/>
      <c r="BL117" s="164"/>
      <c r="BM117" s="164"/>
      <c r="BN117" s="164"/>
      <c r="BO117" s="164"/>
      <c r="BP117" s="164"/>
      <c r="BQ117" s="164"/>
      <c r="BR117" s="164"/>
      <c r="BS117" s="164"/>
      <c r="BT117" s="164"/>
      <c r="BU117" s="182"/>
    </row>
    <row r="118" spans="1:73" x14ac:dyDescent="0.2">
      <c r="A118" s="164"/>
      <c r="B118" s="141" t="s">
        <v>275</v>
      </c>
      <c r="C118" s="174"/>
      <c r="D118" s="141" t="s">
        <v>281</v>
      </c>
      <c r="E118" s="141"/>
      <c r="F118" s="141"/>
      <c r="G118" s="141">
        <v>4107.3</v>
      </c>
      <c r="H118" s="141">
        <v>6018.9</v>
      </c>
      <c r="I118" s="141">
        <v>5325.6</v>
      </c>
      <c r="J118" s="141">
        <v>4895.5</v>
      </c>
      <c r="K118" s="141">
        <v>5185.3999999999996</v>
      </c>
      <c r="L118" s="141">
        <v>4283.3999999999996</v>
      </c>
      <c r="M118" s="141">
        <v>4959.8999999999996</v>
      </c>
      <c r="N118" s="141">
        <v>0</v>
      </c>
      <c r="O118" s="141">
        <v>1684.9</v>
      </c>
      <c r="P118" s="141">
        <v>6222.8</v>
      </c>
      <c r="Q118" s="141">
        <v>6294</v>
      </c>
      <c r="R118" s="141">
        <v>4730.8999999999996</v>
      </c>
      <c r="S118" s="141">
        <v>5821.9</v>
      </c>
      <c r="T118" s="141">
        <v>6616.2</v>
      </c>
      <c r="U118" s="141">
        <v>6664.2</v>
      </c>
      <c r="V118" s="141">
        <v>5978.3</v>
      </c>
      <c r="W118" s="141">
        <v>6092.5</v>
      </c>
      <c r="X118" s="141">
        <v>6825.5</v>
      </c>
      <c r="Y118" s="141">
        <v>7601.5</v>
      </c>
      <c r="Z118" s="141">
        <v>8826.4</v>
      </c>
      <c r="AA118" s="141">
        <v>8885.7999999999993</v>
      </c>
      <c r="AB118" s="141">
        <v>3117.3</v>
      </c>
      <c r="AC118" s="141">
        <v>4256</v>
      </c>
      <c r="AD118" s="141">
        <v>4776.5</v>
      </c>
      <c r="AE118" s="141">
        <v>5823.8</v>
      </c>
      <c r="AF118" s="141">
        <v>4178.2</v>
      </c>
      <c r="AG118" s="141">
        <v>4401.5</v>
      </c>
      <c r="AH118" s="141">
        <v>5689.3</v>
      </c>
      <c r="AI118" s="141">
        <v>5112.7</v>
      </c>
      <c r="AJ118" s="141">
        <v>3584.2</v>
      </c>
      <c r="AK118" s="141">
        <v>5325.2</v>
      </c>
      <c r="AL118" s="164"/>
      <c r="AM118" s="164"/>
      <c r="AN118" s="164"/>
      <c r="AO118" s="164"/>
      <c r="AP118" s="164"/>
      <c r="AQ118" s="164"/>
      <c r="AR118" s="164"/>
      <c r="AS118" s="164"/>
      <c r="AT118" s="164"/>
      <c r="AU118" s="164"/>
      <c r="AV118" s="164"/>
      <c r="AW118" s="164"/>
      <c r="AX118" s="164"/>
      <c r="AY118" s="164"/>
      <c r="AZ118" s="164"/>
      <c r="BA118" s="164"/>
      <c r="BB118" s="164"/>
      <c r="BC118" s="164"/>
      <c r="BD118" s="164"/>
      <c r="BE118" s="164"/>
      <c r="BF118" s="164"/>
      <c r="BG118" s="164"/>
      <c r="BH118" s="164"/>
      <c r="BI118" s="164"/>
      <c r="BJ118" s="164"/>
      <c r="BK118" s="164"/>
      <c r="BL118" s="164"/>
      <c r="BM118" s="164"/>
      <c r="BN118" s="164"/>
      <c r="BO118" s="164"/>
      <c r="BP118" s="164"/>
      <c r="BQ118" s="164"/>
      <c r="BR118" s="164"/>
      <c r="BS118" s="164"/>
      <c r="BT118" s="164"/>
      <c r="BU118" s="182"/>
    </row>
    <row r="119" spans="1:73" x14ac:dyDescent="0.2">
      <c r="A119" s="164"/>
      <c r="B119" s="141" t="s">
        <v>276</v>
      </c>
      <c r="C119" s="174"/>
      <c r="D119" s="141" t="s">
        <v>281</v>
      </c>
      <c r="E119" s="141"/>
      <c r="F119" s="141"/>
      <c r="G119" s="141">
        <v>0</v>
      </c>
      <c r="H119" s="141">
        <v>0</v>
      </c>
      <c r="I119" s="141">
        <v>0</v>
      </c>
      <c r="J119" s="141">
        <v>0</v>
      </c>
      <c r="K119" s="141">
        <v>0</v>
      </c>
      <c r="L119" s="141">
        <v>0</v>
      </c>
      <c r="M119" s="141">
        <v>0</v>
      </c>
      <c r="N119" s="141">
        <v>0</v>
      </c>
      <c r="O119" s="141">
        <v>0</v>
      </c>
      <c r="P119" s="141">
        <v>0</v>
      </c>
      <c r="Q119" s="141">
        <v>0</v>
      </c>
      <c r="R119" s="141">
        <v>0</v>
      </c>
      <c r="S119" s="141">
        <v>0</v>
      </c>
      <c r="T119" s="141">
        <v>0</v>
      </c>
      <c r="U119" s="141">
        <v>0</v>
      </c>
      <c r="V119" s="141">
        <v>0</v>
      </c>
      <c r="W119" s="141">
        <v>0</v>
      </c>
      <c r="X119" s="141">
        <v>0</v>
      </c>
      <c r="Y119" s="141">
        <v>398.9</v>
      </c>
      <c r="Z119" s="141">
        <v>252.1</v>
      </c>
      <c r="AA119" s="141">
        <v>0</v>
      </c>
      <c r="AB119" s="141">
        <v>0</v>
      </c>
      <c r="AC119" s="141">
        <v>0</v>
      </c>
      <c r="AD119" s="141">
        <v>57.8</v>
      </c>
      <c r="AE119" s="141">
        <v>104.4</v>
      </c>
      <c r="AF119" s="141">
        <v>61.4</v>
      </c>
      <c r="AG119" s="141">
        <v>42.6</v>
      </c>
      <c r="AH119" s="141">
        <v>73.8</v>
      </c>
      <c r="AI119" s="141">
        <v>0</v>
      </c>
      <c r="AJ119" s="141">
        <v>48.6</v>
      </c>
      <c r="AK119" s="141">
        <v>0</v>
      </c>
      <c r="AL119" s="164"/>
      <c r="AM119" s="164"/>
      <c r="AN119" s="164"/>
      <c r="AO119" s="164"/>
      <c r="AP119" s="164"/>
      <c r="AQ119" s="164"/>
      <c r="AR119" s="164"/>
      <c r="AS119" s="164"/>
      <c r="AT119" s="164"/>
      <c r="AU119" s="164"/>
      <c r="AV119" s="164"/>
      <c r="AW119" s="164"/>
      <c r="AX119" s="164"/>
      <c r="AY119" s="164"/>
      <c r="AZ119" s="164"/>
      <c r="BA119" s="164"/>
      <c r="BB119" s="164"/>
      <c r="BC119" s="164"/>
      <c r="BD119" s="164"/>
      <c r="BE119" s="164"/>
      <c r="BF119" s="164"/>
      <c r="BG119" s="164"/>
      <c r="BH119" s="164"/>
      <c r="BI119" s="164"/>
      <c r="BJ119" s="164"/>
      <c r="BK119" s="164"/>
      <c r="BL119" s="164"/>
      <c r="BM119" s="164"/>
      <c r="BN119" s="164"/>
      <c r="BO119" s="164"/>
      <c r="BP119" s="164"/>
      <c r="BQ119" s="164"/>
      <c r="BR119" s="164"/>
      <c r="BS119" s="164"/>
      <c r="BT119" s="164"/>
      <c r="BU119" s="182"/>
    </row>
    <row r="120" spans="1:73" ht="20.25" customHeight="1" x14ac:dyDescent="0.2">
      <c r="A120" s="164"/>
      <c r="B120" s="141" t="s">
        <v>277</v>
      </c>
      <c r="C120" s="174"/>
      <c r="D120" s="141" t="s">
        <v>153</v>
      </c>
      <c r="E120" s="141"/>
      <c r="F120" s="141"/>
      <c r="G120" s="141">
        <v>552.29999999999995</v>
      </c>
      <c r="H120" s="141">
        <v>537.1</v>
      </c>
      <c r="I120" s="141">
        <v>602.29999999999995</v>
      </c>
      <c r="J120" s="141">
        <v>624</v>
      </c>
      <c r="K120" s="141">
        <v>474</v>
      </c>
      <c r="L120" s="141">
        <v>390</v>
      </c>
      <c r="M120" s="141">
        <v>355.5</v>
      </c>
      <c r="N120" s="141">
        <v>240</v>
      </c>
      <c r="O120" s="141">
        <v>303</v>
      </c>
      <c r="P120" s="141">
        <v>632</v>
      </c>
      <c r="Q120" s="141">
        <v>439</v>
      </c>
      <c r="R120" s="141">
        <v>416.4</v>
      </c>
      <c r="S120" s="141">
        <v>495</v>
      </c>
      <c r="T120" s="141">
        <v>506</v>
      </c>
      <c r="U120" s="141">
        <v>471</v>
      </c>
      <c r="V120" s="141">
        <v>528</v>
      </c>
      <c r="W120" s="141">
        <v>483</v>
      </c>
      <c r="X120" s="141">
        <v>465</v>
      </c>
      <c r="Y120" s="141">
        <v>506</v>
      </c>
      <c r="Z120" s="141">
        <v>577</v>
      </c>
      <c r="AA120" s="141">
        <v>641</v>
      </c>
      <c r="AB120" s="141">
        <v>425</v>
      </c>
      <c r="AC120" s="141">
        <v>518</v>
      </c>
      <c r="AD120" s="141">
        <v>495</v>
      </c>
      <c r="AE120" s="141">
        <v>542</v>
      </c>
      <c r="AF120" s="141">
        <v>509</v>
      </c>
      <c r="AG120" s="141">
        <v>809</v>
      </c>
      <c r="AH120" s="141">
        <v>527</v>
      </c>
      <c r="AI120" s="141">
        <v>320</v>
      </c>
      <c r="AJ120" s="141">
        <v>429</v>
      </c>
      <c r="AK120" s="141">
        <v>395</v>
      </c>
      <c r="AL120" s="164"/>
      <c r="AM120" s="164"/>
      <c r="AN120" s="164"/>
      <c r="AO120" s="164"/>
      <c r="AP120" s="164"/>
      <c r="AQ120" s="164"/>
      <c r="AR120" s="164"/>
      <c r="AS120" s="164"/>
      <c r="AT120" s="164"/>
      <c r="AU120" s="164"/>
      <c r="AV120" s="164"/>
      <c r="AW120" s="164"/>
      <c r="AX120" s="164"/>
      <c r="AY120" s="164"/>
      <c r="AZ120" s="164"/>
      <c r="BA120" s="164"/>
      <c r="BB120" s="164"/>
      <c r="BC120" s="164"/>
      <c r="BD120" s="164"/>
      <c r="BE120" s="164"/>
      <c r="BF120" s="164"/>
      <c r="BG120" s="164"/>
      <c r="BH120" s="164"/>
      <c r="BI120" s="164"/>
      <c r="BJ120" s="164"/>
      <c r="BK120" s="164"/>
      <c r="BL120" s="164"/>
      <c r="BM120" s="164"/>
      <c r="BN120" s="164"/>
      <c r="BO120" s="164"/>
      <c r="BP120" s="164"/>
      <c r="BQ120" s="164"/>
      <c r="BR120" s="164"/>
      <c r="BS120" s="164"/>
      <c r="BT120" s="164"/>
      <c r="BU120" s="182"/>
    </row>
    <row r="121" spans="1:73" x14ac:dyDescent="0.2">
      <c r="B121" s="248" t="s">
        <v>278</v>
      </c>
      <c r="C121" s="249"/>
      <c r="D121" s="248" t="s">
        <v>153</v>
      </c>
      <c r="E121" s="248"/>
      <c r="F121" s="248"/>
      <c r="G121" s="248">
        <v>111</v>
      </c>
      <c r="H121" s="248">
        <v>91</v>
      </c>
      <c r="I121" s="248">
        <v>120</v>
      </c>
      <c r="J121" s="248">
        <v>110</v>
      </c>
      <c r="K121" s="248">
        <v>127</v>
      </c>
      <c r="L121" s="248">
        <v>129</v>
      </c>
      <c r="M121" s="248">
        <v>127</v>
      </c>
      <c r="N121" s="248">
        <v>24</v>
      </c>
      <c r="O121" s="248">
        <v>28</v>
      </c>
      <c r="P121" s="248">
        <v>116</v>
      </c>
      <c r="Q121" s="248">
        <v>116</v>
      </c>
      <c r="R121" s="248">
        <v>117</v>
      </c>
      <c r="S121" s="248">
        <v>113</v>
      </c>
      <c r="T121" s="248">
        <v>101</v>
      </c>
      <c r="U121" s="248">
        <v>88</v>
      </c>
      <c r="V121" s="248">
        <v>114</v>
      </c>
      <c r="W121" s="248">
        <v>135</v>
      </c>
      <c r="X121" s="248">
        <v>134</v>
      </c>
      <c r="Y121" s="248">
        <v>125</v>
      </c>
      <c r="Z121" s="248">
        <v>129</v>
      </c>
      <c r="AA121" s="248">
        <v>134</v>
      </c>
      <c r="AB121" s="248">
        <v>51</v>
      </c>
      <c r="AC121" s="248">
        <v>140</v>
      </c>
      <c r="AD121" s="248">
        <v>133</v>
      </c>
      <c r="AE121" s="248">
        <v>91</v>
      </c>
      <c r="AF121" s="248">
        <v>157</v>
      </c>
      <c r="AG121" s="248">
        <v>131</v>
      </c>
      <c r="AH121" s="248">
        <v>179</v>
      </c>
      <c r="AI121" s="248">
        <v>200</v>
      </c>
      <c r="AJ121" s="248">
        <v>146</v>
      </c>
      <c r="AK121" s="248">
        <v>136</v>
      </c>
    </row>
    <row r="122" spans="1:73" x14ac:dyDescent="0.2">
      <c r="B122" s="248" t="s">
        <v>279</v>
      </c>
      <c r="C122" s="249"/>
      <c r="D122" s="248" t="s">
        <v>101</v>
      </c>
      <c r="E122" s="248"/>
      <c r="F122" s="248"/>
      <c r="G122" s="248">
        <v>95281</v>
      </c>
      <c r="H122" s="248">
        <v>94005</v>
      </c>
      <c r="I122" s="248">
        <v>90295</v>
      </c>
      <c r="J122" s="248">
        <v>87419</v>
      </c>
      <c r="K122" s="248">
        <v>88951</v>
      </c>
      <c r="L122" s="248">
        <v>69227</v>
      </c>
      <c r="M122" s="248">
        <v>78441</v>
      </c>
      <c r="N122" s="248">
        <v>8355</v>
      </c>
      <c r="O122" s="248">
        <v>22553</v>
      </c>
      <c r="P122" s="248">
        <v>82053</v>
      </c>
      <c r="Q122" s="248">
        <v>91104</v>
      </c>
      <c r="R122" s="248">
        <v>96066</v>
      </c>
      <c r="S122" s="248">
        <v>95155</v>
      </c>
      <c r="T122" s="248">
        <v>94662</v>
      </c>
      <c r="U122" s="248">
        <v>84874</v>
      </c>
      <c r="V122" s="248">
        <v>77696</v>
      </c>
      <c r="W122" s="248">
        <v>79853</v>
      </c>
      <c r="X122" s="248">
        <v>81259</v>
      </c>
      <c r="Y122" s="248">
        <v>85886</v>
      </c>
      <c r="Z122" s="248">
        <v>98247</v>
      </c>
      <c r="AA122" s="248">
        <v>101526</v>
      </c>
      <c r="AB122" s="248">
        <v>42747</v>
      </c>
      <c r="AC122" s="248">
        <v>94638</v>
      </c>
      <c r="AD122" s="248">
        <v>96005</v>
      </c>
      <c r="AE122" s="248">
        <v>97348</v>
      </c>
      <c r="AF122" s="248">
        <v>89510</v>
      </c>
      <c r="AG122" s="248">
        <v>83307</v>
      </c>
      <c r="AH122" s="248">
        <v>100157</v>
      </c>
      <c r="AI122" s="248">
        <v>98157</v>
      </c>
      <c r="AJ122" s="248">
        <v>88513</v>
      </c>
      <c r="AK122" s="248">
        <v>83749</v>
      </c>
    </row>
    <row r="123" spans="1:73" x14ac:dyDescent="0.2">
      <c r="B123" s="248" t="s">
        <v>280</v>
      </c>
      <c r="C123" s="249"/>
      <c r="D123" s="248" t="s">
        <v>101</v>
      </c>
      <c r="E123" s="248"/>
      <c r="F123" s="248"/>
      <c r="G123" s="248">
        <v>6869</v>
      </c>
      <c r="H123" s="248">
        <v>7245</v>
      </c>
      <c r="I123" s="248">
        <v>7805</v>
      </c>
      <c r="J123" s="248">
        <v>7981</v>
      </c>
      <c r="K123" s="248">
        <v>7349</v>
      </c>
      <c r="L123" s="248">
        <v>5473</v>
      </c>
      <c r="M123" s="248">
        <v>7059</v>
      </c>
      <c r="N123" s="248">
        <v>1995</v>
      </c>
      <c r="O123" s="248">
        <v>4897</v>
      </c>
      <c r="P123" s="248">
        <v>8397</v>
      </c>
      <c r="Q123" s="248">
        <v>8346</v>
      </c>
      <c r="R123" s="248">
        <v>7884</v>
      </c>
      <c r="S123" s="248">
        <v>7445</v>
      </c>
      <c r="T123" s="248">
        <v>7488</v>
      </c>
      <c r="U123" s="248">
        <v>6926</v>
      </c>
      <c r="V123" s="248">
        <v>7804</v>
      </c>
      <c r="W123" s="248">
        <v>7447</v>
      </c>
      <c r="X123" s="248">
        <v>7841</v>
      </c>
      <c r="Y123" s="248">
        <v>7714</v>
      </c>
      <c r="Z123" s="248">
        <v>7953</v>
      </c>
      <c r="AA123" s="248">
        <v>7824</v>
      </c>
      <c r="AB123" s="248">
        <v>4503</v>
      </c>
      <c r="AC123" s="248">
        <v>8412</v>
      </c>
      <c r="AD123" s="248">
        <v>7045</v>
      </c>
      <c r="AE123" s="248">
        <v>7052</v>
      </c>
      <c r="AF123" s="248">
        <v>8590</v>
      </c>
      <c r="AG123" s="248">
        <v>9393</v>
      </c>
      <c r="AH123" s="248">
        <v>9193</v>
      </c>
      <c r="AI123" s="248">
        <v>7143</v>
      </c>
      <c r="AJ123" s="248">
        <v>7787</v>
      </c>
      <c r="AK123" s="248">
        <v>7601</v>
      </c>
    </row>
  </sheetData>
  <mergeCells count="9">
    <mergeCell ref="I81:AL81"/>
    <mergeCell ref="I3:BU3"/>
    <mergeCell ref="H18:AO18"/>
    <mergeCell ref="C53:BU54"/>
    <mergeCell ref="C60:BU60"/>
    <mergeCell ref="D73:BU73"/>
    <mergeCell ref="I75:AL75"/>
    <mergeCell ref="D46:BU46"/>
    <mergeCell ref="A50:BU5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01-05-2025</vt:lpstr>
      <vt:lpstr>02-05-2025</vt:lpstr>
      <vt:lpstr>03-05-2025</vt:lpstr>
      <vt:lpstr>04-05-2025</vt:lpstr>
      <vt:lpstr>05-05-2025</vt:lpstr>
      <vt:lpstr>06-05-2025</vt:lpstr>
      <vt:lpstr>07-05-2025</vt:lpstr>
      <vt:lpstr>08-05-2025</vt:lpstr>
      <vt:lpstr>09-05-2025</vt:lpstr>
      <vt:lpstr>10-05-2025</vt:lpstr>
      <vt:lpstr>11-05-2025</vt:lpstr>
      <vt:lpstr>12-05-2025</vt:lpstr>
      <vt:lpstr>13-05-2025</vt:lpstr>
      <vt:lpstr>14-05-2024</vt:lpstr>
      <vt:lpstr>15-05-2025</vt:lpstr>
      <vt:lpstr>16-05-2025</vt:lpstr>
      <vt:lpstr>17-05-2025</vt:lpstr>
      <vt:lpstr>18-05-2025</vt:lpstr>
      <vt:lpstr>19-05-2025</vt:lpstr>
      <vt:lpstr>20-05-2025</vt:lpstr>
      <vt:lpstr>21-05-2025</vt:lpstr>
      <vt:lpstr>22-05-2025</vt:lpstr>
      <vt:lpstr>23-05-2025</vt:lpstr>
      <vt:lpstr>24-05-2025</vt:lpstr>
      <vt:lpstr>25-05-2025</vt:lpstr>
      <vt:lpstr>26-05-2025</vt:lpstr>
      <vt:lpstr>27-05-2025</vt:lpstr>
      <vt:lpstr>28-05-2025</vt:lpstr>
      <vt:lpstr>29-05-2025</vt:lpstr>
      <vt:lpstr>30-05-2025</vt:lpstr>
      <vt:lpstr>31-05-2025</vt:lpstr>
      <vt:lpstr>Pulp &amp; Chemical consumption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Ravi Arora</cp:lastModifiedBy>
  <dcterms:created xsi:type="dcterms:W3CDTF">2025-04-02T05:06:05Z</dcterms:created>
  <dcterms:modified xsi:type="dcterms:W3CDTF">2026-02-28T13:02:36Z</dcterms:modified>
</cp:coreProperties>
</file>