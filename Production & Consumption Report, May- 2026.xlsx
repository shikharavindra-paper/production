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ownloads/"/>
    </mc:Choice>
  </mc:AlternateContent>
  <xr:revisionPtr revIDLastSave="0" documentId="13_ncr:1_{94EC0D89-42DE-A942-B657-1109E83A2E62}" xr6:coauthVersionLast="47" xr6:coauthVersionMax="47" xr10:uidLastSave="{00000000-0000-0000-0000-000000000000}"/>
  <bookViews>
    <workbookView xWindow="0" yWindow="520" windowWidth="20480" windowHeight="12800" activeTab="1" xr2:uid="{00000000-000D-0000-FFFF-FFFF00000000}"/>
  </bookViews>
  <sheets>
    <sheet name="01-05-2026" sheetId="396" r:id="rId1"/>
    <sheet name="Pulp &amp; Chemical consum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396" l="1"/>
  <c r="J25" i="396" s="1"/>
  <c r="H12" i="396"/>
  <c r="G12" i="396"/>
  <c r="H11" i="396"/>
  <c r="G11" i="396"/>
  <c r="H10" i="396"/>
  <c r="G10" i="396"/>
  <c r="H9" i="396"/>
  <c r="G9" i="396"/>
  <c r="H22" i="396" l="1"/>
  <c r="G22" i="396"/>
  <c r="BS58" i="2" l="1"/>
  <c r="BS57" i="2"/>
  <c r="AJ117" i="2" l="1"/>
  <c r="AJ109" i="2"/>
  <c r="AJ115" i="2" s="1"/>
  <c r="AJ116" i="2" s="1"/>
  <c r="AJ103" i="2"/>
  <c r="AJ101" i="2"/>
  <c r="AJ94" i="2"/>
  <c r="AJ85" i="2"/>
  <c r="AJ84" i="2"/>
  <c r="AJ80" i="2"/>
  <c r="AJ77" i="2"/>
  <c r="AJ83" i="2" s="1"/>
  <c r="AJ76" i="2"/>
  <c r="AJ82" i="2" s="1"/>
  <c r="AJ75" i="2"/>
  <c r="AJ81" i="2" s="1"/>
  <c r="AJ72" i="2"/>
  <c r="AJ112" i="2" s="1"/>
  <c r="AJ118" i="2" s="1"/>
  <c r="AJ119" i="2" s="1"/>
  <c r="AJ20" i="2"/>
  <c r="AJ73" i="2" s="1"/>
  <c r="AJ102" i="2" l="1"/>
  <c r="AJ110" i="2" s="1"/>
  <c r="AJ120" i="2"/>
  <c r="AJ121" i="2" s="1"/>
  <c r="AI117" i="2"/>
  <c r="AI109" i="2"/>
  <c r="AI115" i="2" s="1"/>
  <c r="AI116" i="2" s="1"/>
  <c r="AI103" i="2"/>
  <c r="AI101" i="2"/>
  <c r="AI94" i="2"/>
  <c r="AI102" i="2" s="1"/>
  <c r="AI110" i="2" s="1"/>
  <c r="AI85" i="2"/>
  <c r="AI84" i="2"/>
  <c r="AI80" i="2"/>
  <c r="AI77" i="2"/>
  <c r="AI83" i="2" s="1"/>
  <c r="AI76" i="2"/>
  <c r="AI82" i="2" s="1"/>
  <c r="AI75" i="2"/>
  <c r="AI81" i="2" s="1"/>
  <c r="AI72" i="2"/>
  <c r="AI112" i="2" s="1"/>
  <c r="AI118" i="2" s="1"/>
  <c r="AI20" i="2"/>
  <c r="AI73" i="2" s="1"/>
  <c r="AI119" i="2" l="1"/>
  <c r="AI120" i="2"/>
  <c r="AH117" i="2"/>
  <c r="AH109" i="2"/>
  <c r="AH115" i="2" s="1"/>
  <c r="AH116" i="2" s="1"/>
  <c r="AH103" i="2"/>
  <c r="AH101" i="2"/>
  <c r="AH94" i="2"/>
  <c r="AH102" i="2" s="1"/>
  <c r="AH110" i="2" s="1"/>
  <c r="AH85" i="2"/>
  <c r="AH84" i="2"/>
  <c r="AH80" i="2"/>
  <c r="AH77" i="2"/>
  <c r="AH83" i="2" s="1"/>
  <c r="AH76" i="2"/>
  <c r="AH82" i="2" s="1"/>
  <c r="AH75" i="2"/>
  <c r="AH81" i="2" s="1"/>
  <c r="AH72" i="2"/>
  <c r="AH112" i="2" s="1"/>
  <c r="AH118" i="2" s="1"/>
  <c r="AH20" i="2"/>
  <c r="AH73" i="2" s="1"/>
  <c r="AH119" i="2" l="1"/>
  <c r="AI121" i="2"/>
  <c r="AH120" i="2"/>
  <c r="AH121" i="2" l="1"/>
  <c r="BS56" i="2"/>
  <c r="BS55" i="2"/>
  <c r="BS54" i="2" l="1"/>
  <c r="BS53" i="2"/>
  <c r="BS52" i="2"/>
  <c r="BS51" i="2"/>
  <c r="AF20" i="2" l="1"/>
  <c r="AG20" i="2"/>
  <c r="AE20" i="2"/>
  <c r="AD20" i="2"/>
  <c r="AC20" i="2"/>
  <c r="AB20" i="2"/>
  <c r="BS19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BS18" i="2" l="1"/>
  <c r="BS50" i="2" l="1"/>
  <c r="BS12" i="2" l="1"/>
  <c r="BS13" i="2"/>
  <c r="BS14" i="2"/>
  <c r="BS15" i="2"/>
  <c r="BS16" i="2"/>
  <c r="BS17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63" i="2" l="1"/>
  <c r="BS61" i="2" l="1"/>
  <c r="AG117" i="2"/>
  <c r="AG109" i="2"/>
  <c r="AG115" i="2" s="1"/>
  <c r="AG116" i="2" s="1"/>
  <c r="AG103" i="2"/>
  <c r="AG101" i="2"/>
  <c r="AG94" i="2"/>
  <c r="AG85" i="2"/>
  <c r="AG84" i="2"/>
  <c r="AG80" i="2"/>
  <c r="AG77" i="2"/>
  <c r="AG83" i="2" s="1"/>
  <c r="AG76" i="2"/>
  <c r="AG82" i="2" s="1"/>
  <c r="AG75" i="2"/>
  <c r="AG81" i="2" s="1"/>
  <c r="AG72" i="2"/>
  <c r="AG112" i="2" s="1"/>
  <c r="AG118" i="2" s="1"/>
  <c r="AG73" i="2"/>
  <c r="AF117" i="2"/>
  <c r="AF109" i="2"/>
  <c r="AF115" i="2" s="1"/>
  <c r="AF116" i="2" s="1"/>
  <c r="AF103" i="2"/>
  <c r="AF101" i="2"/>
  <c r="AF94" i="2"/>
  <c r="AF85" i="2"/>
  <c r="AF84" i="2"/>
  <c r="AF80" i="2"/>
  <c r="AF77" i="2"/>
  <c r="AF83" i="2" s="1"/>
  <c r="AF76" i="2"/>
  <c r="AF82" i="2" s="1"/>
  <c r="AF75" i="2"/>
  <c r="AF81" i="2" s="1"/>
  <c r="AF72" i="2"/>
  <c r="AF112" i="2" s="1"/>
  <c r="AF118" i="2" s="1"/>
  <c r="AF73" i="2"/>
  <c r="AE117" i="2"/>
  <c r="AE109" i="2"/>
  <c r="AE115" i="2" s="1"/>
  <c r="AE116" i="2" s="1"/>
  <c r="AE103" i="2"/>
  <c r="AE101" i="2"/>
  <c r="AE94" i="2"/>
  <c r="AE85" i="2"/>
  <c r="AE84" i="2"/>
  <c r="AE80" i="2"/>
  <c r="AE77" i="2"/>
  <c r="AE83" i="2" s="1"/>
  <c r="AE76" i="2"/>
  <c r="AE82" i="2" s="1"/>
  <c r="AE75" i="2"/>
  <c r="AE81" i="2" s="1"/>
  <c r="AE72" i="2"/>
  <c r="AE112" i="2" s="1"/>
  <c r="AE118" i="2" s="1"/>
  <c r="AE73" i="2"/>
  <c r="AD117" i="2"/>
  <c r="AD109" i="2"/>
  <c r="AD115" i="2" s="1"/>
  <c r="AD116" i="2" s="1"/>
  <c r="AD103" i="2"/>
  <c r="AD101" i="2"/>
  <c r="AD94" i="2"/>
  <c r="AD85" i="2"/>
  <c r="AD84" i="2"/>
  <c r="AD80" i="2"/>
  <c r="AD77" i="2"/>
  <c r="AD83" i="2" s="1"/>
  <c r="AD76" i="2"/>
  <c r="AD82" i="2" s="1"/>
  <c r="AD75" i="2"/>
  <c r="AD81" i="2" s="1"/>
  <c r="AD72" i="2"/>
  <c r="AD112" i="2" s="1"/>
  <c r="AD118" i="2" s="1"/>
  <c r="AD73" i="2"/>
  <c r="AC117" i="2"/>
  <c r="AC109" i="2"/>
  <c r="AC115" i="2" s="1"/>
  <c r="AC116" i="2" s="1"/>
  <c r="AC103" i="2"/>
  <c r="AC101" i="2"/>
  <c r="AC94" i="2"/>
  <c r="AC85" i="2"/>
  <c r="AC84" i="2"/>
  <c r="AC80" i="2"/>
  <c r="AC77" i="2"/>
  <c r="AC83" i="2" s="1"/>
  <c r="AC76" i="2"/>
  <c r="AC82" i="2" s="1"/>
  <c r="AC75" i="2"/>
  <c r="AC81" i="2" s="1"/>
  <c r="AC72" i="2"/>
  <c r="AC112" i="2" s="1"/>
  <c r="AC118" i="2" s="1"/>
  <c r="AC73" i="2"/>
  <c r="AB117" i="2"/>
  <c r="AB109" i="2"/>
  <c r="AB115" i="2" s="1"/>
  <c r="AB116" i="2" s="1"/>
  <c r="AB103" i="2"/>
  <c r="AB101" i="2"/>
  <c r="AB94" i="2"/>
  <c r="AB85" i="2"/>
  <c r="AB84" i="2"/>
  <c r="AB80" i="2"/>
  <c r="AB77" i="2"/>
  <c r="AB83" i="2" s="1"/>
  <c r="AB76" i="2"/>
  <c r="AB82" i="2" s="1"/>
  <c r="AB75" i="2"/>
  <c r="AB81" i="2" s="1"/>
  <c r="AB72" i="2"/>
  <c r="AB112" i="2" s="1"/>
  <c r="AB118" i="2" s="1"/>
  <c r="AB73" i="2"/>
  <c r="AA117" i="2"/>
  <c r="AA109" i="2"/>
  <c r="AA115" i="2" s="1"/>
  <c r="AA116" i="2" s="1"/>
  <c r="AA103" i="2"/>
  <c r="AA101" i="2"/>
  <c r="AA94" i="2"/>
  <c r="AA85" i="2"/>
  <c r="AA84" i="2"/>
  <c r="AA80" i="2"/>
  <c r="AA77" i="2"/>
  <c r="AA83" i="2" s="1"/>
  <c r="AA76" i="2"/>
  <c r="AA82" i="2" s="1"/>
  <c r="AA75" i="2"/>
  <c r="AA81" i="2" s="1"/>
  <c r="AA72" i="2"/>
  <c r="AA112" i="2" s="1"/>
  <c r="AA118" i="2" s="1"/>
  <c r="AA73" i="2"/>
  <c r="AC102" i="2" l="1"/>
  <c r="AC110" i="2" s="1"/>
  <c r="AF102" i="2"/>
  <c r="AF110" i="2" s="1"/>
  <c r="AF120" i="2" s="1"/>
  <c r="AG102" i="2"/>
  <c r="AG110" i="2" s="1"/>
  <c r="AG120" i="2" s="1"/>
  <c r="AG119" i="2"/>
  <c r="AE119" i="2"/>
  <c r="AD102" i="2"/>
  <c r="AD110" i="2" s="1"/>
  <c r="AD120" i="2" s="1"/>
  <c r="AF119" i="2"/>
  <c r="AE102" i="2"/>
  <c r="AE110" i="2" s="1"/>
  <c r="AE120" i="2" s="1"/>
  <c r="AD119" i="2"/>
  <c r="AB119" i="2"/>
  <c r="AC119" i="2"/>
  <c r="AC120" i="2"/>
  <c r="AB102" i="2"/>
  <c r="AB110" i="2" s="1"/>
  <c r="AB120" i="2" s="1"/>
  <c r="AA102" i="2"/>
  <c r="AA110" i="2" s="1"/>
  <c r="AA120" i="2" s="1"/>
  <c r="AA119" i="2"/>
  <c r="AG121" i="2" l="1"/>
  <c r="AA121" i="2"/>
  <c r="AE121" i="2"/>
  <c r="AC121" i="2"/>
  <c r="AF121" i="2"/>
  <c r="AD121" i="2"/>
  <c r="AB121" i="2"/>
  <c r="Z117" i="2"/>
  <c r="Z109" i="2"/>
  <c r="Z115" i="2" s="1"/>
  <c r="Z116" i="2" s="1"/>
  <c r="Z103" i="2"/>
  <c r="Z101" i="2"/>
  <c r="Z94" i="2"/>
  <c r="Z85" i="2"/>
  <c r="Z84" i="2"/>
  <c r="Z80" i="2"/>
  <c r="Z77" i="2"/>
  <c r="Z83" i="2" s="1"/>
  <c r="Z76" i="2"/>
  <c r="Z82" i="2" s="1"/>
  <c r="Z75" i="2"/>
  <c r="Z81" i="2" s="1"/>
  <c r="Z72" i="2"/>
  <c r="Z112" i="2" s="1"/>
  <c r="Z118" i="2" s="1"/>
  <c r="Z73" i="2"/>
  <c r="Z119" i="2" l="1"/>
  <c r="Z102" i="2"/>
  <c r="Z110" i="2" s="1"/>
  <c r="Z120" i="2" s="1"/>
  <c r="Y73" i="2"/>
  <c r="X73" i="2"/>
  <c r="W73" i="2"/>
  <c r="V73" i="2"/>
  <c r="U73" i="2"/>
  <c r="T73" i="2"/>
  <c r="S73" i="2"/>
  <c r="R73" i="2"/>
  <c r="Q73" i="2"/>
  <c r="P73" i="2"/>
  <c r="O73" i="2"/>
  <c r="Y117" i="2"/>
  <c r="Y109" i="2"/>
  <c r="Y115" i="2" s="1"/>
  <c r="Y116" i="2" s="1"/>
  <c r="Y103" i="2"/>
  <c r="Y101" i="2"/>
  <c r="Y94" i="2"/>
  <c r="Y85" i="2"/>
  <c r="Y84" i="2"/>
  <c r="Y80" i="2"/>
  <c r="Y77" i="2"/>
  <c r="Y83" i="2" s="1"/>
  <c r="Y76" i="2"/>
  <c r="Y82" i="2" s="1"/>
  <c r="Y75" i="2"/>
  <c r="Y81" i="2" s="1"/>
  <c r="Y72" i="2"/>
  <c r="Y112" i="2" s="1"/>
  <c r="Y118" i="2" s="1"/>
  <c r="X117" i="2"/>
  <c r="X109" i="2"/>
  <c r="X115" i="2" s="1"/>
  <c r="X116" i="2" s="1"/>
  <c r="X103" i="2"/>
  <c r="X101" i="2"/>
  <c r="X94" i="2"/>
  <c r="X85" i="2"/>
  <c r="X84" i="2"/>
  <c r="X80" i="2"/>
  <c r="X77" i="2"/>
  <c r="X83" i="2" s="1"/>
  <c r="X76" i="2"/>
  <c r="X82" i="2" s="1"/>
  <c r="X75" i="2"/>
  <c r="X81" i="2" s="1"/>
  <c r="X72" i="2"/>
  <c r="X112" i="2" s="1"/>
  <c r="X118" i="2" s="1"/>
  <c r="W117" i="2"/>
  <c r="W109" i="2"/>
  <c r="W115" i="2" s="1"/>
  <c r="W116" i="2" s="1"/>
  <c r="W103" i="2"/>
  <c r="W101" i="2"/>
  <c r="W94" i="2"/>
  <c r="W85" i="2"/>
  <c r="W84" i="2"/>
  <c r="W80" i="2"/>
  <c r="W77" i="2"/>
  <c r="W83" i="2" s="1"/>
  <c r="W76" i="2"/>
  <c r="W82" i="2" s="1"/>
  <c r="W75" i="2"/>
  <c r="W81" i="2" s="1"/>
  <c r="W72" i="2"/>
  <c r="W112" i="2" s="1"/>
  <c r="W118" i="2" s="1"/>
  <c r="V117" i="2"/>
  <c r="V109" i="2"/>
  <c r="V115" i="2" s="1"/>
  <c r="V116" i="2" s="1"/>
  <c r="V103" i="2"/>
  <c r="V101" i="2"/>
  <c r="V94" i="2"/>
  <c r="V85" i="2"/>
  <c r="V84" i="2"/>
  <c r="V80" i="2"/>
  <c r="V77" i="2"/>
  <c r="V83" i="2" s="1"/>
  <c r="V76" i="2"/>
  <c r="V82" i="2" s="1"/>
  <c r="V75" i="2"/>
  <c r="V81" i="2" s="1"/>
  <c r="V72" i="2"/>
  <c r="V112" i="2" s="1"/>
  <c r="V118" i="2" s="1"/>
  <c r="U117" i="2"/>
  <c r="U109" i="2"/>
  <c r="U115" i="2" s="1"/>
  <c r="U116" i="2" s="1"/>
  <c r="U103" i="2"/>
  <c r="U101" i="2"/>
  <c r="U94" i="2"/>
  <c r="U85" i="2"/>
  <c r="U84" i="2"/>
  <c r="U80" i="2"/>
  <c r="U77" i="2"/>
  <c r="U83" i="2" s="1"/>
  <c r="U76" i="2"/>
  <c r="U82" i="2" s="1"/>
  <c r="U75" i="2"/>
  <c r="U81" i="2" s="1"/>
  <c r="U72" i="2"/>
  <c r="U112" i="2" s="1"/>
  <c r="U118" i="2" s="1"/>
  <c r="T117" i="2"/>
  <c r="T109" i="2"/>
  <c r="T115" i="2" s="1"/>
  <c r="T116" i="2" s="1"/>
  <c r="T103" i="2"/>
  <c r="T101" i="2"/>
  <c r="T94" i="2"/>
  <c r="T85" i="2"/>
  <c r="T84" i="2"/>
  <c r="T80" i="2"/>
  <c r="T77" i="2"/>
  <c r="T83" i="2" s="1"/>
  <c r="T76" i="2"/>
  <c r="T82" i="2" s="1"/>
  <c r="T75" i="2"/>
  <c r="T81" i="2" s="1"/>
  <c r="T72" i="2"/>
  <c r="T112" i="2" s="1"/>
  <c r="T118" i="2" s="1"/>
  <c r="S117" i="2"/>
  <c r="S109" i="2"/>
  <c r="S115" i="2" s="1"/>
  <c r="S116" i="2" s="1"/>
  <c r="S103" i="2"/>
  <c r="S101" i="2"/>
  <c r="S94" i="2"/>
  <c r="S85" i="2"/>
  <c r="S84" i="2"/>
  <c r="S80" i="2"/>
  <c r="S77" i="2"/>
  <c r="S83" i="2" s="1"/>
  <c r="S76" i="2"/>
  <c r="S82" i="2" s="1"/>
  <c r="S75" i="2"/>
  <c r="S81" i="2" s="1"/>
  <c r="S72" i="2"/>
  <c r="S112" i="2" s="1"/>
  <c r="S118" i="2" s="1"/>
  <c r="R117" i="2"/>
  <c r="R109" i="2"/>
  <c r="R115" i="2" s="1"/>
  <c r="R116" i="2" s="1"/>
  <c r="R103" i="2"/>
  <c r="R101" i="2"/>
  <c r="R94" i="2"/>
  <c r="R85" i="2"/>
  <c r="R84" i="2"/>
  <c r="R80" i="2"/>
  <c r="R77" i="2"/>
  <c r="R83" i="2" s="1"/>
  <c r="R76" i="2"/>
  <c r="R82" i="2" s="1"/>
  <c r="R75" i="2"/>
  <c r="R81" i="2" s="1"/>
  <c r="R72" i="2"/>
  <c r="R112" i="2" s="1"/>
  <c r="R118" i="2" s="1"/>
  <c r="Q117" i="2"/>
  <c r="Q109" i="2"/>
  <c r="Q115" i="2" s="1"/>
  <c r="Q116" i="2" s="1"/>
  <c r="Q103" i="2"/>
  <c r="Q101" i="2"/>
  <c r="Q94" i="2"/>
  <c r="Q85" i="2"/>
  <c r="Q84" i="2"/>
  <c r="Q80" i="2"/>
  <c r="Q77" i="2"/>
  <c r="Q83" i="2" s="1"/>
  <c r="Q76" i="2"/>
  <c r="Q82" i="2" s="1"/>
  <c r="Q75" i="2"/>
  <c r="Q81" i="2" s="1"/>
  <c r="Q72" i="2"/>
  <c r="Q112" i="2" s="1"/>
  <c r="Q118" i="2" s="1"/>
  <c r="P117" i="2"/>
  <c r="P109" i="2"/>
  <c r="P115" i="2" s="1"/>
  <c r="P116" i="2" s="1"/>
  <c r="P103" i="2"/>
  <c r="P101" i="2"/>
  <c r="P94" i="2"/>
  <c r="P85" i="2"/>
  <c r="P84" i="2"/>
  <c r="P80" i="2"/>
  <c r="P77" i="2"/>
  <c r="P83" i="2" s="1"/>
  <c r="P76" i="2"/>
  <c r="P82" i="2" s="1"/>
  <c r="P75" i="2"/>
  <c r="P81" i="2" s="1"/>
  <c r="P72" i="2"/>
  <c r="P112" i="2" s="1"/>
  <c r="P118" i="2" s="1"/>
  <c r="O117" i="2"/>
  <c r="O109" i="2"/>
  <c r="O115" i="2" s="1"/>
  <c r="O116" i="2" s="1"/>
  <c r="O103" i="2"/>
  <c r="O101" i="2"/>
  <c r="O94" i="2"/>
  <c r="O85" i="2"/>
  <c r="O84" i="2"/>
  <c r="O80" i="2"/>
  <c r="O77" i="2"/>
  <c r="O83" i="2" s="1"/>
  <c r="O76" i="2"/>
  <c r="O82" i="2" s="1"/>
  <c r="O75" i="2"/>
  <c r="O81" i="2" s="1"/>
  <c r="O72" i="2"/>
  <c r="O112" i="2" s="1"/>
  <c r="O118" i="2" s="1"/>
  <c r="V102" i="2" l="1"/>
  <c r="V110" i="2" s="1"/>
  <c r="V120" i="2" s="1"/>
  <c r="W102" i="2"/>
  <c r="W110" i="2" s="1"/>
  <c r="W120" i="2" s="1"/>
  <c r="U102" i="2"/>
  <c r="U110" i="2" s="1"/>
  <c r="U120" i="2" s="1"/>
  <c r="S119" i="2"/>
  <c r="Z121" i="2"/>
  <c r="X102" i="2"/>
  <c r="X110" i="2" s="1"/>
  <c r="X120" i="2" s="1"/>
  <c r="X119" i="2"/>
  <c r="Q102" i="2"/>
  <c r="Q110" i="2" s="1"/>
  <c r="Q120" i="2" s="1"/>
  <c r="S102" i="2"/>
  <c r="S110" i="2" s="1"/>
  <c r="S120" i="2" s="1"/>
  <c r="V119" i="2"/>
  <c r="Y119" i="2"/>
  <c r="Y102" i="2"/>
  <c r="Y110" i="2" s="1"/>
  <c r="Y120" i="2" s="1"/>
  <c r="O119" i="2"/>
  <c r="W119" i="2"/>
  <c r="T102" i="2"/>
  <c r="T110" i="2" s="1"/>
  <c r="T120" i="2" s="1"/>
  <c r="U119" i="2"/>
  <c r="T119" i="2"/>
  <c r="R102" i="2"/>
  <c r="R110" i="2" s="1"/>
  <c r="R120" i="2" s="1"/>
  <c r="Q119" i="2"/>
  <c r="R119" i="2"/>
  <c r="P119" i="2"/>
  <c r="P102" i="2"/>
  <c r="P110" i="2" s="1"/>
  <c r="P120" i="2" s="1"/>
  <c r="P121" i="2" s="1"/>
  <c r="O102" i="2"/>
  <c r="O110" i="2" s="1"/>
  <c r="O120" i="2" s="1"/>
  <c r="N117" i="2"/>
  <c r="N109" i="2"/>
  <c r="N115" i="2" s="1"/>
  <c r="N116" i="2" s="1"/>
  <c r="N103" i="2"/>
  <c r="N101" i="2"/>
  <c r="N94" i="2"/>
  <c r="N85" i="2"/>
  <c r="N84" i="2"/>
  <c r="N80" i="2"/>
  <c r="N77" i="2"/>
  <c r="N83" i="2" s="1"/>
  <c r="N76" i="2"/>
  <c r="N82" i="2" s="1"/>
  <c r="N75" i="2"/>
  <c r="N81" i="2" s="1"/>
  <c r="N72" i="2"/>
  <c r="N112" i="2" s="1"/>
  <c r="N118" i="2" s="1"/>
  <c r="N73" i="2"/>
  <c r="M117" i="2"/>
  <c r="M109" i="2"/>
  <c r="M115" i="2" s="1"/>
  <c r="M116" i="2" s="1"/>
  <c r="M103" i="2"/>
  <c r="M101" i="2"/>
  <c r="M94" i="2"/>
  <c r="M85" i="2"/>
  <c r="M84" i="2"/>
  <c r="M80" i="2"/>
  <c r="M77" i="2"/>
  <c r="M83" i="2" s="1"/>
  <c r="M76" i="2"/>
  <c r="M82" i="2" s="1"/>
  <c r="M75" i="2"/>
  <c r="M81" i="2" s="1"/>
  <c r="M72" i="2"/>
  <c r="M112" i="2" s="1"/>
  <c r="M118" i="2" s="1"/>
  <c r="M73" i="2"/>
  <c r="L117" i="2"/>
  <c r="L109" i="2"/>
  <c r="L115" i="2" s="1"/>
  <c r="L116" i="2" s="1"/>
  <c r="L103" i="2"/>
  <c r="L101" i="2"/>
  <c r="L94" i="2"/>
  <c r="L85" i="2"/>
  <c r="L84" i="2"/>
  <c r="L80" i="2"/>
  <c r="L77" i="2"/>
  <c r="L83" i="2" s="1"/>
  <c r="L76" i="2"/>
  <c r="L82" i="2" s="1"/>
  <c r="L75" i="2"/>
  <c r="L81" i="2" s="1"/>
  <c r="L72" i="2"/>
  <c r="L112" i="2" s="1"/>
  <c r="L118" i="2" s="1"/>
  <c r="L73" i="2"/>
  <c r="BS62" i="2"/>
  <c r="BS60" i="2"/>
  <c r="O121" i="2" l="1"/>
  <c r="Y121" i="2"/>
  <c r="V121" i="2"/>
  <c r="S121" i="2"/>
  <c r="X121" i="2"/>
  <c r="R121" i="2"/>
  <c r="W121" i="2"/>
  <c r="T121" i="2"/>
  <c r="U121" i="2"/>
  <c r="Q121" i="2"/>
  <c r="M119" i="2"/>
  <c r="N119" i="2"/>
  <c r="L119" i="2"/>
  <c r="N102" i="2"/>
  <c r="N110" i="2" s="1"/>
  <c r="N120" i="2" s="1"/>
  <c r="M102" i="2"/>
  <c r="M110" i="2" s="1"/>
  <c r="M120" i="2" s="1"/>
  <c r="L102" i="2"/>
  <c r="L110" i="2" s="1"/>
  <c r="L120" i="2" s="1"/>
  <c r="N121" i="2" l="1"/>
  <c r="M121" i="2"/>
  <c r="L121" i="2"/>
  <c r="H121" i="2" l="1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K117" i="2"/>
  <c r="J117" i="2"/>
  <c r="I117" i="2"/>
  <c r="G117" i="2"/>
  <c r="F117" i="2"/>
  <c r="E117" i="2"/>
  <c r="G115" i="2"/>
  <c r="G116" i="2" s="1"/>
  <c r="F115" i="2"/>
  <c r="F116" i="2" s="1"/>
  <c r="E115" i="2"/>
  <c r="E116" i="2" s="1"/>
  <c r="BS113" i="2"/>
  <c r="BQ112" i="2"/>
  <c r="BQ118" i="2" s="1"/>
  <c r="BP112" i="2"/>
  <c r="BP118" i="2" s="1"/>
  <c r="BO112" i="2"/>
  <c r="BO118" i="2" s="1"/>
  <c r="BN112" i="2"/>
  <c r="BN118" i="2" s="1"/>
  <c r="BM112" i="2"/>
  <c r="BM118" i="2" s="1"/>
  <c r="BL112" i="2"/>
  <c r="BL118" i="2" s="1"/>
  <c r="BK112" i="2"/>
  <c r="BK118" i="2" s="1"/>
  <c r="BJ112" i="2"/>
  <c r="BJ118" i="2" s="1"/>
  <c r="BI112" i="2"/>
  <c r="BI118" i="2" s="1"/>
  <c r="G112" i="2"/>
  <c r="G118" i="2" s="1"/>
  <c r="F112" i="2"/>
  <c r="F118" i="2" s="1"/>
  <c r="E112" i="2"/>
  <c r="E118" i="2" s="1"/>
  <c r="BS111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O115" i="2" s="1"/>
  <c r="AO116" i="2" s="1"/>
  <c r="AN109" i="2"/>
  <c r="AN115" i="2" s="1"/>
  <c r="AN116" i="2" s="1"/>
  <c r="AM109" i="2"/>
  <c r="AM115" i="2" s="1"/>
  <c r="AM116" i="2" s="1"/>
  <c r="AL109" i="2"/>
  <c r="AL115" i="2" s="1"/>
  <c r="AL116" i="2" s="1"/>
  <c r="AK109" i="2"/>
  <c r="AK115" i="2" s="1"/>
  <c r="AK116" i="2" s="1"/>
  <c r="K109" i="2"/>
  <c r="K115" i="2" s="1"/>
  <c r="K116" i="2" s="1"/>
  <c r="J109" i="2"/>
  <c r="J115" i="2" s="1"/>
  <c r="J116" i="2" s="1"/>
  <c r="I109" i="2"/>
  <c r="I115" i="2" s="1"/>
  <c r="I116" i="2" s="1"/>
  <c r="BS108" i="2"/>
  <c r="BS107" i="2"/>
  <c r="BS103" i="2" s="1"/>
  <c r="BQ107" i="2"/>
  <c r="BP107" i="2"/>
  <c r="BO107" i="2"/>
  <c r="BN107" i="2"/>
  <c r="BN103" i="2" s="1"/>
  <c r="BM107" i="2"/>
  <c r="BM103" i="2" s="1"/>
  <c r="BL107" i="2"/>
  <c r="BL103" i="2" s="1"/>
  <c r="BK107" i="2"/>
  <c r="BK103" i="2" s="1"/>
  <c r="BJ107" i="2"/>
  <c r="BJ103" i="2" s="1"/>
  <c r="BI107" i="2"/>
  <c r="BH107" i="2"/>
  <c r="BH103" i="2" s="1"/>
  <c r="BG107" i="2"/>
  <c r="BF107" i="2"/>
  <c r="BF103" i="2" s="1"/>
  <c r="BE107" i="2"/>
  <c r="BD107" i="2"/>
  <c r="BD103" i="2" s="1"/>
  <c r="BC107" i="2"/>
  <c r="BB107" i="2"/>
  <c r="BB103" i="2" s="1"/>
  <c r="BA107" i="2"/>
  <c r="AZ107" i="2"/>
  <c r="AZ103" i="2" s="1"/>
  <c r="AY107" i="2"/>
  <c r="AY103" i="2" s="1"/>
  <c r="AX107" i="2"/>
  <c r="AX103" i="2" s="1"/>
  <c r="AW107" i="2"/>
  <c r="AW103" i="2" s="1"/>
  <c r="AV107" i="2"/>
  <c r="AV103" i="2" s="1"/>
  <c r="AU107" i="2"/>
  <c r="AT107" i="2"/>
  <c r="AT103" i="2" s="1"/>
  <c r="AS107" i="2"/>
  <c r="AR107" i="2"/>
  <c r="AR103" i="2" s="1"/>
  <c r="AQ107" i="2"/>
  <c r="AP107" i="2"/>
  <c r="AP103" i="2" s="1"/>
  <c r="AO103" i="2"/>
  <c r="AN103" i="2"/>
  <c r="AM103" i="2"/>
  <c r="AL103" i="2"/>
  <c r="AK103" i="2"/>
  <c r="K103" i="2"/>
  <c r="J103" i="2"/>
  <c r="I103" i="2"/>
  <c r="H103" i="2"/>
  <c r="F103" i="2"/>
  <c r="E103" i="2"/>
  <c r="AM101" i="2"/>
  <c r="AL101" i="2"/>
  <c r="AK101" i="2"/>
  <c r="K101" i="2"/>
  <c r="J101" i="2"/>
  <c r="I101" i="2"/>
  <c r="H101" i="2"/>
  <c r="G101" i="2"/>
  <c r="F101" i="2"/>
  <c r="E101" i="2"/>
  <c r="BS100" i="2"/>
  <c r="BS99" i="2"/>
  <c r="BS98" i="2"/>
  <c r="BS97" i="2"/>
  <c r="BS96" i="2"/>
  <c r="BQ94" i="2"/>
  <c r="BQ102" i="2" s="1"/>
  <c r="BQ110" i="2" s="1"/>
  <c r="BP94" i="2"/>
  <c r="BP102" i="2" s="1"/>
  <c r="BP110" i="2" s="1"/>
  <c r="BO94" i="2"/>
  <c r="BO102" i="2" s="1"/>
  <c r="BO110" i="2" s="1"/>
  <c r="BN94" i="2"/>
  <c r="BN102" i="2" s="1"/>
  <c r="BN110" i="2" s="1"/>
  <c r="BM94" i="2"/>
  <c r="BM102" i="2" s="1"/>
  <c r="BM110" i="2" s="1"/>
  <c r="BL94" i="2"/>
  <c r="BL102" i="2" s="1"/>
  <c r="BL110" i="2" s="1"/>
  <c r="BK94" i="2"/>
  <c r="BK102" i="2" s="1"/>
  <c r="BK110" i="2" s="1"/>
  <c r="BJ94" i="2"/>
  <c r="BJ102" i="2" s="1"/>
  <c r="BJ110" i="2" s="1"/>
  <c r="BI94" i="2"/>
  <c r="BI102" i="2" s="1"/>
  <c r="BI110" i="2" s="1"/>
  <c r="BH94" i="2"/>
  <c r="BH102" i="2" s="1"/>
  <c r="BH110" i="2" s="1"/>
  <c r="BG94" i="2"/>
  <c r="BG102" i="2" s="1"/>
  <c r="BG110" i="2" s="1"/>
  <c r="BF94" i="2"/>
  <c r="BF102" i="2" s="1"/>
  <c r="BF110" i="2" s="1"/>
  <c r="BE94" i="2"/>
  <c r="BE102" i="2" s="1"/>
  <c r="BE110" i="2" s="1"/>
  <c r="BD94" i="2"/>
  <c r="BD102" i="2" s="1"/>
  <c r="BD110" i="2" s="1"/>
  <c r="BC94" i="2"/>
  <c r="BC102" i="2" s="1"/>
  <c r="BC110" i="2" s="1"/>
  <c r="BB94" i="2"/>
  <c r="BB102" i="2" s="1"/>
  <c r="BB110" i="2" s="1"/>
  <c r="BA94" i="2"/>
  <c r="BA102" i="2" s="1"/>
  <c r="BA110" i="2" s="1"/>
  <c r="AZ94" i="2"/>
  <c r="AZ102" i="2" s="1"/>
  <c r="AZ110" i="2" s="1"/>
  <c r="AY94" i="2"/>
  <c r="AY102" i="2" s="1"/>
  <c r="AY110" i="2" s="1"/>
  <c r="AX94" i="2"/>
  <c r="AX102" i="2" s="1"/>
  <c r="AX110" i="2" s="1"/>
  <c r="AW94" i="2"/>
  <c r="AW102" i="2" s="1"/>
  <c r="AW110" i="2" s="1"/>
  <c r="AV94" i="2"/>
  <c r="AV102" i="2" s="1"/>
  <c r="AV110" i="2" s="1"/>
  <c r="AU94" i="2"/>
  <c r="AU102" i="2" s="1"/>
  <c r="AU110" i="2" s="1"/>
  <c r="AT94" i="2"/>
  <c r="AT102" i="2" s="1"/>
  <c r="AT110" i="2" s="1"/>
  <c r="AS94" i="2"/>
  <c r="AS102" i="2" s="1"/>
  <c r="AS110" i="2" s="1"/>
  <c r="AR94" i="2"/>
  <c r="AR102" i="2" s="1"/>
  <c r="AR110" i="2" s="1"/>
  <c r="AQ94" i="2"/>
  <c r="AQ102" i="2" s="1"/>
  <c r="AQ110" i="2" s="1"/>
  <c r="AP94" i="2"/>
  <c r="AP102" i="2" s="1"/>
  <c r="AP110" i="2" s="1"/>
  <c r="AO94" i="2"/>
  <c r="AO102" i="2" s="1"/>
  <c r="AO110" i="2" s="1"/>
  <c r="AN94" i="2"/>
  <c r="AN102" i="2" s="1"/>
  <c r="AN110" i="2" s="1"/>
  <c r="AM94" i="2"/>
  <c r="AL94" i="2"/>
  <c r="AK94" i="2"/>
  <c r="K94" i="2"/>
  <c r="J94" i="2"/>
  <c r="I94" i="2"/>
  <c r="H94" i="2"/>
  <c r="G94" i="2"/>
  <c r="F94" i="2"/>
  <c r="E94" i="2"/>
  <c r="BS93" i="2"/>
  <c r="BS92" i="2"/>
  <c r="BS91" i="2"/>
  <c r="BS90" i="2"/>
  <c r="BS86" i="2"/>
  <c r="AL85" i="2"/>
  <c r="AK85" i="2"/>
  <c r="K85" i="2"/>
  <c r="J85" i="2"/>
  <c r="I85" i="2"/>
  <c r="H85" i="2"/>
  <c r="G85" i="2"/>
  <c r="AL84" i="2"/>
  <c r="AK84" i="2"/>
  <c r="K84" i="2"/>
  <c r="J84" i="2"/>
  <c r="I84" i="2"/>
  <c r="H84" i="2"/>
  <c r="G84" i="2"/>
  <c r="F84" i="2"/>
  <c r="E84" i="2"/>
  <c r="H83" i="2"/>
  <c r="H82" i="2"/>
  <c r="H81" i="2"/>
  <c r="AL80" i="2"/>
  <c r="AK80" i="2"/>
  <c r="K80" i="2"/>
  <c r="J80" i="2"/>
  <c r="I80" i="2"/>
  <c r="H80" i="2"/>
  <c r="G80" i="2"/>
  <c r="BS78" i="2"/>
  <c r="BS84" i="2" s="1"/>
  <c r="AP77" i="2"/>
  <c r="AO77" i="2"/>
  <c r="AN77" i="2"/>
  <c r="AM77" i="2"/>
  <c r="AL77" i="2"/>
  <c r="AL83" i="2" s="1"/>
  <c r="AK77" i="2"/>
  <c r="AK83" i="2" s="1"/>
  <c r="K77" i="2"/>
  <c r="K83" i="2" s="1"/>
  <c r="J77" i="2"/>
  <c r="J83" i="2" s="1"/>
  <c r="I77" i="2"/>
  <c r="I83" i="2" s="1"/>
  <c r="G77" i="2"/>
  <c r="G83" i="2" s="1"/>
  <c r="AP76" i="2"/>
  <c r="AO76" i="2"/>
  <c r="AN76" i="2"/>
  <c r="AM76" i="2"/>
  <c r="AL76" i="2"/>
  <c r="AL82" i="2" s="1"/>
  <c r="AK76" i="2"/>
  <c r="AK82" i="2" s="1"/>
  <c r="K76" i="2"/>
  <c r="K82" i="2" s="1"/>
  <c r="J76" i="2"/>
  <c r="J82" i="2" s="1"/>
  <c r="I76" i="2"/>
  <c r="I82" i="2" s="1"/>
  <c r="G76" i="2"/>
  <c r="G82" i="2" s="1"/>
  <c r="AP75" i="2"/>
  <c r="AO75" i="2"/>
  <c r="AN75" i="2"/>
  <c r="AM75" i="2"/>
  <c r="AL75" i="2"/>
  <c r="AL81" i="2" s="1"/>
  <c r="AK75" i="2"/>
  <c r="AK81" i="2" s="1"/>
  <c r="K75" i="2"/>
  <c r="K81" i="2" s="1"/>
  <c r="J75" i="2"/>
  <c r="J81" i="2" s="1"/>
  <c r="I75" i="2"/>
  <c r="I81" i="2" s="1"/>
  <c r="G75" i="2"/>
  <c r="G81" i="2" s="1"/>
  <c r="BH72" i="2"/>
  <c r="BH112" i="2" s="1"/>
  <c r="BH118" i="2" s="1"/>
  <c r="BG72" i="2"/>
  <c r="BG112" i="2" s="1"/>
  <c r="BG118" i="2" s="1"/>
  <c r="BF72" i="2"/>
  <c r="BF112" i="2" s="1"/>
  <c r="BF118" i="2" s="1"/>
  <c r="BE72" i="2"/>
  <c r="BE112" i="2" s="1"/>
  <c r="BE118" i="2" s="1"/>
  <c r="BD72" i="2"/>
  <c r="BD112" i="2" s="1"/>
  <c r="BD118" i="2" s="1"/>
  <c r="BC72" i="2"/>
  <c r="BC112" i="2" s="1"/>
  <c r="BC118" i="2" s="1"/>
  <c r="BB72" i="2"/>
  <c r="BB112" i="2" s="1"/>
  <c r="BB118" i="2" s="1"/>
  <c r="BA72" i="2"/>
  <c r="BA112" i="2" s="1"/>
  <c r="BA118" i="2" s="1"/>
  <c r="AZ72" i="2"/>
  <c r="AZ112" i="2" s="1"/>
  <c r="AZ118" i="2" s="1"/>
  <c r="AY72" i="2"/>
  <c r="AY112" i="2" s="1"/>
  <c r="AY118" i="2" s="1"/>
  <c r="AX72" i="2"/>
  <c r="AX112" i="2" s="1"/>
  <c r="AX118" i="2" s="1"/>
  <c r="AW72" i="2"/>
  <c r="AW112" i="2" s="1"/>
  <c r="AW118" i="2" s="1"/>
  <c r="AV72" i="2"/>
  <c r="AV112" i="2" s="1"/>
  <c r="AV118" i="2" s="1"/>
  <c r="AU72" i="2"/>
  <c r="AU112" i="2" s="1"/>
  <c r="AU118" i="2" s="1"/>
  <c r="AT72" i="2"/>
  <c r="AT112" i="2" s="1"/>
  <c r="AT118" i="2" s="1"/>
  <c r="AS72" i="2"/>
  <c r="AS112" i="2" s="1"/>
  <c r="AS118" i="2" s="1"/>
  <c r="AR72" i="2"/>
  <c r="AR112" i="2" s="1"/>
  <c r="AR118" i="2" s="1"/>
  <c r="AQ72" i="2"/>
  <c r="AQ112" i="2" s="1"/>
  <c r="AQ118" i="2" s="1"/>
  <c r="AP72" i="2"/>
  <c r="AP112" i="2" s="1"/>
  <c r="AP118" i="2" s="1"/>
  <c r="AO72" i="2"/>
  <c r="AO112" i="2" s="1"/>
  <c r="AO118" i="2" s="1"/>
  <c r="AN72" i="2"/>
  <c r="AN112" i="2" s="1"/>
  <c r="AN118" i="2" s="1"/>
  <c r="AM72" i="2"/>
  <c r="AM112" i="2" s="1"/>
  <c r="AM118" i="2" s="1"/>
  <c r="AL72" i="2"/>
  <c r="AL112" i="2" s="1"/>
  <c r="AL118" i="2" s="1"/>
  <c r="AK72" i="2"/>
  <c r="AK112" i="2" s="1"/>
  <c r="AK118" i="2" s="1"/>
  <c r="K72" i="2"/>
  <c r="K112" i="2" s="1"/>
  <c r="K118" i="2" s="1"/>
  <c r="J72" i="2"/>
  <c r="J112" i="2" s="1"/>
  <c r="J118" i="2" s="1"/>
  <c r="I72" i="2"/>
  <c r="BS72" i="2" s="1"/>
  <c r="BS71" i="2"/>
  <c r="BS70" i="2"/>
  <c r="BS69" i="2"/>
  <c r="BS66" i="2"/>
  <c r="BS85" i="2" s="1"/>
  <c r="BQ66" i="2"/>
  <c r="BP66" i="2"/>
  <c r="BO66" i="2"/>
  <c r="BN66" i="2"/>
  <c r="BM66" i="2"/>
  <c r="BL66" i="2"/>
  <c r="BK66" i="2"/>
  <c r="BJ66" i="2"/>
  <c r="BI66" i="2"/>
  <c r="BH66" i="2"/>
  <c r="BG66" i="2"/>
  <c r="F66" i="2"/>
  <c r="F75" i="2" s="1"/>
  <c r="F81" i="2" s="1"/>
  <c r="E66" i="2"/>
  <c r="E80" i="2" s="1"/>
  <c r="BS65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F73" i="2" s="1"/>
  <c r="BE20" i="2"/>
  <c r="BE73" i="2" s="1"/>
  <c r="BD20" i="2"/>
  <c r="BD73" i="2" s="1"/>
  <c r="BC20" i="2"/>
  <c r="BC73" i="2" s="1"/>
  <c r="BB20" i="2"/>
  <c r="BB73" i="2" s="1"/>
  <c r="BA20" i="2"/>
  <c r="BA73" i="2" s="1"/>
  <c r="AZ20" i="2"/>
  <c r="AZ73" i="2" s="1"/>
  <c r="AY20" i="2"/>
  <c r="AY73" i="2" s="1"/>
  <c r="AX20" i="2"/>
  <c r="AX73" i="2" s="1"/>
  <c r="AW20" i="2"/>
  <c r="AW73" i="2" s="1"/>
  <c r="AV20" i="2"/>
  <c r="AV73" i="2" s="1"/>
  <c r="AU20" i="2"/>
  <c r="AU73" i="2" s="1"/>
  <c r="AT20" i="2"/>
  <c r="AT73" i="2" s="1"/>
  <c r="AS20" i="2"/>
  <c r="AS73" i="2" s="1"/>
  <c r="AR20" i="2"/>
  <c r="AR73" i="2" s="1"/>
  <c r="AQ20" i="2"/>
  <c r="AQ73" i="2" s="1"/>
  <c r="AP20" i="2"/>
  <c r="AP73" i="2" s="1"/>
  <c r="AO20" i="2"/>
  <c r="AO73" i="2" s="1"/>
  <c r="AN20" i="2"/>
  <c r="AN73" i="2" s="1"/>
  <c r="AM20" i="2"/>
  <c r="AM73" i="2" s="1"/>
  <c r="AL20" i="2"/>
  <c r="AL73" i="2" s="1"/>
  <c r="AK20" i="2"/>
  <c r="K73" i="2"/>
  <c r="J73" i="2"/>
  <c r="I73" i="2"/>
  <c r="F20" i="2"/>
  <c r="E20" i="2"/>
  <c r="BS11" i="2"/>
  <c r="BS10" i="2"/>
  <c r="BS9" i="2"/>
  <c r="BS8" i="2"/>
  <c r="BS7" i="2"/>
  <c r="BS6" i="2"/>
  <c r="BS5" i="2"/>
  <c r="BS4" i="2"/>
  <c r="AK73" i="2" l="1"/>
  <c r="BS73" i="2" s="1"/>
  <c r="BS20" i="2"/>
  <c r="AP119" i="2"/>
  <c r="BB119" i="2"/>
  <c r="BP119" i="2"/>
  <c r="AQ115" i="2"/>
  <c r="AQ116" i="2" s="1"/>
  <c r="AQ120" i="2" s="1"/>
  <c r="BC115" i="2"/>
  <c r="BC116" i="2" s="1"/>
  <c r="BC120" i="2" s="1"/>
  <c r="BO115" i="2"/>
  <c r="BO116" i="2" s="1"/>
  <c r="BO120" i="2" s="1"/>
  <c r="E119" i="2"/>
  <c r="F119" i="2"/>
  <c r="G119" i="2"/>
  <c r="BP115" i="2"/>
  <c r="BP116" i="2" s="1"/>
  <c r="BP120" i="2" s="1"/>
  <c r="BH115" i="2"/>
  <c r="BH116" i="2" s="1"/>
  <c r="BH120" i="2" s="1"/>
  <c r="BN119" i="2"/>
  <c r="F102" i="2"/>
  <c r="BJ115" i="2"/>
  <c r="BJ116" i="2" s="1"/>
  <c r="BJ120" i="2" s="1"/>
  <c r="BL73" i="2"/>
  <c r="BM73" i="2"/>
  <c r="AN119" i="2"/>
  <c r="AZ119" i="2"/>
  <c r="AZ115" i="2"/>
  <c r="AZ116" i="2" s="1"/>
  <c r="AZ120" i="2" s="1"/>
  <c r="AW115" i="2"/>
  <c r="AW116" i="2" s="1"/>
  <c r="AW120" i="2" s="1"/>
  <c r="BG73" i="2"/>
  <c r="AO119" i="2"/>
  <c r="BA119" i="2"/>
  <c r="E102" i="2"/>
  <c r="BO73" i="2"/>
  <c r="AS115" i="2"/>
  <c r="AS116" i="2" s="1"/>
  <c r="AS120" i="2" s="1"/>
  <c r="BE115" i="2"/>
  <c r="BE116" i="2" s="1"/>
  <c r="BE120" i="2" s="1"/>
  <c r="BQ115" i="2"/>
  <c r="BQ116" i="2" s="1"/>
  <c r="BQ120" i="2" s="1"/>
  <c r="BP73" i="2"/>
  <c r="AQ119" i="2"/>
  <c r="BC119" i="2"/>
  <c r="AR119" i="2"/>
  <c r="BD119" i="2"/>
  <c r="AU115" i="2"/>
  <c r="AU116" i="2" s="1"/>
  <c r="AU120" i="2" s="1"/>
  <c r="BG115" i="2"/>
  <c r="BG116" i="2" s="1"/>
  <c r="BG120" i="2" s="1"/>
  <c r="BO119" i="2"/>
  <c r="AR115" i="2"/>
  <c r="AR116" i="2" s="1"/>
  <c r="AR120" i="2" s="1"/>
  <c r="H102" i="2"/>
  <c r="BJ73" i="2"/>
  <c r="BS101" i="2"/>
  <c r="K102" i="2"/>
  <c r="K110" i="2" s="1"/>
  <c r="K120" i="2" s="1"/>
  <c r="AU103" i="2"/>
  <c r="BI115" i="2"/>
  <c r="BI116" i="2" s="1"/>
  <c r="BI120" i="2" s="1"/>
  <c r="AK102" i="2"/>
  <c r="AK110" i="2" s="1"/>
  <c r="AK120" i="2" s="1"/>
  <c r="BS117" i="2"/>
  <c r="G102" i="2"/>
  <c r="AM119" i="2"/>
  <c r="AY119" i="2"/>
  <c r="BP103" i="2"/>
  <c r="BA115" i="2"/>
  <c r="BA116" i="2" s="1"/>
  <c r="BA120" i="2" s="1"/>
  <c r="F120" i="2"/>
  <c r="BE119" i="2"/>
  <c r="AT115" i="2"/>
  <c r="AT116" i="2" s="1"/>
  <c r="AT120" i="2" s="1"/>
  <c r="BS109" i="2"/>
  <c r="BS115" i="2" s="1"/>
  <c r="BS116" i="2" s="1"/>
  <c r="BK119" i="2"/>
  <c r="BC103" i="2"/>
  <c r="BM115" i="2"/>
  <c r="BM116" i="2" s="1"/>
  <c r="BM120" i="2" s="1"/>
  <c r="BI119" i="2"/>
  <c r="BF119" i="2"/>
  <c r="AU119" i="2"/>
  <c r="F76" i="2"/>
  <c r="F82" i="2" s="1"/>
  <c r="AL102" i="2"/>
  <c r="AL110" i="2" s="1"/>
  <c r="AL120" i="2" s="1"/>
  <c r="BN73" i="2"/>
  <c r="AV119" i="2"/>
  <c r="BH119" i="2"/>
  <c r="F85" i="2"/>
  <c r="BS94" i="2"/>
  <c r="AM102" i="2"/>
  <c r="AM110" i="2" s="1"/>
  <c r="AM120" i="2" s="1"/>
  <c r="BL119" i="2"/>
  <c r="BE103" i="2"/>
  <c r="J119" i="2"/>
  <c r="BG119" i="2"/>
  <c r="AK119" i="2"/>
  <c r="AW119" i="2"/>
  <c r="AY115" i="2"/>
  <c r="AY116" i="2" s="1"/>
  <c r="AY120" i="2" s="1"/>
  <c r="BK115" i="2"/>
  <c r="BK116" i="2" s="1"/>
  <c r="BK120" i="2" s="1"/>
  <c r="BM119" i="2"/>
  <c r="J102" i="2"/>
  <c r="J110" i="2" s="1"/>
  <c r="J120" i="2" s="1"/>
  <c r="BQ73" i="2"/>
  <c r="AS119" i="2"/>
  <c r="AT119" i="2"/>
  <c r="BG103" i="2"/>
  <c r="BH73" i="2"/>
  <c r="K119" i="2"/>
  <c r="BI73" i="2"/>
  <c r="BK73" i="2"/>
  <c r="AL119" i="2"/>
  <c r="AX119" i="2"/>
  <c r="AQ103" i="2"/>
  <c r="BO103" i="2"/>
  <c r="BQ119" i="2"/>
  <c r="BJ119" i="2"/>
  <c r="I102" i="2"/>
  <c r="I110" i="2" s="1"/>
  <c r="BB115" i="2"/>
  <c r="BB116" i="2" s="1"/>
  <c r="BB120" i="2" s="1"/>
  <c r="E120" i="2"/>
  <c r="BS75" i="2"/>
  <c r="BS81" i="2" s="1"/>
  <c r="BS76" i="2"/>
  <c r="BS82" i="2" s="1"/>
  <c r="BS77" i="2"/>
  <c r="BS83" i="2" s="1"/>
  <c r="AN120" i="2"/>
  <c r="AO120" i="2"/>
  <c r="G120" i="2"/>
  <c r="E77" i="2"/>
  <c r="E83" i="2" s="1"/>
  <c r="F80" i="2"/>
  <c r="F77" i="2"/>
  <c r="F83" i="2" s="1"/>
  <c r="AS103" i="2"/>
  <c r="BA103" i="2"/>
  <c r="BI103" i="2"/>
  <c r="BQ103" i="2"/>
  <c r="I112" i="2"/>
  <c r="I118" i="2" s="1"/>
  <c r="I119" i="2" s="1"/>
  <c r="E76" i="2"/>
  <c r="E82" i="2" s="1"/>
  <c r="AV115" i="2"/>
  <c r="AV116" i="2" s="1"/>
  <c r="AV120" i="2" s="1"/>
  <c r="BD115" i="2"/>
  <c r="BD116" i="2" s="1"/>
  <c r="BD120" i="2" s="1"/>
  <c r="BL115" i="2"/>
  <c r="BL116" i="2" s="1"/>
  <c r="BL120" i="2" s="1"/>
  <c r="E75" i="2"/>
  <c r="E81" i="2" s="1"/>
  <c r="AP115" i="2"/>
  <c r="AP116" i="2" s="1"/>
  <c r="AP120" i="2" s="1"/>
  <c r="AX115" i="2"/>
  <c r="AX116" i="2" s="1"/>
  <c r="AX120" i="2" s="1"/>
  <c r="BF115" i="2"/>
  <c r="BF116" i="2" s="1"/>
  <c r="BF120" i="2" s="1"/>
  <c r="BN115" i="2"/>
  <c r="BN116" i="2" s="1"/>
  <c r="BN120" i="2" s="1"/>
  <c r="E85" i="2"/>
  <c r="BB121" i="2" l="1"/>
  <c r="AP121" i="2"/>
  <c r="E121" i="2"/>
  <c r="BP121" i="2"/>
  <c r="BO121" i="2"/>
  <c r="F121" i="2"/>
  <c r="J121" i="2"/>
  <c r="AS121" i="2"/>
  <c r="G121" i="2"/>
  <c r="AZ121" i="2"/>
  <c r="BQ121" i="2"/>
  <c r="BE121" i="2"/>
  <c r="BN121" i="2"/>
  <c r="AM121" i="2"/>
  <c r="AN121" i="2"/>
  <c r="BM121" i="2"/>
  <c r="BC121" i="2"/>
  <c r="BS102" i="2"/>
  <c r="AK121" i="2"/>
  <c r="BF121" i="2"/>
  <c r="BI121" i="2"/>
  <c r="AQ121" i="2"/>
  <c r="AL121" i="2"/>
  <c r="BA121" i="2"/>
  <c r="BH121" i="2"/>
  <c r="AO121" i="2"/>
  <c r="AR121" i="2"/>
  <c r="BD121" i="2"/>
  <c r="BS110" i="2"/>
  <c r="BL121" i="2"/>
  <c r="BK121" i="2"/>
  <c r="AT121" i="2"/>
  <c r="AY121" i="2"/>
  <c r="AX121" i="2"/>
  <c r="BG121" i="2"/>
  <c r="BJ121" i="2"/>
  <c r="AW121" i="2"/>
  <c r="AV121" i="2"/>
  <c r="AU121" i="2"/>
  <c r="K121" i="2"/>
  <c r="I120" i="2"/>
  <c r="I121" i="2" s="1"/>
  <c r="BS112" i="2"/>
  <c r="BS118" i="2" s="1"/>
  <c r="BS119" i="2" s="1"/>
  <c r="BS120" i="2" l="1"/>
  <c r="BS121" i="2" s="1"/>
</calcChain>
</file>

<file path=xl/sharedStrings.xml><?xml version="1.0" encoding="utf-8"?>
<sst xmlns="http://schemas.openxmlformats.org/spreadsheetml/2006/main" count="391" uniqueCount="255">
  <si>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</si>
  <si>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</si>
  <si>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</si>
  <si>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</si>
  <si>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</si>
  <si>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</si>
  <si>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</si>
  <si>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</si>
  <si>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</si>
  <si>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</si>
  <si>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</si>
  <si>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</si>
  <si>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</si>
  <si>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</si>
  <si>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</si>
  <si>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</si>
  <si>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</si>
  <si>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</si>
  <si>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</si>
  <si>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</si>
  <si>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</si>
  <si>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</si>
  <si>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</si>
  <si>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</si>
  <si>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</si>
  <si>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</si>
  <si>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</si>
  <si>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</si>
  <si>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</si>
  <si>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</si>
  <si>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</si>
  <si>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</si>
  <si>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</si>
  <si>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</si>
  <si>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</si>
  <si>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</si>
  <si>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</si>
  <si>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</si>
  <si>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</si>
  <si>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</si>
  <si>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</si>
  <si>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</si>
  <si>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</si>
  <si>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</si>
  <si>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</si>
  <si>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</si>
  <si>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</si>
  <si>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</si>
  <si>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</si>
  <si>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</si>
  <si>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</si>
  <si>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</si>
  <si>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</si>
  <si>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</si>
  <si>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</si>
  <si>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</si>
  <si>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</si>
  <si>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</si>
  <si>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</si>
  <si>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</si>
  <si>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</si>
  <si>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</si>
  <si>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</si>
  <si>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</si>
  <si>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</si>
  <si>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</si>
  <si>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</si>
  <si>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</si>
  <si>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</si>
  <si>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</si>
  <si>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</si>
  <si>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</si>
  <si>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</si>
  <si>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</si>
  <si>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</si>
  <si>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</si>
  <si>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</si>
  <si>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</si>
  <si>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</si>
  <si>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</si>
  <si>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</si>
  <si>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</si>
  <si>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</si>
  <si>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</si>
  <si>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</si>
  <si>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</si>
  <si>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</si>
  <si>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</si>
  <si>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</si>
  <si>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</si>
  <si>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</si>
  <si>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</si>
  <si>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</si>
  <si>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</si>
  <si>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</si>
  <si>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</si>
  <si>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</si>
  <si>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</si>
  <si>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</si>
  <si>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</si>
  <si>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</si>
  <si>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</si>
  <si>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</si>
  <si>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</si>
  <si>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</si>
  <si>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</si>
  <si>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</si>
  <si>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</si>
  <si>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</si>
  <si>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</si>
  <si>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</si>
  <si>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</si>
  <si>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</si>
  <si>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</si>
  <si>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</si>
  <si>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</si>
  <si>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</si>
  <si>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</si>
  <si>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</si>
  <si>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</si>
  <si>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SOFTING AGENT - PROSOFT TQ 218</t>
  </si>
  <si>
    <t>Creptrol A9915 (Yankee coating)</t>
  </si>
  <si>
    <t>Creptrol 3718 (Yankee coating)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</si>
  <si>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</si>
  <si>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</si>
  <si>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</si>
  <si>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</si>
  <si>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</si>
  <si>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</si>
  <si>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</si>
  <si>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</si>
  <si>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</si>
  <si>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</si>
  <si>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</si>
  <si>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</si>
  <si>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</si>
  <si>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</si>
  <si>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</si>
  <si>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</si>
  <si>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</si>
  <si>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</si>
  <si>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</si>
  <si>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</si>
  <si>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</si>
  <si>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</si>
  <si>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</si>
  <si>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</si>
  <si>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</si>
  <si>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</si>
  <si>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</si>
  <si>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</si>
  <si>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</si>
  <si>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</si>
  <si>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</si>
  <si>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</si>
  <si>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</si>
  <si>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</si>
  <si>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</si>
  <si>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</si>
  <si>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</si>
  <si>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</si>
  <si>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</si>
  <si>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</si>
  <si>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</si>
  <si>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</si>
  <si>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</si>
  <si>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</si>
  <si>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</si>
  <si>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</si>
  <si>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</si>
  <si>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</si>
  <si>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</si>
  <si>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</si>
  <si>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</si>
  <si>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</si>
  <si>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</si>
  <si>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</si>
  <si>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</si>
  <si>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</si>
  <si>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</si>
  <si>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</si>
  <si>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</si>
  <si>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</si>
  <si>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</si>
  <si>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</si>
  <si>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</si>
  <si>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</si>
  <si>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</si>
  <si>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</si>
  <si>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</si>
  <si>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</si>
  <si>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</si>
  <si>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</si>
  <si>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</si>
  <si>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</si>
  <si>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</si>
  <si>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</si>
  <si>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</si>
  <si>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</si>
  <si>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</si>
  <si>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</si>
  <si>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</si>
  <si>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</si>
  <si>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</si>
  <si>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</si>
  <si>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</si>
  <si>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</si>
  <si>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</si>
  <si>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</si>
  <si>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</si>
  <si>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</si>
  <si>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</si>
  <si>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</si>
  <si>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</si>
  <si>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</si>
  <si>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</si>
  <si>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</si>
  <si>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</si>
  <si>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</si>
  <si>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</si>
  <si>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</si>
  <si>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</si>
  <si>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</si>
  <si>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</si>
  <si>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</si>
  <si>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</si>
  <si>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</si>
  <si>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</si>
  <si>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</si>
  <si>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Imported Hardwood April XP (AD)</t>
  </si>
  <si>
    <t>BCHEM Rzym E - TR</t>
  </si>
  <si>
    <t>Creptrol 9258 AP (Yankee coating)</t>
  </si>
  <si>
    <t>Anmosuper PAE (WSR)</t>
  </si>
  <si>
    <t>Packing lables</t>
  </si>
  <si>
    <t>Hercobond 1309 AP (DSR)</t>
  </si>
  <si>
    <t>Yankee doctor blade change</t>
  </si>
  <si>
    <t>Imported Hardwood SANTA (AD)</t>
  </si>
  <si>
    <t>Imported Softwood Pulp ALABAMA (AD)</t>
  </si>
  <si>
    <t>Amicoat TC 6213</t>
  </si>
  <si>
    <t>Amicoat TC 6411</t>
  </si>
  <si>
    <t>Amicoat TR  6217</t>
  </si>
  <si>
    <t>Amicoat TR  6246</t>
  </si>
  <si>
    <t>Sedifloc 526 (Flocculant)</t>
  </si>
  <si>
    <t>A-fix (Coagulant)</t>
  </si>
  <si>
    <t>TT</t>
  </si>
  <si>
    <t>Amicoat TC 6101</t>
  </si>
  <si>
    <t>Amicoat  TR 6112</t>
  </si>
  <si>
    <t>DAILY REPORT  Month (MAY-2026)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</si>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</sst>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h:mm;@"/>
    <numFmt numFmtId="166" formatCode="[$-409]d\-mmm\-yy;@"/>
    <numFmt numFmtId="167" formatCode="0.000"/>
    <numFmt numFmtId="168" formatCode="[h]:mm:ss;@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u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4" xfId="1" applyFont="1" applyBorder="1" applyAlignment="1">
      <alignment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9" xfId="1" applyFont="1" applyBorder="1"/>
    <xf numFmtId="0" fontId="4" fillId="2" borderId="24" xfId="0" applyFont="1" applyFill="1" applyBorder="1"/>
    <xf numFmtId="0" fontId="4" fillId="0" borderId="0" xfId="0" applyFont="1"/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7" fontId="6" fillId="6" borderId="19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2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2" fontId="6" fillId="7" borderId="2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4" fillId="2" borderId="18" xfId="0" applyFont="1" applyFill="1" applyBorder="1" applyAlignment="1">
      <alignment horizontal="center"/>
    </xf>
    <xf numFmtId="0" fontId="10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2" fontId="6" fillId="2" borderId="19" xfId="0" applyNumberFormat="1" applyFont="1" applyFill="1" applyBorder="1" applyAlignment="1">
      <alignment horizontal="center" vertical="center"/>
    </xf>
    <xf numFmtId="167" fontId="9" fillId="0" borderId="0" xfId="0" applyNumberFormat="1" applyFont="1" applyAlignment="1">
      <alignment horizontal="center"/>
    </xf>
    <xf numFmtId="167" fontId="4" fillId="0" borderId="0" xfId="0" applyNumberFormat="1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7" fontId="4" fillId="2" borderId="2" xfId="0" applyNumberFormat="1" applyFont="1" applyFill="1" applyBorder="1" applyAlignment="1">
      <alignment horizontal="center"/>
    </xf>
    <xf numFmtId="167" fontId="6" fillId="2" borderId="19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164" fontId="6" fillId="2" borderId="19" xfId="0" applyNumberFormat="1" applyFont="1" applyFill="1" applyBorder="1" applyAlignment="1">
      <alignment horizontal="center" vertical="center"/>
    </xf>
    <xf numFmtId="1" fontId="6" fillId="2" borderId="19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5" xfId="0" applyFont="1" applyFill="1" applyBorder="1"/>
    <xf numFmtId="0" fontId="4" fillId="2" borderId="4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right"/>
    </xf>
    <xf numFmtId="164" fontId="4" fillId="2" borderId="8" xfId="0" applyNumberFormat="1" applyFont="1" applyFill="1" applyBorder="1" applyAlignment="1">
      <alignment horizontal="center"/>
    </xf>
    <xf numFmtId="164" fontId="4" fillId="2" borderId="20" xfId="0" applyNumberFormat="1" applyFont="1" applyFill="1" applyBorder="1" applyAlignment="1">
      <alignment horizontal="center"/>
    </xf>
    <xf numFmtId="0" fontId="4" fillId="2" borderId="18" xfId="0" applyFont="1" applyFill="1" applyBorder="1"/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4" fillId="2" borderId="29" xfId="0" applyFont="1" applyFill="1" applyBorder="1"/>
    <xf numFmtId="0" fontId="6" fillId="2" borderId="30" xfId="0" applyFont="1" applyFill="1" applyBorder="1"/>
    <xf numFmtId="0" fontId="6" fillId="2" borderId="30" xfId="0" applyFont="1" applyFill="1" applyBorder="1" applyAlignment="1">
      <alignment horizontal="left"/>
    </xf>
    <xf numFmtId="0" fontId="6" fillId="2" borderId="30" xfId="0" applyFont="1" applyFill="1" applyBorder="1" applyAlignment="1">
      <alignment horizontal="center"/>
    </xf>
    <xf numFmtId="2" fontId="4" fillId="2" borderId="30" xfId="0" applyNumberFormat="1" applyFont="1" applyFill="1" applyBorder="1" applyAlignment="1">
      <alignment horizontal="center"/>
    </xf>
    <xf numFmtId="2" fontId="4" fillId="2" borderId="31" xfId="0" applyNumberFormat="1" applyFont="1" applyFill="1" applyBorder="1" applyAlignment="1">
      <alignment horizontal="center"/>
    </xf>
    <xf numFmtId="2" fontId="6" fillId="2" borderId="32" xfId="0" applyNumberFormat="1" applyFont="1" applyFill="1" applyBorder="1" applyAlignment="1">
      <alignment horizontal="center" vertical="center"/>
    </xf>
    <xf numFmtId="0" fontId="4" fillId="2" borderId="33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34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left"/>
    </xf>
    <xf numFmtId="0" fontId="4" fillId="2" borderId="35" xfId="0" applyFont="1" applyFill="1" applyBorder="1"/>
    <xf numFmtId="0" fontId="6" fillId="2" borderId="35" xfId="0" applyFont="1" applyFill="1" applyBorder="1" applyAlignment="1">
      <alignment horizontal="left"/>
    </xf>
    <xf numFmtId="0" fontId="4" fillId="2" borderId="25" xfId="0" applyFont="1" applyFill="1" applyBorder="1"/>
    <xf numFmtId="0" fontId="6" fillId="2" borderId="3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" fontId="4" fillId="2" borderId="19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/>
    </xf>
    <xf numFmtId="164" fontId="6" fillId="2" borderId="30" xfId="0" applyNumberFormat="1" applyFont="1" applyFill="1" applyBorder="1" applyAlignment="1">
      <alignment horizontal="center"/>
    </xf>
    <xf numFmtId="164" fontId="6" fillId="2" borderId="31" xfId="0" applyNumberFormat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" fillId="0" borderId="1" xfId="2" applyNumberFormat="1" applyFont="1" applyBorder="1" applyAlignment="1">
      <alignment horizontal="center" vertical="center" wrapText="1"/>
    </xf>
    <xf numFmtId="164" fontId="3" fillId="0" borderId="12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0" fontId="4" fillId="3" borderId="29" xfId="0" applyFont="1" applyFill="1" applyBorder="1" applyAlignment="1">
      <alignment horizontal="center"/>
    </xf>
    <xf numFmtId="0" fontId="6" fillId="7" borderId="30" xfId="0" applyFont="1" applyFill="1" applyBorder="1"/>
    <xf numFmtId="0" fontId="6" fillId="7" borderId="30" xfId="0" applyFont="1" applyFill="1" applyBorder="1" applyAlignment="1">
      <alignment horizontal="left"/>
    </xf>
    <xf numFmtId="0" fontId="6" fillId="7" borderId="30" xfId="0" applyFont="1" applyFill="1" applyBorder="1" applyAlignment="1">
      <alignment horizontal="center"/>
    </xf>
    <xf numFmtId="2" fontId="6" fillId="7" borderId="30" xfId="0" applyNumberFormat="1" applyFont="1" applyFill="1" applyBorder="1" applyAlignment="1">
      <alignment horizontal="center"/>
    </xf>
    <xf numFmtId="167" fontId="6" fillId="7" borderId="30" xfId="0" applyNumberFormat="1" applyFont="1" applyFill="1" applyBorder="1" applyAlignment="1">
      <alignment horizontal="center"/>
    </xf>
    <xf numFmtId="2" fontId="6" fillId="7" borderId="31" xfId="0" applyNumberFormat="1" applyFont="1" applyFill="1" applyBorder="1" applyAlignment="1">
      <alignment horizontal="center"/>
    </xf>
    <xf numFmtId="167" fontId="6" fillId="6" borderId="32" xfId="0" applyNumberFormat="1" applyFont="1" applyFill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 wrapText="1"/>
    </xf>
    <xf numFmtId="164" fontId="1" fillId="0" borderId="7" xfId="2" applyNumberFormat="1" applyFont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  <xf numFmtId="164" fontId="1" fillId="0" borderId="9" xfId="2" applyNumberFormat="1" applyFont="1" applyBorder="1" applyAlignment="1">
      <alignment horizontal="center" vertical="center" wrapText="1"/>
    </xf>
    <xf numFmtId="0" fontId="1" fillId="2" borderId="13" xfId="2" applyFont="1" applyFill="1" applyBorder="1" applyAlignment="1">
      <alignment horizontal="center" vertical="center"/>
    </xf>
    <xf numFmtId="164" fontId="1" fillId="0" borderId="11" xfId="2" applyNumberFormat="1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164" fontId="1" fillId="0" borderId="15" xfId="2" applyNumberFormat="1" applyFont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4" fillId="0" borderId="26" xfId="0" applyNumberFormat="1" applyFont="1" applyBorder="1" applyAlignment="1">
      <alignment horizont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 wrapText="1"/>
    </xf>
    <xf numFmtId="165" fontId="1" fillId="2" borderId="13" xfId="2" applyNumberFormat="1" applyFont="1" applyFill="1" applyBorder="1" applyAlignment="1">
      <alignment horizontal="center" vertical="center"/>
    </xf>
    <xf numFmtId="0" fontId="1" fillId="2" borderId="14" xfId="2" applyFont="1" applyFill="1" applyBorder="1" applyAlignment="1">
      <alignment vertical="center"/>
    </xf>
    <xf numFmtId="0" fontId="1" fillId="0" borderId="10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164" fontId="1" fillId="0" borderId="16" xfId="2" applyNumberFormat="1" applyFont="1" applyBorder="1" applyAlignment="1">
      <alignment horizontal="center" vertical="center" wrapText="1"/>
    </xf>
    <xf numFmtId="164" fontId="1" fillId="0" borderId="17" xfId="2" applyNumberFormat="1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1" fillId="0" borderId="18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20" xfId="0" applyFont="1" applyBorder="1"/>
    <xf numFmtId="0" fontId="1" fillId="0" borderId="8" xfId="0" applyFont="1" applyBorder="1"/>
    <xf numFmtId="2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2" fontId="1" fillId="0" borderId="21" xfId="0" applyNumberFormat="1" applyFont="1" applyBorder="1" applyAlignment="1">
      <alignment horizontal="center"/>
    </xf>
    <xf numFmtId="0" fontId="1" fillId="0" borderId="2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1" fillId="0" borderId="0" xfId="0" applyFont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21" xfId="0" applyFont="1" applyBorder="1" applyAlignment="1">
      <alignment horizontal="right"/>
    </xf>
    <xf numFmtId="168" fontId="1" fillId="0" borderId="20" xfId="0" applyNumberFormat="1" applyFont="1" applyBorder="1" applyAlignment="1">
      <alignment horizontal="center"/>
    </xf>
    <xf numFmtId="168" fontId="1" fillId="2" borderId="13" xfId="2" applyNumberFormat="1" applyFont="1" applyFill="1" applyBorder="1" applyAlignment="1">
      <alignment horizontal="center" vertical="center"/>
    </xf>
    <xf numFmtId="0" fontId="4" fillId="3" borderId="37" xfId="0" applyFont="1" applyFill="1" applyBorder="1"/>
    <xf numFmtId="0" fontId="6" fillId="3" borderId="37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5" fillId="0" borderId="40" xfId="0" applyFont="1" applyBorder="1"/>
    <xf numFmtId="0" fontId="5" fillId="0" borderId="41" xfId="0" applyFont="1" applyBorder="1"/>
    <xf numFmtId="0" fontId="5" fillId="0" borderId="42" xfId="0" applyFont="1" applyBorder="1"/>
    <xf numFmtId="0" fontId="6" fillId="8" borderId="8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0" fontId="6" fillId="3" borderId="24" xfId="0" applyFont="1" applyFill="1" applyBorder="1" applyAlignment="1">
      <alignment horizontal="left" vertical="center" wrapText="1"/>
    </xf>
    <xf numFmtId="0" fontId="6" fillId="3" borderId="35" xfId="0" applyFont="1" applyFill="1" applyBorder="1" applyAlignment="1">
      <alignment horizontal="left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left"/>
    </xf>
    <xf numFmtId="0" fontId="4" fillId="4" borderId="18" xfId="0" applyFont="1" applyFill="1" applyBorder="1"/>
    <xf numFmtId="0" fontId="6" fillId="7" borderId="18" xfId="0" applyFont="1" applyFill="1" applyBorder="1"/>
    <xf numFmtId="0" fontId="7" fillId="4" borderId="37" xfId="0" applyFont="1" applyFill="1" applyBorder="1"/>
    <xf numFmtId="0" fontId="4" fillId="4" borderId="18" xfId="0" applyFont="1" applyFill="1" applyBorder="1" applyAlignment="1">
      <alignment horizontal="left"/>
    </xf>
    <xf numFmtId="0" fontId="1" fillId="0" borderId="43" xfId="0" applyFont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167" fontId="6" fillId="6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4992-6400-4BE8-9211-28A8190AA4D0}">
  <dimension ref="A1:K85"/>
  <sheetViews>
    <sheetView workbookViewId="0">
      <selection activeCell="K20" sqref="K20"/>
    </sheetView>
  </sheetViews>
  <sheetFormatPr baseColWidth="10" defaultColWidth="9.1640625" defaultRowHeight="16" x14ac:dyDescent="0.2"/>
  <cols>
    <col min="1" max="1" width="5.1640625" style="149" customWidth="1"/>
    <col min="2" max="2" width="22.5" style="149" customWidth="1"/>
    <col min="3" max="3" width="6.1640625" style="149" customWidth="1"/>
    <col min="4" max="4" width="12.5" style="149" bestFit="1" customWidth="1"/>
    <col min="5" max="5" width="9.83203125" style="149" customWidth="1"/>
    <col min="6" max="6" width="9.33203125" style="149" bestFit="1" customWidth="1"/>
    <col min="7" max="7" width="8.6640625" style="149" customWidth="1"/>
    <col min="8" max="8" width="9.5" style="149" bestFit="1" customWidth="1"/>
    <col min="9" max="9" width="17.83203125" style="149" bestFit="1" customWidth="1"/>
    <col min="10" max="10" width="10.6640625" style="149" bestFit="1" customWidth="1"/>
    <col min="11" max="11" width="75" style="149" bestFit="1" customWidth="1"/>
    <col min="12" max="16384" width="9.1640625" style="149"/>
  </cols>
  <sheetData>
    <row r="1" spans="1:11" x14ac:dyDescent="0.2">
      <c r="A1" s="149" t="s">
        <v>0</v>
      </c>
      <c r="I1" s="163"/>
    </row>
    <row r="2" spans="1:11" x14ac:dyDescent="0.2">
      <c r="J2" s="164"/>
    </row>
    <row r="3" spans="1:11" x14ac:dyDescent="0.2">
      <c r="A3" s="163" t="s">
        <v>1</v>
      </c>
    </row>
    <row r="4" spans="1:11" x14ac:dyDescent="0.2">
      <c r="A4" s="163"/>
      <c r="I4" s="164" t="s">
        <v>2</v>
      </c>
      <c r="J4" s="165">
        <v>46143</v>
      </c>
    </row>
    <row r="5" spans="1:11" x14ac:dyDescent="0.2">
      <c r="J5" s="14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6" t="s">
        <v>10</v>
      </c>
      <c r="H6" s="166" t="s">
        <v>11</v>
      </c>
      <c r="I6" s="166" t="s">
        <v>12</v>
      </c>
      <c r="J6" s="167"/>
      <c r="K6" s="2" t="s">
        <v>13</v>
      </c>
    </row>
    <row r="7" spans="1:11" ht="34" x14ac:dyDescent="0.2">
      <c r="A7" s="166"/>
      <c r="B7" s="168"/>
      <c r="C7" s="2"/>
      <c r="D7" s="2" t="s">
        <v>14</v>
      </c>
      <c r="E7" s="2" t="s">
        <v>15</v>
      </c>
      <c r="F7" s="169" t="s">
        <v>16</v>
      </c>
      <c r="G7" s="169" t="s">
        <v>15</v>
      </c>
      <c r="H7" s="169" t="s">
        <v>17</v>
      </c>
      <c r="I7" s="2" t="s">
        <v>18</v>
      </c>
      <c r="J7" s="169" t="s">
        <v>19</v>
      </c>
      <c r="K7" s="169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34">
        <v>1</v>
      </c>
      <c r="B9" s="135" t="s">
        <v>244</v>
      </c>
      <c r="C9" s="110">
        <v>14</v>
      </c>
      <c r="D9" s="5">
        <v>2.85</v>
      </c>
      <c r="E9" s="112">
        <v>1485</v>
      </c>
      <c r="F9" s="111">
        <v>6</v>
      </c>
      <c r="G9" s="6">
        <f t="shared" ref="G9:G12" si="0">E9*F9</f>
        <v>8910</v>
      </c>
      <c r="H9" s="7">
        <f t="shared" ref="H9:H12" si="1">F9*C9</f>
        <v>84</v>
      </c>
      <c r="I9" s="127" t="s">
        <v>20</v>
      </c>
      <c r="J9" s="178">
        <v>2.4305555555555556E-2</v>
      </c>
      <c r="K9" s="137" t="s">
        <v>235</v>
      </c>
    </row>
    <row r="10" spans="1:11" ht="17" x14ac:dyDescent="0.2">
      <c r="A10" s="138">
        <v>2</v>
      </c>
      <c r="B10" s="135" t="s">
        <v>244</v>
      </c>
      <c r="C10" s="110">
        <v>15</v>
      </c>
      <c r="D10" s="5">
        <v>2.85</v>
      </c>
      <c r="E10" s="112">
        <v>1485</v>
      </c>
      <c r="F10" s="111">
        <v>11.5</v>
      </c>
      <c r="G10" s="6">
        <f t="shared" si="0"/>
        <v>17077.5</v>
      </c>
      <c r="H10" s="7">
        <f t="shared" si="1"/>
        <v>172.5</v>
      </c>
      <c r="I10" s="127" t="s">
        <v>44</v>
      </c>
      <c r="J10" s="136">
        <v>2.0833333333333332E-2</v>
      </c>
      <c r="K10" s="137" t="s">
        <v>44</v>
      </c>
    </row>
    <row r="11" spans="1:11" ht="17" x14ac:dyDescent="0.2">
      <c r="A11" s="134">
        <v>3</v>
      </c>
      <c r="B11" s="135" t="s">
        <v>244</v>
      </c>
      <c r="C11" s="110">
        <v>16</v>
      </c>
      <c r="D11" s="5">
        <v>2.85</v>
      </c>
      <c r="E11" s="112">
        <v>1485</v>
      </c>
      <c r="F11" s="123">
        <v>62</v>
      </c>
      <c r="G11" s="6">
        <f t="shared" si="0"/>
        <v>92070</v>
      </c>
      <c r="H11" s="7">
        <f t="shared" si="1"/>
        <v>992</v>
      </c>
      <c r="I11" s="127"/>
      <c r="J11" s="136"/>
      <c r="K11" s="137"/>
    </row>
    <row r="12" spans="1:11" ht="19.25" customHeight="1" x14ac:dyDescent="0.2">
      <c r="A12" s="138">
        <v>4</v>
      </c>
      <c r="B12" s="135" t="s">
        <v>244</v>
      </c>
      <c r="C12" s="124">
        <v>17</v>
      </c>
      <c r="D12" s="5">
        <v>2.85</v>
      </c>
      <c r="E12" s="112">
        <v>1452</v>
      </c>
      <c r="F12" s="126">
        <v>7.5</v>
      </c>
      <c r="G12" s="6">
        <f t="shared" si="0"/>
        <v>10890</v>
      </c>
      <c r="H12" s="7">
        <f t="shared" si="1"/>
        <v>127.5</v>
      </c>
      <c r="I12" s="127"/>
      <c r="J12" s="136"/>
      <c r="K12" s="137"/>
    </row>
    <row r="13" spans="1:11" x14ac:dyDescent="0.2">
      <c r="A13" s="139"/>
      <c r="B13" s="135"/>
      <c r="C13" s="124"/>
      <c r="D13" s="5"/>
      <c r="E13" s="125"/>
      <c r="F13" s="126"/>
      <c r="G13" s="6"/>
      <c r="H13" s="7"/>
      <c r="I13" s="127"/>
      <c r="J13" s="136"/>
      <c r="K13" s="137"/>
    </row>
    <row r="14" spans="1:11" x14ac:dyDescent="0.2">
      <c r="A14" s="138"/>
      <c r="B14" s="135"/>
      <c r="C14" s="128"/>
      <c r="D14" s="5"/>
      <c r="E14" s="129"/>
      <c r="F14" s="130"/>
      <c r="G14" s="6"/>
      <c r="H14" s="7"/>
      <c r="I14" s="142"/>
      <c r="J14" s="136"/>
      <c r="K14" s="137"/>
    </row>
    <row r="15" spans="1:11" x14ac:dyDescent="0.2">
      <c r="A15" s="196"/>
      <c r="B15" s="135"/>
      <c r="C15" s="140"/>
      <c r="D15" s="5"/>
      <c r="E15" s="129"/>
      <c r="F15" s="141"/>
      <c r="G15" s="6"/>
      <c r="H15" s="7"/>
      <c r="I15" s="10"/>
      <c r="J15" s="9"/>
      <c r="K15" s="8"/>
    </row>
    <row r="16" spans="1:11" x14ac:dyDescent="0.2">
      <c r="A16" s="144"/>
      <c r="B16" s="145"/>
      <c r="C16" s="110"/>
      <c r="D16" s="5"/>
      <c r="E16" s="125"/>
      <c r="F16" s="110"/>
      <c r="G16" s="6"/>
      <c r="H16" s="7"/>
      <c r="I16" s="10"/>
      <c r="J16" s="9"/>
      <c r="K16" s="11"/>
    </row>
    <row r="17" spans="1:11" x14ac:dyDescent="0.2">
      <c r="A17" s="144"/>
      <c r="B17" s="145"/>
      <c r="C17" s="110"/>
      <c r="D17" s="5"/>
      <c r="E17" s="129"/>
      <c r="F17" s="110"/>
      <c r="G17" s="6"/>
      <c r="H17" s="7"/>
      <c r="I17" s="10"/>
      <c r="J17" s="9"/>
      <c r="K17" s="11"/>
    </row>
    <row r="18" spans="1:11" x14ac:dyDescent="0.2">
      <c r="A18" s="144"/>
      <c r="B18" s="145"/>
      <c r="C18" s="110"/>
      <c r="D18" s="5"/>
      <c r="E18" s="129"/>
      <c r="F18" s="11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7"/>
      <c r="E19" s="2"/>
      <c r="F19" s="3"/>
      <c r="G19" s="148"/>
      <c r="H19" s="3"/>
      <c r="I19" s="1"/>
      <c r="J19" s="4"/>
      <c r="K19" s="1"/>
    </row>
    <row r="20" spans="1:11" x14ac:dyDescent="0.2">
      <c r="A20" s="2"/>
      <c r="B20" s="1"/>
      <c r="C20" s="3"/>
      <c r="D20" s="147"/>
      <c r="E20" s="2"/>
      <c r="F20" s="3"/>
      <c r="G20" s="148"/>
      <c r="H20" s="3"/>
      <c r="I20" s="1"/>
      <c r="J20" s="4"/>
      <c r="K20" s="1"/>
    </row>
    <row r="21" spans="1:11" x14ac:dyDescent="0.2">
      <c r="A21" s="2"/>
      <c r="B21" s="1"/>
      <c r="C21" s="150"/>
      <c r="D21" s="2"/>
      <c r="E21" s="4"/>
      <c r="F21" s="150"/>
      <c r="G21" s="148"/>
      <c r="H21" s="3"/>
      <c r="I21" s="1"/>
      <c r="J21" s="4"/>
      <c r="K21" s="1"/>
    </row>
    <row r="22" spans="1:11" x14ac:dyDescent="0.2">
      <c r="A22" s="151"/>
      <c r="B22" s="152"/>
      <c r="C22" s="153"/>
      <c r="D22" s="153"/>
      <c r="E22" s="170" t="s">
        <v>21</v>
      </c>
      <c r="F22" s="171">
        <f>SUM(F9:F21)</f>
        <v>87</v>
      </c>
      <c r="G22" s="172">
        <f>SUM(G9:G21)/F22</f>
        <v>1482.155172413793</v>
      </c>
      <c r="H22" s="173">
        <f>SUM(H9:H21)/F22</f>
        <v>15.816091954022989</v>
      </c>
      <c r="I22" s="154" t="s">
        <v>22</v>
      </c>
      <c r="J22" s="177">
        <v>4.5138888888888888E-2</v>
      </c>
      <c r="K22" s="152"/>
    </row>
    <row r="23" spans="1:11" x14ac:dyDescent="0.2">
      <c r="E23" s="155"/>
      <c r="F23" s="156"/>
      <c r="I23" s="174" t="s">
        <v>23</v>
      </c>
      <c r="J23" s="175">
        <v>1.08</v>
      </c>
    </row>
    <row r="24" spans="1:11" x14ac:dyDescent="0.2">
      <c r="I24" s="156"/>
      <c r="J24" s="157"/>
    </row>
    <row r="25" spans="1:11" x14ac:dyDescent="0.2">
      <c r="A25" s="1" t="s">
        <v>24</v>
      </c>
      <c r="B25" s="1"/>
      <c r="C25" s="1"/>
      <c r="D25" s="150"/>
      <c r="H25" s="164" t="s">
        <v>25</v>
      </c>
      <c r="I25" s="164"/>
      <c r="J25" s="155">
        <f>F22</f>
        <v>87</v>
      </c>
      <c r="K25" s="149" t="s">
        <v>16</v>
      </c>
    </row>
    <row r="26" spans="1:11" x14ac:dyDescent="0.2">
      <c r="A26" s="1" t="s">
        <v>26</v>
      </c>
      <c r="B26" s="1"/>
      <c r="C26" s="1"/>
      <c r="D26" s="150"/>
      <c r="H26" s="164" t="s">
        <v>27</v>
      </c>
      <c r="I26" s="164"/>
      <c r="J26" s="155">
        <v>87</v>
      </c>
      <c r="K26" s="149" t="s">
        <v>16</v>
      </c>
    </row>
    <row r="27" spans="1:11" ht="17" thickBot="1" x14ac:dyDescent="0.25">
      <c r="A27" s="158"/>
      <c r="B27" s="158"/>
      <c r="C27" s="158"/>
      <c r="D27" s="158"/>
      <c r="E27" s="159"/>
      <c r="F27" s="159"/>
      <c r="G27" s="158"/>
      <c r="H27" s="176" t="s">
        <v>28</v>
      </c>
      <c r="I27" s="176"/>
      <c r="J27" s="160">
        <v>1.08</v>
      </c>
      <c r="K27" s="158" t="s">
        <v>29</v>
      </c>
    </row>
    <row r="28" spans="1:11" x14ac:dyDescent="0.2">
      <c r="J28" s="149" t="s">
        <v>3</v>
      </c>
    </row>
    <row r="29" spans="1:11" hidden="1" x14ac:dyDescent="0.2">
      <c r="K29" s="149" t="s">
        <v>30</v>
      </c>
    </row>
    <row r="30" spans="1:11" hidden="1" x14ac:dyDescent="0.2">
      <c r="K30" s="149" t="s">
        <v>31</v>
      </c>
    </row>
    <row r="31" spans="1:11" hidden="1" x14ac:dyDescent="0.2">
      <c r="K31" s="149" t="s">
        <v>32</v>
      </c>
    </row>
    <row r="32" spans="1:11" hidden="1" x14ac:dyDescent="0.2">
      <c r="K32" s="149" t="s">
        <v>33</v>
      </c>
    </row>
    <row r="33" spans="9:11" hidden="1" x14ac:dyDescent="0.2">
      <c r="K33" s="149" t="s">
        <v>34</v>
      </c>
    </row>
    <row r="34" spans="9:11" hidden="1" x14ac:dyDescent="0.2">
      <c r="K34" s="149" t="s">
        <v>35</v>
      </c>
    </row>
    <row r="35" spans="9:11" hidden="1" x14ac:dyDescent="0.2">
      <c r="K35" s="149" t="s">
        <v>36</v>
      </c>
    </row>
    <row r="36" spans="9:11" hidden="1" x14ac:dyDescent="0.2">
      <c r="K36" s="149" t="s">
        <v>37</v>
      </c>
    </row>
    <row r="37" spans="9:11" hidden="1" x14ac:dyDescent="0.2">
      <c r="K37" s="149" t="s">
        <v>38</v>
      </c>
    </row>
    <row r="38" spans="9:11" hidden="1" x14ac:dyDescent="0.2">
      <c r="K38" s="149" t="s">
        <v>39</v>
      </c>
    </row>
    <row r="39" spans="9:11" hidden="1" x14ac:dyDescent="0.2">
      <c r="K39" s="149" t="s">
        <v>40</v>
      </c>
    </row>
    <row r="40" spans="9:11" hidden="1" x14ac:dyDescent="0.2">
      <c r="K40" s="149" t="s">
        <v>41</v>
      </c>
    </row>
    <row r="41" spans="9:11" ht="34" hidden="1" x14ac:dyDescent="0.2">
      <c r="I41" s="161" t="s">
        <v>42</v>
      </c>
      <c r="K41" s="149" t="s">
        <v>43</v>
      </c>
    </row>
    <row r="42" spans="9:11" ht="17" hidden="1" x14ac:dyDescent="0.2">
      <c r="I42" s="161" t="s">
        <v>44</v>
      </c>
      <c r="K42" s="149" t="s">
        <v>45</v>
      </c>
    </row>
    <row r="43" spans="9:11" hidden="1" x14ac:dyDescent="0.2">
      <c r="I43" s="162" t="s">
        <v>46</v>
      </c>
      <c r="K43" s="149" t="s">
        <v>47</v>
      </c>
    </row>
    <row r="44" spans="9:11" hidden="1" x14ac:dyDescent="0.2">
      <c r="I44" s="149" t="s">
        <v>48</v>
      </c>
      <c r="K44" s="149" t="s">
        <v>49</v>
      </c>
    </row>
    <row r="45" spans="9:11" hidden="1" x14ac:dyDescent="0.2">
      <c r="I45" s="149" t="s">
        <v>50</v>
      </c>
      <c r="K45" s="149" t="s">
        <v>51</v>
      </c>
    </row>
    <row r="46" spans="9:11" hidden="1" x14ac:dyDescent="0.2">
      <c r="I46" s="149" t="s">
        <v>52</v>
      </c>
      <c r="K46" s="149" t="s">
        <v>53</v>
      </c>
    </row>
    <row r="47" spans="9:11" hidden="1" x14ac:dyDescent="0.2">
      <c r="I47" s="149" t="s">
        <v>54</v>
      </c>
      <c r="K47" s="149" t="s">
        <v>55</v>
      </c>
    </row>
    <row r="48" spans="9:11" hidden="1" x14ac:dyDescent="0.2">
      <c r="I48" s="149" t="s">
        <v>56</v>
      </c>
      <c r="K48" s="149" t="s">
        <v>57</v>
      </c>
    </row>
    <row r="49" spans="9:11" hidden="1" x14ac:dyDescent="0.2">
      <c r="I49" s="149" t="s">
        <v>58</v>
      </c>
      <c r="K49" s="149" t="s">
        <v>59</v>
      </c>
    </row>
    <row r="50" spans="9:11" hidden="1" x14ac:dyDescent="0.2">
      <c r="I50" s="149" t="s">
        <v>60</v>
      </c>
      <c r="K50" s="149" t="s">
        <v>61</v>
      </c>
    </row>
    <row r="51" spans="9:11" hidden="1" x14ac:dyDescent="0.2">
      <c r="K51" s="149" t="s">
        <v>62</v>
      </c>
    </row>
    <row r="52" spans="9:11" hidden="1" x14ac:dyDescent="0.2">
      <c r="K52" s="149" t="s">
        <v>63</v>
      </c>
    </row>
    <row r="53" spans="9:11" hidden="1" x14ac:dyDescent="0.2">
      <c r="K53" s="149" t="s">
        <v>64</v>
      </c>
    </row>
    <row r="54" spans="9:11" hidden="1" x14ac:dyDescent="0.2">
      <c r="K54" s="149" t="s">
        <v>65</v>
      </c>
    </row>
    <row r="55" spans="9:11" hidden="1" x14ac:dyDescent="0.2">
      <c r="K55" s="149" t="s">
        <v>66</v>
      </c>
    </row>
    <row r="56" spans="9:11" hidden="1" x14ac:dyDescent="0.2">
      <c r="K56" s="149" t="s">
        <v>67</v>
      </c>
    </row>
    <row r="57" spans="9:11" hidden="1" x14ac:dyDescent="0.2">
      <c r="K57" s="149" t="s">
        <v>68</v>
      </c>
    </row>
    <row r="58" spans="9:11" hidden="1" x14ac:dyDescent="0.2">
      <c r="K58" s="149" t="s">
        <v>69</v>
      </c>
    </row>
    <row r="59" spans="9:11" hidden="1" x14ac:dyDescent="0.2">
      <c r="K59" s="149" t="s">
        <v>70</v>
      </c>
    </row>
    <row r="60" spans="9:11" hidden="1" x14ac:dyDescent="0.2">
      <c r="K60" s="149" t="s">
        <v>71</v>
      </c>
    </row>
    <row r="61" spans="9:11" hidden="1" x14ac:dyDescent="0.2">
      <c r="K61" s="149" t="s">
        <v>72</v>
      </c>
    </row>
    <row r="62" spans="9:11" hidden="1" x14ac:dyDescent="0.2">
      <c r="K62" s="149" t="s">
        <v>73</v>
      </c>
    </row>
    <row r="63" spans="9:11" hidden="1" x14ac:dyDescent="0.2">
      <c r="K63" s="149" t="s">
        <v>67</v>
      </c>
    </row>
    <row r="64" spans="9:11" hidden="1" x14ac:dyDescent="0.2">
      <c r="K64" s="149" t="s">
        <v>74</v>
      </c>
    </row>
    <row r="65" spans="11:11" hidden="1" x14ac:dyDescent="0.2">
      <c r="K65" s="149" t="s">
        <v>75</v>
      </c>
    </row>
    <row r="66" spans="11:11" hidden="1" x14ac:dyDescent="0.2">
      <c r="K66" s="149" t="s">
        <v>76</v>
      </c>
    </row>
    <row r="67" spans="11:11" hidden="1" x14ac:dyDescent="0.2">
      <c r="K67" s="149" t="s">
        <v>77</v>
      </c>
    </row>
    <row r="68" spans="11:11" hidden="1" x14ac:dyDescent="0.2">
      <c r="K68" s="149" t="s">
        <v>78</v>
      </c>
    </row>
    <row r="69" spans="11:11" hidden="1" x14ac:dyDescent="0.2">
      <c r="K69" s="149" t="s">
        <v>79</v>
      </c>
    </row>
    <row r="70" spans="11:11" hidden="1" x14ac:dyDescent="0.2">
      <c r="K70" s="149" t="s">
        <v>80</v>
      </c>
    </row>
    <row r="71" spans="11:11" hidden="1" x14ac:dyDescent="0.2">
      <c r="K71" s="149" t="s">
        <v>81</v>
      </c>
    </row>
    <row r="72" spans="11:11" hidden="1" x14ac:dyDescent="0.2">
      <c r="K72" s="149" t="s">
        <v>82</v>
      </c>
    </row>
    <row r="73" spans="11:11" hidden="1" x14ac:dyDescent="0.2">
      <c r="K73" s="149" t="s">
        <v>83</v>
      </c>
    </row>
    <row r="74" spans="11:11" hidden="1" x14ac:dyDescent="0.2">
      <c r="K74" s="149" t="s">
        <v>84</v>
      </c>
    </row>
    <row r="75" spans="11:11" hidden="1" x14ac:dyDescent="0.2">
      <c r="K75" s="149" t="s">
        <v>85</v>
      </c>
    </row>
    <row r="76" spans="11:11" hidden="1" x14ac:dyDescent="0.2">
      <c r="K76" s="149" t="s">
        <v>86</v>
      </c>
    </row>
    <row r="77" spans="11:11" hidden="1" x14ac:dyDescent="0.2">
      <c r="K77" s="149" t="s">
        <v>87</v>
      </c>
    </row>
    <row r="78" spans="11:11" hidden="1" x14ac:dyDescent="0.2">
      <c r="K78" s="149" t="s">
        <v>88</v>
      </c>
    </row>
    <row r="79" spans="11:11" hidden="1" x14ac:dyDescent="0.2">
      <c r="K79" s="149" t="s">
        <v>89</v>
      </c>
    </row>
    <row r="80" spans="11:11" hidden="1" x14ac:dyDescent="0.2">
      <c r="K80" s="149" t="s">
        <v>90</v>
      </c>
    </row>
    <row r="81" spans="11:11" hidden="1" x14ac:dyDescent="0.2">
      <c r="K81" s="149" t="s">
        <v>91</v>
      </c>
    </row>
    <row r="82" spans="11:11" hidden="1" x14ac:dyDescent="0.2">
      <c r="K82" s="149" t="s">
        <v>92</v>
      </c>
    </row>
    <row r="83" spans="11:11" hidden="1" x14ac:dyDescent="0.2">
      <c r="K83" s="149" t="s">
        <v>93</v>
      </c>
    </row>
    <row r="84" spans="11:11" hidden="1" x14ac:dyDescent="0.2">
      <c r="K84" s="149" t="s">
        <v>94</v>
      </c>
    </row>
    <row r="85" spans="11:11" hidden="1" x14ac:dyDescent="0.2">
      <c r="K85" s="149" t="s">
        <v>47</v>
      </c>
    </row>
  </sheetData>
  <dataValidations count="3">
    <dataValidation type="list" allowBlank="1" showInputMessage="1" showErrorMessage="1" sqref="B16:B19" xr:uid="{7933634D-D39D-4455-BFA4-BAFCA787FCF6}">
      <formula1>$K$29:$K$85</formula1>
    </dataValidation>
    <dataValidation type="list" allowBlank="1" showInputMessage="1" showErrorMessage="1" sqref="B20:B21" xr:uid="{EF5D94E4-3C9E-4557-9602-E7A343AC6F7B}">
      <formula1>$K$29:$K$40</formula1>
    </dataValidation>
    <dataValidation type="list" allowBlank="1" showInputMessage="1" showErrorMessage="1" sqref="I50 K15:K21" xr:uid="{73BD200E-9E78-49C5-96F3-66FE5FA4EA23}">
      <formula1>$I$41:$I$50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V134"/>
  <sheetViews>
    <sheetView tabSelected="1" zoomScale="90" zoomScaleNormal="90" workbookViewId="0">
      <selection activeCell="H130" sqref="H130"/>
    </sheetView>
  </sheetViews>
  <sheetFormatPr baseColWidth="10" defaultColWidth="9.1640625" defaultRowHeight="20" x14ac:dyDescent="0.2"/>
  <cols>
    <col min="1" max="1" width="5.5" style="107" bestFit="1" customWidth="1"/>
    <col min="2" max="2" width="65.5" style="13" bestFit="1" customWidth="1"/>
    <col min="3" max="3" width="14.83203125" style="108" hidden="1" customWidth="1"/>
    <col min="4" max="4" width="12.1640625" style="13" customWidth="1"/>
    <col min="5" max="5" width="12.6640625" style="13" hidden="1" customWidth="1"/>
    <col min="6" max="6" width="17.33203125" style="13" hidden="1" customWidth="1"/>
    <col min="7" max="7" width="16.1640625" style="13" bestFit="1" customWidth="1"/>
    <col min="8" max="8" width="14.1640625" style="13" bestFit="1" customWidth="1"/>
    <col min="9" max="9" width="14.5" style="13" bestFit="1" customWidth="1"/>
    <col min="10" max="11" width="13.33203125" style="13" bestFit="1" customWidth="1"/>
    <col min="12" max="12" width="14.5" style="13" bestFit="1" customWidth="1"/>
    <col min="13" max="17" width="12.5" style="13" bestFit="1" customWidth="1"/>
    <col min="18" max="18" width="14.6640625" style="13" bestFit="1" customWidth="1"/>
    <col min="19" max="20" width="14.5" style="13" bestFit="1" customWidth="1"/>
    <col min="21" max="21" width="13.5" style="13" bestFit="1" customWidth="1"/>
    <col min="22" max="26" width="14" style="13" bestFit="1" customWidth="1"/>
    <col min="27" max="27" width="12.5" style="13" bestFit="1" customWidth="1"/>
    <col min="28" max="28" width="14.83203125" style="13" bestFit="1" customWidth="1"/>
    <col min="29" max="29" width="12.5" style="13" bestFit="1" customWidth="1"/>
    <col min="30" max="30" width="14.5" style="13" bestFit="1" customWidth="1"/>
    <col min="31" max="31" width="12.5" style="13" bestFit="1" customWidth="1"/>
    <col min="32" max="33" width="14.5" style="13" bestFit="1" customWidth="1"/>
    <col min="34" max="35" width="12.5" style="13" bestFit="1" customWidth="1"/>
    <col min="36" max="36" width="14.1640625" style="13" bestFit="1" customWidth="1"/>
    <col min="37" max="37" width="10.1640625" style="13" hidden="1" customWidth="1"/>
    <col min="38" max="38" width="11.6640625" style="13" hidden="1" customWidth="1"/>
    <col min="39" max="39" width="12.5" style="13" hidden="1" customWidth="1"/>
    <col min="40" max="40" width="11.6640625" style="13" hidden="1" customWidth="1"/>
    <col min="41" max="41" width="12" style="13" hidden="1" customWidth="1"/>
    <col min="42" max="42" width="12.1640625" style="13" hidden="1" customWidth="1"/>
    <col min="43" max="43" width="11.83203125" style="13" hidden="1" customWidth="1"/>
    <col min="44" max="44" width="11" style="13" hidden="1" customWidth="1"/>
    <col min="45" max="49" width="11.33203125" style="13" hidden="1" customWidth="1"/>
    <col min="50" max="50" width="13.1640625" style="13" hidden="1" customWidth="1"/>
    <col min="51" max="51" width="12.6640625" style="13" hidden="1" customWidth="1"/>
    <col min="52" max="58" width="11.33203125" style="13" hidden="1" customWidth="1"/>
    <col min="59" max="70" width="11" style="13" hidden="1" customWidth="1"/>
    <col min="71" max="71" width="34.33203125" style="109" customWidth="1"/>
    <col min="72" max="72" width="14.83203125" style="13" customWidth="1"/>
    <col min="73" max="73" width="13.5" style="13" customWidth="1"/>
    <col min="74" max="74" width="17" style="13" customWidth="1"/>
    <col min="75" max="75" width="10" style="13" customWidth="1"/>
    <col min="76" max="16384" width="9.1640625" style="13"/>
  </cols>
  <sheetData>
    <row r="1" spans="1:73" ht="24" thickBot="1" x14ac:dyDescent="0.3">
      <c r="A1" s="12" t="s">
        <v>3</v>
      </c>
      <c r="B1" s="182" t="s">
        <v>247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4"/>
    </row>
    <row r="2" spans="1:73" ht="44.25" customHeight="1" x14ac:dyDescent="0.2">
      <c r="A2" s="179"/>
      <c r="B2" s="187" t="s">
        <v>95</v>
      </c>
      <c r="C2" s="188" t="s">
        <v>96</v>
      </c>
      <c r="D2" s="189" t="s">
        <v>97</v>
      </c>
      <c r="E2" s="189">
        <v>1</v>
      </c>
      <c r="F2" s="189">
        <v>2</v>
      </c>
      <c r="G2" s="189">
        <v>1</v>
      </c>
      <c r="H2" s="189">
        <v>2</v>
      </c>
      <c r="I2" s="189">
        <v>3</v>
      </c>
      <c r="J2" s="189">
        <v>4</v>
      </c>
      <c r="K2" s="189">
        <v>5</v>
      </c>
      <c r="L2" s="189">
        <v>6</v>
      </c>
      <c r="M2" s="189">
        <v>7</v>
      </c>
      <c r="N2" s="189">
        <v>8</v>
      </c>
      <c r="O2" s="189">
        <v>9</v>
      </c>
      <c r="P2" s="189">
        <v>10</v>
      </c>
      <c r="Q2" s="189">
        <v>11</v>
      </c>
      <c r="R2" s="189">
        <v>12</v>
      </c>
      <c r="S2" s="189">
        <v>13</v>
      </c>
      <c r="T2" s="189">
        <v>14</v>
      </c>
      <c r="U2" s="189">
        <v>15</v>
      </c>
      <c r="V2" s="189">
        <v>16</v>
      </c>
      <c r="W2" s="189">
        <v>17</v>
      </c>
      <c r="X2" s="189">
        <v>18</v>
      </c>
      <c r="Y2" s="189">
        <v>19</v>
      </c>
      <c r="Z2" s="189">
        <v>20</v>
      </c>
      <c r="AA2" s="189">
        <v>21</v>
      </c>
      <c r="AB2" s="189">
        <v>22</v>
      </c>
      <c r="AC2" s="189">
        <v>23</v>
      </c>
      <c r="AD2" s="189">
        <v>24</v>
      </c>
      <c r="AE2" s="189">
        <v>25</v>
      </c>
      <c r="AF2" s="189">
        <v>26</v>
      </c>
      <c r="AG2" s="189">
        <v>27</v>
      </c>
      <c r="AH2" s="189">
        <v>28</v>
      </c>
      <c r="AI2" s="189">
        <v>29</v>
      </c>
      <c r="AJ2" s="189">
        <v>30</v>
      </c>
      <c r="AK2" s="189">
        <v>7</v>
      </c>
      <c r="AL2" s="189">
        <v>8</v>
      </c>
      <c r="AM2" s="189">
        <v>9</v>
      </c>
      <c r="AN2" s="189">
        <v>10</v>
      </c>
      <c r="AO2" s="189">
        <v>11</v>
      </c>
      <c r="AP2" s="189">
        <v>12</v>
      </c>
      <c r="AQ2" s="189">
        <v>13</v>
      </c>
      <c r="AR2" s="189">
        <v>14</v>
      </c>
      <c r="AS2" s="189">
        <v>15</v>
      </c>
      <c r="AT2" s="189">
        <v>16</v>
      </c>
      <c r="AU2" s="189">
        <v>17</v>
      </c>
      <c r="AV2" s="189">
        <v>18</v>
      </c>
      <c r="AW2" s="189">
        <v>19</v>
      </c>
      <c r="AX2" s="189">
        <v>20</v>
      </c>
      <c r="AY2" s="189">
        <v>21</v>
      </c>
      <c r="AZ2" s="189">
        <v>22</v>
      </c>
      <c r="BA2" s="189">
        <v>23</v>
      </c>
      <c r="BB2" s="189">
        <v>24</v>
      </c>
      <c r="BC2" s="189">
        <v>25</v>
      </c>
      <c r="BD2" s="189">
        <v>26</v>
      </c>
      <c r="BE2" s="189">
        <v>27</v>
      </c>
      <c r="BF2" s="189">
        <v>28</v>
      </c>
      <c r="BG2" s="189">
        <v>16</v>
      </c>
      <c r="BH2" s="189">
        <v>17</v>
      </c>
      <c r="BI2" s="189">
        <v>18</v>
      </c>
      <c r="BJ2" s="189">
        <v>19</v>
      </c>
      <c r="BK2" s="189">
        <v>20</v>
      </c>
      <c r="BL2" s="189">
        <v>21</v>
      </c>
      <c r="BM2" s="189">
        <v>22</v>
      </c>
      <c r="BN2" s="189">
        <v>23</v>
      </c>
      <c r="BO2" s="189">
        <v>24</v>
      </c>
      <c r="BP2" s="189">
        <v>25</v>
      </c>
      <c r="BQ2" s="189">
        <v>26</v>
      </c>
      <c r="BR2" s="189">
        <v>27</v>
      </c>
      <c r="BS2" s="190" t="s">
        <v>98</v>
      </c>
    </row>
    <row r="3" spans="1:73" s="18" customFormat="1" x14ac:dyDescent="0.2">
      <c r="A3" s="180" t="s">
        <v>99</v>
      </c>
      <c r="B3" s="191" t="s">
        <v>100</v>
      </c>
      <c r="C3" s="14"/>
      <c r="D3" s="15" t="s">
        <v>101</v>
      </c>
      <c r="E3" s="16"/>
      <c r="F3" s="17"/>
      <c r="G3" s="17"/>
      <c r="H3" s="17"/>
      <c r="I3" s="202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203"/>
      <c r="BL3" s="203"/>
      <c r="BM3" s="203"/>
      <c r="BN3" s="203"/>
      <c r="BO3" s="203"/>
      <c r="BP3" s="203"/>
      <c r="BQ3" s="203"/>
      <c r="BR3" s="203"/>
      <c r="BS3" s="204"/>
    </row>
    <row r="4" spans="1:73" x14ac:dyDescent="0.2">
      <c r="A4" s="181">
        <v>1</v>
      </c>
      <c r="B4" s="192" t="s">
        <v>102</v>
      </c>
      <c r="C4" s="20"/>
      <c r="D4" s="21" t="s">
        <v>16</v>
      </c>
      <c r="E4" s="16">
        <v>0</v>
      </c>
      <c r="F4" s="16">
        <v>0</v>
      </c>
      <c r="G4" s="22">
        <v>3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5">
        <f t="shared" ref="BS4:BS35" si="0">SUM(G4:BF4)</f>
        <v>3</v>
      </c>
      <c r="BT4" s="26"/>
    </row>
    <row r="5" spans="1:73" x14ac:dyDescent="0.2">
      <c r="A5" s="181">
        <v>2</v>
      </c>
      <c r="B5" s="192" t="s">
        <v>103</v>
      </c>
      <c r="C5" s="20"/>
      <c r="D5" s="21" t="s">
        <v>16</v>
      </c>
      <c r="E5" s="16"/>
      <c r="F5" s="16"/>
      <c r="G5" s="22">
        <v>57.341999999999999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5">
        <f t="shared" si="0"/>
        <v>57.341999999999999</v>
      </c>
      <c r="BT5" s="26"/>
      <c r="BU5" s="50"/>
    </row>
    <row r="6" spans="1:73" x14ac:dyDescent="0.2">
      <c r="A6" s="181">
        <v>3</v>
      </c>
      <c r="B6" s="192" t="s">
        <v>104</v>
      </c>
      <c r="C6" s="20"/>
      <c r="D6" s="21" t="s">
        <v>16</v>
      </c>
      <c r="E6" s="16">
        <v>0</v>
      </c>
      <c r="F6" s="16">
        <v>0</v>
      </c>
      <c r="G6" s="22">
        <v>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5">
        <f t="shared" si="0"/>
        <v>0</v>
      </c>
      <c r="BT6" s="26"/>
      <c r="BU6" s="50"/>
    </row>
    <row r="7" spans="1:73" x14ac:dyDescent="0.2">
      <c r="A7" s="181">
        <v>4</v>
      </c>
      <c r="B7" s="192" t="s">
        <v>105</v>
      </c>
      <c r="C7" s="20"/>
      <c r="D7" s="21" t="s">
        <v>16</v>
      </c>
      <c r="E7" s="16">
        <v>0</v>
      </c>
      <c r="F7" s="16">
        <v>0</v>
      </c>
      <c r="G7" s="22">
        <v>20.46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5">
        <f t="shared" si="0"/>
        <v>20.46</v>
      </c>
      <c r="BT7" s="26"/>
    </row>
    <row r="8" spans="1:73" x14ac:dyDescent="0.2">
      <c r="A8" s="181">
        <v>5</v>
      </c>
      <c r="B8" s="192" t="s">
        <v>106</v>
      </c>
      <c r="C8" s="20"/>
      <c r="D8" s="21" t="s">
        <v>16</v>
      </c>
      <c r="E8" s="16"/>
      <c r="F8" s="16"/>
      <c r="G8" s="22">
        <v>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5">
        <f t="shared" si="0"/>
        <v>0</v>
      </c>
      <c r="BT8" s="26"/>
    </row>
    <row r="9" spans="1:73" x14ac:dyDescent="0.2">
      <c r="A9" s="181">
        <v>6</v>
      </c>
      <c r="B9" s="192" t="s">
        <v>107</v>
      </c>
      <c r="C9" s="20"/>
      <c r="D9" s="21" t="s">
        <v>16</v>
      </c>
      <c r="E9" s="16"/>
      <c r="F9" s="16"/>
      <c r="G9" s="22">
        <v>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5">
        <f t="shared" si="0"/>
        <v>0</v>
      </c>
      <c r="BT9" s="26"/>
    </row>
    <row r="10" spans="1:73" x14ac:dyDescent="0.2">
      <c r="A10" s="181">
        <v>7</v>
      </c>
      <c r="B10" s="192" t="s">
        <v>108</v>
      </c>
      <c r="C10" s="20"/>
      <c r="D10" s="21" t="s">
        <v>16</v>
      </c>
      <c r="E10" s="16"/>
      <c r="F10" s="16"/>
      <c r="G10" s="22">
        <v>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16"/>
      <c r="BH10" s="16"/>
      <c r="BI10" s="16"/>
      <c r="BJ10" s="16"/>
      <c r="BK10" s="16"/>
      <c r="BL10" s="16"/>
      <c r="BM10" s="24"/>
      <c r="BN10" s="24"/>
      <c r="BO10" s="24"/>
      <c r="BP10" s="24"/>
      <c r="BQ10" s="24"/>
      <c r="BR10" s="24"/>
      <c r="BS10" s="25">
        <f t="shared" si="0"/>
        <v>0</v>
      </c>
      <c r="BT10" s="26"/>
    </row>
    <row r="11" spans="1:73" x14ac:dyDescent="0.2">
      <c r="A11" s="181">
        <v>8</v>
      </c>
      <c r="B11" s="192" t="s">
        <v>109</v>
      </c>
      <c r="C11" s="20"/>
      <c r="D11" s="21" t="s">
        <v>16</v>
      </c>
      <c r="E11" s="16"/>
      <c r="F11" s="16"/>
      <c r="G11" s="22">
        <v>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16"/>
      <c r="BH11" s="16"/>
      <c r="BI11" s="16"/>
      <c r="BJ11" s="16"/>
      <c r="BK11" s="16"/>
      <c r="BL11" s="16"/>
      <c r="BM11" s="24"/>
      <c r="BN11" s="24"/>
      <c r="BO11" s="24"/>
      <c r="BP11" s="24"/>
      <c r="BQ11" s="24"/>
      <c r="BR11" s="24"/>
      <c r="BS11" s="25">
        <f t="shared" si="0"/>
        <v>0</v>
      </c>
      <c r="BT11" s="26"/>
    </row>
    <row r="12" spans="1:73" x14ac:dyDescent="0.2">
      <c r="A12" s="181">
        <v>9</v>
      </c>
      <c r="B12" s="192" t="s">
        <v>110</v>
      </c>
      <c r="C12" s="20"/>
      <c r="D12" s="21" t="s">
        <v>16</v>
      </c>
      <c r="E12" s="16"/>
      <c r="F12" s="16"/>
      <c r="G12" s="22">
        <v>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16"/>
      <c r="BH12" s="16"/>
      <c r="BI12" s="16"/>
      <c r="BJ12" s="16"/>
      <c r="BK12" s="16"/>
      <c r="BL12" s="16"/>
      <c r="BM12" s="24"/>
      <c r="BN12" s="24"/>
      <c r="BO12" s="24"/>
      <c r="BP12" s="24"/>
      <c r="BQ12" s="24"/>
      <c r="BR12" s="24"/>
      <c r="BS12" s="25">
        <f t="shared" si="0"/>
        <v>0</v>
      </c>
      <c r="BT12" s="26"/>
    </row>
    <row r="13" spans="1:73" x14ac:dyDescent="0.2">
      <c r="A13" s="181">
        <v>10</v>
      </c>
      <c r="B13" s="192" t="s">
        <v>111</v>
      </c>
      <c r="C13" s="20"/>
      <c r="D13" s="21" t="s">
        <v>16</v>
      </c>
      <c r="E13" s="16"/>
      <c r="F13" s="16"/>
      <c r="G13" s="22">
        <v>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16"/>
      <c r="BH13" s="16"/>
      <c r="BI13" s="16"/>
      <c r="BJ13" s="16"/>
      <c r="BK13" s="16"/>
      <c r="BL13" s="16"/>
      <c r="BM13" s="24"/>
      <c r="BN13" s="24"/>
      <c r="BO13" s="24"/>
      <c r="BP13" s="24"/>
      <c r="BQ13" s="24"/>
      <c r="BR13" s="24"/>
      <c r="BS13" s="25">
        <f t="shared" si="0"/>
        <v>0</v>
      </c>
      <c r="BT13" s="131"/>
    </row>
    <row r="14" spans="1:73" x14ac:dyDescent="0.2">
      <c r="A14" s="181">
        <v>11</v>
      </c>
      <c r="B14" s="192" t="s">
        <v>112</v>
      </c>
      <c r="C14" s="20"/>
      <c r="D14" s="21" t="s">
        <v>16</v>
      </c>
      <c r="E14" s="16"/>
      <c r="F14" s="16"/>
      <c r="G14" s="22">
        <v>5.9279999999999999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16"/>
      <c r="BH14" s="16"/>
      <c r="BI14" s="16"/>
      <c r="BJ14" s="16"/>
      <c r="BK14" s="16"/>
      <c r="BL14" s="16"/>
      <c r="BM14" s="24"/>
      <c r="BN14" s="24"/>
      <c r="BO14" s="24"/>
      <c r="BP14" s="24"/>
      <c r="BQ14" s="24"/>
      <c r="BR14" s="24"/>
      <c r="BS14" s="25">
        <f t="shared" si="0"/>
        <v>5.9279999999999999</v>
      </c>
      <c r="BT14" s="26"/>
    </row>
    <row r="15" spans="1:73" x14ac:dyDescent="0.2">
      <c r="A15" s="181">
        <v>12</v>
      </c>
      <c r="B15" s="192" t="s">
        <v>113</v>
      </c>
      <c r="C15" s="20"/>
      <c r="D15" s="21" t="s">
        <v>16</v>
      </c>
      <c r="E15" s="16"/>
      <c r="F15" s="16"/>
      <c r="G15" s="22">
        <v>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16"/>
      <c r="BH15" s="16"/>
      <c r="BI15" s="16"/>
      <c r="BJ15" s="16"/>
      <c r="BK15" s="16"/>
      <c r="BL15" s="16"/>
      <c r="BM15" s="24"/>
      <c r="BN15" s="24"/>
      <c r="BO15" s="24"/>
      <c r="BP15" s="24"/>
      <c r="BQ15" s="24"/>
      <c r="BR15" s="24"/>
      <c r="BS15" s="25">
        <f t="shared" si="0"/>
        <v>0</v>
      </c>
      <c r="BT15" s="26"/>
    </row>
    <row r="16" spans="1:73" x14ac:dyDescent="0.2">
      <c r="A16" s="181">
        <v>13</v>
      </c>
      <c r="B16" s="192" t="s">
        <v>228</v>
      </c>
      <c r="C16" s="20"/>
      <c r="D16" s="21" t="s">
        <v>16</v>
      </c>
      <c r="E16" s="16"/>
      <c r="F16" s="16"/>
      <c r="G16" s="22">
        <v>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16"/>
      <c r="BH16" s="16"/>
      <c r="BI16" s="16"/>
      <c r="BJ16" s="16"/>
      <c r="BK16" s="16"/>
      <c r="BL16" s="16"/>
      <c r="BM16" s="24"/>
      <c r="BN16" s="24"/>
      <c r="BO16" s="24"/>
      <c r="BP16" s="24"/>
      <c r="BQ16" s="24"/>
      <c r="BR16" s="24"/>
      <c r="BS16" s="25">
        <f t="shared" si="0"/>
        <v>0</v>
      </c>
      <c r="BT16" s="26"/>
    </row>
    <row r="17" spans="1:72" x14ac:dyDescent="0.2">
      <c r="A17" s="181">
        <v>14</v>
      </c>
      <c r="B17" s="192" t="s">
        <v>229</v>
      </c>
      <c r="C17" s="20"/>
      <c r="D17" s="21" t="s">
        <v>16</v>
      </c>
      <c r="E17" s="16"/>
      <c r="F17" s="16"/>
      <c r="G17" s="22">
        <v>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16"/>
      <c r="BH17" s="16"/>
      <c r="BI17" s="16"/>
      <c r="BJ17" s="16"/>
      <c r="BK17" s="16"/>
      <c r="BL17" s="16"/>
      <c r="BM17" s="24"/>
      <c r="BN17" s="24"/>
      <c r="BO17" s="24"/>
      <c r="BP17" s="24"/>
      <c r="BQ17" s="24"/>
      <c r="BR17" s="24"/>
      <c r="BS17" s="25">
        <f t="shared" si="0"/>
        <v>0</v>
      </c>
      <c r="BT17" s="26"/>
    </row>
    <row r="18" spans="1:72" x14ac:dyDescent="0.2">
      <c r="A18" s="181">
        <v>15</v>
      </c>
      <c r="B18" s="192" t="s">
        <v>236</v>
      </c>
      <c r="C18" s="20"/>
      <c r="D18" s="21" t="s">
        <v>16</v>
      </c>
      <c r="E18" s="16"/>
      <c r="F18" s="16"/>
      <c r="G18" s="22">
        <v>1.512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16"/>
      <c r="BH18" s="16"/>
      <c r="BI18" s="16"/>
      <c r="BJ18" s="16"/>
      <c r="BK18" s="16"/>
      <c r="BL18" s="16"/>
      <c r="BM18" s="24"/>
      <c r="BN18" s="24"/>
      <c r="BO18" s="24"/>
      <c r="BP18" s="24"/>
      <c r="BQ18" s="24"/>
      <c r="BR18" s="24"/>
      <c r="BS18" s="25">
        <f t="shared" si="0"/>
        <v>1.512</v>
      </c>
      <c r="BT18" s="26"/>
    </row>
    <row r="19" spans="1:72" x14ac:dyDescent="0.2">
      <c r="A19" s="181">
        <v>16</v>
      </c>
      <c r="B19" s="192" t="s">
        <v>237</v>
      </c>
      <c r="C19" s="20"/>
      <c r="D19" s="21" t="s">
        <v>16</v>
      </c>
      <c r="E19" s="16"/>
      <c r="F19" s="16"/>
      <c r="G19" s="22">
        <v>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16"/>
      <c r="BH19" s="16"/>
      <c r="BI19" s="16"/>
      <c r="BJ19" s="16"/>
      <c r="BK19" s="16"/>
      <c r="BL19" s="16"/>
      <c r="BM19" s="24"/>
      <c r="BN19" s="24"/>
      <c r="BO19" s="24"/>
      <c r="BP19" s="24"/>
      <c r="BQ19" s="24"/>
      <c r="BR19" s="24"/>
      <c r="BS19" s="25">
        <f t="shared" si="0"/>
        <v>0</v>
      </c>
      <c r="BT19" s="26"/>
    </row>
    <row r="20" spans="1:72" x14ac:dyDescent="0.2">
      <c r="A20" s="181"/>
      <c r="B20" s="193" t="s">
        <v>114</v>
      </c>
      <c r="C20" s="28"/>
      <c r="D20" s="29" t="s">
        <v>16</v>
      </c>
      <c r="E20" s="30">
        <f>SUM(E4:E7)</f>
        <v>0</v>
      </c>
      <c r="F20" s="30">
        <f>SUM(F4:F7)</f>
        <v>0</v>
      </c>
      <c r="G20" s="30">
        <f t="shared" ref="G20:AB20" si="1">SUM(G4:G19)</f>
        <v>88.24199999999999</v>
      </c>
      <c r="H20" s="30">
        <f t="shared" si="1"/>
        <v>0</v>
      </c>
      <c r="I20" s="30">
        <f t="shared" si="1"/>
        <v>0</v>
      </c>
      <c r="J20" s="30">
        <f t="shared" si="1"/>
        <v>0</v>
      </c>
      <c r="K20" s="30">
        <f t="shared" si="1"/>
        <v>0</v>
      </c>
      <c r="L20" s="30">
        <f t="shared" si="1"/>
        <v>0</v>
      </c>
      <c r="M20" s="30">
        <f t="shared" si="1"/>
        <v>0</v>
      </c>
      <c r="N20" s="30">
        <f t="shared" si="1"/>
        <v>0</v>
      </c>
      <c r="O20" s="30">
        <f t="shared" si="1"/>
        <v>0</v>
      </c>
      <c r="P20" s="30">
        <f t="shared" si="1"/>
        <v>0</v>
      </c>
      <c r="Q20" s="30">
        <f t="shared" si="1"/>
        <v>0</v>
      </c>
      <c r="R20" s="30">
        <f t="shared" si="1"/>
        <v>0</v>
      </c>
      <c r="S20" s="30">
        <f t="shared" si="1"/>
        <v>0</v>
      </c>
      <c r="T20" s="30">
        <f t="shared" si="1"/>
        <v>0</v>
      </c>
      <c r="U20" s="30">
        <f t="shared" si="1"/>
        <v>0</v>
      </c>
      <c r="V20" s="30">
        <f t="shared" si="1"/>
        <v>0</v>
      </c>
      <c r="W20" s="30">
        <f t="shared" si="1"/>
        <v>0</v>
      </c>
      <c r="X20" s="30">
        <f t="shared" si="1"/>
        <v>0</v>
      </c>
      <c r="Y20" s="30">
        <f t="shared" si="1"/>
        <v>0</v>
      </c>
      <c r="Z20" s="30">
        <f t="shared" si="1"/>
        <v>0</v>
      </c>
      <c r="AA20" s="30">
        <f t="shared" si="1"/>
        <v>0</v>
      </c>
      <c r="AB20" s="30">
        <f t="shared" si="1"/>
        <v>0</v>
      </c>
      <c r="AC20" s="30">
        <f>SUM(AC4:AC19)</f>
        <v>0</v>
      </c>
      <c r="AD20" s="30">
        <f>SUM(AD4:AD19)</f>
        <v>0</v>
      </c>
      <c r="AE20" s="30">
        <f>SUM(AE4:AE19)</f>
        <v>0</v>
      </c>
      <c r="AF20" s="30">
        <f t="shared" ref="AF20:AG20" si="2">SUM(AF4:AF19)</f>
        <v>0</v>
      </c>
      <c r="AG20" s="30">
        <f t="shared" si="2"/>
        <v>0</v>
      </c>
      <c r="AH20" s="30">
        <f t="shared" ref="AH20:AJ20" si="3">SUM(AH4:AH19)</f>
        <v>0</v>
      </c>
      <c r="AI20" s="30">
        <f t="shared" si="3"/>
        <v>0</v>
      </c>
      <c r="AJ20" s="30">
        <f t="shared" si="3"/>
        <v>0</v>
      </c>
      <c r="AK20" s="30">
        <f t="shared" ref="AK20:BC20" si="4">SUM(AK4:AK15)</f>
        <v>0</v>
      </c>
      <c r="AL20" s="30">
        <f t="shared" si="4"/>
        <v>0</v>
      </c>
      <c r="AM20" s="30">
        <f t="shared" si="4"/>
        <v>0</v>
      </c>
      <c r="AN20" s="30">
        <f t="shared" si="4"/>
        <v>0</v>
      </c>
      <c r="AO20" s="30">
        <f t="shared" si="4"/>
        <v>0</v>
      </c>
      <c r="AP20" s="30">
        <f t="shared" si="4"/>
        <v>0</v>
      </c>
      <c r="AQ20" s="30">
        <f t="shared" si="4"/>
        <v>0</v>
      </c>
      <c r="AR20" s="30">
        <f t="shared" si="4"/>
        <v>0</v>
      </c>
      <c r="AS20" s="30">
        <f t="shared" si="4"/>
        <v>0</v>
      </c>
      <c r="AT20" s="30">
        <f t="shared" si="4"/>
        <v>0</v>
      </c>
      <c r="AU20" s="30">
        <f t="shared" si="4"/>
        <v>0</v>
      </c>
      <c r="AV20" s="30">
        <f t="shared" si="4"/>
        <v>0</v>
      </c>
      <c r="AW20" s="30">
        <f t="shared" si="4"/>
        <v>0</v>
      </c>
      <c r="AX20" s="30">
        <f t="shared" si="4"/>
        <v>0</v>
      </c>
      <c r="AY20" s="30">
        <f t="shared" si="4"/>
        <v>0</v>
      </c>
      <c r="AZ20" s="30">
        <f t="shared" si="4"/>
        <v>0</v>
      </c>
      <c r="BA20" s="30">
        <f t="shared" si="4"/>
        <v>0</v>
      </c>
      <c r="BB20" s="30">
        <f t="shared" si="4"/>
        <v>0</v>
      </c>
      <c r="BC20" s="30">
        <f t="shared" si="4"/>
        <v>0</v>
      </c>
      <c r="BD20" s="30">
        <f>SUM(BD4:BD15)</f>
        <v>0</v>
      </c>
      <c r="BE20" s="30">
        <f t="shared" ref="BE20:BF20" si="5">SUM(BE4:BE13)</f>
        <v>0</v>
      </c>
      <c r="BF20" s="30">
        <f t="shared" si="5"/>
        <v>0</v>
      </c>
      <c r="BG20" s="30">
        <f t="shared" ref="BG20:BL20" si="6">SUM(BG4:BG9)</f>
        <v>0</v>
      </c>
      <c r="BH20" s="30">
        <f t="shared" si="6"/>
        <v>0</v>
      </c>
      <c r="BI20" s="30">
        <f t="shared" si="6"/>
        <v>0</v>
      </c>
      <c r="BJ20" s="30">
        <f t="shared" si="6"/>
        <v>0</v>
      </c>
      <c r="BK20" s="30">
        <f t="shared" si="6"/>
        <v>0</v>
      </c>
      <c r="BL20" s="30">
        <f t="shared" si="6"/>
        <v>0</v>
      </c>
      <c r="BM20" s="30">
        <f t="shared" ref="BM20:BR20" si="7">SUM(BM4:BM10)</f>
        <v>0</v>
      </c>
      <c r="BN20" s="30">
        <f t="shared" si="7"/>
        <v>0</v>
      </c>
      <c r="BO20" s="30">
        <f t="shared" si="7"/>
        <v>0</v>
      </c>
      <c r="BP20" s="30">
        <f t="shared" si="7"/>
        <v>0</v>
      </c>
      <c r="BQ20" s="30">
        <f t="shared" si="7"/>
        <v>0</v>
      </c>
      <c r="BR20" s="30">
        <f t="shared" si="7"/>
        <v>0</v>
      </c>
      <c r="BS20" s="25">
        <f t="shared" si="0"/>
        <v>88.24199999999999</v>
      </c>
      <c r="BT20" s="26"/>
    </row>
    <row r="21" spans="1:72" ht="25" x14ac:dyDescent="0.25">
      <c r="A21" s="180" t="s">
        <v>115</v>
      </c>
      <c r="B21" s="194" t="s">
        <v>116</v>
      </c>
      <c r="C21" s="31"/>
      <c r="D21" s="31"/>
      <c r="E21" s="31"/>
      <c r="F21" s="31"/>
      <c r="G21" s="31"/>
      <c r="H21" s="205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7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25">
        <f t="shared" si="0"/>
        <v>0</v>
      </c>
      <c r="BT21" s="26"/>
    </row>
    <row r="22" spans="1:72" x14ac:dyDescent="0.2">
      <c r="A22" s="181">
        <v>1</v>
      </c>
      <c r="B22" s="195" t="s">
        <v>117</v>
      </c>
      <c r="C22" s="20"/>
      <c r="D22" s="21" t="s">
        <v>118</v>
      </c>
      <c r="E22" s="16"/>
      <c r="F22" s="16"/>
      <c r="G22" s="16">
        <v>0</v>
      </c>
      <c r="H22" s="16"/>
      <c r="I22" s="16"/>
      <c r="J22" s="34"/>
      <c r="K22" s="3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5">
        <f t="shared" si="0"/>
        <v>0</v>
      </c>
      <c r="BT22" s="26"/>
    </row>
    <row r="23" spans="1:72" x14ac:dyDescent="0.2">
      <c r="A23" s="181">
        <v>2</v>
      </c>
      <c r="B23" s="195" t="s">
        <v>119</v>
      </c>
      <c r="C23" s="20"/>
      <c r="D23" s="21" t="s">
        <v>118</v>
      </c>
      <c r="E23" s="16"/>
      <c r="F23" s="16"/>
      <c r="G23" s="16">
        <v>25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35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35"/>
      <c r="AL23" s="16"/>
      <c r="AM23" s="24"/>
      <c r="AN23" s="36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5">
        <f t="shared" si="0"/>
        <v>25</v>
      </c>
      <c r="BT23" s="26"/>
    </row>
    <row r="24" spans="1:72" x14ac:dyDescent="0.2">
      <c r="A24" s="181">
        <v>4</v>
      </c>
      <c r="B24" s="195" t="s">
        <v>221</v>
      </c>
      <c r="C24" s="20"/>
      <c r="D24" s="21" t="s">
        <v>118</v>
      </c>
      <c r="E24" s="16"/>
      <c r="F24" s="16"/>
      <c r="G24" s="16">
        <v>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5">
        <f t="shared" si="0"/>
        <v>0</v>
      </c>
      <c r="BT24" s="26"/>
    </row>
    <row r="25" spans="1:72" x14ac:dyDescent="0.2">
      <c r="A25" s="181">
        <v>5</v>
      </c>
      <c r="B25" s="195" t="s">
        <v>120</v>
      </c>
      <c r="C25" s="20"/>
      <c r="D25" s="21" t="s">
        <v>118</v>
      </c>
      <c r="E25" s="16"/>
      <c r="F25" s="16"/>
      <c r="G25" s="16">
        <v>15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35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5">
        <f t="shared" si="0"/>
        <v>15</v>
      </c>
      <c r="BT25" s="26"/>
    </row>
    <row r="26" spans="1:72" x14ac:dyDescent="0.2">
      <c r="A26" s="181">
        <v>6</v>
      </c>
      <c r="B26" s="195" t="s">
        <v>121</v>
      </c>
      <c r="C26" s="20"/>
      <c r="D26" s="21" t="s">
        <v>118</v>
      </c>
      <c r="E26" s="16"/>
      <c r="F26" s="16"/>
      <c r="G26" s="16">
        <v>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16"/>
      <c r="AL26" s="16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16"/>
      <c r="AX26" s="16"/>
      <c r="AY26" s="16"/>
      <c r="AZ26" s="16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5">
        <f t="shared" si="0"/>
        <v>0</v>
      </c>
      <c r="BT26" s="26"/>
    </row>
    <row r="27" spans="1:72" x14ac:dyDescent="0.2">
      <c r="A27" s="181">
        <v>7</v>
      </c>
      <c r="B27" s="195" t="s">
        <v>122</v>
      </c>
      <c r="C27" s="20"/>
      <c r="D27" s="21" t="s">
        <v>118</v>
      </c>
      <c r="E27" s="16"/>
      <c r="F27" s="16"/>
      <c r="G27" s="16"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24"/>
      <c r="AW27" s="16"/>
      <c r="AX27" s="16"/>
      <c r="AY27" s="16"/>
      <c r="AZ27" s="16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5">
        <f t="shared" si="0"/>
        <v>0</v>
      </c>
      <c r="BT27" s="26"/>
    </row>
    <row r="28" spans="1:72" x14ac:dyDescent="0.2">
      <c r="A28" s="181">
        <v>9</v>
      </c>
      <c r="B28" s="195" t="s">
        <v>123</v>
      </c>
      <c r="C28" s="20"/>
      <c r="D28" s="21" t="s">
        <v>118</v>
      </c>
      <c r="E28" s="16"/>
      <c r="F28" s="16"/>
      <c r="G28" s="16">
        <v>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5">
        <f t="shared" si="0"/>
        <v>0</v>
      </c>
      <c r="BT28" s="26"/>
    </row>
    <row r="29" spans="1:72" x14ac:dyDescent="0.2">
      <c r="A29" s="181">
        <v>10</v>
      </c>
      <c r="B29" s="195" t="s">
        <v>124</v>
      </c>
      <c r="C29" s="37"/>
      <c r="D29" s="21" t="s">
        <v>118</v>
      </c>
      <c r="E29" s="16"/>
      <c r="F29" s="16"/>
      <c r="G29" s="16">
        <v>5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5">
        <f t="shared" si="0"/>
        <v>5</v>
      </c>
      <c r="BT29" s="26"/>
    </row>
    <row r="30" spans="1:72" x14ac:dyDescent="0.2">
      <c r="A30" s="181">
        <v>11</v>
      </c>
      <c r="B30" s="195" t="s">
        <v>125</v>
      </c>
      <c r="C30" s="20"/>
      <c r="D30" s="21" t="s">
        <v>118</v>
      </c>
      <c r="E30" s="16"/>
      <c r="F30" s="16"/>
      <c r="G30" s="16">
        <v>5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5">
        <f t="shared" si="0"/>
        <v>5</v>
      </c>
      <c r="BT30" s="26"/>
    </row>
    <row r="31" spans="1:72" x14ac:dyDescent="0.2">
      <c r="A31" s="181">
        <v>12</v>
      </c>
      <c r="B31" s="195" t="s">
        <v>126</v>
      </c>
      <c r="C31" s="20"/>
      <c r="D31" s="21" t="s">
        <v>118</v>
      </c>
      <c r="E31" s="16"/>
      <c r="F31" s="16"/>
      <c r="G31" s="16">
        <v>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35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5">
        <f t="shared" si="0"/>
        <v>0</v>
      </c>
      <c r="BT31" s="26"/>
    </row>
    <row r="32" spans="1:72" x14ac:dyDescent="0.2">
      <c r="A32" s="181">
        <v>13</v>
      </c>
      <c r="B32" s="195" t="s">
        <v>127</v>
      </c>
      <c r="C32" s="20"/>
      <c r="D32" s="21" t="s">
        <v>118</v>
      </c>
      <c r="E32" s="16"/>
      <c r="F32" s="16"/>
      <c r="G32" s="16">
        <v>5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5">
        <f t="shared" si="0"/>
        <v>5</v>
      </c>
      <c r="BT32" s="26"/>
    </row>
    <row r="33" spans="1:74" x14ac:dyDescent="0.2">
      <c r="A33" s="181">
        <v>14</v>
      </c>
      <c r="B33" s="195" t="s">
        <v>128</v>
      </c>
      <c r="C33" s="20"/>
      <c r="D33" s="21" t="s">
        <v>118</v>
      </c>
      <c r="E33" s="16"/>
      <c r="F33" s="16"/>
      <c r="G33" s="16">
        <v>0</v>
      </c>
      <c r="H33" s="3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38"/>
      <c r="BN33" s="24"/>
      <c r="BO33" s="24"/>
      <c r="BP33" s="24"/>
      <c r="BQ33" s="24"/>
      <c r="BR33" s="24"/>
      <c r="BS33" s="25">
        <f t="shared" si="0"/>
        <v>0</v>
      </c>
      <c r="BT33" s="26"/>
    </row>
    <row r="34" spans="1:74" x14ac:dyDescent="0.2">
      <c r="A34" s="181">
        <v>15</v>
      </c>
      <c r="B34" s="195" t="s">
        <v>129</v>
      </c>
      <c r="C34" s="37"/>
      <c r="D34" s="21" t="s">
        <v>118</v>
      </c>
      <c r="E34" s="16"/>
      <c r="F34" s="16"/>
      <c r="G34" s="16">
        <v>0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5">
        <f t="shared" si="0"/>
        <v>0</v>
      </c>
      <c r="BU34" s="18"/>
      <c r="BV34" s="26"/>
    </row>
    <row r="35" spans="1:74" x14ac:dyDescent="0.2">
      <c r="A35" s="181">
        <v>16</v>
      </c>
      <c r="B35" s="195" t="s">
        <v>130</v>
      </c>
      <c r="C35" s="20"/>
      <c r="D35" s="21" t="s">
        <v>118</v>
      </c>
      <c r="E35" s="16"/>
      <c r="F35" s="16"/>
      <c r="G35" s="16">
        <v>1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5">
        <f t="shared" si="0"/>
        <v>1</v>
      </c>
      <c r="BU35" s="18"/>
      <c r="BV35" s="26"/>
    </row>
    <row r="36" spans="1:74" x14ac:dyDescent="0.2">
      <c r="A36" s="181">
        <v>17</v>
      </c>
      <c r="B36" s="195" t="s">
        <v>131</v>
      </c>
      <c r="C36" s="20"/>
      <c r="D36" s="21" t="s">
        <v>118</v>
      </c>
      <c r="E36" s="16"/>
      <c r="F36" s="16"/>
      <c r="G36" s="16">
        <v>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5">
        <f t="shared" ref="BS36:BS58" si="8">SUM(G36:BF36)</f>
        <v>0</v>
      </c>
      <c r="BU36" s="18"/>
      <c r="BV36" s="26"/>
    </row>
    <row r="37" spans="1:74" x14ac:dyDescent="0.2">
      <c r="A37" s="181">
        <v>18</v>
      </c>
      <c r="B37" s="195" t="s">
        <v>132</v>
      </c>
      <c r="C37" s="20"/>
      <c r="D37" s="21" t="s">
        <v>118</v>
      </c>
      <c r="E37" s="16"/>
      <c r="F37" s="16"/>
      <c r="G37" s="16">
        <v>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5">
        <f t="shared" si="8"/>
        <v>0</v>
      </c>
      <c r="BU37" s="18"/>
      <c r="BV37" s="26"/>
    </row>
    <row r="38" spans="1:74" x14ac:dyDescent="0.2">
      <c r="A38" s="181">
        <v>19</v>
      </c>
      <c r="B38" s="195" t="s">
        <v>133</v>
      </c>
      <c r="C38" s="37"/>
      <c r="D38" s="21" t="s">
        <v>118</v>
      </c>
      <c r="E38" s="16"/>
      <c r="F38" s="16"/>
      <c r="G38" s="16">
        <v>4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5">
        <f t="shared" si="8"/>
        <v>4</v>
      </c>
      <c r="BU38" s="18"/>
      <c r="BV38" s="26"/>
    </row>
    <row r="39" spans="1:74" x14ac:dyDescent="0.2">
      <c r="A39" s="181">
        <v>20</v>
      </c>
      <c r="B39" s="195" t="s">
        <v>134</v>
      </c>
      <c r="C39" s="37"/>
      <c r="D39" s="21" t="s">
        <v>118</v>
      </c>
      <c r="E39" s="16"/>
      <c r="F39" s="16"/>
      <c r="G39" s="16">
        <v>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5">
        <f t="shared" si="8"/>
        <v>0</v>
      </c>
      <c r="BU39" s="18"/>
      <c r="BV39" s="26"/>
    </row>
    <row r="40" spans="1:74" x14ac:dyDescent="0.2">
      <c r="A40" s="181">
        <v>21</v>
      </c>
      <c r="B40" s="195" t="s">
        <v>135</v>
      </c>
      <c r="C40" s="20"/>
      <c r="D40" s="21" t="s">
        <v>118</v>
      </c>
      <c r="E40" s="16"/>
      <c r="F40" s="16"/>
      <c r="G40" s="16">
        <v>30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5">
        <f t="shared" si="8"/>
        <v>30</v>
      </c>
      <c r="BU40" s="39"/>
      <c r="BV40" s="26"/>
    </row>
    <row r="41" spans="1:74" x14ac:dyDescent="0.2">
      <c r="A41" s="181">
        <v>22</v>
      </c>
      <c r="B41" s="195" t="s">
        <v>136</v>
      </c>
      <c r="C41" s="20"/>
      <c r="D41" s="21" t="s">
        <v>118</v>
      </c>
      <c r="E41" s="16"/>
      <c r="F41" s="16"/>
      <c r="G41" s="16">
        <v>10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5">
        <f t="shared" si="8"/>
        <v>10</v>
      </c>
      <c r="BU41" s="39"/>
      <c r="BV41" s="26"/>
    </row>
    <row r="42" spans="1:74" x14ac:dyDescent="0.2">
      <c r="A42" s="181">
        <v>23</v>
      </c>
      <c r="B42" s="195" t="s">
        <v>137</v>
      </c>
      <c r="C42" s="20"/>
      <c r="D42" s="21" t="s">
        <v>118</v>
      </c>
      <c r="E42" s="16"/>
      <c r="F42" s="16"/>
      <c r="G42" s="16">
        <v>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5">
        <f t="shared" si="8"/>
        <v>0</v>
      </c>
      <c r="BU42" s="39"/>
      <c r="BV42" s="26"/>
    </row>
    <row r="43" spans="1:74" x14ac:dyDescent="0.2">
      <c r="A43" s="181">
        <v>24</v>
      </c>
      <c r="B43" s="195" t="s">
        <v>138</v>
      </c>
      <c r="C43" s="20"/>
      <c r="D43" s="21" t="s">
        <v>118</v>
      </c>
      <c r="E43" s="16"/>
      <c r="F43" s="16"/>
      <c r="G43" s="16">
        <v>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5">
        <f t="shared" si="8"/>
        <v>0</v>
      </c>
      <c r="BU43" s="39"/>
      <c r="BV43" s="26"/>
    </row>
    <row r="44" spans="1:74" x14ac:dyDescent="0.2">
      <c r="A44" s="181">
        <v>25</v>
      </c>
      <c r="B44" s="195" t="s">
        <v>139</v>
      </c>
      <c r="C44" s="20"/>
      <c r="D44" s="21" t="s">
        <v>118</v>
      </c>
      <c r="E44" s="16"/>
      <c r="F44" s="16"/>
      <c r="G44" s="16">
        <v>100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5">
        <f t="shared" si="8"/>
        <v>100</v>
      </c>
      <c r="BU44" s="39"/>
      <c r="BV44" s="26"/>
    </row>
    <row r="45" spans="1:74" x14ac:dyDescent="0.2">
      <c r="A45" s="181">
        <v>26</v>
      </c>
      <c r="B45" s="195" t="s">
        <v>140</v>
      </c>
      <c r="C45" s="20"/>
      <c r="D45" s="21" t="s">
        <v>118</v>
      </c>
      <c r="E45" s="16"/>
      <c r="F45" s="16"/>
      <c r="G45" s="16">
        <v>5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5">
        <f t="shared" si="8"/>
        <v>5</v>
      </c>
      <c r="BU45" s="39"/>
      <c r="BV45" s="26"/>
    </row>
    <row r="46" spans="1:74" x14ac:dyDescent="0.2">
      <c r="A46" s="181">
        <v>27</v>
      </c>
      <c r="B46" s="195" t="s">
        <v>141</v>
      </c>
      <c r="C46" s="20"/>
      <c r="D46" s="21" t="s">
        <v>118</v>
      </c>
      <c r="E46" s="16"/>
      <c r="F46" s="16"/>
      <c r="G46" s="16">
        <v>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5">
        <f t="shared" si="8"/>
        <v>5</v>
      </c>
      <c r="BU46" s="39"/>
      <c r="BV46" s="26"/>
    </row>
    <row r="47" spans="1:74" x14ac:dyDescent="0.2">
      <c r="A47" s="181">
        <v>28</v>
      </c>
      <c r="B47" s="195" t="s">
        <v>230</v>
      </c>
      <c r="C47" s="20"/>
      <c r="D47" s="132" t="s">
        <v>118</v>
      </c>
      <c r="E47" s="133"/>
      <c r="F47" s="133"/>
      <c r="G47" s="143">
        <v>5</v>
      </c>
      <c r="H47" s="16"/>
      <c r="I47" s="16"/>
      <c r="J47" s="143"/>
      <c r="K47" s="16"/>
      <c r="L47" s="16"/>
      <c r="M47" s="16"/>
      <c r="N47" s="16"/>
      <c r="O47" s="16"/>
      <c r="P47" s="16"/>
      <c r="Q47" s="16"/>
      <c r="R47" s="16"/>
      <c r="S47" s="16"/>
      <c r="T47" s="143"/>
      <c r="U47" s="143"/>
      <c r="V47" s="143"/>
      <c r="W47" s="16"/>
      <c r="X47" s="16"/>
      <c r="Y47" s="143"/>
      <c r="Z47" s="143"/>
      <c r="AA47" s="143"/>
      <c r="AB47" s="16"/>
      <c r="AC47" s="143"/>
      <c r="AD47" s="143"/>
      <c r="AE47" s="143"/>
      <c r="AF47" s="143"/>
      <c r="AG47" s="16"/>
      <c r="AH47" s="143"/>
      <c r="AI47" s="143"/>
      <c r="AJ47" s="143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25">
        <f t="shared" si="8"/>
        <v>5</v>
      </c>
      <c r="BU47" s="39"/>
      <c r="BV47" s="26"/>
    </row>
    <row r="48" spans="1:74" x14ac:dyDescent="0.2">
      <c r="A48" s="181">
        <v>29</v>
      </c>
      <c r="B48" s="195" t="s">
        <v>231</v>
      </c>
      <c r="C48" s="20"/>
      <c r="D48" s="132" t="s">
        <v>118</v>
      </c>
      <c r="E48" s="133"/>
      <c r="F48" s="133"/>
      <c r="G48" s="16"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25">
        <f t="shared" si="8"/>
        <v>0</v>
      </c>
      <c r="BU48" s="39"/>
      <c r="BV48" s="26"/>
    </row>
    <row r="49" spans="1:74" x14ac:dyDescent="0.2">
      <c r="A49" s="181">
        <v>30</v>
      </c>
      <c r="B49" s="195" t="s">
        <v>232</v>
      </c>
      <c r="C49" s="20"/>
      <c r="D49" s="132" t="s">
        <v>118</v>
      </c>
      <c r="E49" s="133"/>
      <c r="F49" s="133"/>
      <c r="G49" s="16"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25">
        <f t="shared" si="8"/>
        <v>0</v>
      </c>
      <c r="BU49" s="39"/>
      <c r="BV49" s="26"/>
    </row>
    <row r="50" spans="1:74" x14ac:dyDescent="0.2">
      <c r="A50" s="181">
        <v>31</v>
      </c>
      <c r="B50" s="195" t="s">
        <v>234</v>
      </c>
      <c r="C50" s="20"/>
      <c r="D50" s="132" t="s">
        <v>118</v>
      </c>
      <c r="E50" s="133"/>
      <c r="F50" s="133"/>
      <c r="G50" s="16">
        <v>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25">
        <f t="shared" si="8"/>
        <v>0</v>
      </c>
      <c r="BU50" s="39"/>
      <c r="BV50" s="26"/>
    </row>
    <row r="51" spans="1:74" x14ac:dyDescent="0.2">
      <c r="A51" s="181">
        <v>32</v>
      </c>
      <c r="B51" s="195" t="s">
        <v>238</v>
      </c>
      <c r="C51" s="20"/>
      <c r="D51" s="132" t="s">
        <v>118</v>
      </c>
      <c r="E51" s="133"/>
      <c r="F51" s="133"/>
      <c r="G51" s="16"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25">
        <f t="shared" si="8"/>
        <v>0</v>
      </c>
      <c r="BU51" s="39"/>
      <c r="BV51" s="26"/>
    </row>
    <row r="52" spans="1:74" x14ac:dyDescent="0.2">
      <c r="A52" s="181">
        <v>33</v>
      </c>
      <c r="B52" s="195" t="s">
        <v>239</v>
      </c>
      <c r="C52" s="20"/>
      <c r="D52" s="132" t="s">
        <v>118</v>
      </c>
      <c r="E52" s="133"/>
      <c r="F52" s="133"/>
      <c r="G52" s="16">
        <v>0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25">
        <f t="shared" si="8"/>
        <v>0</v>
      </c>
      <c r="BU52" s="39"/>
      <c r="BV52" s="26"/>
    </row>
    <row r="53" spans="1:74" x14ac:dyDescent="0.2">
      <c r="A53" s="181">
        <v>34</v>
      </c>
      <c r="B53" s="195" t="s">
        <v>240</v>
      </c>
      <c r="C53" s="20"/>
      <c r="D53" s="132" t="s">
        <v>118</v>
      </c>
      <c r="E53" s="133"/>
      <c r="F53" s="133"/>
      <c r="G53" s="16">
        <v>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25">
        <f t="shared" si="8"/>
        <v>0</v>
      </c>
      <c r="BU53" s="39"/>
      <c r="BV53" s="26"/>
    </row>
    <row r="54" spans="1:74" x14ac:dyDescent="0.2">
      <c r="A54" s="181">
        <v>35</v>
      </c>
      <c r="B54" s="195" t="s">
        <v>241</v>
      </c>
      <c r="C54" s="20"/>
      <c r="D54" s="132" t="s">
        <v>118</v>
      </c>
      <c r="E54" s="133"/>
      <c r="F54" s="133"/>
      <c r="G54" s="16">
        <v>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25">
        <f t="shared" si="8"/>
        <v>0</v>
      </c>
      <c r="BU54" s="39"/>
      <c r="BV54" s="26"/>
    </row>
    <row r="55" spans="1:74" x14ac:dyDescent="0.2">
      <c r="A55" s="181">
        <v>36</v>
      </c>
      <c r="B55" s="195" t="s">
        <v>242</v>
      </c>
      <c r="C55" s="20"/>
      <c r="D55" s="132" t="s">
        <v>118</v>
      </c>
      <c r="E55" s="133"/>
      <c r="F55" s="133"/>
      <c r="G55" s="16">
        <v>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25">
        <f t="shared" si="8"/>
        <v>0</v>
      </c>
      <c r="BU55" s="39"/>
      <c r="BV55" s="26"/>
    </row>
    <row r="56" spans="1:74" x14ac:dyDescent="0.2">
      <c r="A56" s="146">
        <v>37</v>
      </c>
      <c r="B56" s="33" t="s">
        <v>243</v>
      </c>
      <c r="C56" s="20"/>
      <c r="D56" s="21" t="s">
        <v>118</v>
      </c>
      <c r="E56" s="16"/>
      <c r="F56" s="16"/>
      <c r="G56" s="16">
        <v>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98">
        <f t="shared" si="8"/>
        <v>0</v>
      </c>
      <c r="BU56" s="39"/>
      <c r="BV56" s="26"/>
    </row>
    <row r="57" spans="1:74" x14ac:dyDescent="0.2">
      <c r="A57" s="146">
        <v>38</v>
      </c>
      <c r="B57" s="33" t="s">
        <v>245</v>
      </c>
      <c r="C57" s="20"/>
      <c r="D57" s="21" t="s">
        <v>118</v>
      </c>
      <c r="E57" s="16"/>
      <c r="F57" s="16"/>
      <c r="G57" s="16">
        <v>70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98">
        <f t="shared" si="8"/>
        <v>70</v>
      </c>
      <c r="BU57" s="39"/>
      <c r="BV57" s="26"/>
    </row>
    <row r="58" spans="1:74" x14ac:dyDescent="0.2">
      <c r="A58" s="146">
        <v>39</v>
      </c>
      <c r="B58" s="33" t="s">
        <v>246</v>
      </c>
      <c r="C58" s="20"/>
      <c r="D58" s="21" t="s">
        <v>118</v>
      </c>
      <c r="E58" s="16"/>
      <c r="F58" s="16"/>
      <c r="G58" s="16">
        <v>85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98">
        <f t="shared" si="8"/>
        <v>85</v>
      </c>
      <c r="BU58" s="39"/>
      <c r="BV58" s="26"/>
    </row>
    <row r="59" spans="1:74" x14ac:dyDescent="0.2">
      <c r="A59" s="197"/>
      <c r="B59" s="185" t="s">
        <v>222</v>
      </c>
      <c r="C59" s="186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U59" s="39"/>
      <c r="BV59" s="26"/>
    </row>
    <row r="60" spans="1:74" x14ac:dyDescent="0.2">
      <c r="A60" s="19">
        <v>28</v>
      </c>
      <c r="B60" s="33" t="s">
        <v>223</v>
      </c>
      <c r="C60" s="20"/>
      <c r="D60" s="21" t="s">
        <v>226</v>
      </c>
      <c r="E60" s="16"/>
      <c r="F60" s="16"/>
      <c r="G60" s="16">
        <v>702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5">
        <f>SUM(G60:BF60)</f>
        <v>702</v>
      </c>
      <c r="BU60" s="39"/>
      <c r="BV60" s="26"/>
    </row>
    <row r="61" spans="1:74" x14ac:dyDescent="0.2">
      <c r="A61" s="19">
        <v>29</v>
      </c>
      <c r="B61" s="33" t="s">
        <v>224</v>
      </c>
      <c r="C61" s="20"/>
      <c r="D61" s="21" t="s">
        <v>227</v>
      </c>
      <c r="E61" s="16"/>
      <c r="F61" s="16"/>
      <c r="G61" s="16">
        <v>220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5">
        <f>SUM(G61:BF61)</f>
        <v>220</v>
      </c>
      <c r="BU61" s="39"/>
      <c r="BV61" s="26"/>
    </row>
    <row r="62" spans="1:74" x14ac:dyDescent="0.2">
      <c r="A62" s="19">
        <v>30</v>
      </c>
      <c r="B62" s="33" t="s">
        <v>225</v>
      </c>
      <c r="C62" s="20"/>
      <c r="D62" s="21" t="s">
        <v>226</v>
      </c>
      <c r="E62" s="16"/>
      <c r="F62" s="16"/>
      <c r="G62" s="16">
        <v>245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5">
        <f>SUM(G62:BF62)</f>
        <v>245</v>
      </c>
      <c r="BU62" s="39"/>
      <c r="BV62" s="26"/>
    </row>
    <row r="63" spans="1:74" x14ac:dyDescent="0.2">
      <c r="A63" s="146">
        <v>31</v>
      </c>
      <c r="B63" s="33" t="s">
        <v>233</v>
      </c>
      <c r="C63" s="20"/>
      <c r="D63" s="21" t="s">
        <v>227</v>
      </c>
      <c r="E63" s="16"/>
      <c r="F63" s="16"/>
      <c r="G63" s="16">
        <v>435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25">
        <f>SUM(G63:BF63)</f>
        <v>435</v>
      </c>
      <c r="BU63" s="39"/>
      <c r="BV63" s="26"/>
    </row>
    <row r="64" spans="1:74" x14ac:dyDescent="0.2">
      <c r="A64" s="218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  <c r="BE64" s="200"/>
      <c r="BF64" s="200"/>
      <c r="BG64" s="200"/>
      <c r="BH64" s="200"/>
      <c r="BI64" s="200"/>
      <c r="BJ64" s="200"/>
      <c r="BK64" s="200"/>
      <c r="BL64" s="200"/>
      <c r="BM64" s="200"/>
      <c r="BN64" s="200"/>
      <c r="BO64" s="200"/>
      <c r="BP64" s="200"/>
      <c r="BQ64" s="200"/>
      <c r="BR64" s="200"/>
      <c r="BS64" s="219"/>
      <c r="BU64" s="39"/>
      <c r="BV64" s="26"/>
    </row>
    <row r="65" spans="1:74" x14ac:dyDescent="0.2">
      <c r="A65" s="19" t="s">
        <v>142</v>
      </c>
      <c r="B65" s="27" t="s">
        <v>143</v>
      </c>
      <c r="C65" s="28"/>
      <c r="D65" s="29" t="s">
        <v>16</v>
      </c>
      <c r="E65" s="40">
        <v>0</v>
      </c>
      <c r="F65" s="40">
        <v>0</v>
      </c>
      <c r="G65" s="40">
        <v>87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25">
        <f>SUM(G65:BF65)</f>
        <v>87</v>
      </c>
      <c r="BU65" s="18"/>
      <c r="BV65" s="26"/>
    </row>
    <row r="66" spans="1:74" ht="21" thickBot="1" x14ac:dyDescent="0.25">
      <c r="A66" s="115" t="s">
        <v>144</v>
      </c>
      <c r="B66" s="116" t="s">
        <v>145</v>
      </c>
      <c r="C66" s="117"/>
      <c r="D66" s="118" t="s">
        <v>16</v>
      </c>
      <c r="E66" s="119">
        <f>E65*0.935</f>
        <v>0</v>
      </c>
      <c r="F66" s="119">
        <f t="shared" ref="F66" si="9">F65*0.935</f>
        <v>0</v>
      </c>
      <c r="G66" s="120">
        <v>73.02</v>
      </c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19">
        <f t="shared" ref="BG66:BQ66" si="10">BG65*0.94</f>
        <v>0</v>
      </c>
      <c r="BH66" s="119">
        <f t="shared" si="10"/>
        <v>0</v>
      </c>
      <c r="BI66" s="119">
        <f t="shared" si="10"/>
        <v>0</v>
      </c>
      <c r="BJ66" s="119">
        <f t="shared" si="10"/>
        <v>0</v>
      </c>
      <c r="BK66" s="119">
        <f t="shared" si="10"/>
        <v>0</v>
      </c>
      <c r="BL66" s="119">
        <f t="shared" si="10"/>
        <v>0</v>
      </c>
      <c r="BM66" s="119">
        <f t="shared" si="10"/>
        <v>0</v>
      </c>
      <c r="BN66" s="119">
        <f t="shared" si="10"/>
        <v>0</v>
      </c>
      <c r="BO66" s="119">
        <f t="shared" si="10"/>
        <v>0</v>
      </c>
      <c r="BP66" s="119">
        <f t="shared" si="10"/>
        <v>0</v>
      </c>
      <c r="BQ66" s="119">
        <f t="shared" si="10"/>
        <v>0</v>
      </c>
      <c r="BR66" s="121">
        <v>0</v>
      </c>
      <c r="BS66" s="122">
        <f>SUM(G66:BF66)</f>
        <v>73.02</v>
      </c>
      <c r="BU66" s="18"/>
      <c r="BV66" s="26"/>
    </row>
    <row r="67" spans="1:74" hidden="1" x14ac:dyDescent="0.2">
      <c r="A67" s="113"/>
      <c r="B67" s="114"/>
      <c r="C67" s="208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209"/>
      <c r="AR67" s="209"/>
      <c r="AS67" s="209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209"/>
      <c r="BG67" s="209"/>
      <c r="BH67" s="209"/>
      <c r="BI67" s="209"/>
      <c r="BJ67" s="209"/>
      <c r="BK67" s="209"/>
      <c r="BL67" s="209"/>
      <c r="BM67" s="209"/>
      <c r="BN67" s="209"/>
      <c r="BO67" s="209"/>
      <c r="BP67" s="209"/>
      <c r="BQ67" s="209"/>
      <c r="BR67" s="209"/>
      <c r="BS67" s="210"/>
      <c r="BU67" s="18"/>
      <c r="BV67" s="26"/>
    </row>
    <row r="68" spans="1:74" ht="23.25" hidden="1" customHeight="1" x14ac:dyDescent="0.25">
      <c r="A68" s="44" t="s">
        <v>146</v>
      </c>
      <c r="B68" s="45" t="s">
        <v>147</v>
      </c>
      <c r="C68" s="211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  <c r="BE68" s="212"/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Q68" s="212"/>
      <c r="BR68" s="212"/>
      <c r="BS68" s="213"/>
    </row>
    <row r="69" spans="1:74" hidden="1" x14ac:dyDescent="0.2">
      <c r="A69" s="44">
        <v>1</v>
      </c>
      <c r="B69" s="43" t="s">
        <v>148</v>
      </c>
      <c r="C69" s="46"/>
      <c r="D69" s="47" t="s">
        <v>16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48">
        <f>SUM(E69:AK69)</f>
        <v>0</v>
      </c>
      <c r="BU69" s="18"/>
      <c r="BV69" s="26"/>
    </row>
    <row r="70" spans="1:74" ht="15.75" hidden="1" customHeight="1" x14ac:dyDescent="0.2">
      <c r="A70" s="44">
        <v>2</v>
      </c>
      <c r="B70" s="43" t="s">
        <v>149</v>
      </c>
      <c r="C70" s="46"/>
      <c r="D70" s="47" t="s">
        <v>16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48">
        <f>SUM(E70:AK70)</f>
        <v>0</v>
      </c>
      <c r="BU70" s="49"/>
      <c r="BV70" s="26"/>
    </row>
    <row r="71" spans="1:74" ht="17.25" hidden="1" customHeight="1" x14ac:dyDescent="0.2">
      <c r="A71" s="44">
        <v>3</v>
      </c>
      <c r="B71" s="43" t="s">
        <v>150</v>
      </c>
      <c r="C71" s="46"/>
      <c r="D71" s="47" t="s">
        <v>151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48">
        <f>SUM(E71:AK71)</f>
        <v>0</v>
      </c>
      <c r="BV71" s="50"/>
    </row>
    <row r="72" spans="1:74" ht="19.5" hidden="1" customHeight="1" x14ac:dyDescent="0.2">
      <c r="A72" s="42">
        <v>4</v>
      </c>
      <c r="B72" s="51" t="s">
        <v>152</v>
      </c>
      <c r="C72" s="52"/>
      <c r="D72" s="53" t="s">
        <v>29</v>
      </c>
      <c r="E72" s="54"/>
      <c r="F72" s="54"/>
      <c r="G72" s="54"/>
      <c r="H72" s="54"/>
      <c r="I72" s="54" t="e">
        <f>#REF!</f>
        <v>#REF!</v>
      </c>
      <c r="J72" s="54" t="e">
        <f>#REF!</f>
        <v>#REF!</v>
      </c>
      <c r="K72" s="54" t="e">
        <f>#REF!</f>
        <v>#REF!</v>
      </c>
      <c r="L72" s="54" t="e">
        <f>#REF!</f>
        <v>#REF!</v>
      </c>
      <c r="M72" s="54" t="e">
        <f>#REF!</f>
        <v>#REF!</v>
      </c>
      <c r="N72" s="54" t="e">
        <f>#REF!</f>
        <v>#REF!</v>
      </c>
      <c r="O72" s="54" t="e">
        <f>#REF!</f>
        <v>#REF!</v>
      </c>
      <c r="P72" s="54" t="e">
        <f>#REF!</f>
        <v>#REF!</v>
      </c>
      <c r="Q72" s="54" t="e">
        <f>#REF!</f>
        <v>#REF!</v>
      </c>
      <c r="R72" s="54" t="e">
        <f>#REF!</f>
        <v>#REF!</v>
      </c>
      <c r="S72" s="54" t="e">
        <f>#REF!</f>
        <v>#REF!</v>
      </c>
      <c r="T72" s="54" t="e">
        <f>#REF!</f>
        <v>#REF!</v>
      </c>
      <c r="U72" s="54" t="e">
        <f>#REF!</f>
        <v>#REF!</v>
      </c>
      <c r="V72" s="54" t="e">
        <f>#REF!</f>
        <v>#REF!</v>
      </c>
      <c r="W72" s="54" t="e">
        <f>#REF!</f>
        <v>#REF!</v>
      </c>
      <c r="X72" s="54" t="e">
        <f>#REF!</f>
        <v>#REF!</v>
      </c>
      <c r="Y72" s="54" t="e">
        <f>#REF!</f>
        <v>#REF!</v>
      </c>
      <c r="Z72" s="54" t="e">
        <f>#REF!</f>
        <v>#REF!</v>
      </c>
      <c r="AA72" s="54" t="e">
        <f>#REF!</f>
        <v>#REF!</v>
      </c>
      <c r="AB72" s="54" t="e">
        <f>#REF!</f>
        <v>#REF!</v>
      </c>
      <c r="AC72" s="54" t="e">
        <f>#REF!</f>
        <v>#REF!</v>
      </c>
      <c r="AD72" s="54" t="e">
        <f>#REF!</f>
        <v>#REF!</v>
      </c>
      <c r="AE72" s="54" t="e">
        <f>#REF!</f>
        <v>#REF!</v>
      </c>
      <c r="AF72" s="54" t="e">
        <f>#REF!</f>
        <v>#REF!</v>
      </c>
      <c r="AG72" s="54" t="e">
        <f>#REF!</f>
        <v>#REF!</v>
      </c>
      <c r="AH72" s="54" t="e">
        <f>#REF!</f>
        <v>#REF!</v>
      </c>
      <c r="AI72" s="54" t="e">
        <f>#REF!</f>
        <v>#REF!</v>
      </c>
      <c r="AJ72" s="54" t="e">
        <f>#REF!</f>
        <v>#REF!</v>
      </c>
      <c r="AK72" s="54" t="e">
        <f>#REF!</f>
        <v>#REF!</v>
      </c>
      <c r="AL72" s="54" t="e">
        <f>#REF!</f>
        <v>#REF!</v>
      </c>
      <c r="AM72" s="55" t="e">
        <f>#REF!</f>
        <v>#REF!</v>
      </c>
      <c r="AN72" s="55" t="e">
        <f>#REF!</f>
        <v>#REF!</v>
      </c>
      <c r="AO72" s="55" t="e">
        <f>#REF!</f>
        <v>#REF!</v>
      </c>
      <c r="AP72" s="55" t="e">
        <f>#REF!</f>
        <v>#REF!</v>
      </c>
      <c r="AQ72" s="55" t="e">
        <f>#REF!</f>
        <v>#REF!</v>
      </c>
      <c r="AR72" s="55" t="e">
        <f>#REF!</f>
        <v>#REF!</v>
      </c>
      <c r="AS72" s="55" t="e">
        <f>#REF!</f>
        <v>#REF!</v>
      </c>
      <c r="AT72" s="55" t="e">
        <f>#REF!</f>
        <v>#REF!</v>
      </c>
      <c r="AU72" s="55" t="e">
        <f>#REF!</f>
        <v>#REF!</v>
      </c>
      <c r="AV72" s="55" t="e">
        <f>#REF!</f>
        <v>#REF!</v>
      </c>
      <c r="AW72" s="55" t="e">
        <f>#REF!</f>
        <v>#REF!</v>
      </c>
      <c r="AX72" s="55" t="e">
        <f>#REF!</f>
        <v>#REF!</v>
      </c>
      <c r="AY72" s="55" t="e">
        <f>#REF!</f>
        <v>#REF!</v>
      </c>
      <c r="AZ72" s="55" t="e">
        <f>#REF!</f>
        <v>#REF!</v>
      </c>
      <c r="BA72" s="55" t="e">
        <f>#REF!</f>
        <v>#REF!</v>
      </c>
      <c r="BB72" s="55" t="e">
        <f>#REF!</f>
        <v>#REF!</v>
      </c>
      <c r="BC72" s="55" t="e">
        <f>#REF!</f>
        <v>#REF!</v>
      </c>
      <c r="BD72" s="55" t="e">
        <f>#REF!</f>
        <v>#REF!</v>
      </c>
      <c r="BE72" s="55" t="e">
        <f>#REF!</f>
        <v>#REF!</v>
      </c>
      <c r="BF72" s="55" t="e">
        <f>#REF!</f>
        <v>#REF!</v>
      </c>
      <c r="BG72" s="55" t="e">
        <f>#REF!</f>
        <v>#REF!</v>
      </c>
      <c r="BH72" s="55" t="e">
        <f>#REF!</f>
        <v>#REF!</v>
      </c>
      <c r="BI72" s="55">
        <v>2</v>
      </c>
      <c r="BJ72" s="55">
        <v>2</v>
      </c>
      <c r="BK72" s="55">
        <v>2</v>
      </c>
      <c r="BL72" s="55">
        <v>2</v>
      </c>
      <c r="BM72" s="55">
        <v>2</v>
      </c>
      <c r="BN72" s="55">
        <v>2</v>
      </c>
      <c r="BO72" s="55">
        <v>2</v>
      </c>
      <c r="BP72" s="55">
        <v>2</v>
      </c>
      <c r="BQ72" s="55">
        <v>2</v>
      </c>
      <c r="BR72" s="55"/>
      <c r="BS72" s="48" t="e">
        <f>SUM(I72:BR72)</f>
        <v>#REF!</v>
      </c>
      <c r="BV72" s="50"/>
    </row>
    <row r="73" spans="1:74" ht="23.25" hidden="1" customHeight="1" x14ac:dyDescent="0.2">
      <c r="A73" s="44">
        <v>5</v>
      </c>
      <c r="B73" s="43" t="s">
        <v>153</v>
      </c>
      <c r="C73" s="46"/>
      <c r="D73" s="43" t="s">
        <v>154</v>
      </c>
      <c r="E73" s="56"/>
      <c r="F73" s="56"/>
      <c r="G73" s="56"/>
      <c r="H73" s="56"/>
      <c r="I73" s="56" t="e">
        <f t="shared" ref="I73:AM73" si="11">I20/I66</f>
        <v>#DIV/0!</v>
      </c>
      <c r="J73" s="56" t="e">
        <f t="shared" si="11"/>
        <v>#DIV/0!</v>
      </c>
      <c r="K73" s="56" t="e">
        <f t="shared" si="11"/>
        <v>#DIV/0!</v>
      </c>
      <c r="L73" s="56" t="e">
        <f t="shared" si="11"/>
        <v>#DIV/0!</v>
      </c>
      <c r="M73" s="56" t="e">
        <f t="shared" si="11"/>
        <v>#DIV/0!</v>
      </c>
      <c r="N73" s="56" t="e">
        <f t="shared" si="11"/>
        <v>#DIV/0!</v>
      </c>
      <c r="O73" s="56" t="e">
        <f t="shared" si="11"/>
        <v>#DIV/0!</v>
      </c>
      <c r="P73" s="56" t="e">
        <f t="shared" si="11"/>
        <v>#DIV/0!</v>
      </c>
      <c r="Q73" s="56" t="e">
        <f t="shared" si="11"/>
        <v>#DIV/0!</v>
      </c>
      <c r="R73" s="56" t="e">
        <f t="shared" si="11"/>
        <v>#DIV/0!</v>
      </c>
      <c r="S73" s="56" t="e">
        <f t="shared" si="11"/>
        <v>#DIV/0!</v>
      </c>
      <c r="T73" s="56" t="e">
        <f t="shared" si="11"/>
        <v>#DIV/0!</v>
      </c>
      <c r="U73" s="56" t="e">
        <f t="shared" si="11"/>
        <v>#DIV/0!</v>
      </c>
      <c r="V73" s="56" t="e">
        <f t="shared" si="11"/>
        <v>#DIV/0!</v>
      </c>
      <c r="W73" s="56" t="e">
        <f t="shared" si="11"/>
        <v>#DIV/0!</v>
      </c>
      <c r="X73" s="56" t="e">
        <f t="shared" si="11"/>
        <v>#DIV/0!</v>
      </c>
      <c r="Y73" s="56" t="e">
        <f t="shared" si="11"/>
        <v>#DIV/0!</v>
      </c>
      <c r="Z73" s="56" t="e">
        <f t="shared" si="11"/>
        <v>#DIV/0!</v>
      </c>
      <c r="AA73" s="56" t="e">
        <f t="shared" si="11"/>
        <v>#DIV/0!</v>
      </c>
      <c r="AB73" s="56" t="e">
        <f t="shared" si="11"/>
        <v>#DIV/0!</v>
      </c>
      <c r="AC73" s="56" t="e">
        <f t="shared" si="11"/>
        <v>#DIV/0!</v>
      </c>
      <c r="AD73" s="56" t="e">
        <f t="shared" si="11"/>
        <v>#DIV/0!</v>
      </c>
      <c r="AE73" s="56" t="e">
        <f t="shared" si="11"/>
        <v>#DIV/0!</v>
      </c>
      <c r="AF73" s="56" t="e">
        <f t="shared" si="11"/>
        <v>#DIV/0!</v>
      </c>
      <c r="AG73" s="56" t="e">
        <f t="shared" si="11"/>
        <v>#DIV/0!</v>
      </c>
      <c r="AH73" s="56" t="e">
        <f t="shared" ref="AH73:AJ73" si="12">AH20/AH66</f>
        <v>#DIV/0!</v>
      </c>
      <c r="AI73" s="56" t="e">
        <f t="shared" si="12"/>
        <v>#DIV/0!</v>
      </c>
      <c r="AJ73" s="56" t="e">
        <f t="shared" si="12"/>
        <v>#DIV/0!</v>
      </c>
      <c r="AK73" s="56" t="e">
        <f t="shared" si="11"/>
        <v>#DIV/0!</v>
      </c>
      <c r="AL73" s="56" t="e">
        <f t="shared" si="11"/>
        <v>#DIV/0!</v>
      </c>
      <c r="AM73" s="56" t="e">
        <f t="shared" si="11"/>
        <v>#DIV/0!</v>
      </c>
      <c r="AN73" s="56" t="e">
        <f t="shared" ref="AN73:BQ73" si="13">AN20/AN66</f>
        <v>#DIV/0!</v>
      </c>
      <c r="AO73" s="56" t="e">
        <f t="shared" si="13"/>
        <v>#DIV/0!</v>
      </c>
      <c r="AP73" s="56" t="e">
        <f t="shared" si="13"/>
        <v>#DIV/0!</v>
      </c>
      <c r="AQ73" s="56" t="e">
        <f t="shared" si="13"/>
        <v>#DIV/0!</v>
      </c>
      <c r="AR73" s="56" t="e">
        <f t="shared" si="13"/>
        <v>#DIV/0!</v>
      </c>
      <c r="AS73" s="56" t="e">
        <f t="shared" si="13"/>
        <v>#DIV/0!</v>
      </c>
      <c r="AT73" s="56" t="e">
        <f t="shared" si="13"/>
        <v>#DIV/0!</v>
      </c>
      <c r="AU73" s="56" t="e">
        <f t="shared" si="13"/>
        <v>#DIV/0!</v>
      </c>
      <c r="AV73" s="56" t="e">
        <f t="shared" si="13"/>
        <v>#DIV/0!</v>
      </c>
      <c r="AW73" s="56" t="e">
        <f t="shared" si="13"/>
        <v>#DIV/0!</v>
      </c>
      <c r="AX73" s="56" t="e">
        <f t="shared" si="13"/>
        <v>#DIV/0!</v>
      </c>
      <c r="AY73" s="56" t="e">
        <f t="shared" si="13"/>
        <v>#DIV/0!</v>
      </c>
      <c r="AZ73" s="56" t="e">
        <f t="shared" si="13"/>
        <v>#DIV/0!</v>
      </c>
      <c r="BA73" s="56" t="e">
        <f t="shared" si="13"/>
        <v>#DIV/0!</v>
      </c>
      <c r="BB73" s="56" t="e">
        <f t="shared" si="13"/>
        <v>#DIV/0!</v>
      </c>
      <c r="BC73" s="56" t="e">
        <f t="shared" si="13"/>
        <v>#DIV/0!</v>
      </c>
      <c r="BD73" s="56" t="e">
        <f t="shared" si="13"/>
        <v>#DIV/0!</v>
      </c>
      <c r="BE73" s="56" t="e">
        <f t="shared" si="13"/>
        <v>#DIV/0!</v>
      </c>
      <c r="BF73" s="56" t="e">
        <f t="shared" si="13"/>
        <v>#DIV/0!</v>
      </c>
      <c r="BG73" s="56" t="e">
        <f t="shared" si="13"/>
        <v>#DIV/0!</v>
      </c>
      <c r="BH73" s="56" t="e">
        <f t="shared" si="13"/>
        <v>#DIV/0!</v>
      </c>
      <c r="BI73" s="56" t="e">
        <f t="shared" si="13"/>
        <v>#DIV/0!</v>
      </c>
      <c r="BJ73" s="56" t="e">
        <f t="shared" si="13"/>
        <v>#DIV/0!</v>
      </c>
      <c r="BK73" s="56" t="e">
        <f t="shared" si="13"/>
        <v>#DIV/0!</v>
      </c>
      <c r="BL73" s="56" t="e">
        <f t="shared" si="13"/>
        <v>#DIV/0!</v>
      </c>
      <c r="BM73" s="56" t="e">
        <f t="shared" si="13"/>
        <v>#DIV/0!</v>
      </c>
      <c r="BN73" s="56" t="e">
        <f t="shared" si="13"/>
        <v>#DIV/0!</v>
      </c>
      <c r="BO73" s="56" t="e">
        <f t="shared" si="13"/>
        <v>#DIV/0!</v>
      </c>
      <c r="BP73" s="56" t="e">
        <f t="shared" si="13"/>
        <v>#DIV/0!</v>
      </c>
      <c r="BQ73" s="56" t="e">
        <f t="shared" si="13"/>
        <v>#DIV/0!</v>
      </c>
      <c r="BR73" s="57"/>
      <c r="BS73" s="58" t="e">
        <f xml:space="preserve"> AVERAGE(E73:BR73)</f>
        <v>#DIV/0!</v>
      </c>
    </row>
    <row r="74" spans="1:74" ht="23.25" hidden="1" customHeight="1" x14ac:dyDescent="0.2">
      <c r="A74" s="44"/>
      <c r="B74" s="43"/>
      <c r="C74" s="214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  <c r="BD74" s="215"/>
      <c r="BE74" s="215"/>
      <c r="BF74" s="215"/>
      <c r="BG74" s="215"/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6"/>
    </row>
    <row r="75" spans="1:74" hidden="1" x14ac:dyDescent="0.2">
      <c r="A75" s="44" t="s">
        <v>155</v>
      </c>
      <c r="B75" s="43" t="s">
        <v>156</v>
      </c>
      <c r="C75" s="46"/>
      <c r="D75" s="47" t="s">
        <v>157</v>
      </c>
      <c r="E75" s="54" t="e">
        <f>E69/E66</f>
        <v>#DIV/0!</v>
      </c>
      <c r="F75" s="54" t="e">
        <f>F69/F66</f>
        <v>#DIV/0!</v>
      </c>
      <c r="G75" s="54">
        <f>G69/G66</f>
        <v>0</v>
      </c>
      <c r="H75" s="54"/>
      <c r="I75" s="54" t="e">
        <f t="shared" ref="I75:AP75" si="14">I69/I66</f>
        <v>#DIV/0!</v>
      </c>
      <c r="J75" s="54" t="e">
        <f t="shared" si="14"/>
        <v>#DIV/0!</v>
      </c>
      <c r="K75" s="54" t="e">
        <f t="shared" si="14"/>
        <v>#DIV/0!</v>
      </c>
      <c r="L75" s="54" t="e">
        <f t="shared" ref="L75:AG75" si="15">L69/L66</f>
        <v>#DIV/0!</v>
      </c>
      <c r="M75" s="54" t="e">
        <f t="shared" si="15"/>
        <v>#DIV/0!</v>
      </c>
      <c r="N75" s="54" t="e">
        <f t="shared" si="15"/>
        <v>#DIV/0!</v>
      </c>
      <c r="O75" s="54" t="e">
        <f t="shared" si="15"/>
        <v>#DIV/0!</v>
      </c>
      <c r="P75" s="54" t="e">
        <f t="shared" si="15"/>
        <v>#DIV/0!</v>
      </c>
      <c r="Q75" s="54" t="e">
        <f t="shared" si="15"/>
        <v>#DIV/0!</v>
      </c>
      <c r="R75" s="54" t="e">
        <f t="shared" si="15"/>
        <v>#DIV/0!</v>
      </c>
      <c r="S75" s="54" t="e">
        <f t="shared" si="15"/>
        <v>#DIV/0!</v>
      </c>
      <c r="T75" s="54" t="e">
        <f t="shared" si="15"/>
        <v>#DIV/0!</v>
      </c>
      <c r="U75" s="54" t="e">
        <f t="shared" si="15"/>
        <v>#DIV/0!</v>
      </c>
      <c r="V75" s="54" t="e">
        <f t="shared" si="15"/>
        <v>#DIV/0!</v>
      </c>
      <c r="W75" s="54" t="e">
        <f t="shared" si="15"/>
        <v>#DIV/0!</v>
      </c>
      <c r="X75" s="54" t="e">
        <f t="shared" si="15"/>
        <v>#DIV/0!</v>
      </c>
      <c r="Y75" s="54" t="e">
        <f t="shared" si="15"/>
        <v>#DIV/0!</v>
      </c>
      <c r="Z75" s="54" t="e">
        <f t="shared" si="15"/>
        <v>#DIV/0!</v>
      </c>
      <c r="AA75" s="54" t="e">
        <f t="shared" si="15"/>
        <v>#DIV/0!</v>
      </c>
      <c r="AB75" s="54" t="e">
        <f t="shared" si="15"/>
        <v>#DIV/0!</v>
      </c>
      <c r="AC75" s="54" t="e">
        <f t="shared" si="15"/>
        <v>#DIV/0!</v>
      </c>
      <c r="AD75" s="54" t="e">
        <f t="shared" si="15"/>
        <v>#DIV/0!</v>
      </c>
      <c r="AE75" s="54" t="e">
        <f t="shared" si="15"/>
        <v>#DIV/0!</v>
      </c>
      <c r="AF75" s="54" t="e">
        <f t="shared" si="15"/>
        <v>#DIV/0!</v>
      </c>
      <c r="AG75" s="54" t="e">
        <f t="shared" si="15"/>
        <v>#DIV/0!</v>
      </c>
      <c r="AH75" s="54" t="e">
        <f t="shared" ref="AH75:AJ75" si="16">AH69/AH66</f>
        <v>#DIV/0!</v>
      </c>
      <c r="AI75" s="54" t="e">
        <f t="shared" si="16"/>
        <v>#DIV/0!</v>
      </c>
      <c r="AJ75" s="54" t="e">
        <f t="shared" si="16"/>
        <v>#DIV/0!</v>
      </c>
      <c r="AK75" s="54" t="e">
        <f t="shared" si="14"/>
        <v>#DIV/0!</v>
      </c>
      <c r="AL75" s="54" t="e">
        <f t="shared" si="14"/>
        <v>#DIV/0!</v>
      </c>
      <c r="AM75" s="54" t="e">
        <f t="shared" si="14"/>
        <v>#DIV/0!</v>
      </c>
      <c r="AN75" s="54" t="e">
        <f t="shared" si="14"/>
        <v>#DIV/0!</v>
      </c>
      <c r="AO75" s="54" t="e">
        <f t="shared" si="14"/>
        <v>#DIV/0!</v>
      </c>
      <c r="AP75" s="54" t="e">
        <f t="shared" si="14"/>
        <v>#DIV/0!</v>
      </c>
      <c r="AQ75" s="55">
        <v>0</v>
      </c>
      <c r="AR75" s="55">
        <v>0</v>
      </c>
      <c r="AS75" s="55">
        <v>0</v>
      </c>
      <c r="AT75" s="55">
        <v>0</v>
      </c>
      <c r="AU75" s="55">
        <v>0</v>
      </c>
      <c r="AV75" s="55">
        <v>0</v>
      </c>
      <c r="AW75" s="55">
        <v>0</v>
      </c>
      <c r="AX75" s="55">
        <v>0</v>
      </c>
      <c r="AY75" s="55">
        <v>0</v>
      </c>
      <c r="AZ75" s="55">
        <v>0</v>
      </c>
      <c r="BA75" s="55">
        <v>0</v>
      </c>
      <c r="BB75" s="55">
        <v>0</v>
      </c>
      <c r="BC75" s="55">
        <v>0</v>
      </c>
      <c r="BD75" s="55">
        <v>0</v>
      </c>
      <c r="BE75" s="55">
        <v>0</v>
      </c>
      <c r="BF75" s="55">
        <v>0</v>
      </c>
      <c r="BG75" s="55">
        <v>0</v>
      </c>
      <c r="BH75" s="55">
        <v>0</v>
      </c>
      <c r="BI75" s="55">
        <v>0</v>
      </c>
      <c r="BJ75" s="55">
        <v>0</v>
      </c>
      <c r="BK75" s="55">
        <v>0</v>
      </c>
      <c r="BL75" s="55">
        <v>0</v>
      </c>
      <c r="BM75" s="55">
        <v>0</v>
      </c>
      <c r="BN75" s="55">
        <v>0</v>
      </c>
      <c r="BO75" s="55">
        <v>0</v>
      </c>
      <c r="BP75" s="55">
        <v>0</v>
      </c>
      <c r="BQ75" s="55">
        <v>0</v>
      </c>
      <c r="BR75" s="55"/>
      <c r="BS75" s="48">
        <f>BS69/BS66</f>
        <v>0</v>
      </c>
      <c r="BV75" s="50"/>
    </row>
    <row r="76" spans="1:74" hidden="1" x14ac:dyDescent="0.2">
      <c r="A76" s="44" t="s">
        <v>158</v>
      </c>
      <c r="B76" s="43" t="s">
        <v>159</v>
      </c>
      <c r="C76" s="46"/>
      <c r="D76" s="47" t="s">
        <v>160</v>
      </c>
      <c r="E76" s="35" t="e">
        <f>E70*1000/E66</f>
        <v>#DIV/0!</v>
      </c>
      <c r="F76" s="35" t="e">
        <f>F70*1000/F66</f>
        <v>#DIV/0!</v>
      </c>
      <c r="G76" s="35">
        <f>G70*1000/G66</f>
        <v>0</v>
      </c>
      <c r="H76" s="35"/>
      <c r="I76" s="35" t="e">
        <f t="shared" ref="I76:AP76" si="17">I70*1000/I66</f>
        <v>#DIV/0!</v>
      </c>
      <c r="J76" s="35" t="e">
        <f t="shared" si="17"/>
        <v>#DIV/0!</v>
      </c>
      <c r="K76" s="35" t="e">
        <f t="shared" si="17"/>
        <v>#DIV/0!</v>
      </c>
      <c r="L76" s="35" t="e">
        <f t="shared" ref="L76:AG76" si="18">L70*1000/L66</f>
        <v>#DIV/0!</v>
      </c>
      <c r="M76" s="35" t="e">
        <f t="shared" si="18"/>
        <v>#DIV/0!</v>
      </c>
      <c r="N76" s="35" t="e">
        <f t="shared" si="18"/>
        <v>#DIV/0!</v>
      </c>
      <c r="O76" s="35" t="e">
        <f t="shared" si="18"/>
        <v>#DIV/0!</v>
      </c>
      <c r="P76" s="35" t="e">
        <f t="shared" si="18"/>
        <v>#DIV/0!</v>
      </c>
      <c r="Q76" s="35" t="e">
        <f t="shared" si="18"/>
        <v>#DIV/0!</v>
      </c>
      <c r="R76" s="35" t="e">
        <f t="shared" si="18"/>
        <v>#DIV/0!</v>
      </c>
      <c r="S76" s="35" t="e">
        <f t="shared" si="18"/>
        <v>#DIV/0!</v>
      </c>
      <c r="T76" s="35" t="e">
        <f t="shared" si="18"/>
        <v>#DIV/0!</v>
      </c>
      <c r="U76" s="35" t="e">
        <f t="shared" si="18"/>
        <v>#DIV/0!</v>
      </c>
      <c r="V76" s="35" t="e">
        <f t="shared" si="18"/>
        <v>#DIV/0!</v>
      </c>
      <c r="W76" s="35" t="e">
        <f t="shared" si="18"/>
        <v>#DIV/0!</v>
      </c>
      <c r="X76" s="35" t="e">
        <f t="shared" si="18"/>
        <v>#DIV/0!</v>
      </c>
      <c r="Y76" s="35" t="e">
        <f t="shared" si="18"/>
        <v>#DIV/0!</v>
      </c>
      <c r="Z76" s="35" t="e">
        <f t="shared" si="18"/>
        <v>#DIV/0!</v>
      </c>
      <c r="AA76" s="35" t="e">
        <f t="shared" si="18"/>
        <v>#DIV/0!</v>
      </c>
      <c r="AB76" s="35" t="e">
        <f t="shared" si="18"/>
        <v>#DIV/0!</v>
      </c>
      <c r="AC76" s="35" t="e">
        <f t="shared" si="18"/>
        <v>#DIV/0!</v>
      </c>
      <c r="AD76" s="35" t="e">
        <f t="shared" si="18"/>
        <v>#DIV/0!</v>
      </c>
      <c r="AE76" s="35" t="e">
        <f t="shared" si="18"/>
        <v>#DIV/0!</v>
      </c>
      <c r="AF76" s="35" t="e">
        <f t="shared" si="18"/>
        <v>#DIV/0!</v>
      </c>
      <c r="AG76" s="35" t="e">
        <f t="shared" si="18"/>
        <v>#DIV/0!</v>
      </c>
      <c r="AH76" s="35" t="e">
        <f t="shared" ref="AH76:AJ76" si="19">AH70*1000/AH66</f>
        <v>#DIV/0!</v>
      </c>
      <c r="AI76" s="35" t="e">
        <f t="shared" si="19"/>
        <v>#DIV/0!</v>
      </c>
      <c r="AJ76" s="35" t="e">
        <f t="shared" si="19"/>
        <v>#DIV/0!</v>
      </c>
      <c r="AK76" s="35" t="e">
        <f t="shared" si="17"/>
        <v>#DIV/0!</v>
      </c>
      <c r="AL76" s="35" t="e">
        <f t="shared" si="17"/>
        <v>#DIV/0!</v>
      </c>
      <c r="AM76" s="35" t="e">
        <f t="shared" si="17"/>
        <v>#DIV/0!</v>
      </c>
      <c r="AN76" s="35" t="e">
        <f t="shared" si="17"/>
        <v>#DIV/0!</v>
      </c>
      <c r="AO76" s="35" t="e">
        <f t="shared" si="17"/>
        <v>#DIV/0!</v>
      </c>
      <c r="AP76" s="35" t="e">
        <f t="shared" si="17"/>
        <v>#DIV/0!</v>
      </c>
      <c r="AQ76" s="36">
        <v>0</v>
      </c>
      <c r="AR76" s="36">
        <v>0</v>
      </c>
      <c r="AS76" s="36">
        <v>0</v>
      </c>
      <c r="AT76" s="36">
        <v>0</v>
      </c>
      <c r="AU76" s="36">
        <v>0</v>
      </c>
      <c r="AV76" s="36">
        <v>0</v>
      </c>
      <c r="AW76" s="36">
        <v>0</v>
      </c>
      <c r="AX76" s="36">
        <v>0</v>
      </c>
      <c r="AY76" s="36">
        <v>0</v>
      </c>
      <c r="AZ76" s="36">
        <v>0</v>
      </c>
      <c r="BA76" s="36">
        <v>0</v>
      </c>
      <c r="BB76" s="36">
        <v>0</v>
      </c>
      <c r="BC76" s="36">
        <v>0</v>
      </c>
      <c r="BD76" s="36">
        <v>0</v>
      </c>
      <c r="BE76" s="36">
        <v>0</v>
      </c>
      <c r="BF76" s="36">
        <v>0</v>
      </c>
      <c r="BG76" s="36">
        <v>0</v>
      </c>
      <c r="BH76" s="36">
        <v>0</v>
      </c>
      <c r="BI76" s="36">
        <v>0</v>
      </c>
      <c r="BJ76" s="36">
        <v>0</v>
      </c>
      <c r="BK76" s="36">
        <v>0</v>
      </c>
      <c r="BL76" s="36">
        <v>0</v>
      </c>
      <c r="BM76" s="36">
        <v>0</v>
      </c>
      <c r="BN76" s="36">
        <v>0</v>
      </c>
      <c r="BO76" s="36">
        <v>0</v>
      </c>
      <c r="BP76" s="36">
        <v>0</v>
      </c>
      <c r="BQ76" s="36">
        <v>0</v>
      </c>
      <c r="BR76" s="36"/>
      <c r="BS76" s="48">
        <f>BS70*1000/BS66</f>
        <v>0</v>
      </c>
      <c r="BV76" s="50"/>
    </row>
    <row r="77" spans="1:74" hidden="1" x14ac:dyDescent="0.2">
      <c r="A77" s="44" t="s">
        <v>161</v>
      </c>
      <c r="B77" s="43" t="s">
        <v>162</v>
      </c>
      <c r="C77" s="46"/>
      <c r="D77" s="47" t="s">
        <v>163</v>
      </c>
      <c r="E77" s="54" t="e">
        <f>E71/E66</f>
        <v>#DIV/0!</v>
      </c>
      <c r="F77" s="54" t="e">
        <f>F71/F66</f>
        <v>#DIV/0!</v>
      </c>
      <c r="G77" s="54">
        <f>G71/G66</f>
        <v>0</v>
      </c>
      <c r="H77" s="54"/>
      <c r="I77" s="54" t="e">
        <f t="shared" ref="I77:AP77" si="20">I71/I66</f>
        <v>#DIV/0!</v>
      </c>
      <c r="J77" s="54" t="e">
        <f t="shared" si="20"/>
        <v>#DIV/0!</v>
      </c>
      <c r="K77" s="54" t="e">
        <f t="shared" si="20"/>
        <v>#DIV/0!</v>
      </c>
      <c r="L77" s="54" t="e">
        <f t="shared" ref="L77:AG77" si="21">L71/L66</f>
        <v>#DIV/0!</v>
      </c>
      <c r="M77" s="54" t="e">
        <f t="shared" si="21"/>
        <v>#DIV/0!</v>
      </c>
      <c r="N77" s="54" t="e">
        <f t="shared" si="21"/>
        <v>#DIV/0!</v>
      </c>
      <c r="O77" s="54" t="e">
        <f t="shared" si="21"/>
        <v>#DIV/0!</v>
      </c>
      <c r="P77" s="54" t="e">
        <f t="shared" si="21"/>
        <v>#DIV/0!</v>
      </c>
      <c r="Q77" s="54" t="e">
        <f t="shared" si="21"/>
        <v>#DIV/0!</v>
      </c>
      <c r="R77" s="54" t="e">
        <f t="shared" si="21"/>
        <v>#DIV/0!</v>
      </c>
      <c r="S77" s="54" t="e">
        <f t="shared" si="21"/>
        <v>#DIV/0!</v>
      </c>
      <c r="T77" s="54" t="e">
        <f t="shared" si="21"/>
        <v>#DIV/0!</v>
      </c>
      <c r="U77" s="54" t="e">
        <f t="shared" si="21"/>
        <v>#DIV/0!</v>
      </c>
      <c r="V77" s="54" t="e">
        <f t="shared" si="21"/>
        <v>#DIV/0!</v>
      </c>
      <c r="W77" s="54" t="e">
        <f t="shared" si="21"/>
        <v>#DIV/0!</v>
      </c>
      <c r="X77" s="54" t="e">
        <f t="shared" si="21"/>
        <v>#DIV/0!</v>
      </c>
      <c r="Y77" s="54" t="e">
        <f t="shared" si="21"/>
        <v>#DIV/0!</v>
      </c>
      <c r="Z77" s="54" t="e">
        <f t="shared" si="21"/>
        <v>#DIV/0!</v>
      </c>
      <c r="AA77" s="54" t="e">
        <f t="shared" si="21"/>
        <v>#DIV/0!</v>
      </c>
      <c r="AB77" s="54" t="e">
        <f t="shared" si="21"/>
        <v>#DIV/0!</v>
      </c>
      <c r="AC77" s="54" t="e">
        <f t="shared" si="21"/>
        <v>#DIV/0!</v>
      </c>
      <c r="AD77" s="54" t="e">
        <f t="shared" si="21"/>
        <v>#DIV/0!</v>
      </c>
      <c r="AE77" s="54" t="e">
        <f t="shared" si="21"/>
        <v>#DIV/0!</v>
      </c>
      <c r="AF77" s="54" t="e">
        <f t="shared" si="21"/>
        <v>#DIV/0!</v>
      </c>
      <c r="AG77" s="54" t="e">
        <f t="shared" si="21"/>
        <v>#DIV/0!</v>
      </c>
      <c r="AH77" s="54" t="e">
        <f t="shared" ref="AH77:AJ77" si="22">AH71/AH66</f>
        <v>#DIV/0!</v>
      </c>
      <c r="AI77" s="54" t="e">
        <f t="shared" si="22"/>
        <v>#DIV/0!</v>
      </c>
      <c r="AJ77" s="54" t="e">
        <f t="shared" si="22"/>
        <v>#DIV/0!</v>
      </c>
      <c r="AK77" s="54" t="e">
        <f t="shared" si="20"/>
        <v>#DIV/0!</v>
      </c>
      <c r="AL77" s="54" t="e">
        <f t="shared" si="20"/>
        <v>#DIV/0!</v>
      </c>
      <c r="AM77" s="54" t="e">
        <f t="shared" si="20"/>
        <v>#DIV/0!</v>
      </c>
      <c r="AN77" s="54" t="e">
        <f t="shared" si="20"/>
        <v>#DIV/0!</v>
      </c>
      <c r="AO77" s="54" t="e">
        <f t="shared" si="20"/>
        <v>#DIV/0!</v>
      </c>
      <c r="AP77" s="54" t="e">
        <f t="shared" si="20"/>
        <v>#DIV/0!</v>
      </c>
      <c r="AQ77" s="55">
        <v>0</v>
      </c>
      <c r="AR77" s="55">
        <v>0</v>
      </c>
      <c r="AS77" s="55">
        <v>0</v>
      </c>
      <c r="AT77" s="55">
        <v>0</v>
      </c>
      <c r="AU77" s="55">
        <v>0</v>
      </c>
      <c r="AV77" s="55">
        <v>0</v>
      </c>
      <c r="AW77" s="55">
        <v>0</v>
      </c>
      <c r="AX77" s="55">
        <v>0</v>
      </c>
      <c r="AY77" s="55">
        <v>0</v>
      </c>
      <c r="AZ77" s="55">
        <v>0</v>
      </c>
      <c r="BA77" s="55">
        <v>0</v>
      </c>
      <c r="BB77" s="55">
        <v>0</v>
      </c>
      <c r="BC77" s="55">
        <v>0</v>
      </c>
      <c r="BD77" s="55">
        <v>0</v>
      </c>
      <c r="BE77" s="55">
        <v>0</v>
      </c>
      <c r="BF77" s="55">
        <v>0</v>
      </c>
      <c r="BG77" s="55">
        <v>0</v>
      </c>
      <c r="BH77" s="55">
        <v>0</v>
      </c>
      <c r="BI77" s="55">
        <v>0</v>
      </c>
      <c r="BJ77" s="55">
        <v>0</v>
      </c>
      <c r="BK77" s="55">
        <v>0</v>
      </c>
      <c r="BL77" s="55">
        <v>0</v>
      </c>
      <c r="BM77" s="55">
        <v>0</v>
      </c>
      <c r="BN77" s="55">
        <v>0</v>
      </c>
      <c r="BO77" s="55">
        <v>0</v>
      </c>
      <c r="BP77" s="55">
        <v>0</v>
      </c>
      <c r="BQ77" s="55">
        <v>0</v>
      </c>
      <c r="BR77" s="55"/>
      <c r="BS77" s="48">
        <f>BS71/BS66</f>
        <v>0</v>
      </c>
      <c r="BV77" s="50"/>
    </row>
    <row r="78" spans="1:74" hidden="1" x14ac:dyDescent="0.2">
      <c r="A78" s="44" t="s">
        <v>164</v>
      </c>
      <c r="B78" s="43" t="s">
        <v>165</v>
      </c>
      <c r="C78" s="46"/>
      <c r="D78" s="47" t="s">
        <v>166</v>
      </c>
      <c r="E78" s="59"/>
      <c r="F78" s="59"/>
      <c r="G78" s="59"/>
      <c r="H78" s="59"/>
      <c r="I78" s="59">
        <v>0</v>
      </c>
      <c r="J78" s="59">
        <v>0</v>
      </c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1" t="e">
        <f>+#REF!</f>
        <v>#REF!</v>
      </c>
      <c r="BT78" s="50"/>
    </row>
    <row r="79" spans="1:74" hidden="1" x14ac:dyDescent="0.2">
      <c r="A79" s="44" t="s">
        <v>167</v>
      </c>
      <c r="B79" s="43" t="s">
        <v>168</v>
      </c>
      <c r="C79" s="46"/>
      <c r="D79" s="47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62" t="s">
        <v>169</v>
      </c>
      <c r="BT79" s="50"/>
    </row>
    <row r="80" spans="1:74" hidden="1" x14ac:dyDescent="0.2">
      <c r="A80" s="44" t="s">
        <v>155</v>
      </c>
      <c r="B80" s="43" t="s">
        <v>170</v>
      </c>
      <c r="C80" s="46"/>
      <c r="D80" s="47" t="s">
        <v>171</v>
      </c>
      <c r="E80" s="35" t="e">
        <f>E66*100/#REF!</f>
        <v>#REF!</v>
      </c>
      <c r="F80" s="35" t="e">
        <f>F66*100/#REF!</f>
        <v>#REF!</v>
      </c>
      <c r="G80" s="35" t="e">
        <f>G66*100/#REF!</f>
        <v>#REF!</v>
      </c>
      <c r="H80" s="35" t="e">
        <f>H66*100/#REF!</f>
        <v>#REF!</v>
      </c>
      <c r="I80" s="35" t="e">
        <f>I66*100/#REF!</f>
        <v>#REF!</v>
      </c>
      <c r="J80" s="35" t="e">
        <f>J66*100/#REF!</f>
        <v>#REF!</v>
      </c>
      <c r="K80" s="35" t="e">
        <f>K66*100/#REF!</f>
        <v>#REF!</v>
      </c>
      <c r="L80" s="35" t="e">
        <f>L66*100/#REF!</f>
        <v>#REF!</v>
      </c>
      <c r="M80" s="35" t="e">
        <f>M66*100/#REF!</f>
        <v>#REF!</v>
      </c>
      <c r="N80" s="35" t="e">
        <f>N66*100/#REF!</f>
        <v>#REF!</v>
      </c>
      <c r="O80" s="35" t="e">
        <f>O66*100/#REF!</f>
        <v>#REF!</v>
      </c>
      <c r="P80" s="35" t="e">
        <f>P66*100/#REF!</f>
        <v>#REF!</v>
      </c>
      <c r="Q80" s="35" t="e">
        <f>Q66*100/#REF!</f>
        <v>#REF!</v>
      </c>
      <c r="R80" s="35" t="e">
        <f>R66*100/#REF!</f>
        <v>#REF!</v>
      </c>
      <c r="S80" s="35" t="e">
        <f>S66*100/#REF!</f>
        <v>#REF!</v>
      </c>
      <c r="T80" s="35" t="e">
        <f>T66*100/#REF!</f>
        <v>#REF!</v>
      </c>
      <c r="U80" s="35" t="e">
        <f>U66*100/#REF!</f>
        <v>#REF!</v>
      </c>
      <c r="V80" s="35" t="e">
        <f>V66*100/#REF!</f>
        <v>#REF!</v>
      </c>
      <c r="W80" s="35" t="e">
        <f>W66*100/#REF!</f>
        <v>#REF!</v>
      </c>
      <c r="X80" s="35" t="e">
        <f>X66*100/#REF!</f>
        <v>#REF!</v>
      </c>
      <c r="Y80" s="35" t="e">
        <f>Y66*100/#REF!</f>
        <v>#REF!</v>
      </c>
      <c r="Z80" s="35" t="e">
        <f>Z66*100/#REF!</f>
        <v>#REF!</v>
      </c>
      <c r="AA80" s="35" t="e">
        <f>AA66*100/#REF!</f>
        <v>#REF!</v>
      </c>
      <c r="AB80" s="35" t="e">
        <f>AB66*100/#REF!</f>
        <v>#REF!</v>
      </c>
      <c r="AC80" s="35" t="e">
        <f>AC66*100/#REF!</f>
        <v>#REF!</v>
      </c>
      <c r="AD80" s="35" t="e">
        <f>AD66*100/#REF!</f>
        <v>#REF!</v>
      </c>
      <c r="AE80" s="35" t="e">
        <f>AE66*100/#REF!</f>
        <v>#REF!</v>
      </c>
      <c r="AF80" s="35" t="e">
        <f>AF66*100/#REF!</f>
        <v>#REF!</v>
      </c>
      <c r="AG80" s="35" t="e">
        <f>AG66*100/#REF!</f>
        <v>#REF!</v>
      </c>
      <c r="AH80" s="35" t="e">
        <f>AH66*100/#REF!</f>
        <v>#REF!</v>
      </c>
      <c r="AI80" s="35" t="e">
        <f>AI66*100/#REF!</f>
        <v>#REF!</v>
      </c>
      <c r="AJ80" s="35" t="e">
        <f>AJ66*100/#REF!</f>
        <v>#REF!</v>
      </c>
      <c r="AK80" s="35" t="e">
        <f>AK66*100/#REF!</f>
        <v>#REF!</v>
      </c>
      <c r="AL80" s="35" t="e">
        <f>AL66*100/#REF!</f>
        <v>#REF!</v>
      </c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62" t="s">
        <v>172</v>
      </c>
      <c r="BT80" s="50"/>
    </row>
    <row r="81" spans="1:72" hidden="1" x14ac:dyDescent="0.2">
      <c r="A81" s="44" t="s">
        <v>158</v>
      </c>
      <c r="B81" s="43" t="s">
        <v>173</v>
      </c>
      <c r="C81" s="46"/>
      <c r="D81" s="47" t="s">
        <v>174</v>
      </c>
      <c r="E81" s="35" t="e">
        <f>#REF!*E75</f>
        <v>#REF!</v>
      </c>
      <c r="F81" s="59" t="e">
        <f>#REF!*F75</f>
        <v>#REF!</v>
      </c>
      <c r="G81" s="59" t="e">
        <f>#REF!*G75</f>
        <v>#REF!</v>
      </c>
      <c r="H81" s="59" t="e">
        <f>#REF!*H75</f>
        <v>#REF!</v>
      </c>
      <c r="I81" s="59" t="e">
        <f>#REF!*I75</f>
        <v>#REF!</v>
      </c>
      <c r="J81" s="59" t="e">
        <f>#REF!*J75</f>
        <v>#REF!</v>
      </c>
      <c r="K81" s="59" t="e">
        <f>#REF!*K75</f>
        <v>#REF!</v>
      </c>
      <c r="L81" s="59" t="e">
        <f>#REF!*L75</f>
        <v>#REF!</v>
      </c>
      <c r="M81" s="59" t="e">
        <f>#REF!*M75</f>
        <v>#REF!</v>
      </c>
      <c r="N81" s="59" t="e">
        <f>#REF!*N75</f>
        <v>#REF!</v>
      </c>
      <c r="O81" s="59" t="e">
        <f>#REF!*O75</f>
        <v>#REF!</v>
      </c>
      <c r="P81" s="59" t="e">
        <f>#REF!*P75</f>
        <v>#REF!</v>
      </c>
      <c r="Q81" s="59" t="e">
        <f>#REF!*Q75</f>
        <v>#REF!</v>
      </c>
      <c r="R81" s="59" t="e">
        <f>#REF!*R75</f>
        <v>#REF!</v>
      </c>
      <c r="S81" s="59" t="e">
        <f>#REF!*S75</f>
        <v>#REF!</v>
      </c>
      <c r="T81" s="59" t="e">
        <f>#REF!*T75</f>
        <v>#REF!</v>
      </c>
      <c r="U81" s="59" t="e">
        <f>#REF!*U75</f>
        <v>#REF!</v>
      </c>
      <c r="V81" s="59" t="e">
        <f>#REF!*V75</f>
        <v>#REF!</v>
      </c>
      <c r="W81" s="59" t="e">
        <f>#REF!*W75</f>
        <v>#REF!</v>
      </c>
      <c r="X81" s="59" t="e">
        <f>#REF!*X75</f>
        <v>#REF!</v>
      </c>
      <c r="Y81" s="59" t="e">
        <f>#REF!*Y75</f>
        <v>#REF!</v>
      </c>
      <c r="Z81" s="59" t="e">
        <f>#REF!*Z75</f>
        <v>#REF!</v>
      </c>
      <c r="AA81" s="59" t="e">
        <f>#REF!*AA75</f>
        <v>#REF!</v>
      </c>
      <c r="AB81" s="59" t="e">
        <f>#REF!*AB75</f>
        <v>#REF!</v>
      </c>
      <c r="AC81" s="59" t="e">
        <f>#REF!*AC75</f>
        <v>#REF!</v>
      </c>
      <c r="AD81" s="59" t="e">
        <f>#REF!*AD75</f>
        <v>#REF!</v>
      </c>
      <c r="AE81" s="59" t="e">
        <f>#REF!*AE75</f>
        <v>#REF!</v>
      </c>
      <c r="AF81" s="59" t="e">
        <f>#REF!*AF75</f>
        <v>#REF!</v>
      </c>
      <c r="AG81" s="59" t="e">
        <f>#REF!*AG75</f>
        <v>#REF!</v>
      </c>
      <c r="AH81" s="59" t="e">
        <f>#REF!*AH75</f>
        <v>#REF!</v>
      </c>
      <c r="AI81" s="59" t="e">
        <f>#REF!*AI75</f>
        <v>#REF!</v>
      </c>
      <c r="AJ81" s="59" t="e">
        <f>#REF!*AJ75</f>
        <v>#REF!</v>
      </c>
      <c r="AK81" s="59" t="e">
        <f>#REF!*AK75</f>
        <v>#REF!</v>
      </c>
      <c r="AL81" s="59" t="e">
        <f>#REF!*AL75</f>
        <v>#REF!</v>
      </c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3" t="e">
        <f>BS75*#REF!</f>
        <v>#REF!</v>
      </c>
      <c r="BT81" s="50"/>
    </row>
    <row r="82" spans="1:72" hidden="1" x14ac:dyDescent="0.2">
      <c r="A82" s="44" t="s">
        <v>161</v>
      </c>
      <c r="B82" s="43" t="s">
        <v>175</v>
      </c>
      <c r="C82" s="46"/>
      <c r="D82" s="47" t="s">
        <v>174</v>
      </c>
      <c r="E82" s="35" t="e">
        <f>#REF!*E76</f>
        <v>#REF!</v>
      </c>
      <c r="F82" s="59" t="e">
        <f>#REF!*F76</f>
        <v>#REF!</v>
      </c>
      <c r="G82" s="59" t="e">
        <f>#REF!*G76</f>
        <v>#REF!</v>
      </c>
      <c r="H82" s="59" t="e">
        <f>#REF!*H76</f>
        <v>#REF!</v>
      </c>
      <c r="I82" s="59" t="e">
        <f>#REF!*I76</f>
        <v>#REF!</v>
      </c>
      <c r="J82" s="59" t="e">
        <f>#REF!*J76</f>
        <v>#REF!</v>
      </c>
      <c r="K82" s="59" t="e">
        <f>#REF!*K76</f>
        <v>#REF!</v>
      </c>
      <c r="L82" s="59" t="e">
        <f>#REF!*L76</f>
        <v>#REF!</v>
      </c>
      <c r="M82" s="59" t="e">
        <f>#REF!*M76</f>
        <v>#REF!</v>
      </c>
      <c r="N82" s="59" t="e">
        <f>#REF!*N76</f>
        <v>#REF!</v>
      </c>
      <c r="O82" s="59" t="e">
        <f>#REF!*O76</f>
        <v>#REF!</v>
      </c>
      <c r="P82" s="59" t="e">
        <f>#REF!*P76</f>
        <v>#REF!</v>
      </c>
      <c r="Q82" s="59" t="e">
        <f>#REF!*Q76</f>
        <v>#REF!</v>
      </c>
      <c r="R82" s="59" t="e">
        <f>#REF!*R76</f>
        <v>#REF!</v>
      </c>
      <c r="S82" s="59" t="e">
        <f>#REF!*S76</f>
        <v>#REF!</v>
      </c>
      <c r="T82" s="59" t="e">
        <f>#REF!*T76</f>
        <v>#REF!</v>
      </c>
      <c r="U82" s="59" t="e">
        <f>#REF!*U76</f>
        <v>#REF!</v>
      </c>
      <c r="V82" s="59" t="e">
        <f>#REF!*V76</f>
        <v>#REF!</v>
      </c>
      <c r="W82" s="59" t="e">
        <f>#REF!*W76</f>
        <v>#REF!</v>
      </c>
      <c r="X82" s="59" t="e">
        <f>#REF!*X76</f>
        <v>#REF!</v>
      </c>
      <c r="Y82" s="59" t="e">
        <f>#REF!*Y76</f>
        <v>#REF!</v>
      </c>
      <c r="Z82" s="59" t="e">
        <f>#REF!*Z76</f>
        <v>#REF!</v>
      </c>
      <c r="AA82" s="59" t="e">
        <f>#REF!*AA76</f>
        <v>#REF!</v>
      </c>
      <c r="AB82" s="59" t="e">
        <f>#REF!*AB76</f>
        <v>#REF!</v>
      </c>
      <c r="AC82" s="59" t="e">
        <f>#REF!*AC76</f>
        <v>#REF!</v>
      </c>
      <c r="AD82" s="59" t="e">
        <f>#REF!*AD76</f>
        <v>#REF!</v>
      </c>
      <c r="AE82" s="59" t="e">
        <f>#REF!*AE76</f>
        <v>#REF!</v>
      </c>
      <c r="AF82" s="59" t="e">
        <f>#REF!*AF76</f>
        <v>#REF!</v>
      </c>
      <c r="AG82" s="59" t="e">
        <f>#REF!*AG76</f>
        <v>#REF!</v>
      </c>
      <c r="AH82" s="59" t="e">
        <f>#REF!*AH76</f>
        <v>#REF!</v>
      </c>
      <c r="AI82" s="59" t="e">
        <f>#REF!*AI76</f>
        <v>#REF!</v>
      </c>
      <c r="AJ82" s="59" t="e">
        <f>#REF!*AJ76</f>
        <v>#REF!</v>
      </c>
      <c r="AK82" s="59" t="e">
        <f>#REF!*AK76</f>
        <v>#REF!</v>
      </c>
      <c r="AL82" s="59" t="e">
        <f>#REF!*AL76</f>
        <v>#REF!</v>
      </c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3" t="e">
        <f>BS76*#REF!</f>
        <v>#REF!</v>
      </c>
      <c r="BT82" s="50"/>
    </row>
    <row r="83" spans="1:72" hidden="1" x14ac:dyDescent="0.2">
      <c r="A83" s="44" t="s">
        <v>164</v>
      </c>
      <c r="B83" s="43" t="s">
        <v>176</v>
      </c>
      <c r="C83" s="46"/>
      <c r="D83" s="47" t="s">
        <v>174</v>
      </c>
      <c r="E83" s="35" t="e">
        <f>#REF!*E77</f>
        <v>#REF!</v>
      </c>
      <c r="F83" s="59" t="e">
        <f>#REF!*F77</f>
        <v>#REF!</v>
      </c>
      <c r="G83" s="59" t="e">
        <f>#REF!*G77</f>
        <v>#REF!</v>
      </c>
      <c r="H83" s="59" t="e">
        <f>#REF!*H77</f>
        <v>#REF!</v>
      </c>
      <c r="I83" s="59" t="e">
        <f>#REF!*I77</f>
        <v>#REF!</v>
      </c>
      <c r="J83" s="59" t="e">
        <f>#REF!*J77</f>
        <v>#REF!</v>
      </c>
      <c r="K83" s="59" t="e">
        <f>#REF!*K77</f>
        <v>#REF!</v>
      </c>
      <c r="L83" s="59" t="e">
        <f>#REF!*L77</f>
        <v>#REF!</v>
      </c>
      <c r="M83" s="59" t="e">
        <f>#REF!*M77</f>
        <v>#REF!</v>
      </c>
      <c r="N83" s="59" t="e">
        <f>#REF!*N77</f>
        <v>#REF!</v>
      </c>
      <c r="O83" s="59" t="e">
        <f>#REF!*O77</f>
        <v>#REF!</v>
      </c>
      <c r="P83" s="59" t="e">
        <f>#REF!*P77</f>
        <v>#REF!</v>
      </c>
      <c r="Q83" s="59" t="e">
        <f>#REF!*Q77</f>
        <v>#REF!</v>
      </c>
      <c r="R83" s="59" t="e">
        <f>#REF!*R77</f>
        <v>#REF!</v>
      </c>
      <c r="S83" s="59" t="e">
        <f>#REF!*S77</f>
        <v>#REF!</v>
      </c>
      <c r="T83" s="59" t="e">
        <f>#REF!*T77</f>
        <v>#REF!</v>
      </c>
      <c r="U83" s="59" t="e">
        <f>#REF!*U77</f>
        <v>#REF!</v>
      </c>
      <c r="V83" s="59" t="e">
        <f>#REF!*V77</f>
        <v>#REF!</v>
      </c>
      <c r="W83" s="59" t="e">
        <f>#REF!*W77</f>
        <v>#REF!</v>
      </c>
      <c r="X83" s="59" t="e">
        <f>#REF!*X77</f>
        <v>#REF!</v>
      </c>
      <c r="Y83" s="59" t="e">
        <f>#REF!*Y77</f>
        <v>#REF!</v>
      </c>
      <c r="Z83" s="59" t="e">
        <f>#REF!*Z77</f>
        <v>#REF!</v>
      </c>
      <c r="AA83" s="59" t="e">
        <f>#REF!*AA77</f>
        <v>#REF!</v>
      </c>
      <c r="AB83" s="59" t="e">
        <f>#REF!*AB77</f>
        <v>#REF!</v>
      </c>
      <c r="AC83" s="59" t="e">
        <f>#REF!*AC77</f>
        <v>#REF!</v>
      </c>
      <c r="AD83" s="59" t="e">
        <f>#REF!*AD77</f>
        <v>#REF!</v>
      </c>
      <c r="AE83" s="59" t="e">
        <f>#REF!*AE77</f>
        <v>#REF!</v>
      </c>
      <c r="AF83" s="59" t="e">
        <f>#REF!*AF77</f>
        <v>#REF!</v>
      </c>
      <c r="AG83" s="59" t="e">
        <f>#REF!*AG77</f>
        <v>#REF!</v>
      </c>
      <c r="AH83" s="59" t="e">
        <f>#REF!*AH77</f>
        <v>#REF!</v>
      </c>
      <c r="AI83" s="59" t="e">
        <f>#REF!*AI77</f>
        <v>#REF!</v>
      </c>
      <c r="AJ83" s="59" t="e">
        <f>#REF!*AJ77</f>
        <v>#REF!</v>
      </c>
      <c r="AK83" s="59" t="e">
        <f>#REF!*AK77</f>
        <v>#REF!</v>
      </c>
      <c r="AL83" s="59" t="e">
        <f>#REF!*AL77</f>
        <v>#REF!</v>
      </c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3" t="e">
        <f>BS77*#REF!</f>
        <v>#REF!</v>
      </c>
      <c r="BT83" s="50"/>
    </row>
    <row r="84" spans="1:72" hidden="1" x14ac:dyDescent="0.2">
      <c r="A84" s="44" t="s">
        <v>177</v>
      </c>
      <c r="B84" s="43" t="s">
        <v>178</v>
      </c>
      <c r="C84" s="46"/>
      <c r="D84" s="47" t="s">
        <v>174</v>
      </c>
      <c r="E84" s="35" t="e">
        <f>#REF!*E78</f>
        <v>#REF!</v>
      </c>
      <c r="F84" s="59" t="e">
        <f>#REF!*F78</f>
        <v>#REF!</v>
      </c>
      <c r="G84" s="59" t="e">
        <f>#REF!*G78</f>
        <v>#REF!</v>
      </c>
      <c r="H84" s="59" t="e">
        <f>#REF!*H78</f>
        <v>#REF!</v>
      </c>
      <c r="I84" s="59" t="e">
        <f>#REF!*I78</f>
        <v>#REF!</v>
      </c>
      <c r="J84" s="59" t="e">
        <f>#REF!*J78</f>
        <v>#REF!</v>
      </c>
      <c r="K84" s="59" t="e">
        <f>#REF!*K78</f>
        <v>#REF!</v>
      </c>
      <c r="L84" s="59" t="e">
        <f>#REF!*L78</f>
        <v>#REF!</v>
      </c>
      <c r="M84" s="59" t="e">
        <f>#REF!*M78</f>
        <v>#REF!</v>
      </c>
      <c r="N84" s="59" t="e">
        <f>#REF!*N78</f>
        <v>#REF!</v>
      </c>
      <c r="O84" s="59" t="e">
        <f>#REF!*O78</f>
        <v>#REF!</v>
      </c>
      <c r="P84" s="59" t="e">
        <f>#REF!*P78</f>
        <v>#REF!</v>
      </c>
      <c r="Q84" s="59" t="e">
        <f>#REF!*Q78</f>
        <v>#REF!</v>
      </c>
      <c r="R84" s="59" t="e">
        <f>#REF!*R78</f>
        <v>#REF!</v>
      </c>
      <c r="S84" s="59" t="e">
        <f>#REF!*S78</f>
        <v>#REF!</v>
      </c>
      <c r="T84" s="59" t="e">
        <f>#REF!*T78</f>
        <v>#REF!</v>
      </c>
      <c r="U84" s="59" t="e">
        <f>#REF!*U78</f>
        <v>#REF!</v>
      </c>
      <c r="V84" s="59" t="e">
        <f>#REF!*V78</f>
        <v>#REF!</v>
      </c>
      <c r="W84" s="59" t="e">
        <f>#REF!*W78</f>
        <v>#REF!</v>
      </c>
      <c r="X84" s="59" t="e">
        <f>#REF!*X78</f>
        <v>#REF!</v>
      </c>
      <c r="Y84" s="59" t="e">
        <f>#REF!*Y78</f>
        <v>#REF!</v>
      </c>
      <c r="Z84" s="59" t="e">
        <f>#REF!*Z78</f>
        <v>#REF!</v>
      </c>
      <c r="AA84" s="59" t="e">
        <f>#REF!*AA78</f>
        <v>#REF!</v>
      </c>
      <c r="AB84" s="59" t="e">
        <f>#REF!*AB78</f>
        <v>#REF!</v>
      </c>
      <c r="AC84" s="59" t="e">
        <f>#REF!*AC78</f>
        <v>#REF!</v>
      </c>
      <c r="AD84" s="59" t="e">
        <f>#REF!*AD78</f>
        <v>#REF!</v>
      </c>
      <c r="AE84" s="59" t="e">
        <f>#REF!*AE78</f>
        <v>#REF!</v>
      </c>
      <c r="AF84" s="59" t="e">
        <f>#REF!*AF78</f>
        <v>#REF!</v>
      </c>
      <c r="AG84" s="59" t="e">
        <f>#REF!*AG78</f>
        <v>#REF!</v>
      </c>
      <c r="AH84" s="59" t="e">
        <f>#REF!*AH78</f>
        <v>#REF!</v>
      </c>
      <c r="AI84" s="59" t="e">
        <f>#REF!*AI78</f>
        <v>#REF!</v>
      </c>
      <c r="AJ84" s="59" t="e">
        <f>#REF!*AJ78</f>
        <v>#REF!</v>
      </c>
      <c r="AK84" s="59" t="e">
        <f>#REF!*AK78</f>
        <v>#REF!</v>
      </c>
      <c r="AL84" s="59" t="e">
        <f>#REF!*AL78</f>
        <v>#REF!</v>
      </c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3" t="e">
        <f>BS78*#REF!</f>
        <v>#REF!</v>
      </c>
      <c r="BT84" s="50"/>
    </row>
    <row r="85" spans="1:72" hidden="1" x14ac:dyDescent="0.2">
      <c r="A85" s="44" t="s">
        <v>179</v>
      </c>
      <c r="B85" s="43" t="s">
        <v>180</v>
      </c>
      <c r="C85" s="46"/>
      <c r="D85" s="47" t="s">
        <v>174</v>
      </c>
      <c r="E85" s="35" t="e">
        <f>#REF!/E66</f>
        <v>#REF!</v>
      </c>
      <c r="F85" s="59" t="e">
        <f>#REF!/F66</f>
        <v>#REF!</v>
      </c>
      <c r="G85" s="59" t="e">
        <f>#REF!/G66</f>
        <v>#REF!</v>
      </c>
      <c r="H85" s="59" t="e">
        <f>#REF!/H66</f>
        <v>#REF!</v>
      </c>
      <c r="I85" s="59" t="e">
        <f>#REF!/I66</f>
        <v>#REF!</v>
      </c>
      <c r="J85" s="59" t="e">
        <f>#REF!/J66</f>
        <v>#REF!</v>
      </c>
      <c r="K85" s="59" t="e">
        <f>#REF!/K66</f>
        <v>#REF!</v>
      </c>
      <c r="L85" s="59" t="e">
        <f>#REF!/L66</f>
        <v>#REF!</v>
      </c>
      <c r="M85" s="59" t="e">
        <f>#REF!/M66</f>
        <v>#REF!</v>
      </c>
      <c r="N85" s="59" t="e">
        <f>#REF!/N66</f>
        <v>#REF!</v>
      </c>
      <c r="O85" s="59" t="e">
        <f>#REF!/O66</f>
        <v>#REF!</v>
      </c>
      <c r="P85" s="59" t="e">
        <f>#REF!/P66</f>
        <v>#REF!</v>
      </c>
      <c r="Q85" s="59" t="e">
        <f>#REF!/Q66</f>
        <v>#REF!</v>
      </c>
      <c r="R85" s="59" t="e">
        <f>#REF!/R66</f>
        <v>#REF!</v>
      </c>
      <c r="S85" s="59" t="e">
        <f>#REF!/S66</f>
        <v>#REF!</v>
      </c>
      <c r="T85" s="59" t="e">
        <f>#REF!/T66</f>
        <v>#REF!</v>
      </c>
      <c r="U85" s="59" t="e">
        <f>#REF!/U66</f>
        <v>#REF!</v>
      </c>
      <c r="V85" s="59" t="e">
        <f>#REF!/V66</f>
        <v>#REF!</v>
      </c>
      <c r="W85" s="59" t="e">
        <f>#REF!/W66</f>
        <v>#REF!</v>
      </c>
      <c r="X85" s="59" t="e">
        <f>#REF!/X66</f>
        <v>#REF!</v>
      </c>
      <c r="Y85" s="59" t="e">
        <f>#REF!/Y66</f>
        <v>#REF!</v>
      </c>
      <c r="Z85" s="59" t="e">
        <f>#REF!/Z66</f>
        <v>#REF!</v>
      </c>
      <c r="AA85" s="59" t="e">
        <f>#REF!/AA66</f>
        <v>#REF!</v>
      </c>
      <c r="AB85" s="59" t="e">
        <f>#REF!/AB66</f>
        <v>#REF!</v>
      </c>
      <c r="AC85" s="59" t="e">
        <f>#REF!/AC66</f>
        <v>#REF!</v>
      </c>
      <c r="AD85" s="59" t="e">
        <f>#REF!/AD66</f>
        <v>#REF!</v>
      </c>
      <c r="AE85" s="59" t="e">
        <f>#REF!/AE66</f>
        <v>#REF!</v>
      </c>
      <c r="AF85" s="59" t="e">
        <f>#REF!/AF66</f>
        <v>#REF!</v>
      </c>
      <c r="AG85" s="59" t="e">
        <f>#REF!/AG66</f>
        <v>#REF!</v>
      </c>
      <c r="AH85" s="59" t="e">
        <f>#REF!/AH66</f>
        <v>#REF!</v>
      </c>
      <c r="AI85" s="59" t="e">
        <f>#REF!/AI66</f>
        <v>#REF!</v>
      </c>
      <c r="AJ85" s="59" t="e">
        <f>#REF!/AJ66</f>
        <v>#REF!</v>
      </c>
      <c r="AK85" s="59" t="e">
        <f>#REF!/AK66</f>
        <v>#REF!</v>
      </c>
      <c r="AL85" s="59" t="e">
        <f>#REF!/AL66</f>
        <v>#REF!</v>
      </c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3" t="e">
        <f>#REF!/BS66</f>
        <v>#REF!</v>
      </c>
      <c r="BT85" s="50"/>
    </row>
    <row r="86" spans="1:72" hidden="1" x14ac:dyDescent="0.2">
      <c r="A86" s="44" t="s">
        <v>181</v>
      </c>
      <c r="B86" s="43" t="s">
        <v>182</v>
      </c>
      <c r="C86" s="46"/>
      <c r="D86" s="47" t="s">
        <v>174</v>
      </c>
      <c r="E86" s="59">
        <v>291</v>
      </c>
      <c r="F86" s="59">
        <v>291</v>
      </c>
      <c r="G86" s="59">
        <v>291</v>
      </c>
      <c r="H86" s="59">
        <v>291</v>
      </c>
      <c r="I86" s="59">
        <v>291</v>
      </c>
      <c r="J86" s="59">
        <v>291</v>
      </c>
      <c r="K86" s="59">
        <v>291</v>
      </c>
      <c r="L86" s="59">
        <v>291</v>
      </c>
      <c r="M86" s="59">
        <v>291</v>
      </c>
      <c r="N86" s="59">
        <v>291</v>
      </c>
      <c r="O86" s="59">
        <v>291</v>
      </c>
      <c r="P86" s="59">
        <v>291</v>
      </c>
      <c r="Q86" s="59">
        <v>291</v>
      </c>
      <c r="R86" s="59">
        <v>291</v>
      </c>
      <c r="S86" s="59">
        <v>291</v>
      </c>
      <c r="T86" s="59">
        <v>291</v>
      </c>
      <c r="U86" s="59">
        <v>291</v>
      </c>
      <c r="V86" s="59">
        <v>291</v>
      </c>
      <c r="W86" s="59">
        <v>291</v>
      </c>
      <c r="X86" s="59">
        <v>291</v>
      </c>
      <c r="Y86" s="59">
        <v>291</v>
      </c>
      <c r="Z86" s="59">
        <v>291</v>
      </c>
      <c r="AA86" s="59">
        <v>291</v>
      </c>
      <c r="AB86" s="59">
        <v>291</v>
      </c>
      <c r="AC86" s="59">
        <v>291</v>
      </c>
      <c r="AD86" s="59">
        <v>291</v>
      </c>
      <c r="AE86" s="59">
        <v>291</v>
      </c>
      <c r="AF86" s="59">
        <v>291</v>
      </c>
      <c r="AG86" s="59">
        <v>291</v>
      </c>
      <c r="AH86" s="59">
        <v>291</v>
      </c>
      <c r="AI86" s="59">
        <v>291</v>
      </c>
      <c r="AJ86" s="59">
        <v>291</v>
      </c>
      <c r="AK86" s="59">
        <v>291</v>
      </c>
      <c r="AL86" s="59">
        <v>291</v>
      </c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3">
        <f>AVERAGE(E86:AK86)</f>
        <v>291</v>
      </c>
      <c r="BT86" s="50"/>
    </row>
    <row r="87" spans="1:72" ht="20.25" hidden="1" customHeight="1" x14ac:dyDescent="0.2">
      <c r="A87" s="44"/>
      <c r="B87" s="43"/>
      <c r="C87" s="46"/>
      <c r="D87" s="214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5"/>
      <c r="AY87" s="215"/>
      <c r="AZ87" s="215"/>
      <c r="BA87" s="215"/>
      <c r="BB87" s="215"/>
      <c r="BC87" s="215"/>
      <c r="BD87" s="215"/>
      <c r="BE87" s="215"/>
      <c r="BF87" s="215"/>
      <c r="BG87" s="215"/>
      <c r="BH87" s="215"/>
      <c r="BI87" s="215"/>
      <c r="BJ87" s="215"/>
      <c r="BK87" s="215"/>
      <c r="BL87" s="215"/>
      <c r="BM87" s="215"/>
      <c r="BN87" s="215"/>
      <c r="BO87" s="215"/>
      <c r="BP87" s="215"/>
      <c r="BQ87" s="215"/>
      <c r="BR87" s="215"/>
      <c r="BS87" s="216"/>
      <c r="BT87" s="50"/>
    </row>
    <row r="88" spans="1:72" hidden="1" x14ac:dyDescent="0.2">
      <c r="A88" s="44" t="s">
        <v>177</v>
      </c>
      <c r="B88" s="43" t="s">
        <v>183</v>
      </c>
      <c r="C88" s="46"/>
      <c r="D88" s="47"/>
      <c r="E88" s="64"/>
      <c r="F88" s="65"/>
      <c r="G88" s="65"/>
      <c r="H88" s="65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48" t="s">
        <v>184</v>
      </c>
      <c r="BT88" s="50"/>
    </row>
    <row r="89" spans="1:72" hidden="1" x14ac:dyDescent="0.2">
      <c r="A89" s="44"/>
      <c r="B89" s="68" t="s">
        <v>185</v>
      </c>
      <c r="C89" s="69"/>
      <c r="D89" s="47"/>
      <c r="E89" s="64"/>
      <c r="F89" s="65"/>
      <c r="G89" s="65"/>
      <c r="H89" s="70"/>
      <c r="I89" s="199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2" t="s">
        <v>185</v>
      </c>
      <c r="BT89" s="50"/>
    </row>
    <row r="90" spans="1:72" hidden="1" x14ac:dyDescent="0.2">
      <c r="A90" s="73" t="s">
        <v>155</v>
      </c>
      <c r="B90" s="43" t="s">
        <v>186</v>
      </c>
      <c r="C90" s="46"/>
      <c r="D90" s="47" t="s">
        <v>16</v>
      </c>
      <c r="E90" s="35"/>
      <c r="F90" s="35"/>
      <c r="G90" s="35"/>
      <c r="H90" s="35"/>
      <c r="I90" s="74">
        <v>1.6</v>
      </c>
      <c r="J90" s="74">
        <v>3.5</v>
      </c>
      <c r="K90" s="74">
        <v>12</v>
      </c>
      <c r="L90" s="74">
        <v>26.5</v>
      </c>
      <c r="M90" s="74">
        <v>26.5</v>
      </c>
      <c r="N90" s="74">
        <v>26.5</v>
      </c>
      <c r="O90" s="74">
        <v>26.5</v>
      </c>
      <c r="P90" s="74">
        <v>26.5</v>
      </c>
      <c r="Q90" s="74">
        <v>26.5</v>
      </c>
      <c r="R90" s="74">
        <v>26.5</v>
      </c>
      <c r="S90" s="74">
        <v>26.5</v>
      </c>
      <c r="T90" s="74">
        <v>26.5</v>
      </c>
      <c r="U90" s="74">
        <v>26.5</v>
      </c>
      <c r="V90" s="74">
        <v>26.5</v>
      </c>
      <c r="W90" s="74">
        <v>26.5</v>
      </c>
      <c r="X90" s="74">
        <v>26.5</v>
      </c>
      <c r="Y90" s="74">
        <v>26.5</v>
      </c>
      <c r="Z90" s="74">
        <v>26.5</v>
      </c>
      <c r="AA90" s="74">
        <v>26.5</v>
      </c>
      <c r="AB90" s="74">
        <v>26.5</v>
      </c>
      <c r="AC90" s="74">
        <v>26.5</v>
      </c>
      <c r="AD90" s="74">
        <v>26.5</v>
      </c>
      <c r="AE90" s="74">
        <v>26.5</v>
      </c>
      <c r="AF90" s="74">
        <v>26.5</v>
      </c>
      <c r="AG90" s="74">
        <v>26.5</v>
      </c>
      <c r="AH90" s="74">
        <v>26.5</v>
      </c>
      <c r="AI90" s="74">
        <v>26.5</v>
      </c>
      <c r="AJ90" s="74">
        <v>26.5</v>
      </c>
      <c r="AK90" s="74">
        <v>12</v>
      </c>
      <c r="AL90" s="74">
        <v>17.5</v>
      </c>
      <c r="AM90" s="75">
        <v>26</v>
      </c>
      <c r="AN90" s="75">
        <v>2.5</v>
      </c>
      <c r="AO90" s="75">
        <v>0</v>
      </c>
      <c r="AP90" s="75">
        <v>0</v>
      </c>
      <c r="AQ90" s="75">
        <v>23.5</v>
      </c>
      <c r="AR90" s="75">
        <v>2.5</v>
      </c>
      <c r="AS90" s="75">
        <v>2.5</v>
      </c>
      <c r="AT90" s="75">
        <v>2.5</v>
      </c>
      <c r="AU90" s="75">
        <v>2.5</v>
      </c>
      <c r="AV90" s="75">
        <v>2.5</v>
      </c>
      <c r="AW90" s="75">
        <v>2.5</v>
      </c>
      <c r="AX90" s="75">
        <v>2.5</v>
      </c>
      <c r="AY90" s="75">
        <v>2.5</v>
      </c>
      <c r="AZ90" s="75">
        <v>2.5</v>
      </c>
      <c r="BA90" s="75">
        <v>2.5</v>
      </c>
      <c r="BB90" s="75">
        <v>2.5</v>
      </c>
      <c r="BC90" s="75">
        <v>2.5</v>
      </c>
      <c r="BD90" s="75">
        <v>2.5</v>
      </c>
      <c r="BE90" s="75">
        <v>2.5</v>
      </c>
      <c r="BF90" s="75">
        <v>2.5</v>
      </c>
      <c r="BG90" s="75">
        <v>2.5</v>
      </c>
      <c r="BH90" s="75">
        <v>2.5</v>
      </c>
      <c r="BI90" s="75">
        <v>2.5</v>
      </c>
      <c r="BJ90" s="75">
        <v>2.5</v>
      </c>
      <c r="BK90" s="75">
        <v>2.5</v>
      </c>
      <c r="BL90" s="75">
        <v>2.5</v>
      </c>
      <c r="BM90" s="75">
        <v>2.5</v>
      </c>
      <c r="BN90" s="75">
        <v>2.5</v>
      </c>
      <c r="BO90" s="75">
        <v>2.5</v>
      </c>
      <c r="BP90" s="75">
        <v>2.5</v>
      </c>
      <c r="BQ90" s="75">
        <v>2.5</v>
      </c>
      <c r="BR90" s="75"/>
      <c r="BS90" s="48">
        <f>SUM(I90:BR90)</f>
        <v>826.1</v>
      </c>
      <c r="BT90" s="50"/>
    </row>
    <row r="91" spans="1:72" hidden="1" x14ac:dyDescent="0.2">
      <c r="A91" s="73" t="s">
        <v>158</v>
      </c>
      <c r="B91" s="43" t="s">
        <v>187</v>
      </c>
      <c r="C91" s="46"/>
      <c r="D91" s="47" t="s">
        <v>16</v>
      </c>
      <c r="E91" s="35"/>
      <c r="F91" s="35"/>
      <c r="G91" s="35"/>
      <c r="H91" s="35"/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5">
        <v>0</v>
      </c>
      <c r="AJ91" s="35">
        <v>0</v>
      </c>
      <c r="AK91" s="35">
        <v>0</v>
      </c>
      <c r="AL91" s="35">
        <v>0</v>
      </c>
      <c r="AM91" s="36">
        <v>0</v>
      </c>
      <c r="AN91" s="36">
        <v>0</v>
      </c>
      <c r="AO91" s="36">
        <v>15</v>
      </c>
      <c r="AP91" s="36">
        <v>0</v>
      </c>
      <c r="AQ91" s="36">
        <v>0</v>
      </c>
      <c r="AR91" s="36">
        <v>12.5</v>
      </c>
      <c r="AS91" s="36">
        <v>12.5</v>
      </c>
      <c r="AT91" s="36">
        <v>12.5</v>
      </c>
      <c r="AU91" s="36">
        <v>12.5</v>
      </c>
      <c r="AV91" s="36">
        <v>12.5</v>
      </c>
      <c r="AW91" s="36">
        <v>12.5</v>
      </c>
      <c r="AX91" s="36">
        <v>12.5</v>
      </c>
      <c r="AY91" s="36">
        <v>12.5</v>
      </c>
      <c r="AZ91" s="36">
        <v>12.5</v>
      </c>
      <c r="BA91" s="36">
        <v>12.5</v>
      </c>
      <c r="BB91" s="36">
        <v>12.5</v>
      </c>
      <c r="BC91" s="36">
        <v>12.5</v>
      </c>
      <c r="BD91" s="36">
        <v>12.5</v>
      </c>
      <c r="BE91" s="36">
        <v>12.5</v>
      </c>
      <c r="BF91" s="36">
        <v>12.5</v>
      </c>
      <c r="BG91" s="36">
        <v>12.5</v>
      </c>
      <c r="BH91" s="36">
        <v>12.5</v>
      </c>
      <c r="BI91" s="36">
        <v>12.5</v>
      </c>
      <c r="BJ91" s="36">
        <v>12.5</v>
      </c>
      <c r="BK91" s="36">
        <v>12.5</v>
      </c>
      <c r="BL91" s="36">
        <v>12.5</v>
      </c>
      <c r="BM91" s="36">
        <v>12.5</v>
      </c>
      <c r="BN91" s="36">
        <v>12.5</v>
      </c>
      <c r="BO91" s="36">
        <v>12.5</v>
      </c>
      <c r="BP91" s="36">
        <v>12.5</v>
      </c>
      <c r="BQ91" s="36">
        <v>12.5</v>
      </c>
      <c r="BR91" s="36"/>
      <c r="BS91" s="48">
        <f>SUM(I91:BR91)</f>
        <v>340</v>
      </c>
      <c r="BT91" s="50"/>
    </row>
    <row r="92" spans="1:72" hidden="1" x14ac:dyDescent="0.2">
      <c r="A92" s="73" t="s">
        <v>161</v>
      </c>
      <c r="B92" s="43" t="s">
        <v>188</v>
      </c>
      <c r="C92" s="46"/>
      <c r="D92" s="47" t="s">
        <v>16</v>
      </c>
      <c r="E92" s="35"/>
      <c r="F92" s="35"/>
      <c r="G92" s="35"/>
      <c r="H92" s="35"/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0</v>
      </c>
      <c r="AJ92" s="35">
        <v>0</v>
      </c>
      <c r="AK92" s="35">
        <v>0</v>
      </c>
      <c r="AL92" s="35">
        <v>0</v>
      </c>
      <c r="AM92" s="36">
        <v>0</v>
      </c>
      <c r="AN92" s="36">
        <v>32.5</v>
      </c>
      <c r="AO92" s="36">
        <v>5.5</v>
      </c>
      <c r="AP92" s="36">
        <v>32.5</v>
      </c>
      <c r="AQ92" s="36">
        <v>23.5</v>
      </c>
      <c r="AR92" s="36">
        <v>38</v>
      </c>
      <c r="AS92" s="36">
        <v>38</v>
      </c>
      <c r="AT92" s="36">
        <v>38</v>
      </c>
      <c r="AU92" s="36">
        <v>38</v>
      </c>
      <c r="AV92" s="36">
        <v>38</v>
      </c>
      <c r="AW92" s="36">
        <v>38</v>
      </c>
      <c r="AX92" s="36">
        <v>38</v>
      </c>
      <c r="AY92" s="36">
        <v>38</v>
      </c>
      <c r="AZ92" s="36">
        <v>38</v>
      </c>
      <c r="BA92" s="36">
        <v>38</v>
      </c>
      <c r="BB92" s="36">
        <v>38</v>
      </c>
      <c r="BC92" s="36">
        <v>38</v>
      </c>
      <c r="BD92" s="36">
        <v>38</v>
      </c>
      <c r="BE92" s="36">
        <v>38</v>
      </c>
      <c r="BF92" s="36">
        <v>38</v>
      </c>
      <c r="BG92" s="36">
        <v>38</v>
      </c>
      <c r="BH92" s="36">
        <v>38</v>
      </c>
      <c r="BI92" s="36">
        <v>38</v>
      </c>
      <c r="BJ92" s="36">
        <v>38</v>
      </c>
      <c r="BK92" s="36">
        <v>38</v>
      </c>
      <c r="BL92" s="36">
        <v>38</v>
      </c>
      <c r="BM92" s="36">
        <v>38</v>
      </c>
      <c r="BN92" s="36">
        <v>38</v>
      </c>
      <c r="BO92" s="36">
        <v>38</v>
      </c>
      <c r="BP92" s="36">
        <v>38</v>
      </c>
      <c r="BQ92" s="36">
        <v>38</v>
      </c>
      <c r="BR92" s="36"/>
      <c r="BS92" s="48">
        <f>SUM(I92:BR92)</f>
        <v>1082</v>
      </c>
      <c r="BT92" s="50"/>
    </row>
    <row r="93" spans="1:72" hidden="1" x14ac:dyDescent="0.2">
      <c r="A93" s="73" t="s">
        <v>164</v>
      </c>
      <c r="B93" s="43" t="s">
        <v>189</v>
      </c>
      <c r="C93" s="46"/>
      <c r="D93" s="47" t="s">
        <v>16</v>
      </c>
      <c r="E93" s="35"/>
      <c r="F93" s="35"/>
      <c r="G93" s="35"/>
      <c r="H93" s="35"/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0</v>
      </c>
      <c r="AJ93" s="35">
        <v>0</v>
      </c>
      <c r="AK93" s="35">
        <v>0</v>
      </c>
      <c r="AL93" s="35">
        <v>0</v>
      </c>
      <c r="AM93" s="36">
        <v>0</v>
      </c>
      <c r="AN93" s="36">
        <v>0</v>
      </c>
      <c r="AO93" s="36">
        <v>0</v>
      </c>
      <c r="AP93" s="36">
        <v>0</v>
      </c>
      <c r="AQ93" s="36">
        <v>0</v>
      </c>
      <c r="AR93" s="36">
        <v>0</v>
      </c>
      <c r="AS93" s="36">
        <v>0</v>
      </c>
      <c r="AT93" s="36">
        <v>0</v>
      </c>
      <c r="AU93" s="36">
        <v>0</v>
      </c>
      <c r="AV93" s="36">
        <v>0</v>
      </c>
      <c r="AW93" s="36">
        <v>0</v>
      </c>
      <c r="AX93" s="36">
        <v>0</v>
      </c>
      <c r="AY93" s="36">
        <v>0</v>
      </c>
      <c r="AZ93" s="36">
        <v>0</v>
      </c>
      <c r="BA93" s="36">
        <v>0</v>
      </c>
      <c r="BB93" s="36">
        <v>0</v>
      </c>
      <c r="BC93" s="36">
        <v>0</v>
      </c>
      <c r="BD93" s="36">
        <v>0</v>
      </c>
      <c r="BE93" s="36">
        <v>0</v>
      </c>
      <c r="BF93" s="36">
        <v>0</v>
      </c>
      <c r="BG93" s="36">
        <v>0</v>
      </c>
      <c r="BH93" s="36">
        <v>0</v>
      </c>
      <c r="BI93" s="36">
        <v>0</v>
      </c>
      <c r="BJ93" s="36">
        <v>0</v>
      </c>
      <c r="BK93" s="36">
        <v>0</v>
      </c>
      <c r="BL93" s="36">
        <v>0</v>
      </c>
      <c r="BM93" s="36">
        <v>0</v>
      </c>
      <c r="BN93" s="36">
        <v>0</v>
      </c>
      <c r="BO93" s="36">
        <v>0</v>
      </c>
      <c r="BP93" s="36">
        <v>0</v>
      </c>
      <c r="BQ93" s="36">
        <v>0</v>
      </c>
      <c r="BR93" s="36"/>
      <c r="BS93" s="48">
        <f>SUM(I93:BR93)</f>
        <v>0</v>
      </c>
      <c r="BT93" s="50"/>
    </row>
    <row r="94" spans="1:72" hidden="1" x14ac:dyDescent="0.2">
      <c r="A94" s="76"/>
      <c r="B94" s="43" t="s">
        <v>190</v>
      </c>
      <c r="C94" s="46"/>
      <c r="D94" s="47" t="s">
        <v>16</v>
      </c>
      <c r="E94" s="77">
        <f t="shared" ref="E94:BS94" si="23">SUM(E90:E93)</f>
        <v>0</v>
      </c>
      <c r="F94" s="77">
        <f t="shared" si="23"/>
        <v>0</v>
      </c>
      <c r="G94" s="77">
        <f t="shared" si="23"/>
        <v>0</v>
      </c>
      <c r="H94" s="77">
        <f t="shared" si="23"/>
        <v>0</v>
      </c>
      <c r="I94" s="77">
        <f t="shared" si="23"/>
        <v>1.6</v>
      </c>
      <c r="J94" s="77">
        <f t="shared" si="23"/>
        <v>3.5</v>
      </c>
      <c r="K94" s="77">
        <f t="shared" si="23"/>
        <v>12</v>
      </c>
      <c r="L94" s="77">
        <f t="shared" ref="L94:AG94" si="24">SUM(L90:L93)</f>
        <v>26.5</v>
      </c>
      <c r="M94" s="77">
        <f t="shared" si="24"/>
        <v>26.5</v>
      </c>
      <c r="N94" s="77">
        <f t="shared" si="24"/>
        <v>26.5</v>
      </c>
      <c r="O94" s="77">
        <f t="shared" si="24"/>
        <v>26.5</v>
      </c>
      <c r="P94" s="77">
        <f t="shared" si="24"/>
        <v>26.5</v>
      </c>
      <c r="Q94" s="77">
        <f t="shared" si="24"/>
        <v>26.5</v>
      </c>
      <c r="R94" s="77">
        <f t="shared" si="24"/>
        <v>26.5</v>
      </c>
      <c r="S94" s="77">
        <f t="shared" si="24"/>
        <v>26.5</v>
      </c>
      <c r="T94" s="77">
        <f t="shared" si="24"/>
        <v>26.5</v>
      </c>
      <c r="U94" s="77">
        <f t="shared" si="24"/>
        <v>26.5</v>
      </c>
      <c r="V94" s="77">
        <f t="shared" si="24"/>
        <v>26.5</v>
      </c>
      <c r="W94" s="77">
        <f t="shared" si="24"/>
        <v>26.5</v>
      </c>
      <c r="X94" s="77">
        <f t="shared" si="24"/>
        <v>26.5</v>
      </c>
      <c r="Y94" s="77">
        <f t="shared" si="24"/>
        <v>26.5</v>
      </c>
      <c r="Z94" s="77">
        <f t="shared" si="24"/>
        <v>26.5</v>
      </c>
      <c r="AA94" s="77">
        <f t="shared" si="24"/>
        <v>26.5</v>
      </c>
      <c r="AB94" s="77">
        <f t="shared" si="24"/>
        <v>26.5</v>
      </c>
      <c r="AC94" s="77">
        <f t="shared" si="24"/>
        <v>26.5</v>
      </c>
      <c r="AD94" s="77">
        <f t="shared" si="24"/>
        <v>26.5</v>
      </c>
      <c r="AE94" s="77">
        <f t="shared" si="24"/>
        <v>26.5</v>
      </c>
      <c r="AF94" s="77">
        <f t="shared" si="24"/>
        <v>26.5</v>
      </c>
      <c r="AG94" s="77">
        <f t="shared" si="24"/>
        <v>26.5</v>
      </c>
      <c r="AH94" s="77">
        <f t="shared" ref="AH94:AJ94" si="25">SUM(AH90:AH93)</f>
        <v>26.5</v>
      </c>
      <c r="AI94" s="77">
        <f t="shared" si="25"/>
        <v>26.5</v>
      </c>
      <c r="AJ94" s="77">
        <f t="shared" si="25"/>
        <v>26.5</v>
      </c>
      <c r="AK94" s="77">
        <f t="shared" si="23"/>
        <v>12</v>
      </c>
      <c r="AL94" s="77">
        <f t="shared" si="23"/>
        <v>17.5</v>
      </c>
      <c r="AM94" s="77">
        <f t="shared" si="23"/>
        <v>26</v>
      </c>
      <c r="AN94" s="77">
        <f t="shared" si="23"/>
        <v>35</v>
      </c>
      <c r="AO94" s="77">
        <f t="shared" si="23"/>
        <v>20.5</v>
      </c>
      <c r="AP94" s="77">
        <f t="shared" si="23"/>
        <v>32.5</v>
      </c>
      <c r="AQ94" s="77">
        <f t="shared" si="23"/>
        <v>47</v>
      </c>
      <c r="AR94" s="77">
        <f t="shared" si="23"/>
        <v>53</v>
      </c>
      <c r="AS94" s="77">
        <f t="shared" si="23"/>
        <v>53</v>
      </c>
      <c r="AT94" s="77">
        <f t="shared" si="23"/>
        <v>53</v>
      </c>
      <c r="AU94" s="77">
        <f t="shared" si="23"/>
        <v>53</v>
      </c>
      <c r="AV94" s="77">
        <f t="shared" si="23"/>
        <v>53</v>
      </c>
      <c r="AW94" s="77">
        <f t="shared" si="23"/>
        <v>53</v>
      </c>
      <c r="AX94" s="77">
        <f t="shared" si="23"/>
        <v>53</v>
      </c>
      <c r="AY94" s="77">
        <f t="shared" si="23"/>
        <v>53</v>
      </c>
      <c r="AZ94" s="77">
        <f t="shared" si="23"/>
        <v>53</v>
      </c>
      <c r="BA94" s="77">
        <f t="shared" si="23"/>
        <v>53</v>
      </c>
      <c r="BB94" s="77">
        <f t="shared" si="23"/>
        <v>53</v>
      </c>
      <c r="BC94" s="77">
        <f t="shared" si="23"/>
        <v>53</v>
      </c>
      <c r="BD94" s="77">
        <f t="shared" si="23"/>
        <v>53</v>
      </c>
      <c r="BE94" s="77">
        <f t="shared" si="23"/>
        <v>53</v>
      </c>
      <c r="BF94" s="77">
        <f t="shared" si="23"/>
        <v>53</v>
      </c>
      <c r="BG94" s="77">
        <f t="shared" si="23"/>
        <v>53</v>
      </c>
      <c r="BH94" s="77">
        <f t="shared" si="23"/>
        <v>53</v>
      </c>
      <c r="BI94" s="77">
        <f t="shared" si="23"/>
        <v>53</v>
      </c>
      <c r="BJ94" s="77">
        <f t="shared" si="23"/>
        <v>53</v>
      </c>
      <c r="BK94" s="77">
        <f t="shared" si="23"/>
        <v>53</v>
      </c>
      <c r="BL94" s="77">
        <f t="shared" si="23"/>
        <v>53</v>
      </c>
      <c r="BM94" s="77">
        <f t="shared" si="23"/>
        <v>53</v>
      </c>
      <c r="BN94" s="77">
        <f t="shared" si="23"/>
        <v>53</v>
      </c>
      <c r="BO94" s="77">
        <f t="shared" si="23"/>
        <v>53</v>
      </c>
      <c r="BP94" s="77">
        <f t="shared" si="23"/>
        <v>53</v>
      </c>
      <c r="BQ94" s="77">
        <f t="shared" si="23"/>
        <v>53</v>
      </c>
      <c r="BR94" s="78"/>
      <c r="BS94" s="62">
        <f t="shared" si="23"/>
        <v>2248.1</v>
      </c>
      <c r="BT94" s="50"/>
    </row>
    <row r="95" spans="1:72" hidden="1" x14ac:dyDescent="0.2">
      <c r="A95" s="76"/>
      <c r="B95" s="68" t="s">
        <v>191</v>
      </c>
      <c r="C95" s="69"/>
      <c r="D95" s="65"/>
      <c r="E95" s="65"/>
      <c r="F95" s="65"/>
      <c r="G95" s="65"/>
      <c r="H95" s="65"/>
      <c r="I95" s="199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9" t="s">
        <v>191</v>
      </c>
      <c r="BT95" s="50"/>
    </row>
    <row r="96" spans="1:72" hidden="1" x14ac:dyDescent="0.2">
      <c r="A96" s="73" t="s">
        <v>155</v>
      </c>
      <c r="B96" s="43" t="s">
        <v>186</v>
      </c>
      <c r="C96" s="46"/>
      <c r="D96" s="47" t="s">
        <v>16</v>
      </c>
      <c r="E96" s="35"/>
      <c r="F96" s="35"/>
      <c r="G96" s="35"/>
      <c r="H96" s="35"/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5">
        <v>0</v>
      </c>
      <c r="AK96" s="35">
        <v>0</v>
      </c>
      <c r="AL96" s="35">
        <v>0</v>
      </c>
      <c r="AM96" s="36">
        <v>0</v>
      </c>
      <c r="AN96" s="36">
        <v>0</v>
      </c>
      <c r="AO96" s="36">
        <v>0</v>
      </c>
      <c r="AP96" s="36">
        <v>0</v>
      </c>
      <c r="AQ96" s="36">
        <v>0</v>
      </c>
      <c r="AR96" s="36">
        <v>0</v>
      </c>
      <c r="AS96" s="36">
        <v>0</v>
      </c>
      <c r="AT96" s="36">
        <v>0</v>
      </c>
      <c r="AU96" s="36">
        <v>0</v>
      </c>
      <c r="AV96" s="36">
        <v>0</v>
      </c>
      <c r="AW96" s="36">
        <v>0</v>
      </c>
      <c r="AX96" s="36">
        <v>0</v>
      </c>
      <c r="AY96" s="36">
        <v>0</v>
      </c>
      <c r="AZ96" s="36">
        <v>0</v>
      </c>
      <c r="BA96" s="36">
        <v>0</v>
      </c>
      <c r="BB96" s="36">
        <v>0</v>
      </c>
      <c r="BC96" s="36">
        <v>0</v>
      </c>
      <c r="BD96" s="36">
        <v>0</v>
      </c>
      <c r="BE96" s="36">
        <v>0</v>
      </c>
      <c r="BF96" s="36">
        <v>0</v>
      </c>
      <c r="BG96" s="36">
        <v>0</v>
      </c>
      <c r="BH96" s="36">
        <v>0</v>
      </c>
      <c r="BI96" s="36">
        <v>0</v>
      </c>
      <c r="BJ96" s="36">
        <v>0</v>
      </c>
      <c r="BK96" s="36">
        <v>0</v>
      </c>
      <c r="BL96" s="36">
        <v>0</v>
      </c>
      <c r="BM96" s="36">
        <v>0</v>
      </c>
      <c r="BN96" s="36">
        <v>0</v>
      </c>
      <c r="BO96" s="36">
        <v>0</v>
      </c>
      <c r="BP96" s="36">
        <v>0</v>
      </c>
      <c r="BQ96" s="36">
        <v>0</v>
      </c>
      <c r="BR96" s="36"/>
      <c r="BS96" s="48">
        <f>SUM(E96:AK96)</f>
        <v>0</v>
      </c>
      <c r="BT96" s="50"/>
    </row>
    <row r="97" spans="1:72" hidden="1" x14ac:dyDescent="0.2">
      <c r="A97" s="73" t="s">
        <v>158</v>
      </c>
      <c r="B97" s="43" t="s">
        <v>187</v>
      </c>
      <c r="C97" s="46"/>
      <c r="D97" s="47" t="s">
        <v>16</v>
      </c>
      <c r="E97" s="35"/>
      <c r="F97" s="35"/>
      <c r="G97" s="35"/>
      <c r="H97" s="35"/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5">
        <v>0</v>
      </c>
      <c r="AK97" s="35">
        <v>0</v>
      </c>
      <c r="AL97" s="35">
        <v>0</v>
      </c>
      <c r="AM97" s="36">
        <v>0</v>
      </c>
      <c r="AN97" s="36">
        <v>0</v>
      </c>
      <c r="AO97" s="36">
        <v>0</v>
      </c>
      <c r="AP97" s="36">
        <v>0</v>
      </c>
      <c r="AQ97" s="36">
        <v>0</v>
      </c>
      <c r="AR97" s="36">
        <v>0</v>
      </c>
      <c r="AS97" s="36">
        <v>0</v>
      </c>
      <c r="AT97" s="36">
        <v>0</v>
      </c>
      <c r="AU97" s="36">
        <v>0</v>
      </c>
      <c r="AV97" s="36">
        <v>0</v>
      </c>
      <c r="AW97" s="36">
        <v>0</v>
      </c>
      <c r="AX97" s="36">
        <v>0</v>
      </c>
      <c r="AY97" s="36">
        <v>0</v>
      </c>
      <c r="AZ97" s="36">
        <v>0</v>
      </c>
      <c r="BA97" s="36">
        <v>0</v>
      </c>
      <c r="BB97" s="36">
        <v>0</v>
      </c>
      <c r="BC97" s="36">
        <v>0</v>
      </c>
      <c r="BD97" s="36">
        <v>0</v>
      </c>
      <c r="BE97" s="36">
        <v>0</v>
      </c>
      <c r="BF97" s="36">
        <v>0</v>
      </c>
      <c r="BG97" s="36">
        <v>0</v>
      </c>
      <c r="BH97" s="36">
        <v>0</v>
      </c>
      <c r="BI97" s="36">
        <v>0</v>
      </c>
      <c r="BJ97" s="36">
        <v>0</v>
      </c>
      <c r="BK97" s="36">
        <v>0</v>
      </c>
      <c r="BL97" s="36">
        <v>0</v>
      </c>
      <c r="BM97" s="36">
        <v>0</v>
      </c>
      <c r="BN97" s="36">
        <v>0</v>
      </c>
      <c r="BO97" s="36">
        <v>0</v>
      </c>
      <c r="BP97" s="36">
        <v>0</v>
      </c>
      <c r="BQ97" s="36">
        <v>0</v>
      </c>
      <c r="BR97" s="36"/>
      <c r="BS97" s="48">
        <f>SUM(E97:AK97)</f>
        <v>0</v>
      </c>
      <c r="BT97" s="50"/>
    </row>
    <row r="98" spans="1:72" hidden="1" x14ac:dyDescent="0.2">
      <c r="A98" s="73" t="s">
        <v>161</v>
      </c>
      <c r="B98" s="43" t="s">
        <v>188</v>
      </c>
      <c r="C98" s="46"/>
      <c r="D98" s="47" t="s">
        <v>16</v>
      </c>
      <c r="E98" s="35"/>
      <c r="F98" s="35"/>
      <c r="G98" s="35"/>
      <c r="H98" s="35"/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  <c r="AJ98" s="35">
        <v>0</v>
      </c>
      <c r="AK98" s="35">
        <v>0</v>
      </c>
      <c r="AL98" s="35">
        <v>0</v>
      </c>
      <c r="AM98" s="36">
        <v>0</v>
      </c>
      <c r="AN98" s="36">
        <v>0</v>
      </c>
      <c r="AO98" s="36">
        <v>0</v>
      </c>
      <c r="AP98" s="36">
        <v>0</v>
      </c>
      <c r="AQ98" s="36">
        <v>0</v>
      </c>
      <c r="AR98" s="36">
        <v>0</v>
      </c>
      <c r="AS98" s="36">
        <v>0</v>
      </c>
      <c r="AT98" s="36">
        <v>0</v>
      </c>
      <c r="AU98" s="36">
        <v>0</v>
      </c>
      <c r="AV98" s="36">
        <v>0</v>
      </c>
      <c r="AW98" s="36">
        <v>0</v>
      </c>
      <c r="AX98" s="36">
        <v>0</v>
      </c>
      <c r="AY98" s="36">
        <v>0</v>
      </c>
      <c r="AZ98" s="36">
        <v>0</v>
      </c>
      <c r="BA98" s="36">
        <v>0</v>
      </c>
      <c r="BB98" s="36">
        <v>0</v>
      </c>
      <c r="BC98" s="36">
        <v>0</v>
      </c>
      <c r="BD98" s="36">
        <v>0</v>
      </c>
      <c r="BE98" s="36">
        <v>0</v>
      </c>
      <c r="BF98" s="36">
        <v>0</v>
      </c>
      <c r="BG98" s="36">
        <v>0</v>
      </c>
      <c r="BH98" s="36">
        <v>0</v>
      </c>
      <c r="BI98" s="36">
        <v>0</v>
      </c>
      <c r="BJ98" s="36">
        <v>0</v>
      </c>
      <c r="BK98" s="36">
        <v>0</v>
      </c>
      <c r="BL98" s="36">
        <v>0</v>
      </c>
      <c r="BM98" s="36">
        <v>0</v>
      </c>
      <c r="BN98" s="36">
        <v>0</v>
      </c>
      <c r="BO98" s="36">
        <v>0</v>
      </c>
      <c r="BP98" s="36">
        <v>0</v>
      </c>
      <c r="BQ98" s="36">
        <v>0</v>
      </c>
      <c r="BR98" s="36"/>
      <c r="BS98" s="48">
        <f>SUM(E98:AK98)</f>
        <v>0</v>
      </c>
      <c r="BT98" s="50"/>
    </row>
    <row r="99" spans="1:72" hidden="1" x14ac:dyDescent="0.2">
      <c r="A99" s="73" t="s">
        <v>164</v>
      </c>
      <c r="B99" s="43" t="s">
        <v>189</v>
      </c>
      <c r="C99" s="46"/>
      <c r="D99" s="47" t="s">
        <v>16</v>
      </c>
      <c r="E99" s="35"/>
      <c r="F99" s="35"/>
      <c r="G99" s="35"/>
      <c r="H99" s="35"/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  <c r="AJ99" s="35">
        <v>0</v>
      </c>
      <c r="AK99" s="35">
        <v>0</v>
      </c>
      <c r="AL99" s="35">
        <v>0</v>
      </c>
      <c r="AM99" s="36">
        <v>0</v>
      </c>
      <c r="AN99" s="36">
        <v>0</v>
      </c>
      <c r="AO99" s="36">
        <v>0</v>
      </c>
      <c r="AP99" s="36">
        <v>0</v>
      </c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0</v>
      </c>
      <c r="BD99" s="36">
        <v>0</v>
      </c>
      <c r="BE99" s="36">
        <v>0</v>
      </c>
      <c r="BF99" s="36">
        <v>0</v>
      </c>
      <c r="BG99" s="36">
        <v>0</v>
      </c>
      <c r="BH99" s="36">
        <v>0</v>
      </c>
      <c r="BI99" s="36">
        <v>0</v>
      </c>
      <c r="BJ99" s="36">
        <v>0</v>
      </c>
      <c r="BK99" s="36">
        <v>0</v>
      </c>
      <c r="BL99" s="36">
        <v>0</v>
      </c>
      <c r="BM99" s="36">
        <v>0</v>
      </c>
      <c r="BN99" s="36">
        <v>0</v>
      </c>
      <c r="BO99" s="36">
        <v>0</v>
      </c>
      <c r="BP99" s="36">
        <v>0</v>
      </c>
      <c r="BQ99" s="36">
        <v>0</v>
      </c>
      <c r="BR99" s="36"/>
      <c r="BS99" s="48">
        <f>SUM(E99:AK99)</f>
        <v>0</v>
      </c>
      <c r="BT99" s="50"/>
    </row>
    <row r="100" spans="1:72" hidden="1" x14ac:dyDescent="0.2">
      <c r="A100" s="73" t="s">
        <v>177</v>
      </c>
      <c r="B100" s="43" t="s">
        <v>192</v>
      </c>
      <c r="C100" s="46"/>
      <c r="D100" s="47" t="s">
        <v>16</v>
      </c>
      <c r="E100" s="35"/>
      <c r="F100" s="35"/>
      <c r="G100" s="35"/>
      <c r="H100" s="35"/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0</v>
      </c>
      <c r="V100" s="35">
        <v>0</v>
      </c>
      <c r="W100" s="35">
        <v>0</v>
      </c>
      <c r="X100" s="35">
        <v>0</v>
      </c>
      <c r="Y100" s="35">
        <v>0</v>
      </c>
      <c r="Z100" s="35">
        <v>0</v>
      </c>
      <c r="AA100" s="35">
        <v>0</v>
      </c>
      <c r="AB100" s="35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  <c r="AH100" s="35">
        <v>0</v>
      </c>
      <c r="AI100" s="35">
        <v>0</v>
      </c>
      <c r="AJ100" s="35">
        <v>0</v>
      </c>
      <c r="AK100" s="35">
        <v>0</v>
      </c>
      <c r="AL100" s="35">
        <v>0</v>
      </c>
      <c r="AM100" s="36">
        <v>0</v>
      </c>
      <c r="AN100" s="36">
        <v>0</v>
      </c>
      <c r="AO100" s="36">
        <v>0</v>
      </c>
      <c r="AP100" s="36">
        <v>0</v>
      </c>
      <c r="AQ100" s="36">
        <v>0</v>
      </c>
      <c r="AR100" s="36">
        <v>0</v>
      </c>
      <c r="AS100" s="36">
        <v>0</v>
      </c>
      <c r="AT100" s="36">
        <v>0</v>
      </c>
      <c r="AU100" s="36">
        <v>0</v>
      </c>
      <c r="AV100" s="36">
        <v>0</v>
      </c>
      <c r="AW100" s="36">
        <v>0</v>
      </c>
      <c r="AX100" s="36">
        <v>0</v>
      </c>
      <c r="AY100" s="36">
        <v>0</v>
      </c>
      <c r="AZ100" s="36">
        <v>0</v>
      </c>
      <c r="BA100" s="36">
        <v>0</v>
      </c>
      <c r="BB100" s="36">
        <v>0</v>
      </c>
      <c r="BC100" s="36">
        <v>0</v>
      </c>
      <c r="BD100" s="36">
        <v>0</v>
      </c>
      <c r="BE100" s="36">
        <v>0</v>
      </c>
      <c r="BF100" s="36">
        <v>0</v>
      </c>
      <c r="BG100" s="36">
        <v>0</v>
      </c>
      <c r="BH100" s="36">
        <v>0</v>
      </c>
      <c r="BI100" s="36">
        <v>0</v>
      </c>
      <c r="BJ100" s="36">
        <v>0</v>
      </c>
      <c r="BK100" s="36">
        <v>0</v>
      </c>
      <c r="BL100" s="36">
        <v>0</v>
      </c>
      <c r="BM100" s="36">
        <v>0</v>
      </c>
      <c r="BN100" s="36">
        <v>0</v>
      </c>
      <c r="BO100" s="36">
        <v>0</v>
      </c>
      <c r="BP100" s="36">
        <v>0</v>
      </c>
      <c r="BQ100" s="36">
        <v>0</v>
      </c>
      <c r="BR100" s="36"/>
      <c r="BS100" s="48">
        <f>SUM(E100:AK100)</f>
        <v>0</v>
      </c>
      <c r="BT100" s="50"/>
    </row>
    <row r="101" spans="1:72" hidden="1" x14ac:dyDescent="0.2">
      <c r="A101" s="76"/>
      <c r="B101" s="43" t="s">
        <v>190</v>
      </c>
      <c r="C101" s="46"/>
      <c r="D101" s="47" t="s">
        <v>16</v>
      </c>
      <c r="E101" s="77">
        <f t="shared" ref="E101:BS101" si="26">SUM(E96:E100)</f>
        <v>0</v>
      </c>
      <c r="F101" s="77">
        <f t="shared" si="26"/>
        <v>0</v>
      </c>
      <c r="G101" s="77">
        <f t="shared" si="26"/>
        <v>0</v>
      </c>
      <c r="H101" s="77">
        <f t="shared" si="26"/>
        <v>0</v>
      </c>
      <c r="I101" s="77">
        <f t="shared" si="26"/>
        <v>0</v>
      </c>
      <c r="J101" s="77">
        <f t="shared" si="26"/>
        <v>0</v>
      </c>
      <c r="K101" s="77">
        <f t="shared" si="26"/>
        <v>0</v>
      </c>
      <c r="L101" s="77">
        <f t="shared" ref="L101:AG101" si="27">SUM(L96:L100)</f>
        <v>0</v>
      </c>
      <c r="M101" s="77">
        <f t="shared" si="27"/>
        <v>0</v>
      </c>
      <c r="N101" s="77">
        <f t="shared" si="27"/>
        <v>0</v>
      </c>
      <c r="O101" s="77">
        <f t="shared" si="27"/>
        <v>0</v>
      </c>
      <c r="P101" s="77">
        <f t="shared" si="27"/>
        <v>0</v>
      </c>
      <c r="Q101" s="77">
        <f t="shared" si="27"/>
        <v>0</v>
      </c>
      <c r="R101" s="77">
        <f t="shared" si="27"/>
        <v>0</v>
      </c>
      <c r="S101" s="77">
        <f t="shared" si="27"/>
        <v>0</v>
      </c>
      <c r="T101" s="77">
        <f t="shared" si="27"/>
        <v>0</v>
      </c>
      <c r="U101" s="77">
        <f t="shared" si="27"/>
        <v>0</v>
      </c>
      <c r="V101" s="77">
        <f t="shared" si="27"/>
        <v>0</v>
      </c>
      <c r="W101" s="77">
        <f t="shared" si="27"/>
        <v>0</v>
      </c>
      <c r="X101" s="77">
        <f t="shared" si="27"/>
        <v>0</v>
      </c>
      <c r="Y101" s="77">
        <f t="shared" si="27"/>
        <v>0</v>
      </c>
      <c r="Z101" s="77">
        <f t="shared" si="27"/>
        <v>0</v>
      </c>
      <c r="AA101" s="77">
        <f t="shared" si="27"/>
        <v>0</v>
      </c>
      <c r="AB101" s="77">
        <f t="shared" si="27"/>
        <v>0</v>
      </c>
      <c r="AC101" s="77">
        <f t="shared" si="27"/>
        <v>0</v>
      </c>
      <c r="AD101" s="77">
        <f t="shared" si="27"/>
        <v>0</v>
      </c>
      <c r="AE101" s="77">
        <f t="shared" si="27"/>
        <v>0</v>
      </c>
      <c r="AF101" s="77">
        <f t="shared" si="27"/>
        <v>0</v>
      </c>
      <c r="AG101" s="77">
        <f t="shared" si="27"/>
        <v>0</v>
      </c>
      <c r="AH101" s="77">
        <f t="shared" ref="AH101:AJ101" si="28">SUM(AH96:AH100)</f>
        <v>0</v>
      </c>
      <c r="AI101" s="77">
        <f t="shared" si="28"/>
        <v>0</v>
      </c>
      <c r="AJ101" s="77">
        <f t="shared" si="28"/>
        <v>0</v>
      </c>
      <c r="AK101" s="77">
        <f t="shared" si="26"/>
        <v>0</v>
      </c>
      <c r="AL101" s="77">
        <f t="shared" si="26"/>
        <v>0</v>
      </c>
      <c r="AM101" s="77">
        <f t="shared" si="26"/>
        <v>0</v>
      </c>
      <c r="AN101" s="78">
        <v>0</v>
      </c>
      <c r="AO101" s="78">
        <v>0</v>
      </c>
      <c r="AP101" s="78">
        <v>0</v>
      </c>
      <c r="AQ101" s="78">
        <v>0</v>
      </c>
      <c r="AR101" s="78">
        <v>0</v>
      </c>
      <c r="AS101" s="78">
        <v>0</v>
      </c>
      <c r="AT101" s="78">
        <v>0</v>
      </c>
      <c r="AU101" s="78">
        <v>0</v>
      </c>
      <c r="AV101" s="78">
        <v>0</v>
      </c>
      <c r="AW101" s="78">
        <v>0</v>
      </c>
      <c r="AX101" s="78">
        <v>0</v>
      </c>
      <c r="AY101" s="78">
        <v>0</v>
      </c>
      <c r="AZ101" s="78">
        <v>0</v>
      </c>
      <c r="BA101" s="78">
        <v>0</v>
      </c>
      <c r="BB101" s="78">
        <v>0</v>
      </c>
      <c r="BC101" s="78">
        <v>0</v>
      </c>
      <c r="BD101" s="78">
        <v>0</v>
      </c>
      <c r="BE101" s="78">
        <v>0</v>
      </c>
      <c r="BF101" s="78">
        <v>0</v>
      </c>
      <c r="BG101" s="78">
        <v>0</v>
      </c>
      <c r="BH101" s="78">
        <v>0</v>
      </c>
      <c r="BI101" s="78">
        <v>0</v>
      </c>
      <c r="BJ101" s="78">
        <v>0</v>
      </c>
      <c r="BK101" s="78">
        <v>0</v>
      </c>
      <c r="BL101" s="78">
        <v>0</v>
      </c>
      <c r="BM101" s="78">
        <v>0</v>
      </c>
      <c r="BN101" s="78">
        <v>0</v>
      </c>
      <c r="BO101" s="78">
        <v>0</v>
      </c>
      <c r="BP101" s="78">
        <v>0</v>
      </c>
      <c r="BQ101" s="78">
        <v>0</v>
      </c>
      <c r="BR101" s="78"/>
      <c r="BS101" s="48">
        <f t="shared" si="26"/>
        <v>0</v>
      </c>
    </row>
    <row r="102" spans="1:72" hidden="1" x14ac:dyDescent="0.2">
      <c r="A102" s="76"/>
      <c r="B102" s="43" t="s">
        <v>193</v>
      </c>
      <c r="C102" s="46"/>
      <c r="D102" s="47" t="s">
        <v>16</v>
      </c>
      <c r="E102" s="77">
        <f t="shared" ref="E102:BS102" si="29">E94+E101</f>
        <v>0</v>
      </c>
      <c r="F102" s="77">
        <f t="shared" si="29"/>
        <v>0</v>
      </c>
      <c r="G102" s="77">
        <f t="shared" si="29"/>
        <v>0</v>
      </c>
      <c r="H102" s="77">
        <f t="shared" si="29"/>
        <v>0</v>
      </c>
      <c r="I102" s="77">
        <f t="shared" si="29"/>
        <v>1.6</v>
      </c>
      <c r="J102" s="77">
        <f t="shared" si="29"/>
        <v>3.5</v>
      </c>
      <c r="K102" s="77">
        <f t="shared" si="29"/>
        <v>12</v>
      </c>
      <c r="L102" s="77">
        <f t="shared" ref="L102:AG102" si="30">L94+L101</f>
        <v>26.5</v>
      </c>
      <c r="M102" s="77">
        <f t="shared" si="30"/>
        <v>26.5</v>
      </c>
      <c r="N102" s="77">
        <f t="shared" si="30"/>
        <v>26.5</v>
      </c>
      <c r="O102" s="77">
        <f t="shared" si="30"/>
        <v>26.5</v>
      </c>
      <c r="P102" s="77">
        <f t="shared" si="30"/>
        <v>26.5</v>
      </c>
      <c r="Q102" s="77">
        <f t="shared" si="30"/>
        <v>26.5</v>
      </c>
      <c r="R102" s="77">
        <f t="shared" si="30"/>
        <v>26.5</v>
      </c>
      <c r="S102" s="77">
        <f t="shared" si="30"/>
        <v>26.5</v>
      </c>
      <c r="T102" s="77">
        <f t="shared" si="30"/>
        <v>26.5</v>
      </c>
      <c r="U102" s="77">
        <f t="shared" si="30"/>
        <v>26.5</v>
      </c>
      <c r="V102" s="77">
        <f t="shared" si="30"/>
        <v>26.5</v>
      </c>
      <c r="W102" s="77">
        <f t="shared" si="30"/>
        <v>26.5</v>
      </c>
      <c r="X102" s="77">
        <f t="shared" si="30"/>
        <v>26.5</v>
      </c>
      <c r="Y102" s="77">
        <f t="shared" si="30"/>
        <v>26.5</v>
      </c>
      <c r="Z102" s="77">
        <f t="shared" si="30"/>
        <v>26.5</v>
      </c>
      <c r="AA102" s="77">
        <f t="shared" si="30"/>
        <v>26.5</v>
      </c>
      <c r="AB102" s="77">
        <f t="shared" si="30"/>
        <v>26.5</v>
      </c>
      <c r="AC102" s="77">
        <f t="shared" si="30"/>
        <v>26.5</v>
      </c>
      <c r="AD102" s="77">
        <f t="shared" si="30"/>
        <v>26.5</v>
      </c>
      <c r="AE102" s="77">
        <f t="shared" si="30"/>
        <v>26.5</v>
      </c>
      <c r="AF102" s="77">
        <f t="shared" si="30"/>
        <v>26.5</v>
      </c>
      <c r="AG102" s="77">
        <f t="shared" si="30"/>
        <v>26.5</v>
      </c>
      <c r="AH102" s="77">
        <f t="shared" ref="AH102:AJ102" si="31">AH94+AH101</f>
        <v>26.5</v>
      </c>
      <c r="AI102" s="77">
        <f t="shared" si="31"/>
        <v>26.5</v>
      </c>
      <c r="AJ102" s="77">
        <f t="shared" si="31"/>
        <v>26.5</v>
      </c>
      <c r="AK102" s="77">
        <f t="shared" si="29"/>
        <v>12</v>
      </c>
      <c r="AL102" s="77">
        <f t="shared" si="29"/>
        <v>17.5</v>
      </c>
      <c r="AM102" s="77">
        <f t="shared" si="29"/>
        <v>26</v>
      </c>
      <c r="AN102" s="77">
        <f t="shared" si="29"/>
        <v>35</v>
      </c>
      <c r="AO102" s="77">
        <f t="shared" si="29"/>
        <v>20.5</v>
      </c>
      <c r="AP102" s="77">
        <f t="shared" si="29"/>
        <v>32.5</v>
      </c>
      <c r="AQ102" s="77">
        <f t="shared" si="29"/>
        <v>47</v>
      </c>
      <c r="AR102" s="77">
        <f t="shared" si="29"/>
        <v>53</v>
      </c>
      <c r="AS102" s="77">
        <f t="shared" si="29"/>
        <v>53</v>
      </c>
      <c r="AT102" s="77">
        <f t="shared" si="29"/>
        <v>53</v>
      </c>
      <c r="AU102" s="77">
        <f t="shared" si="29"/>
        <v>53</v>
      </c>
      <c r="AV102" s="77">
        <f t="shared" si="29"/>
        <v>53</v>
      </c>
      <c r="AW102" s="77">
        <f t="shared" si="29"/>
        <v>53</v>
      </c>
      <c r="AX102" s="77">
        <f t="shared" si="29"/>
        <v>53</v>
      </c>
      <c r="AY102" s="77">
        <f t="shared" si="29"/>
        <v>53</v>
      </c>
      <c r="AZ102" s="77">
        <f t="shared" si="29"/>
        <v>53</v>
      </c>
      <c r="BA102" s="77">
        <f t="shared" si="29"/>
        <v>53</v>
      </c>
      <c r="BB102" s="77">
        <f t="shared" si="29"/>
        <v>53</v>
      </c>
      <c r="BC102" s="77">
        <f t="shared" si="29"/>
        <v>53</v>
      </c>
      <c r="BD102" s="77">
        <f t="shared" si="29"/>
        <v>53</v>
      </c>
      <c r="BE102" s="77">
        <f t="shared" si="29"/>
        <v>53</v>
      </c>
      <c r="BF102" s="77">
        <f t="shared" si="29"/>
        <v>53</v>
      </c>
      <c r="BG102" s="77">
        <f t="shared" si="29"/>
        <v>53</v>
      </c>
      <c r="BH102" s="77">
        <f t="shared" si="29"/>
        <v>53</v>
      </c>
      <c r="BI102" s="77">
        <f t="shared" si="29"/>
        <v>53</v>
      </c>
      <c r="BJ102" s="77">
        <f t="shared" si="29"/>
        <v>53</v>
      </c>
      <c r="BK102" s="77">
        <f t="shared" si="29"/>
        <v>53</v>
      </c>
      <c r="BL102" s="77">
        <f t="shared" si="29"/>
        <v>53</v>
      </c>
      <c r="BM102" s="77">
        <f t="shared" si="29"/>
        <v>53</v>
      </c>
      <c r="BN102" s="77">
        <f t="shared" si="29"/>
        <v>53</v>
      </c>
      <c r="BO102" s="77">
        <f t="shared" si="29"/>
        <v>53</v>
      </c>
      <c r="BP102" s="77">
        <f t="shared" si="29"/>
        <v>53</v>
      </c>
      <c r="BQ102" s="77">
        <f t="shared" si="29"/>
        <v>53</v>
      </c>
      <c r="BR102" s="78"/>
      <c r="BS102" s="48">
        <f t="shared" si="29"/>
        <v>2248.1</v>
      </c>
    </row>
    <row r="103" spans="1:72" ht="21" hidden="1" thickBot="1" x14ac:dyDescent="0.25">
      <c r="A103" s="80"/>
      <c r="B103" s="81" t="s">
        <v>11</v>
      </c>
      <c r="C103" s="82"/>
      <c r="D103" s="83" t="s">
        <v>194</v>
      </c>
      <c r="E103" s="84">
        <f>E107</f>
        <v>0</v>
      </c>
      <c r="F103" s="84">
        <f t="shared" ref="F103:BQ103" si="32">F107</f>
        <v>0</v>
      </c>
      <c r="G103" s="84">
        <v>12.5</v>
      </c>
      <c r="H103" s="84">
        <f t="shared" si="32"/>
        <v>0</v>
      </c>
      <c r="I103" s="84">
        <f t="shared" si="32"/>
        <v>26</v>
      </c>
      <c r="J103" s="84">
        <f t="shared" si="32"/>
        <v>17</v>
      </c>
      <c r="K103" s="84">
        <f t="shared" si="32"/>
        <v>17</v>
      </c>
      <c r="L103" s="84">
        <f t="shared" ref="L103:AG103" si="33">L107</f>
        <v>17</v>
      </c>
      <c r="M103" s="84">
        <f t="shared" si="33"/>
        <v>17</v>
      </c>
      <c r="N103" s="84">
        <f t="shared" si="33"/>
        <v>17</v>
      </c>
      <c r="O103" s="84">
        <f t="shared" si="33"/>
        <v>17</v>
      </c>
      <c r="P103" s="84">
        <f t="shared" si="33"/>
        <v>17</v>
      </c>
      <c r="Q103" s="84">
        <f t="shared" si="33"/>
        <v>17</v>
      </c>
      <c r="R103" s="84">
        <f t="shared" si="33"/>
        <v>17</v>
      </c>
      <c r="S103" s="84">
        <f t="shared" si="33"/>
        <v>17</v>
      </c>
      <c r="T103" s="84">
        <f t="shared" si="33"/>
        <v>17</v>
      </c>
      <c r="U103" s="84">
        <f t="shared" si="33"/>
        <v>17</v>
      </c>
      <c r="V103" s="84">
        <f t="shared" si="33"/>
        <v>17</v>
      </c>
      <c r="W103" s="84">
        <f t="shared" si="33"/>
        <v>17</v>
      </c>
      <c r="X103" s="84">
        <f t="shared" si="33"/>
        <v>17</v>
      </c>
      <c r="Y103" s="84">
        <f t="shared" si="33"/>
        <v>17</v>
      </c>
      <c r="Z103" s="84">
        <f t="shared" si="33"/>
        <v>17</v>
      </c>
      <c r="AA103" s="84">
        <f t="shared" si="33"/>
        <v>17</v>
      </c>
      <c r="AB103" s="84">
        <f t="shared" si="33"/>
        <v>17</v>
      </c>
      <c r="AC103" s="84">
        <f t="shared" si="33"/>
        <v>17</v>
      </c>
      <c r="AD103" s="84">
        <f t="shared" si="33"/>
        <v>17</v>
      </c>
      <c r="AE103" s="84">
        <f t="shared" si="33"/>
        <v>17</v>
      </c>
      <c r="AF103" s="84">
        <f t="shared" si="33"/>
        <v>17</v>
      </c>
      <c r="AG103" s="84">
        <f t="shared" si="33"/>
        <v>17</v>
      </c>
      <c r="AH103" s="84">
        <f t="shared" ref="AH103:AJ103" si="34">AH107</f>
        <v>17</v>
      </c>
      <c r="AI103" s="84">
        <f t="shared" si="34"/>
        <v>17</v>
      </c>
      <c r="AJ103" s="84">
        <f t="shared" si="34"/>
        <v>17</v>
      </c>
      <c r="AK103" s="84">
        <f t="shared" si="32"/>
        <v>17</v>
      </c>
      <c r="AL103" s="84">
        <f t="shared" si="32"/>
        <v>15</v>
      </c>
      <c r="AM103" s="84">
        <f t="shared" si="32"/>
        <v>15</v>
      </c>
      <c r="AN103" s="84">
        <f t="shared" si="32"/>
        <v>15</v>
      </c>
      <c r="AO103" s="84">
        <f t="shared" si="32"/>
        <v>13.2</v>
      </c>
      <c r="AP103" s="84" t="e">
        <f t="shared" si="32"/>
        <v>#REF!</v>
      </c>
      <c r="AQ103" s="84" t="e">
        <f t="shared" si="32"/>
        <v>#REF!</v>
      </c>
      <c r="AR103" s="84" t="e">
        <f t="shared" si="32"/>
        <v>#REF!</v>
      </c>
      <c r="AS103" s="84" t="e">
        <f t="shared" si="32"/>
        <v>#REF!</v>
      </c>
      <c r="AT103" s="84" t="e">
        <f t="shared" si="32"/>
        <v>#REF!</v>
      </c>
      <c r="AU103" s="84" t="e">
        <f t="shared" si="32"/>
        <v>#REF!</v>
      </c>
      <c r="AV103" s="84" t="e">
        <f t="shared" si="32"/>
        <v>#REF!</v>
      </c>
      <c r="AW103" s="84" t="e">
        <f t="shared" si="32"/>
        <v>#REF!</v>
      </c>
      <c r="AX103" s="84" t="e">
        <f t="shared" si="32"/>
        <v>#REF!</v>
      </c>
      <c r="AY103" s="84" t="e">
        <f t="shared" si="32"/>
        <v>#REF!</v>
      </c>
      <c r="AZ103" s="84" t="e">
        <f t="shared" si="32"/>
        <v>#REF!</v>
      </c>
      <c r="BA103" s="84" t="e">
        <f t="shared" si="32"/>
        <v>#REF!</v>
      </c>
      <c r="BB103" s="84" t="e">
        <f t="shared" si="32"/>
        <v>#REF!</v>
      </c>
      <c r="BC103" s="84" t="e">
        <f t="shared" si="32"/>
        <v>#REF!</v>
      </c>
      <c r="BD103" s="84" t="e">
        <f t="shared" si="32"/>
        <v>#REF!</v>
      </c>
      <c r="BE103" s="84" t="e">
        <f t="shared" si="32"/>
        <v>#REF!</v>
      </c>
      <c r="BF103" s="84" t="e">
        <f t="shared" si="32"/>
        <v>#REF!</v>
      </c>
      <c r="BG103" s="84" t="e">
        <f t="shared" si="32"/>
        <v>#REF!</v>
      </c>
      <c r="BH103" s="84" t="e">
        <f t="shared" si="32"/>
        <v>#REF!</v>
      </c>
      <c r="BI103" s="84" t="e">
        <f t="shared" si="32"/>
        <v>#REF!</v>
      </c>
      <c r="BJ103" s="84" t="e">
        <f t="shared" si="32"/>
        <v>#REF!</v>
      </c>
      <c r="BK103" s="84" t="e">
        <f t="shared" si="32"/>
        <v>#REF!</v>
      </c>
      <c r="BL103" s="84" t="e">
        <f t="shared" si="32"/>
        <v>#REF!</v>
      </c>
      <c r="BM103" s="84" t="e">
        <f t="shared" si="32"/>
        <v>#REF!</v>
      </c>
      <c r="BN103" s="84" t="e">
        <f t="shared" si="32"/>
        <v>#REF!</v>
      </c>
      <c r="BO103" s="84" t="e">
        <f t="shared" si="32"/>
        <v>#REF!</v>
      </c>
      <c r="BP103" s="84" t="e">
        <f t="shared" si="32"/>
        <v>#REF!</v>
      </c>
      <c r="BQ103" s="84" t="e">
        <f t="shared" si="32"/>
        <v>#REF!</v>
      </c>
      <c r="BR103" s="85"/>
      <c r="BS103" s="86">
        <f>+BS107</f>
        <v>16.975757575757576</v>
      </c>
    </row>
    <row r="104" spans="1:72" ht="21" hidden="1" thickBot="1" x14ac:dyDescent="0.25">
      <c r="A104" s="87"/>
      <c r="B104" s="88"/>
      <c r="C104" s="89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5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90"/>
    </row>
    <row r="105" spans="1:72" hidden="1" x14ac:dyDescent="0.2">
      <c r="A105" s="91" t="s">
        <v>195</v>
      </c>
      <c r="B105" s="92" t="s">
        <v>196</v>
      </c>
      <c r="C105" s="92"/>
      <c r="D105" s="93"/>
      <c r="E105" s="93"/>
      <c r="F105" s="94" t="s">
        <v>197</v>
      </c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5"/>
      <c r="AN105" s="95"/>
      <c r="AO105" s="95"/>
      <c r="AP105" s="95"/>
      <c r="AQ105" s="95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7"/>
      <c r="BS105" s="88"/>
    </row>
    <row r="106" spans="1:72" hidden="1" x14ac:dyDescent="0.2">
      <c r="A106" s="44"/>
      <c r="B106" s="65"/>
      <c r="C106" s="98"/>
      <c r="D106" s="47" t="s">
        <v>101</v>
      </c>
      <c r="E106" s="47">
        <v>1</v>
      </c>
      <c r="F106" s="47">
        <v>2</v>
      </c>
      <c r="G106" s="47">
        <v>3</v>
      </c>
      <c r="H106" s="47">
        <v>4</v>
      </c>
      <c r="I106" s="47">
        <v>5</v>
      </c>
      <c r="J106" s="47">
        <v>6</v>
      </c>
      <c r="K106" s="47">
        <v>7</v>
      </c>
      <c r="L106" s="47">
        <v>8</v>
      </c>
      <c r="M106" s="47">
        <v>8</v>
      </c>
      <c r="N106" s="47">
        <v>8</v>
      </c>
      <c r="O106" s="47">
        <v>8</v>
      </c>
      <c r="P106" s="47">
        <v>8</v>
      </c>
      <c r="Q106" s="47">
        <v>8</v>
      </c>
      <c r="R106" s="47">
        <v>8</v>
      </c>
      <c r="S106" s="47">
        <v>8</v>
      </c>
      <c r="T106" s="47">
        <v>8</v>
      </c>
      <c r="U106" s="47">
        <v>8</v>
      </c>
      <c r="V106" s="47">
        <v>8</v>
      </c>
      <c r="W106" s="47">
        <v>8</v>
      </c>
      <c r="X106" s="47">
        <v>8</v>
      </c>
      <c r="Y106" s="47">
        <v>8</v>
      </c>
      <c r="Z106" s="47">
        <v>8</v>
      </c>
      <c r="AA106" s="47">
        <v>8</v>
      </c>
      <c r="AB106" s="47">
        <v>8</v>
      </c>
      <c r="AC106" s="47">
        <v>8</v>
      </c>
      <c r="AD106" s="47">
        <v>8</v>
      </c>
      <c r="AE106" s="47">
        <v>8</v>
      </c>
      <c r="AF106" s="47">
        <v>8</v>
      </c>
      <c r="AG106" s="47">
        <v>8</v>
      </c>
      <c r="AH106" s="47">
        <v>8</v>
      </c>
      <c r="AI106" s="47">
        <v>8</v>
      </c>
      <c r="AJ106" s="47">
        <v>8</v>
      </c>
      <c r="AK106" s="47">
        <v>9</v>
      </c>
      <c r="AL106" s="47">
        <v>10</v>
      </c>
      <c r="AM106" s="99">
        <v>11</v>
      </c>
      <c r="AN106" s="99">
        <v>12</v>
      </c>
      <c r="AO106" s="99">
        <v>13</v>
      </c>
      <c r="AP106" s="99">
        <v>14</v>
      </c>
      <c r="AQ106" s="99">
        <v>15</v>
      </c>
      <c r="AR106" s="99">
        <v>16</v>
      </c>
      <c r="AS106" s="99">
        <v>16</v>
      </c>
      <c r="AT106" s="99">
        <v>16</v>
      </c>
      <c r="AU106" s="99">
        <v>16</v>
      </c>
      <c r="AV106" s="99">
        <v>16</v>
      </c>
      <c r="AW106" s="99">
        <v>16</v>
      </c>
      <c r="AX106" s="99">
        <v>16</v>
      </c>
      <c r="AY106" s="99">
        <v>16</v>
      </c>
      <c r="AZ106" s="99">
        <v>16</v>
      </c>
      <c r="BA106" s="99">
        <v>16</v>
      </c>
      <c r="BB106" s="99">
        <v>16</v>
      </c>
      <c r="BC106" s="99">
        <v>16</v>
      </c>
      <c r="BD106" s="99">
        <v>16</v>
      </c>
      <c r="BE106" s="99">
        <v>16</v>
      </c>
      <c r="BF106" s="99">
        <v>16</v>
      </c>
      <c r="BG106" s="99">
        <v>16</v>
      </c>
      <c r="BH106" s="99">
        <v>16</v>
      </c>
      <c r="BI106" s="99">
        <v>16</v>
      </c>
      <c r="BJ106" s="99">
        <v>16</v>
      </c>
      <c r="BK106" s="99">
        <v>16</v>
      </c>
      <c r="BL106" s="99">
        <v>16</v>
      </c>
      <c r="BM106" s="99">
        <v>16</v>
      </c>
      <c r="BN106" s="99">
        <v>16</v>
      </c>
      <c r="BO106" s="99">
        <v>16</v>
      </c>
      <c r="BP106" s="99">
        <v>16</v>
      </c>
      <c r="BQ106" s="99">
        <v>16</v>
      </c>
      <c r="BR106" s="99"/>
      <c r="BS106" s="100" t="s">
        <v>190</v>
      </c>
    </row>
    <row r="107" spans="1:72" hidden="1" x14ac:dyDescent="0.2">
      <c r="A107" s="73" t="s">
        <v>155</v>
      </c>
      <c r="B107" s="65" t="s">
        <v>198</v>
      </c>
      <c r="C107" s="98"/>
      <c r="D107" s="101" t="s">
        <v>194</v>
      </c>
      <c r="E107" s="54"/>
      <c r="F107" s="54"/>
      <c r="G107" s="54"/>
      <c r="H107" s="54"/>
      <c r="I107" s="54">
        <v>26</v>
      </c>
      <c r="J107" s="54">
        <v>17</v>
      </c>
      <c r="K107" s="54">
        <v>17</v>
      </c>
      <c r="L107" s="54">
        <v>17</v>
      </c>
      <c r="M107" s="54">
        <v>17</v>
      </c>
      <c r="N107" s="54">
        <v>17</v>
      </c>
      <c r="O107" s="54">
        <v>17</v>
      </c>
      <c r="P107" s="54">
        <v>17</v>
      </c>
      <c r="Q107" s="54">
        <v>17</v>
      </c>
      <c r="R107" s="54">
        <v>17</v>
      </c>
      <c r="S107" s="54">
        <v>17</v>
      </c>
      <c r="T107" s="54">
        <v>17</v>
      </c>
      <c r="U107" s="54">
        <v>17</v>
      </c>
      <c r="V107" s="54">
        <v>17</v>
      </c>
      <c r="W107" s="54">
        <v>17</v>
      </c>
      <c r="X107" s="54">
        <v>17</v>
      </c>
      <c r="Y107" s="54">
        <v>17</v>
      </c>
      <c r="Z107" s="54">
        <v>17</v>
      </c>
      <c r="AA107" s="54">
        <v>17</v>
      </c>
      <c r="AB107" s="54">
        <v>17</v>
      </c>
      <c r="AC107" s="54">
        <v>17</v>
      </c>
      <c r="AD107" s="54">
        <v>17</v>
      </c>
      <c r="AE107" s="54">
        <v>17</v>
      </c>
      <c r="AF107" s="54">
        <v>17</v>
      </c>
      <c r="AG107" s="54">
        <v>17</v>
      </c>
      <c r="AH107" s="54">
        <v>17</v>
      </c>
      <c r="AI107" s="54">
        <v>17</v>
      </c>
      <c r="AJ107" s="54">
        <v>17</v>
      </c>
      <c r="AK107" s="54">
        <v>17</v>
      </c>
      <c r="AL107" s="54">
        <v>15</v>
      </c>
      <c r="AM107" s="55">
        <v>15</v>
      </c>
      <c r="AN107" s="55">
        <v>15</v>
      </c>
      <c r="AO107" s="55">
        <v>13.2</v>
      </c>
      <c r="AP107" s="55" t="e">
        <f>#REF!</f>
        <v>#REF!</v>
      </c>
      <c r="AQ107" s="55" t="e">
        <f>#REF!</f>
        <v>#REF!</v>
      </c>
      <c r="AR107" s="55" t="e">
        <f>#REF!</f>
        <v>#REF!</v>
      </c>
      <c r="AS107" s="55" t="e">
        <f>#REF!</f>
        <v>#REF!</v>
      </c>
      <c r="AT107" s="55" t="e">
        <f>#REF!</f>
        <v>#REF!</v>
      </c>
      <c r="AU107" s="55" t="e">
        <f>#REF!</f>
        <v>#REF!</v>
      </c>
      <c r="AV107" s="55" t="e">
        <f>#REF!</f>
        <v>#REF!</v>
      </c>
      <c r="AW107" s="55" t="e">
        <f>#REF!</f>
        <v>#REF!</v>
      </c>
      <c r="AX107" s="55" t="e">
        <f>#REF!</f>
        <v>#REF!</v>
      </c>
      <c r="AY107" s="55" t="e">
        <f>#REF!</f>
        <v>#REF!</v>
      </c>
      <c r="AZ107" s="55" t="e">
        <f>#REF!</f>
        <v>#REF!</v>
      </c>
      <c r="BA107" s="55" t="e">
        <f>#REF!</f>
        <v>#REF!</v>
      </c>
      <c r="BB107" s="55" t="e">
        <f>#REF!</f>
        <v>#REF!</v>
      </c>
      <c r="BC107" s="55" t="e">
        <f>#REF!</f>
        <v>#REF!</v>
      </c>
      <c r="BD107" s="55" t="e">
        <f>#REF!</f>
        <v>#REF!</v>
      </c>
      <c r="BE107" s="55" t="e">
        <f>#REF!</f>
        <v>#REF!</v>
      </c>
      <c r="BF107" s="55" t="e">
        <f>#REF!</f>
        <v>#REF!</v>
      </c>
      <c r="BG107" s="55" t="e">
        <f>#REF!</f>
        <v>#REF!</v>
      </c>
      <c r="BH107" s="55" t="e">
        <f>#REF!</f>
        <v>#REF!</v>
      </c>
      <c r="BI107" s="55" t="e">
        <f>#REF!</f>
        <v>#REF!</v>
      </c>
      <c r="BJ107" s="55" t="e">
        <f>#REF!</f>
        <v>#REF!</v>
      </c>
      <c r="BK107" s="55" t="e">
        <f>#REF!</f>
        <v>#REF!</v>
      </c>
      <c r="BL107" s="55" t="e">
        <f>#REF!</f>
        <v>#REF!</v>
      </c>
      <c r="BM107" s="55" t="e">
        <f>#REF!</f>
        <v>#REF!</v>
      </c>
      <c r="BN107" s="55" t="e">
        <f>#REF!</f>
        <v>#REF!</v>
      </c>
      <c r="BO107" s="55" t="e">
        <f>#REF!</f>
        <v>#REF!</v>
      </c>
      <c r="BP107" s="55" t="e">
        <f>#REF!</f>
        <v>#REF!</v>
      </c>
      <c r="BQ107" s="55" t="e">
        <f>#REF!</f>
        <v>#REF!</v>
      </c>
      <c r="BR107" s="55"/>
      <c r="BS107" s="102">
        <f>AVERAGE(E107:AO107)</f>
        <v>16.975757575757576</v>
      </c>
    </row>
    <row r="108" spans="1:72" hidden="1" x14ac:dyDescent="0.2">
      <c r="A108" s="73" t="s">
        <v>158</v>
      </c>
      <c r="B108" s="65" t="s">
        <v>199</v>
      </c>
      <c r="C108" s="98"/>
      <c r="D108" s="101" t="s">
        <v>14</v>
      </c>
      <c r="E108" s="54"/>
      <c r="F108" s="54"/>
      <c r="G108" s="54"/>
      <c r="H108" s="54"/>
      <c r="I108" s="54">
        <v>2.85</v>
      </c>
      <c r="J108" s="54">
        <v>2.85</v>
      </c>
      <c r="K108" s="54">
        <v>2.85</v>
      </c>
      <c r="L108" s="54">
        <v>2.85</v>
      </c>
      <c r="M108" s="54">
        <v>2.85</v>
      </c>
      <c r="N108" s="54">
        <v>2.85</v>
      </c>
      <c r="O108" s="54">
        <v>2.85</v>
      </c>
      <c r="P108" s="54">
        <v>2.85</v>
      </c>
      <c r="Q108" s="54">
        <v>2.85</v>
      </c>
      <c r="R108" s="54">
        <v>2.85</v>
      </c>
      <c r="S108" s="54">
        <v>2.85</v>
      </c>
      <c r="T108" s="54">
        <v>2.85</v>
      </c>
      <c r="U108" s="54">
        <v>2.85</v>
      </c>
      <c r="V108" s="54">
        <v>2.85</v>
      </c>
      <c r="W108" s="54">
        <v>2.85</v>
      </c>
      <c r="X108" s="54">
        <v>2.85</v>
      </c>
      <c r="Y108" s="54">
        <v>2.85</v>
      </c>
      <c r="Z108" s="54">
        <v>2.85</v>
      </c>
      <c r="AA108" s="54">
        <v>2.85</v>
      </c>
      <c r="AB108" s="54">
        <v>2.85</v>
      </c>
      <c r="AC108" s="54">
        <v>2.85</v>
      </c>
      <c r="AD108" s="54">
        <v>2.85</v>
      </c>
      <c r="AE108" s="54">
        <v>2.85</v>
      </c>
      <c r="AF108" s="54">
        <v>2.85</v>
      </c>
      <c r="AG108" s="54">
        <v>2.85</v>
      </c>
      <c r="AH108" s="54">
        <v>2.85</v>
      </c>
      <c r="AI108" s="54">
        <v>2.85</v>
      </c>
      <c r="AJ108" s="54">
        <v>2.85</v>
      </c>
      <c r="AK108" s="54">
        <v>2.85</v>
      </c>
      <c r="AL108" s="54">
        <v>2.85</v>
      </c>
      <c r="AM108" s="55">
        <v>2.85</v>
      </c>
      <c r="AN108" s="55">
        <v>2.85</v>
      </c>
      <c r="AO108" s="55">
        <v>2.85</v>
      </c>
      <c r="AP108" s="55">
        <v>2.85</v>
      </c>
      <c r="AQ108" s="55">
        <v>2.85</v>
      </c>
      <c r="AR108" s="55">
        <v>2.85</v>
      </c>
      <c r="AS108" s="55">
        <v>2.85</v>
      </c>
      <c r="AT108" s="55">
        <v>2.85</v>
      </c>
      <c r="AU108" s="55">
        <v>2.85</v>
      </c>
      <c r="AV108" s="55">
        <v>2.85</v>
      </c>
      <c r="AW108" s="55">
        <v>2.85</v>
      </c>
      <c r="AX108" s="55">
        <v>2.85</v>
      </c>
      <c r="AY108" s="55">
        <v>2.85</v>
      </c>
      <c r="AZ108" s="55">
        <v>2.85</v>
      </c>
      <c r="BA108" s="55">
        <v>2.85</v>
      </c>
      <c r="BB108" s="55">
        <v>2.85</v>
      </c>
      <c r="BC108" s="55">
        <v>2.85</v>
      </c>
      <c r="BD108" s="55">
        <v>2.85</v>
      </c>
      <c r="BE108" s="55">
        <v>2.85</v>
      </c>
      <c r="BF108" s="55">
        <v>2.85</v>
      </c>
      <c r="BG108" s="55">
        <v>2.85</v>
      </c>
      <c r="BH108" s="55">
        <v>2.85</v>
      </c>
      <c r="BI108" s="55">
        <v>2.85</v>
      </c>
      <c r="BJ108" s="55">
        <v>2.85</v>
      </c>
      <c r="BK108" s="55">
        <v>2.85</v>
      </c>
      <c r="BL108" s="55">
        <v>2.85</v>
      </c>
      <c r="BM108" s="55">
        <v>2.85</v>
      </c>
      <c r="BN108" s="55">
        <v>2.85</v>
      </c>
      <c r="BO108" s="55">
        <v>2.85</v>
      </c>
      <c r="BP108" s="55">
        <v>2.85</v>
      </c>
      <c r="BQ108" s="55">
        <v>2.85</v>
      </c>
      <c r="BR108" s="55"/>
      <c r="BS108" s="102">
        <f>AVERAGE(E108:AK108)</f>
        <v>2.8499999999999996</v>
      </c>
    </row>
    <row r="109" spans="1:72" hidden="1" x14ac:dyDescent="0.2">
      <c r="A109" s="73" t="s">
        <v>161</v>
      </c>
      <c r="B109" s="65" t="s">
        <v>200</v>
      </c>
      <c r="C109" s="98"/>
      <c r="D109" s="101" t="s">
        <v>201</v>
      </c>
      <c r="E109" s="35"/>
      <c r="F109" s="35"/>
      <c r="G109" s="35"/>
      <c r="H109" s="35"/>
      <c r="I109" s="35" t="e">
        <f>#REF!</f>
        <v>#REF!</v>
      </c>
      <c r="J109" s="35" t="e">
        <f>#REF!</f>
        <v>#REF!</v>
      </c>
      <c r="K109" s="35" t="e">
        <f>#REF!</f>
        <v>#REF!</v>
      </c>
      <c r="L109" s="35" t="e">
        <f>#REF!</f>
        <v>#REF!</v>
      </c>
      <c r="M109" s="35" t="e">
        <f>#REF!</f>
        <v>#REF!</v>
      </c>
      <c r="N109" s="35" t="e">
        <f>#REF!</f>
        <v>#REF!</v>
      </c>
      <c r="O109" s="35" t="e">
        <f>#REF!</f>
        <v>#REF!</v>
      </c>
      <c r="P109" s="35" t="e">
        <f>#REF!</f>
        <v>#REF!</v>
      </c>
      <c r="Q109" s="35" t="e">
        <f>#REF!</f>
        <v>#REF!</v>
      </c>
      <c r="R109" s="35" t="e">
        <f>#REF!</f>
        <v>#REF!</v>
      </c>
      <c r="S109" s="35" t="e">
        <f>#REF!</f>
        <v>#REF!</v>
      </c>
      <c r="T109" s="35" t="e">
        <f>#REF!</f>
        <v>#REF!</v>
      </c>
      <c r="U109" s="35" t="e">
        <f>#REF!</f>
        <v>#REF!</v>
      </c>
      <c r="V109" s="35" t="e">
        <f>#REF!</f>
        <v>#REF!</v>
      </c>
      <c r="W109" s="35" t="e">
        <f>#REF!</f>
        <v>#REF!</v>
      </c>
      <c r="X109" s="35" t="e">
        <f>#REF!</f>
        <v>#REF!</v>
      </c>
      <c r="Y109" s="35" t="e">
        <f>#REF!</f>
        <v>#REF!</v>
      </c>
      <c r="Z109" s="35" t="e">
        <f>#REF!</f>
        <v>#REF!</v>
      </c>
      <c r="AA109" s="35" t="e">
        <f>#REF!</f>
        <v>#REF!</v>
      </c>
      <c r="AB109" s="35" t="e">
        <f>#REF!</f>
        <v>#REF!</v>
      </c>
      <c r="AC109" s="35" t="e">
        <f>#REF!</f>
        <v>#REF!</v>
      </c>
      <c r="AD109" s="35" t="e">
        <f>#REF!</f>
        <v>#REF!</v>
      </c>
      <c r="AE109" s="35" t="e">
        <f>#REF!</f>
        <v>#REF!</v>
      </c>
      <c r="AF109" s="35" t="e">
        <f>#REF!</f>
        <v>#REF!</v>
      </c>
      <c r="AG109" s="35" t="e">
        <f>#REF!</f>
        <v>#REF!</v>
      </c>
      <c r="AH109" s="35" t="e">
        <f>#REF!</f>
        <v>#REF!</v>
      </c>
      <c r="AI109" s="35" t="e">
        <f>#REF!</f>
        <v>#REF!</v>
      </c>
      <c r="AJ109" s="35" t="e">
        <f>#REF!</f>
        <v>#REF!</v>
      </c>
      <c r="AK109" s="35" t="e">
        <f>#REF!</f>
        <v>#REF!</v>
      </c>
      <c r="AL109" s="35" t="e">
        <f>#REF!</f>
        <v>#REF!</v>
      </c>
      <c r="AM109" s="35" t="e">
        <f>#REF!</f>
        <v>#REF!</v>
      </c>
      <c r="AN109" s="36" t="e">
        <f>#REF!</f>
        <v>#REF!</v>
      </c>
      <c r="AO109" s="36" t="e">
        <f>#REF!</f>
        <v>#REF!</v>
      </c>
      <c r="AP109" s="36" t="e">
        <f>#REF!</f>
        <v>#REF!</v>
      </c>
      <c r="AQ109" s="36" t="e">
        <f>#REF!</f>
        <v>#REF!</v>
      </c>
      <c r="AR109" s="36" t="e">
        <f>#REF!</f>
        <v>#REF!</v>
      </c>
      <c r="AS109" s="36" t="e">
        <f>#REF!</f>
        <v>#REF!</v>
      </c>
      <c r="AT109" s="36" t="e">
        <f>#REF!</f>
        <v>#REF!</v>
      </c>
      <c r="AU109" s="36" t="e">
        <f>#REF!</f>
        <v>#REF!</v>
      </c>
      <c r="AV109" s="36" t="e">
        <f>#REF!</f>
        <v>#REF!</v>
      </c>
      <c r="AW109" s="36" t="e">
        <f>#REF!</f>
        <v>#REF!</v>
      </c>
      <c r="AX109" s="36" t="e">
        <f>#REF!</f>
        <v>#REF!</v>
      </c>
      <c r="AY109" s="36" t="e">
        <f>#REF!</f>
        <v>#REF!</v>
      </c>
      <c r="AZ109" s="36" t="e">
        <f>#REF!</f>
        <v>#REF!</v>
      </c>
      <c r="BA109" s="36" t="e">
        <f>#REF!</f>
        <v>#REF!</v>
      </c>
      <c r="BB109" s="36" t="e">
        <f>#REF!</f>
        <v>#REF!</v>
      </c>
      <c r="BC109" s="36" t="e">
        <f>#REF!</f>
        <v>#REF!</v>
      </c>
      <c r="BD109" s="36" t="e">
        <f>#REF!</f>
        <v>#REF!</v>
      </c>
      <c r="BE109" s="36" t="e">
        <f>#REF!</f>
        <v>#REF!</v>
      </c>
      <c r="BF109" s="36" t="e">
        <f>#REF!</f>
        <v>#REF!</v>
      </c>
      <c r="BG109" s="36" t="e">
        <f>#REF!</f>
        <v>#REF!</v>
      </c>
      <c r="BH109" s="36" t="e">
        <f>#REF!</f>
        <v>#REF!</v>
      </c>
      <c r="BI109" s="36" t="e">
        <f>#REF!</f>
        <v>#REF!</v>
      </c>
      <c r="BJ109" s="36" t="e">
        <f>#REF!</f>
        <v>#REF!</v>
      </c>
      <c r="BK109" s="36" t="e">
        <f>#REF!</f>
        <v>#REF!</v>
      </c>
      <c r="BL109" s="36" t="e">
        <f>#REF!</f>
        <v>#REF!</v>
      </c>
      <c r="BM109" s="36" t="e">
        <f>#REF!</f>
        <v>#REF!</v>
      </c>
      <c r="BN109" s="36" t="e">
        <f>#REF!</f>
        <v>#REF!</v>
      </c>
      <c r="BO109" s="36" t="e">
        <f>#REF!</f>
        <v>#REF!</v>
      </c>
      <c r="BP109" s="36" t="e">
        <f>#REF!</f>
        <v>#REF!</v>
      </c>
      <c r="BQ109" s="36" t="e">
        <f>#REF!</f>
        <v>#REF!</v>
      </c>
      <c r="BR109" s="36"/>
      <c r="BS109" s="102" t="e">
        <f>AVERAGE(E109:AO109)</f>
        <v>#REF!</v>
      </c>
    </row>
    <row r="110" spans="1:72" hidden="1" x14ac:dyDescent="0.2">
      <c r="A110" s="73" t="s">
        <v>164</v>
      </c>
      <c r="B110" s="65" t="s">
        <v>202</v>
      </c>
      <c r="C110" s="98"/>
      <c r="D110" s="101" t="s">
        <v>16</v>
      </c>
      <c r="E110" s="54"/>
      <c r="F110" s="54"/>
      <c r="G110" s="54"/>
      <c r="H110" s="54"/>
      <c r="I110" s="54">
        <f t="shared" ref="I110:BQ110" si="35">+I102</f>
        <v>1.6</v>
      </c>
      <c r="J110" s="54">
        <f t="shared" si="35"/>
        <v>3.5</v>
      </c>
      <c r="K110" s="54">
        <f t="shared" si="35"/>
        <v>12</v>
      </c>
      <c r="L110" s="54">
        <f t="shared" ref="L110:AG110" si="36">+L102</f>
        <v>26.5</v>
      </c>
      <c r="M110" s="54">
        <f t="shared" si="36"/>
        <v>26.5</v>
      </c>
      <c r="N110" s="54">
        <f t="shared" si="36"/>
        <v>26.5</v>
      </c>
      <c r="O110" s="54">
        <f t="shared" si="36"/>
        <v>26.5</v>
      </c>
      <c r="P110" s="54">
        <f t="shared" si="36"/>
        <v>26.5</v>
      </c>
      <c r="Q110" s="54">
        <f t="shared" si="36"/>
        <v>26.5</v>
      </c>
      <c r="R110" s="54">
        <f t="shared" si="36"/>
        <v>26.5</v>
      </c>
      <c r="S110" s="54">
        <f t="shared" si="36"/>
        <v>26.5</v>
      </c>
      <c r="T110" s="54">
        <f t="shared" si="36"/>
        <v>26.5</v>
      </c>
      <c r="U110" s="54">
        <f t="shared" si="36"/>
        <v>26.5</v>
      </c>
      <c r="V110" s="54">
        <f t="shared" si="36"/>
        <v>26.5</v>
      </c>
      <c r="W110" s="54">
        <f t="shared" si="36"/>
        <v>26.5</v>
      </c>
      <c r="X110" s="54">
        <f t="shared" si="36"/>
        <v>26.5</v>
      </c>
      <c r="Y110" s="54">
        <f t="shared" si="36"/>
        <v>26.5</v>
      </c>
      <c r="Z110" s="54">
        <f t="shared" si="36"/>
        <v>26.5</v>
      </c>
      <c r="AA110" s="54">
        <f t="shared" si="36"/>
        <v>26.5</v>
      </c>
      <c r="AB110" s="54">
        <f t="shared" si="36"/>
        <v>26.5</v>
      </c>
      <c r="AC110" s="54">
        <f t="shared" si="36"/>
        <v>26.5</v>
      </c>
      <c r="AD110" s="54">
        <f t="shared" si="36"/>
        <v>26.5</v>
      </c>
      <c r="AE110" s="54">
        <f t="shared" si="36"/>
        <v>26.5</v>
      </c>
      <c r="AF110" s="54">
        <f t="shared" si="36"/>
        <v>26.5</v>
      </c>
      <c r="AG110" s="54">
        <f t="shared" si="36"/>
        <v>26.5</v>
      </c>
      <c r="AH110" s="54">
        <f t="shared" ref="AH110:AJ110" si="37">+AH102</f>
        <v>26.5</v>
      </c>
      <c r="AI110" s="54">
        <f t="shared" si="37"/>
        <v>26.5</v>
      </c>
      <c r="AJ110" s="54">
        <f t="shared" si="37"/>
        <v>26.5</v>
      </c>
      <c r="AK110" s="54">
        <f t="shared" si="35"/>
        <v>12</v>
      </c>
      <c r="AL110" s="54">
        <f t="shared" si="35"/>
        <v>17.5</v>
      </c>
      <c r="AM110" s="54">
        <f t="shared" si="35"/>
        <v>26</v>
      </c>
      <c r="AN110" s="54">
        <f t="shared" si="35"/>
        <v>35</v>
      </c>
      <c r="AO110" s="54">
        <f t="shared" si="35"/>
        <v>20.5</v>
      </c>
      <c r="AP110" s="54">
        <f t="shared" si="35"/>
        <v>32.5</v>
      </c>
      <c r="AQ110" s="54">
        <f t="shared" si="35"/>
        <v>47</v>
      </c>
      <c r="AR110" s="54">
        <f t="shared" si="35"/>
        <v>53</v>
      </c>
      <c r="AS110" s="54">
        <f t="shared" si="35"/>
        <v>53</v>
      </c>
      <c r="AT110" s="54">
        <f t="shared" si="35"/>
        <v>53</v>
      </c>
      <c r="AU110" s="54">
        <f t="shared" si="35"/>
        <v>53</v>
      </c>
      <c r="AV110" s="54">
        <f t="shared" si="35"/>
        <v>53</v>
      </c>
      <c r="AW110" s="54">
        <f t="shared" si="35"/>
        <v>53</v>
      </c>
      <c r="AX110" s="54">
        <f t="shared" si="35"/>
        <v>53</v>
      </c>
      <c r="AY110" s="54">
        <f t="shared" si="35"/>
        <v>53</v>
      </c>
      <c r="AZ110" s="54">
        <f t="shared" si="35"/>
        <v>53</v>
      </c>
      <c r="BA110" s="54">
        <f t="shared" si="35"/>
        <v>53</v>
      </c>
      <c r="BB110" s="54">
        <f t="shared" si="35"/>
        <v>53</v>
      </c>
      <c r="BC110" s="54">
        <f t="shared" si="35"/>
        <v>53</v>
      </c>
      <c r="BD110" s="54">
        <f t="shared" si="35"/>
        <v>53</v>
      </c>
      <c r="BE110" s="54">
        <f t="shared" si="35"/>
        <v>53</v>
      </c>
      <c r="BF110" s="54">
        <f t="shared" si="35"/>
        <v>53</v>
      </c>
      <c r="BG110" s="54">
        <f t="shared" si="35"/>
        <v>53</v>
      </c>
      <c r="BH110" s="54">
        <f t="shared" si="35"/>
        <v>53</v>
      </c>
      <c r="BI110" s="54">
        <f t="shared" si="35"/>
        <v>53</v>
      </c>
      <c r="BJ110" s="54">
        <f t="shared" si="35"/>
        <v>53</v>
      </c>
      <c r="BK110" s="54">
        <f t="shared" si="35"/>
        <v>53</v>
      </c>
      <c r="BL110" s="54">
        <f t="shared" si="35"/>
        <v>53</v>
      </c>
      <c r="BM110" s="54">
        <f t="shared" si="35"/>
        <v>53</v>
      </c>
      <c r="BN110" s="54">
        <f t="shared" si="35"/>
        <v>53</v>
      </c>
      <c r="BO110" s="54">
        <f t="shared" si="35"/>
        <v>53</v>
      </c>
      <c r="BP110" s="54">
        <f t="shared" si="35"/>
        <v>53</v>
      </c>
      <c r="BQ110" s="54">
        <f t="shared" si="35"/>
        <v>53</v>
      </c>
      <c r="BR110" s="55"/>
      <c r="BS110" s="102">
        <f>SUM(E110:AO110)</f>
        <v>790.6</v>
      </c>
    </row>
    <row r="111" spans="1:72" hidden="1" x14ac:dyDescent="0.2">
      <c r="A111" s="73" t="s">
        <v>177</v>
      </c>
      <c r="B111" s="65" t="s">
        <v>203</v>
      </c>
      <c r="C111" s="98"/>
      <c r="D111" s="101" t="s">
        <v>204</v>
      </c>
      <c r="E111" s="35">
        <v>24</v>
      </c>
      <c r="F111" s="35">
        <v>24</v>
      </c>
      <c r="G111" s="35">
        <v>24</v>
      </c>
      <c r="H111" s="35"/>
      <c r="I111" s="35">
        <v>24</v>
      </c>
      <c r="J111" s="35">
        <v>24</v>
      </c>
      <c r="K111" s="35">
        <v>24</v>
      </c>
      <c r="L111" s="35">
        <v>24</v>
      </c>
      <c r="M111" s="35">
        <v>24</v>
      </c>
      <c r="N111" s="35">
        <v>24</v>
      </c>
      <c r="O111" s="35">
        <v>24</v>
      </c>
      <c r="P111" s="35">
        <v>24</v>
      </c>
      <c r="Q111" s="35">
        <v>24</v>
      </c>
      <c r="R111" s="35">
        <v>24</v>
      </c>
      <c r="S111" s="35">
        <v>24</v>
      </c>
      <c r="T111" s="35">
        <v>24</v>
      </c>
      <c r="U111" s="35">
        <v>24</v>
      </c>
      <c r="V111" s="35">
        <v>24</v>
      </c>
      <c r="W111" s="35">
        <v>24</v>
      </c>
      <c r="X111" s="35">
        <v>24</v>
      </c>
      <c r="Y111" s="35">
        <v>24</v>
      </c>
      <c r="Z111" s="35">
        <v>24</v>
      </c>
      <c r="AA111" s="35">
        <v>24</v>
      </c>
      <c r="AB111" s="35">
        <v>24</v>
      </c>
      <c r="AC111" s="35">
        <v>24</v>
      </c>
      <c r="AD111" s="35">
        <v>24</v>
      </c>
      <c r="AE111" s="35">
        <v>24</v>
      </c>
      <c r="AF111" s="35">
        <v>24</v>
      </c>
      <c r="AG111" s="35">
        <v>24</v>
      </c>
      <c r="AH111" s="35">
        <v>24</v>
      </c>
      <c r="AI111" s="35">
        <v>24</v>
      </c>
      <c r="AJ111" s="35">
        <v>24</v>
      </c>
      <c r="AK111" s="35">
        <v>24</v>
      </c>
      <c r="AL111" s="35">
        <v>24</v>
      </c>
      <c r="AM111" s="35">
        <v>24</v>
      </c>
      <c r="AN111" s="35">
        <v>24</v>
      </c>
      <c r="AO111" s="35">
        <v>24</v>
      </c>
      <c r="AP111" s="35">
        <v>24</v>
      </c>
      <c r="AQ111" s="35">
        <v>24</v>
      </c>
      <c r="AR111" s="35">
        <v>24</v>
      </c>
      <c r="AS111" s="35">
        <v>24</v>
      </c>
      <c r="AT111" s="35">
        <v>24</v>
      </c>
      <c r="AU111" s="35">
        <v>24</v>
      </c>
      <c r="AV111" s="35">
        <v>24</v>
      </c>
      <c r="AW111" s="35">
        <v>24</v>
      </c>
      <c r="AX111" s="35">
        <v>24</v>
      </c>
      <c r="AY111" s="35">
        <v>24</v>
      </c>
      <c r="AZ111" s="35">
        <v>24</v>
      </c>
      <c r="BA111" s="35">
        <v>24</v>
      </c>
      <c r="BB111" s="35">
        <v>24</v>
      </c>
      <c r="BC111" s="35">
        <v>24</v>
      </c>
      <c r="BD111" s="35">
        <v>24</v>
      </c>
      <c r="BE111" s="35">
        <v>24</v>
      </c>
      <c r="BF111" s="35">
        <v>24</v>
      </c>
      <c r="BG111" s="35">
        <v>24</v>
      </c>
      <c r="BH111" s="35">
        <v>24</v>
      </c>
      <c r="BI111" s="35">
        <v>24</v>
      </c>
      <c r="BJ111" s="35">
        <v>24</v>
      </c>
      <c r="BK111" s="35">
        <v>24</v>
      </c>
      <c r="BL111" s="35">
        <v>24</v>
      </c>
      <c r="BM111" s="35">
        <v>24</v>
      </c>
      <c r="BN111" s="35">
        <v>24</v>
      </c>
      <c r="BO111" s="35">
        <v>24</v>
      </c>
      <c r="BP111" s="35">
        <v>24</v>
      </c>
      <c r="BQ111" s="35">
        <v>24</v>
      </c>
      <c r="BR111" s="36"/>
      <c r="BS111" s="102">
        <f>SUM(E111:AO111)</f>
        <v>864</v>
      </c>
    </row>
    <row r="112" spans="1:72" hidden="1" x14ac:dyDescent="0.2">
      <c r="A112" s="73" t="s">
        <v>179</v>
      </c>
      <c r="B112" s="65" t="s">
        <v>205</v>
      </c>
      <c r="C112" s="98"/>
      <c r="D112" s="101" t="s">
        <v>204</v>
      </c>
      <c r="E112" s="54">
        <f t="shared" ref="E112:BQ112" si="38">E72</f>
        <v>0</v>
      </c>
      <c r="F112" s="35">
        <f t="shared" si="38"/>
        <v>0</v>
      </c>
      <c r="G112" s="35">
        <f t="shared" si="38"/>
        <v>0</v>
      </c>
      <c r="H112" s="35"/>
      <c r="I112" s="54" t="e">
        <f t="shared" si="38"/>
        <v>#REF!</v>
      </c>
      <c r="J112" s="54" t="e">
        <f t="shared" si="38"/>
        <v>#REF!</v>
      </c>
      <c r="K112" s="54" t="e">
        <f t="shared" si="38"/>
        <v>#REF!</v>
      </c>
      <c r="L112" s="54" t="e">
        <f t="shared" ref="L112:AG112" si="39">L72</f>
        <v>#REF!</v>
      </c>
      <c r="M112" s="54" t="e">
        <f t="shared" si="39"/>
        <v>#REF!</v>
      </c>
      <c r="N112" s="54" t="e">
        <f t="shared" si="39"/>
        <v>#REF!</v>
      </c>
      <c r="O112" s="54" t="e">
        <f t="shared" si="39"/>
        <v>#REF!</v>
      </c>
      <c r="P112" s="54" t="e">
        <f t="shared" si="39"/>
        <v>#REF!</v>
      </c>
      <c r="Q112" s="54" t="e">
        <f t="shared" si="39"/>
        <v>#REF!</v>
      </c>
      <c r="R112" s="54" t="e">
        <f t="shared" si="39"/>
        <v>#REF!</v>
      </c>
      <c r="S112" s="54" t="e">
        <f t="shared" si="39"/>
        <v>#REF!</v>
      </c>
      <c r="T112" s="54" t="e">
        <f t="shared" si="39"/>
        <v>#REF!</v>
      </c>
      <c r="U112" s="54" t="e">
        <f t="shared" si="39"/>
        <v>#REF!</v>
      </c>
      <c r="V112" s="54" t="e">
        <f t="shared" si="39"/>
        <v>#REF!</v>
      </c>
      <c r="W112" s="54" t="e">
        <f t="shared" si="39"/>
        <v>#REF!</v>
      </c>
      <c r="X112" s="54" t="e">
        <f t="shared" si="39"/>
        <v>#REF!</v>
      </c>
      <c r="Y112" s="54" t="e">
        <f t="shared" si="39"/>
        <v>#REF!</v>
      </c>
      <c r="Z112" s="54" t="e">
        <f t="shared" si="39"/>
        <v>#REF!</v>
      </c>
      <c r="AA112" s="54" t="e">
        <f t="shared" si="39"/>
        <v>#REF!</v>
      </c>
      <c r="AB112" s="54" t="e">
        <f t="shared" si="39"/>
        <v>#REF!</v>
      </c>
      <c r="AC112" s="54" t="e">
        <f t="shared" si="39"/>
        <v>#REF!</v>
      </c>
      <c r="AD112" s="54" t="e">
        <f t="shared" si="39"/>
        <v>#REF!</v>
      </c>
      <c r="AE112" s="54" t="e">
        <f t="shared" si="39"/>
        <v>#REF!</v>
      </c>
      <c r="AF112" s="54" t="e">
        <f t="shared" si="39"/>
        <v>#REF!</v>
      </c>
      <c r="AG112" s="54" t="e">
        <f t="shared" si="39"/>
        <v>#REF!</v>
      </c>
      <c r="AH112" s="54" t="e">
        <f t="shared" ref="AH112:AJ112" si="40">AH72</f>
        <v>#REF!</v>
      </c>
      <c r="AI112" s="54" t="e">
        <f t="shared" si="40"/>
        <v>#REF!</v>
      </c>
      <c r="AJ112" s="54" t="e">
        <f t="shared" si="40"/>
        <v>#REF!</v>
      </c>
      <c r="AK112" s="54" t="e">
        <f t="shared" si="38"/>
        <v>#REF!</v>
      </c>
      <c r="AL112" s="54" t="e">
        <f t="shared" si="38"/>
        <v>#REF!</v>
      </c>
      <c r="AM112" s="54" t="e">
        <f t="shared" si="38"/>
        <v>#REF!</v>
      </c>
      <c r="AN112" s="54" t="e">
        <f t="shared" si="38"/>
        <v>#REF!</v>
      </c>
      <c r="AO112" s="54" t="e">
        <f t="shared" si="38"/>
        <v>#REF!</v>
      </c>
      <c r="AP112" s="54" t="e">
        <f t="shared" si="38"/>
        <v>#REF!</v>
      </c>
      <c r="AQ112" s="54" t="e">
        <f t="shared" si="38"/>
        <v>#REF!</v>
      </c>
      <c r="AR112" s="54" t="e">
        <f t="shared" si="38"/>
        <v>#REF!</v>
      </c>
      <c r="AS112" s="54" t="e">
        <f t="shared" si="38"/>
        <v>#REF!</v>
      </c>
      <c r="AT112" s="54" t="e">
        <f t="shared" si="38"/>
        <v>#REF!</v>
      </c>
      <c r="AU112" s="54" t="e">
        <f t="shared" si="38"/>
        <v>#REF!</v>
      </c>
      <c r="AV112" s="54" t="e">
        <f t="shared" si="38"/>
        <v>#REF!</v>
      </c>
      <c r="AW112" s="54" t="e">
        <f t="shared" si="38"/>
        <v>#REF!</v>
      </c>
      <c r="AX112" s="54" t="e">
        <f t="shared" si="38"/>
        <v>#REF!</v>
      </c>
      <c r="AY112" s="54" t="e">
        <f t="shared" si="38"/>
        <v>#REF!</v>
      </c>
      <c r="AZ112" s="54" t="e">
        <f t="shared" si="38"/>
        <v>#REF!</v>
      </c>
      <c r="BA112" s="54" t="e">
        <f t="shared" si="38"/>
        <v>#REF!</v>
      </c>
      <c r="BB112" s="54" t="e">
        <f t="shared" si="38"/>
        <v>#REF!</v>
      </c>
      <c r="BC112" s="54" t="e">
        <f t="shared" si="38"/>
        <v>#REF!</v>
      </c>
      <c r="BD112" s="54" t="e">
        <f t="shared" si="38"/>
        <v>#REF!</v>
      </c>
      <c r="BE112" s="54" t="e">
        <f t="shared" si="38"/>
        <v>#REF!</v>
      </c>
      <c r="BF112" s="54" t="e">
        <f t="shared" si="38"/>
        <v>#REF!</v>
      </c>
      <c r="BG112" s="54" t="e">
        <f t="shared" si="38"/>
        <v>#REF!</v>
      </c>
      <c r="BH112" s="54" t="e">
        <f t="shared" si="38"/>
        <v>#REF!</v>
      </c>
      <c r="BI112" s="54">
        <f t="shared" si="38"/>
        <v>2</v>
      </c>
      <c r="BJ112" s="54">
        <f t="shared" si="38"/>
        <v>2</v>
      </c>
      <c r="BK112" s="54">
        <f t="shared" si="38"/>
        <v>2</v>
      </c>
      <c r="BL112" s="54">
        <f t="shared" si="38"/>
        <v>2</v>
      </c>
      <c r="BM112" s="54">
        <f t="shared" si="38"/>
        <v>2</v>
      </c>
      <c r="BN112" s="54">
        <f t="shared" si="38"/>
        <v>2</v>
      </c>
      <c r="BO112" s="54">
        <f t="shared" si="38"/>
        <v>2</v>
      </c>
      <c r="BP112" s="54">
        <f t="shared" si="38"/>
        <v>2</v>
      </c>
      <c r="BQ112" s="54">
        <f t="shared" si="38"/>
        <v>2</v>
      </c>
      <c r="BR112" s="55"/>
      <c r="BS112" s="102" t="e">
        <f>SUM(E112:AO112)</f>
        <v>#REF!</v>
      </c>
    </row>
    <row r="113" spans="1:71" hidden="1" x14ac:dyDescent="0.2">
      <c r="A113" s="73" t="s">
        <v>181</v>
      </c>
      <c r="B113" s="65" t="s">
        <v>206</v>
      </c>
      <c r="C113" s="98"/>
      <c r="D113" s="101" t="s">
        <v>204</v>
      </c>
      <c r="E113" s="35">
        <v>0</v>
      </c>
      <c r="F113" s="35">
        <v>0</v>
      </c>
      <c r="G113" s="35">
        <v>0</v>
      </c>
      <c r="H113" s="35"/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  <c r="AL113" s="35">
        <v>0</v>
      </c>
      <c r="AM113" s="35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/>
      <c r="BS113" s="102">
        <f>SUM(E113:AO113)</f>
        <v>0</v>
      </c>
    </row>
    <row r="114" spans="1:71" hidden="1" x14ac:dyDescent="0.2">
      <c r="A114" s="73"/>
      <c r="B114" s="65"/>
      <c r="C114" s="98"/>
      <c r="D114" s="101"/>
      <c r="E114" s="54"/>
      <c r="F114" s="101"/>
      <c r="G114" s="54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102"/>
    </row>
    <row r="115" spans="1:71" hidden="1" x14ac:dyDescent="0.2">
      <c r="A115" s="73" t="s">
        <v>207</v>
      </c>
      <c r="B115" s="65" t="s">
        <v>208</v>
      </c>
      <c r="C115" s="98"/>
      <c r="D115" s="101" t="s">
        <v>209</v>
      </c>
      <c r="E115" s="35">
        <f>E107*E108*E109*60/1000000</f>
        <v>0</v>
      </c>
      <c r="F115" s="35">
        <f>F107*F108*F109*60/1000000</f>
        <v>0</v>
      </c>
      <c r="G115" s="35">
        <f>G107*G108*G109*60/1000000</f>
        <v>0</v>
      </c>
      <c r="H115" s="35"/>
      <c r="I115" s="35" t="e">
        <f>I107*I108*I109*60/1000000</f>
        <v>#REF!</v>
      </c>
      <c r="J115" s="35" t="e">
        <f t="shared" ref="J115:BQ115" si="41">J107*J108*J109*60/1000000</f>
        <v>#REF!</v>
      </c>
      <c r="K115" s="35" t="e">
        <f t="shared" si="41"/>
        <v>#REF!</v>
      </c>
      <c r="L115" s="35" t="e">
        <f t="shared" ref="L115:AG115" si="42">L107*L108*L109*60/1000000</f>
        <v>#REF!</v>
      </c>
      <c r="M115" s="35" t="e">
        <f t="shared" si="42"/>
        <v>#REF!</v>
      </c>
      <c r="N115" s="35" t="e">
        <f t="shared" si="42"/>
        <v>#REF!</v>
      </c>
      <c r="O115" s="35" t="e">
        <f t="shared" si="42"/>
        <v>#REF!</v>
      </c>
      <c r="P115" s="35" t="e">
        <f t="shared" si="42"/>
        <v>#REF!</v>
      </c>
      <c r="Q115" s="35" t="e">
        <f t="shared" si="42"/>
        <v>#REF!</v>
      </c>
      <c r="R115" s="35" t="e">
        <f t="shared" si="42"/>
        <v>#REF!</v>
      </c>
      <c r="S115" s="35" t="e">
        <f t="shared" si="42"/>
        <v>#REF!</v>
      </c>
      <c r="T115" s="35" t="e">
        <f t="shared" si="42"/>
        <v>#REF!</v>
      </c>
      <c r="U115" s="35" t="e">
        <f t="shared" si="42"/>
        <v>#REF!</v>
      </c>
      <c r="V115" s="35" t="e">
        <f t="shared" si="42"/>
        <v>#REF!</v>
      </c>
      <c r="W115" s="35" t="e">
        <f t="shared" si="42"/>
        <v>#REF!</v>
      </c>
      <c r="X115" s="35" t="e">
        <f t="shared" si="42"/>
        <v>#REF!</v>
      </c>
      <c r="Y115" s="35" t="e">
        <f t="shared" si="42"/>
        <v>#REF!</v>
      </c>
      <c r="Z115" s="35" t="e">
        <f t="shared" si="42"/>
        <v>#REF!</v>
      </c>
      <c r="AA115" s="35" t="e">
        <f t="shared" si="42"/>
        <v>#REF!</v>
      </c>
      <c r="AB115" s="35" t="e">
        <f t="shared" si="42"/>
        <v>#REF!</v>
      </c>
      <c r="AC115" s="35" t="e">
        <f t="shared" si="42"/>
        <v>#REF!</v>
      </c>
      <c r="AD115" s="35" t="e">
        <f t="shared" si="42"/>
        <v>#REF!</v>
      </c>
      <c r="AE115" s="35" t="e">
        <f t="shared" si="42"/>
        <v>#REF!</v>
      </c>
      <c r="AF115" s="35" t="e">
        <f t="shared" si="42"/>
        <v>#REF!</v>
      </c>
      <c r="AG115" s="35" t="e">
        <f t="shared" si="42"/>
        <v>#REF!</v>
      </c>
      <c r="AH115" s="35" t="e">
        <f t="shared" ref="AH115:AJ115" si="43">AH107*AH108*AH109*60/1000000</f>
        <v>#REF!</v>
      </c>
      <c r="AI115" s="35" t="e">
        <f t="shared" si="43"/>
        <v>#REF!</v>
      </c>
      <c r="AJ115" s="35" t="e">
        <f t="shared" si="43"/>
        <v>#REF!</v>
      </c>
      <c r="AK115" s="35" t="e">
        <f t="shared" si="41"/>
        <v>#REF!</v>
      </c>
      <c r="AL115" s="35" t="e">
        <f t="shared" si="41"/>
        <v>#REF!</v>
      </c>
      <c r="AM115" s="35" t="e">
        <f t="shared" si="41"/>
        <v>#REF!</v>
      </c>
      <c r="AN115" s="35" t="e">
        <f t="shared" si="41"/>
        <v>#REF!</v>
      </c>
      <c r="AO115" s="35" t="e">
        <f t="shared" si="41"/>
        <v>#REF!</v>
      </c>
      <c r="AP115" s="35" t="e">
        <f t="shared" si="41"/>
        <v>#REF!</v>
      </c>
      <c r="AQ115" s="35" t="e">
        <f t="shared" si="41"/>
        <v>#REF!</v>
      </c>
      <c r="AR115" s="35" t="e">
        <f t="shared" si="41"/>
        <v>#REF!</v>
      </c>
      <c r="AS115" s="35" t="e">
        <f t="shared" si="41"/>
        <v>#REF!</v>
      </c>
      <c r="AT115" s="35" t="e">
        <f t="shared" si="41"/>
        <v>#REF!</v>
      </c>
      <c r="AU115" s="35" t="e">
        <f t="shared" si="41"/>
        <v>#REF!</v>
      </c>
      <c r="AV115" s="35" t="e">
        <f t="shared" si="41"/>
        <v>#REF!</v>
      </c>
      <c r="AW115" s="35" t="e">
        <f t="shared" si="41"/>
        <v>#REF!</v>
      </c>
      <c r="AX115" s="35" t="e">
        <f t="shared" si="41"/>
        <v>#REF!</v>
      </c>
      <c r="AY115" s="35" t="e">
        <f t="shared" si="41"/>
        <v>#REF!</v>
      </c>
      <c r="AZ115" s="35" t="e">
        <f t="shared" si="41"/>
        <v>#REF!</v>
      </c>
      <c r="BA115" s="35" t="e">
        <f t="shared" si="41"/>
        <v>#REF!</v>
      </c>
      <c r="BB115" s="35" t="e">
        <f t="shared" si="41"/>
        <v>#REF!</v>
      </c>
      <c r="BC115" s="35" t="e">
        <f t="shared" si="41"/>
        <v>#REF!</v>
      </c>
      <c r="BD115" s="35" t="e">
        <f t="shared" si="41"/>
        <v>#REF!</v>
      </c>
      <c r="BE115" s="35" t="e">
        <f t="shared" si="41"/>
        <v>#REF!</v>
      </c>
      <c r="BF115" s="35" t="e">
        <f t="shared" si="41"/>
        <v>#REF!</v>
      </c>
      <c r="BG115" s="35" t="e">
        <f t="shared" si="41"/>
        <v>#REF!</v>
      </c>
      <c r="BH115" s="35" t="e">
        <f t="shared" si="41"/>
        <v>#REF!</v>
      </c>
      <c r="BI115" s="35" t="e">
        <f t="shared" si="41"/>
        <v>#REF!</v>
      </c>
      <c r="BJ115" s="35" t="e">
        <f t="shared" si="41"/>
        <v>#REF!</v>
      </c>
      <c r="BK115" s="35" t="e">
        <f t="shared" si="41"/>
        <v>#REF!</v>
      </c>
      <c r="BL115" s="35" t="e">
        <f t="shared" si="41"/>
        <v>#REF!</v>
      </c>
      <c r="BM115" s="35" t="e">
        <f t="shared" si="41"/>
        <v>#REF!</v>
      </c>
      <c r="BN115" s="35" t="e">
        <f t="shared" si="41"/>
        <v>#REF!</v>
      </c>
      <c r="BO115" s="35" t="e">
        <f t="shared" si="41"/>
        <v>#REF!</v>
      </c>
      <c r="BP115" s="35" t="e">
        <f t="shared" si="41"/>
        <v>#REF!</v>
      </c>
      <c r="BQ115" s="35" t="e">
        <f t="shared" si="41"/>
        <v>#REF!</v>
      </c>
      <c r="BR115" s="36"/>
      <c r="BS115" s="102" t="e">
        <f>BS107*BS108*BS109*60/1000000</f>
        <v>#REF!</v>
      </c>
    </row>
    <row r="116" spans="1:71" hidden="1" x14ac:dyDescent="0.2">
      <c r="A116" s="73" t="s">
        <v>210</v>
      </c>
      <c r="B116" s="65" t="s">
        <v>211</v>
      </c>
      <c r="C116" s="98"/>
      <c r="D116" s="101" t="s">
        <v>212</v>
      </c>
      <c r="E116" s="35" t="e">
        <f t="shared" ref="E116:BS116" si="44">1/E115</f>
        <v>#DIV/0!</v>
      </c>
      <c r="F116" s="35" t="e">
        <f t="shared" si="44"/>
        <v>#DIV/0!</v>
      </c>
      <c r="G116" s="35" t="e">
        <f t="shared" si="44"/>
        <v>#DIV/0!</v>
      </c>
      <c r="H116" s="35"/>
      <c r="I116" s="35" t="e">
        <f t="shared" si="44"/>
        <v>#REF!</v>
      </c>
      <c r="J116" s="35" t="e">
        <f t="shared" si="44"/>
        <v>#REF!</v>
      </c>
      <c r="K116" s="35" t="e">
        <f t="shared" si="44"/>
        <v>#REF!</v>
      </c>
      <c r="L116" s="35" t="e">
        <f t="shared" ref="L116:AG116" si="45">1/L115</f>
        <v>#REF!</v>
      </c>
      <c r="M116" s="35" t="e">
        <f t="shared" si="45"/>
        <v>#REF!</v>
      </c>
      <c r="N116" s="35" t="e">
        <f t="shared" si="45"/>
        <v>#REF!</v>
      </c>
      <c r="O116" s="35" t="e">
        <f t="shared" si="45"/>
        <v>#REF!</v>
      </c>
      <c r="P116" s="35" t="e">
        <f t="shared" si="45"/>
        <v>#REF!</v>
      </c>
      <c r="Q116" s="35" t="e">
        <f t="shared" si="45"/>
        <v>#REF!</v>
      </c>
      <c r="R116" s="35" t="e">
        <f t="shared" si="45"/>
        <v>#REF!</v>
      </c>
      <c r="S116" s="35" t="e">
        <f t="shared" si="45"/>
        <v>#REF!</v>
      </c>
      <c r="T116" s="35" t="e">
        <f t="shared" si="45"/>
        <v>#REF!</v>
      </c>
      <c r="U116" s="35" t="e">
        <f t="shared" si="45"/>
        <v>#REF!</v>
      </c>
      <c r="V116" s="35" t="e">
        <f t="shared" si="45"/>
        <v>#REF!</v>
      </c>
      <c r="W116" s="35" t="e">
        <f t="shared" si="45"/>
        <v>#REF!</v>
      </c>
      <c r="X116" s="35" t="e">
        <f t="shared" si="45"/>
        <v>#REF!</v>
      </c>
      <c r="Y116" s="35" t="e">
        <f t="shared" si="45"/>
        <v>#REF!</v>
      </c>
      <c r="Z116" s="35" t="e">
        <f t="shared" si="45"/>
        <v>#REF!</v>
      </c>
      <c r="AA116" s="35" t="e">
        <f t="shared" si="45"/>
        <v>#REF!</v>
      </c>
      <c r="AB116" s="35" t="e">
        <f t="shared" si="45"/>
        <v>#REF!</v>
      </c>
      <c r="AC116" s="35" t="e">
        <f t="shared" si="45"/>
        <v>#REF!</v>
      </c>
      <c r="AD116" s="35" t="e">
        <f t="shared" si="45"/>
        <v>#REF!</v>
      </c>
      <c r="AE116" s="35" t="e">
        <f t="shared" si="45"/>
        <v>#REF!</v>
      </c>
      <c r="AF116" s="35" t="e">
        <f t="shared" si="45"/>
        <v>#REF!</v>
      </c>
      <c r="AG116" s="35" t="e">
        <f t="shared" si="45"/>
        <v>#REF!</v>
      </c>
      <c r="AH116" s="35" t="e">
        <f t="shared" ref="AH116:AJ116" si="46">1/AH115</f>
        <v>#REF!</v>
      </c>
      <c r="AI116" s="35" t="e">
        <f t="shared" si="46"/>
        <v>#REF!</v>
      </c>
      <c r="AJ116" s="35" t="e">
        <f t="shared" si="46"/>
        <v>#REF!</v>
      </c>
      <c r="AK116" s="35" t="e">
        <f t="shared" si="44"/>
        <v>#REF!</v>
      </c>
      <c r="AL116" s="35" t="e">
        <f t="shared" si="44"/>
        <v>#REF!</v>
      </c>
      <c r="AM116" s="35" t="e">
        <f t="shared" si="44"/>
        <v>#REF!</v>
      </c>
      <c r="AN116" s="35" t="e">
        <f t="shared" si="44"/>
        <v>#REF!</v>
      </c>
      <c r="AO116" s="35" t="e">
        <f t="shared" si="44"/>
        <v>#REF!</v>
      </c>
      <c r="AP116" s="35" t="e">
        <f t="shared" si="44"/>
        <v>#REF!</v>
      </c>
      <c r="AQ116" s="35" t="e">
        <f t="shared" si="44"/>
        <v>#REF!</v>
      </c>
      <c r="AR116" s="35" t="e">
        <f t="shared" si="44"/>
        <v>#REF!</v>
      </c>
      <c r="AS116" s="35" t="e">
        <f t="shared" si="44"/>
        <v>#REF!</v>
      </c>
      <c r="AT116" s="35" t="e">
        <f t="shared" si="44"/>
        <v>#REF!</v>
      </c>
      <c r="AU116" s="35" t="e">
        <f t="shared" si="44"/>
        <v>#REF!</v>
      </c>
      <c r="AV116" s="35" t="e">
        <f t="shared" si="44"/>
        <v>#REF!</v>
      </c>
      <c r="AW116" s="35" t="e">
        <f t="shared" si="44"/>
        <v>#REF!</v>
      </c>
      <c r="AX116" s="35" t="e">
        <f t="shared" si="44"/>
        <v>#REF!</v>
      </c>
      <c r="AY116" s="35" t="e">
        <f t="shared" si="44"/>
        <v>#REF!</v>
      </c>
      <c r="AZ116" s="35" t="e">
        <f t="shared" si="44"/>
        <v>#REF!</v>
      </c>
      <c r="BA116" s="35" t="e">
        <f t="shared" si="44"/>
        <v>#REF!</v>
      </c>
      <c r="BB116" s="35" t="e">
        <f t="shared" si="44"/>
        <v>#REF!</v>
      </c>
      <c r="BC116" s="35" t="e">
        <f t="shared" si="44"/>
        <v>#REF!</v>
      </c>
      <c r="BD116" s="35" t="e">
        <f t="shared" si="44"/>
        <v>#REF!</v>
      </c>
      <c r="BE116" s="35" t="e">
        <f t="shared" si="44"/>
        <v>#REF!</v>
      </c>
      <c r="BF116" s="35" t="e">
        <f t="shared" si="44"/>
        <v>#REF!</v>
      </c>
      <c r="BG116" s="35" t="e">
        <f t="shared" si="44"/>
        <v>#REF!</v>
      </c>
      <c r="BH116" s="35" t="e">
        <f t="shared" si="44"/>
        <v>#REF!</v>
      </c>
      <c r="BI116" s="35" t="e">
        <f t="shared" si="44"/>
        <v>#REF!</v>
      </c>
      <c r="BJ116" s="35" t="e">
        <f t="shared" si="44"/>
        <v>#REF!</v>
      </c>
      <c r="BK116" s="35" t="e">
        <f t="shared" si="44"/>
        <v>#REF!</v>
      </c>
      <c r="BL116" s="35" t="e">
        <f t="shared" si="44"/>
        <v>#REF!</v>
      </c>
      <c r="BM116" s="35" t="e">
        <f t="shared" si="44"/>
        <v>#REF!</v>
      </c>
      <c r="BN116" s="35" t="e">
        <f t="shared" si="44"/>
        <v>#REF!</v>
      </c>
      <c r="BO116" s="35" t="e">
        <f t="shared" si="44"/>
        <v>#REF!</v>
      </c>
      <c r="BP116" s="35" t="e">
        <f t="shared" si="44"/>
        <v>#REF!</v>
      </c>
      <c r="BQ116" s="35" t="e">
        <f t="shared" si="44"/>
        <v>#REF!</v>
      </c>
      <c r="BR116" s="36"/>
      <c r="BS116" s="102" t="e">
        <f t="shared" si="44"/>
        <v>#REF!</v>
      </c>
    </row>
    <row r="117" spans="1:71" hidden="1" x14ac:dyDescent="0.2">
      <c r="A117" s="73" t="s">
        <v>213</v>
      </c>
      <c r="B117" s="65" t="s">
        <v>214</v>
      </c>
      <c r="C117" s="98"/>
      <c r="D117" s="101" t="s">
        <v>204</v>
      </c>
      <c r="E117" s="35">
        <f t="shared" ref="E117:BS117" si="47">E111-E113</f>
        <v>24</v>
      </c>
      <c r="F117" s="35">
        <f t="shared" si="47"/>
        <v>24</v>
      </c>
      <c r="G117" s="35">
        <f t="shared" si="47"/>
        <v>24</v>
      </c>
      <c r="H117" s="35"/>
      <c r="I117" s="35">
        <f t="shared" si="47"/>
        <v>24</v>
      </c>
      <c r="J117" s="35">
        <f t="shared" si="47"/>
        <v>24</v>
      </c>
      <c r="K117" s="35">
        <f t="shared" si="47"/>
        <v>24</v>
      </c>
      <c r="L117" s="35">
        <f t="shared" ref="L117:AG117" si="48">L111-L113</f>
        <v>24</v>
      </c>
      <c r="M117" s="35">
        <f t="shared" si="48"/>
        <v>24</v>
      </c>
      <c r="N117" s="35">
        <f t="shared" si="48"/>
        <v>24</v>
      </c>
      <c r="O117" s="35">
        <f t="shared" si="48"/>
        <v>24</v>
      </c>
      <c r="P117" s="35">
        <f t="shared" si="48"/>
        <v>24</v>
      </c>
      <c r="Q117" s="35">
        <f t="shared" si="48"/>
        <v>24</v>
      </c>
      <c r="R117" s="35">
        <f t="shared" si="48"/>
        <v>24</v>
      </c>
      <c r="S117" s="35">
        <f t="shared" si="48"/>
        <v>24</v>
      </c>
      <c r="T117" s="35">
        <f t="shared" si="48"/>
        <v>24</v>
      </c>
      <c r="U117" s="35">
        <f t="shared" si="48"/>
        <v>24</v>
      </c>
      <c r="V117" s="35">
        <f t="shared" si="48"/>
        <v>24</v>
      </c>
      <c r="W117" s="35">
        <f t="shared" si="48"/>
        <v>24</v>
      </c>
      <c r="X117" s="35">
        <f t="shared" si="48"/>
        <v>24</v>
      </c>
      <c r="Y117" s="35">
        <f t="shared" si="48"/>
        <v>24</v>
      </c>
      <c r="Z117" s="35">
        <f t="shared" si="48"/>
        <v>24</v>
      </c>
      <c r="AA117" s="35">
        <f t="shared" si="48"/>
        <v>24</v>
      </c>
      <c r="AB117" s="35">
        <f t="shared" si="48"/>
        <v>24</v>
      </c>
      <c r="AC117" s="35">
        <f t="shared" si="48"/>
        <v>24</v>
      </c>
      <c r="AD117" s="35">
        <f t="shared" si="48"/>
        <v>24</v>
      </c>
      <c r="AE117" s="35">
        <f t="shared" si="48"/>
        <v>24</v>
      </c>
      <c r="AF117" s="35">
        <f t="shared" si="48"/>
        <v>24</v>
      </c>
      <c r="AG117" s="35">
        <f t="shared" si="48"/>
        <v>24</v>
      </c>
      <c r="AH117" s="35">
        <f t="shared" ref="AH117:AJ117" si="49">AH111-AH113</f>
        <v>24</v>
      </c>
      <c r="AI117" s="35">
        <f t="shared" si="49"/>
        <v>24</v>
      </c>
      <c r="AJ117" s="35">
        <f t="shared" si="49"/>
        <v>24</v>
      </c>
      <c r="AK117" s="35">
        <f t="shared" si="47"/>
        <v>24</v>
      </c>
      <c r="AL117" s="35">
        <f t="shared" si="47"/>
        <v>24</v>
      </c>
      <c r="AM117" s="35">
        <f t="shared" si="47"/>
        <v>24</v>
      </c>
      <c r="AN117" s="35">
        <f t="shared" si="47"/>
        <v>24</v>
      </c>
      <c r="AO117" s="35">
        <f t="shared" si="47"/>
        <v>24</v>
      </c>
      <c r="AP117" s="35">
        <f t="shared" si="47"/>
        <v>24</v>
      </c>
      <c r="AQ117" s="35">
        <f t="shared" si="47"/>
        <v>24</v>
      </c>
      <c r="AR117" s="35">
        <f t="shared" si="47"/>
        <v>24</v>
      </c>
      <c r="AS117" s="35">
        <f t="shared" si="47"/>
        <v>24</v>
      </c>
      <c r="AT117" s="35">
        <f t="shared" si="47"/>
        <v>24</v>
      </c>
      <c r="AU117" s="35">
        <f t="shared" si="47"/>
        <v>24</v>
      </c>
      <c r="AV117" s="35">
        <f t="shared" si="47"/>
        <v>24</v>
      </c>
      <c r="AW117" s="35">
        <f t="shared" si="47"/>
        <v>24</v>
      </c>
      <c r="AX117" s="35">
        <f t="shared" si="47"/>
        <v>24</v>
      </c>
      <c r="AY117" s="35">
        <f t="shared" si="47"/>
        <v>24</v>
      </c>
      <c r="AZ117" s="35">
        <f t="shared" si="47"/>
        <v>24</v>
      </c>
      <c r="BA117" s="35">
        <f t="shared" si="47"/>
        <v>24</v>
      </c>
      <c r="BB117" s="35">
        <f t="shared" si="47"/>
        <v>24</v>
      </c>
      <c r="BC117" s="35">
        <f t="shared" si="47"/>
        <v>24</v>
      </c>
      <c r="BD117" s="35">
        <f t="shared" si="47"/>
        <v>24</v>
      </c>
      <c r="BE117" s="35">
        <f t="shared" si="47"/>
        <v>24</v>
      </c>
      <c r="BF117" s="35">
        <f t="shared" si="47"/>
        <v>24</v>
      </c>
      <c r="BG117" s="35">
        <f t="shared" si="47"/>
        <v>24</v>
      </c>
      <c r="BH117" s="35">
        <f t="shared" si="47"/>
        <v>24</v>
      </c>
      <c r="BI117" s="35">
        <f t="shared" si="47"/>
        <v>24</v>
      </c>
      <c r="BJ117" s="35">
        <f t="shared" si="47"/>
        <v>24</v>
      </c>
      <c r="BK117" s="35">
        <f t="shared" si="47"/>
        <v>24</v>
      </c>
      <c r="BL117" s="35">
        <f t="shared" si="47"/>
        <v>24</v>
      </c>
      <c r="BM117" s="35">
        <f t="shared" si="47"/>
        <v>24</v>
      </c>
      <c r="BN117" s="35">
        <f t="shared" si="47"/>
        <v>24</v>
      </c>
      <c r="BO117" s="35">
        <f t="shared" si="47"/>
        <v>24</v>
      </c>
      <c r="BP117" s="35">
        <f t="shared" si="47"/>
        <v>24</v>
      </c>
      <c r="BQ117" s="35">
        <f t="shared" si="47"/>
        <v>24</v>
      </c>
      <c r="BR117" s="36"/>
      <c r="BS117" s="102">
        <f t="shared" si="47"/>
        <v>864</v>
      </c>
    </row>
    <row r="118" spans="1:71" hidden="1" x14ac:dyDescent="0.2">
      <c r="A118" s="73" t="s">
        <v>215</v>
      </c>
      <c r="B118" s="65" t="s">
        <v>216</v>
      </c>
      <c r="C118" s="98"/>
      <c r="D118" s="101" t="s">
        <v>204</v>
      </c>
      <c r="E118" s="35">
        <f t="shared" ref="E118:BS118" si="50">E111-E112</f>
        <v>24</v>
      </c>
      <c r="F118" s="35">
        <f t="shared" si="50"/>
        <v>24</v>
      </c>
      <c r="G118" s="35">
        <f t="shared" si="50"/>
        <v>24</v>
      </c>
      <c r="H118" s="35"/>
      <c r="I118" s="35" t="e">
        <f t="shared" si="50"/>
        <v>#REF!</v>
      </c>
      <c r="J118" s="35" t="e">
        <f t="shared" si="50"/>
        <v>#REF!</v>
      </c>
      <c r="K118" s="35" t="e">
        <f t="shared" si="50"/>
        <v>#REF!</v>
      </c>
      <c r="L118" s="35" t="e">
        <f t="shared" ref="L118:AG118" si="51">L111-L112</f>
        <v>#REF!</v>
      </c>
      <c r="M118" s="35" t="e">
        <f t="shared" si="51"/>
        <v>#REF!</v>
      </c>
      <c r="N118" s="35" t="e">
        <f t="shared" si="51"/>
        <v>#REF!</v>
      </c>
      <c r="O118" s="35" t="e">
        <f t="shared" si="51"/>
        <v>#REF!</v>
      </c>
      <c r="P118" s="35" t="e">
        <f t="shared" si="51"/>
        <v>#REF!</v>
      </c>
      <c r="Q118" s="35" t="e">
        <f t="shared" si="51"/>
        <v>#REF!</v>
      </c>
      <c r="R118" s="35" t="e">
        <f t="shared" si="51"/>
        <v>#REF!</v>
      </c>
      <c r="S118" s="35" t="e">
        <f t="shared" si="51"/>
        <v>#REF!</v>
      </c>
      <c r="T118" s="35" t="e">
        <f t="shared" si="51"/>
        <v>#REF!</v>
      </c>
      <c r="U118" s="35" t="e">
        <f t="shared" si="51"/>
        <v>#REF!</v>
      </c>
      <c r="V118" s="35" t="e">
        <f t="shared" si="51"/>
        <v>#REF!</v>
      </c>
      <c r="W118" s="35" t="e">
        <f t="shared" si="51"/>
        <v>#REF!</v>
      </c>
      <c r="X118" s="35" t="e">
        <f t="shared" si="51"/>
        <v>#REF!</v>
      </c>
      <c r="Y118" s="35" t="e">
        <f t="shared" si="51"/>
        <v>#REF!</v>
      </c>
      <c r="Z118" s="35" t="e">
        <f t="shared" si="51"/>
        <v>#REF!</v>
      </c>
      <c r="AA118" s="35" t="e">
        <f t="shared" si="51"/>
        <v>#REF!</v>
      </c>
      <c r="AB118" s="35" t="e">
        <f t="shared" si="51"/>
        <v>#REF!</v>
      </c>
      <c r="AC118" s="35" t="e">
        <f t="shared" si="51"/>
        <v>#REF!</v>
      </c>
      <c r="AD118" s="35" t="e">
        <f t="shared" si="51"/>
        <v>#REF!</v>
      </c>
      <c r="AE118" s="35" t="e">
        <f t="shared" si="51"/>
        <v>#REF!</v>
      </c>
      <c r="AF118" s="35" t="e">
        <f t="shared" si="51"/>
        <v>#REF!</v>
      </c>
      <c r="AG118" s="35" t="e">
        <f t="shared" si="51"/>
        <v>#REF!</v>
      </c>
      <c r="AH118" s="35" t="e">
        <f t="shared" ref="AH118:AJ118" si="52">AH111-AH112</f>
        <v>#REF!</v>
      </c>
      <c r="AI118" s="35" t="e">
        <f t="shared" si="52"/>
        <v>#REF!</v>
      </c>
      <c r="AJ118" s="35" t="e">
        <f t="shared" si="52"/>
        <v>#REF!</v>
      </c>
      <c r="AK118" s="35" t="e">
        <f t="shared" si="50"/>
        <v>#REF!</v>
      </c>
      <c r="AL118" s="35" t="e">
        <f t="shared" si="50"/>
        <v>#REF!</v>
      </c>
      <c r="AM118" s="35" t="e">
        <f t="shared" si="50"/>
        <v>#REF!</v>
      </c>
      <c r="AN118" s="35" t="e">
        <f t="shared" si="50"/>
        <v>#REF!</v>
      </c>
      <c r="AO118" s="35" t="e">
        <f t="shared" si="50"/>
        <v>#REF!</v>
      </c>
      <c r="AP118" s="35" t="e">
        <f t="shared" si="50"/>
        <v>#REF!</v>
      </c>
      <c r="AQ118" s="35" t="e">
        <f t="shared" si="50"/>
        <v>#REF!</v>
      </c>
      <c r="AR118" s="35" t="e">
        <f t="shared" si="50"/>
        <v>#REF!</v>
      </c>
      <c r="AS118" s="35" t="e">
        <f t="shared" si="50"/>
        <v>#REF!</v>
      </c>
      <c r="AT118" s="35" t="e">
        <f t="shared" si="50"/>
        <v>#REF!</v>
      </c>
      <c r="AU118" s="35" t="e">
        <f t="shared" si="50"/>
        <v>#REF!</v>
      </c>
      <c r="AV118" s="35" t="e">
        <f t="shared" si="50"/>
        <v>#REF!</v>
      </c>
      <c r="AW118" s="35" t="e">
        <f t="shared" si="50"/>
        <v>#REF!</v>
      </c>
      <c r="AX118" s="35" t="e">
        <f t="shared" si="50"/>
        <v>#REF!</v>
      </c>
      <c r="AY118" s="35" t="e">
        <f t="shared" si="50"/>
        <v>#REF!</v>
      </c>
      <c r="AZ118" s="35" t="e">
        <f t="shared" si="50"/>
        <v>#REF!</v>
      </c>
      <c r="BA118" s="35" t="e">
        <f t="shared" si="50"/>
        <v>#REF!</v>
      </c>
      <c r="BB118" s="35" t="e">
        <f t="shared" si="50"/>
        <v>#REF!</v>
      </c>
      <c r="BC118" s="35" t="e">
        <f t="shared" si="50"/>
        <v>#REF!</v>
      </c>
      <c r="BD118" s="35" t="e">
        <f t="shared" si="50"/>
        <v>#REF!</v>
      </c>
      <c r="BE118" s="35" t="e">
        <f t="shared" si="50"/>
        <v>#REF!</v>
      </c>
      <c r="BF118" s="35" t="e">
        <f t="shared" si="50"/>
        <v>#REF!</v>
      </c>
      <c r="BG118" s="35" t="e">
        <f t="shared" si="50"/>
        <v>#REF!</v>
      </c>
      <c r="BH118" s="35" t="e">
        <f t="shared" si="50"/>
        <v>#REF!</v>
      </c>
      <c r="BI118" s="35">
        <f t="shared" si="50"/>
        <v>22</v>
      </c>
      <c r="BJ118" s="35">
        <f t="shared" si="50"/>
        <v>22</v>
      </c>
      <c r="BK118" s="35">
        <f t="shared" si="50"/>
        <v>22</v>
      </c>
      <c r="BL118" s="35">
        <f t="shared" si="50"/>
        <v>22</v>
      </c>
      <c r="BM118" s="35">
        <f t="shared" si="50"/>
        <v>22</v>
      </c>
      <c r="BN118" s="35">
        <f t="shared" si="50"/>
        <v>22</v>
      </c>
      <c r="BO118" s="35">
        <f t="shared" si="50"/>
        <v>22</v>
      </c>
      <c r="BP118" s="35">
        <f t="shared" si="50"/>
        <v>22</v>
      </c>
      <c r="BQ118" s="35">
        <f t="shared" si="50"/>
        <v>22</v>
      </c>
      <c r="BR118" s="36"/>
      <c r="BS118" s="102" t="e">
        <f t="shared" si="50"/>
        <v>#REF!</v>
      </c>
    </row>
    <row r="119" spans="1:71" hidden="1" x14ac:dyDescent="0.2">
      <c r="A119" s="73" t="s">
        <v>217</v>
      </c>
      <c r="B119" s="65" t="s">
        <v>218</v>
      </c>
      <c r="C119" s="98"/>
      <c r="D119" s="101"/>
      <c r="E119" s="35">
        <f t="shared" ref="E119:BS119" si="53">E118/E117</f>
        <v>1</v>
      </c>
      <c r="F119" s="35">
        <f t="shared" si="53"/>
        <v>1</v>
      </c>
      <c r="G119" s="35">
        <f t="shared" si="53"/>
        <v>1</v>
      </c>
      <c r="H119" s="35"/>
      <c r="I119" s="35" t="e">
        <f t="shared" si="53"/>
        <v>#REF!</v>
      </c>
      <c r="J119" s="35" t="e">
        <f t="shared" si="53"/>
        <v>#REF!</v>
      </c>
      <c r="K119" s="35" t="e">
        <f t="shared" si="53"/>
        <v>#REF!</v>
      </c>
      <c r="L119" s="35" t="e">
        <f t="shared" ref="L119:AG119" si="54">L118/L117</f>
        <v>#REF!</v>
      </c>
      <c r="M119" s="35" t="e">
        <f t="shared" si="54"/>
        <v>#REF!</v>
      </c>
      <c r="N119" s="35" t="e">
        <f t="shared" si="54"/>
        <v>#REF!</v>
      </c>
      <c r="O119" s="35" t="e">
        <f t="shared" si="54"/>
        <v>#REF!</v>
      </c>
      <c r="P119" s="35" t="e">
        <f t="shared" si="54"/>
        <v>#REF!</v>
      </c>
      <c r="Q119" s="35" t="e">
        <f t="shared" si="54"/>
        <v>#REF!</v>
      </c>
      <c r="R119" s="35" t="e">
        <f t="shared" si="54"/>
        <v>#REF!</v>
      </c>
      <c r="S119" s="35" t="e">
        <f t="shared" si="54"/>
        <v>#REF!</v>
      </c>
      <c r="T119" s="35" t="e">
        <f t="shared" si="54"/>
        <v>#REF!</v>
      </c>
      <c r="U119" s="35" t="e">
        <f t="shared" si="54"/>
        <v>#REF!</v>
      </c>
      <c r="V119" s="35" t="e">
        <f t="shared" si="54"/>
        <v>#REF!</v>
      </c>
      <c r="W119" s="35" t="e">
        <f t="shared" si="54"/>
        <v>#REF!</v>
      </c>
      <c r="X119" s="35" t="e">
        <f t="shared" si="54"/>
        <v>#REF!</v>
      </c>
      <c r="Y119" s="35" t="e">
        <f t="shared" si="54"/>
        <v>#REF!</v>
      </c>
      <c r="Z119" s="35" t="e">
        <f t="shared" si="54"/>
        <v>#REF!</v>
      </c>
      <c r="AA119" s="35" t="e">
        <f t="shared" si="54"/>
        <v>#REF!</v>
      </c>
      <c r="AB119" s="35" t="e">
        <f t="shared" si="54"/>
        <v>#REF!</v>
      </c>
      <c r="AC119" s="35" t="e">
        <f t="shared" si="54"/>
        <v>#REF!</v>
      </c>
      <c r="AD119" s="35" t="e">
        <f t="shared" si="54"/>
        <v>#REF!</v>
      </c>
      <c r="AE119" s="35" t="e">
        <f t="shared" si="54"/>
        <v>#REF!</v>
      </c>
      <c r="AF119" s="35" t="e">
        <f t="shared" si="54"/>
        <v>#REF!</v>
      </c>
      <c r="AG119" s="35" t="e">
        <f t="shared" si="54"/>
        <v>#REF!</v>
      </c>
      <c r="AH119" s="35" t="e">
        <f t="shared" ref="AH119:AJ119" si="55">AH118/AH117</f>
        <v>#REF!</v>
      </c>
      <c r="AI119" s="35" t="e">
        <f t="shared" si="55"/>
        <v>#REF!</v>
      </c>
      <c r="AJ119" s="35" t="e">
        <f t="shared" si="55"/>
        <v>#REF!</v>
      </c>
      <c r="AK119" s="35" t="e">
        <f t="shared" si="53"/>
        <v>#REF!</v>
      </c>
      <c r="AL119" s="35" t="e">
        <f t="shared" si="53"/>
        <v>#REF!</v>
      </c>
      <c r="AM119" s="35" t="e">
        <f t="shared" si="53"/>
        <v>#REF!</v>
      </c>
      <c r="AN119" s="35" t="e">
        <f t="shared" si="53"/>
        <v>#REF!</v>
      </c>
      <c r="AO119" s="35" t="e">
        <f t="shared" si="53"/>
        <v>#REF!</v>
      </c>
      <c r="AP119" s="35" t="e">
        <f t="shared" si="53"/>
        <v>#REF!</v>
      </c>
      <c r="AQ119" s="35" t="e">
        <f t="shared" si="53"/>
        <v>#REF!</v>
      </c>
      <c r="AR119" s="35" t="e">
        <f t="shared" si="53"/>
        <v>#REF!</v>
      </c>
      <c r="AS119" s="35" t="e">
        <f t="shared" si="53"/>
        <v>#REF!</v>
      </c>
      <c r="AT119" s="35" t="e">
        <f t="shared" si="53"/>
        <v>#REF!</v>
      </c>
      <c r="AU119" s="35" t="e">
        <f t="shared" si="53"/>
        <v>#REF!</v>
      </c>
      <c r="AV119" s="35" t="e">
        <f t="shared" si="53"/>
        <v>#REF!</v>
      </c>
      <c r="AW119" s="35" t="e">
        <f t="shared" si="53"/>
        <v>#REF!</v>
      </c>
      <c r="AX119" s="35" t="e">
        <f t="shared" si="53"/>
        <v>#REF!</v>
      </c>
      <c r="AY119" s="35" t="e">
        <f t="shared" si="53"/>
        <v>#REF!</v>
      </c>
      <c r="AZ119" s="35" t="e">
        <f t="shared" si="53"/>
        <v>#REF!</v>
      </c>
      <c r="BA119" s="35" t="e">
        <f t="shared" si="53"/>
        <v>#REF!</v>
      </c>
      <c r="BB119" s="35" t="e">
        <f t="shared" si="53"/>
        <v>#REF!</v>
      </c>
      <c r="BC119" s="35" t="e">
        <f t="shared" si="53"/>
        <v>#REF!</v>
      </c>
      <c r="BD119" s="35" t="e">
        <f t="shared" si="53"/>
        <v>#REF!</v>
      </c>
      <c r="BE119" s="35" t="e">
        <f t="shared" si="53"/>
        <v>#REF!</v>
      </c>
      <c r="BF119" s="35" t="e">
        <f t="shared" si="53"/>
        <v>#REF!</v>
      </c>
      <c r="BG119" s="35" t="e">
        <f t="shared" si="53"/>
        <v>#REF!</v>
      </c>
      <c r="BH119" s="35" t="e">
        <f t="shared" si="53"/>
        <v>#REF!</v>
      </c>
      <c r="BI119" s="35">
        <f t="shared" si="53"/>
        <v>0.91666666666666663</v>
      </c>
      <c r="BJ119" s="35">
        <f t="shared" si="53"/>
        <v>0.91666666666666663</v>
      </c>
      <c r="BK119" s="35">
        <f t="shared" si="53"/>
        <v>0.91666666666666663</v>
      </c>
      <c r="BL119" s="35">
        <f t="shared" si="53"/>
        <v>0.91666666666666663</v>
      </c>
      <c r="BM119" s="35">
        <f t="shared" si="53"/>
        <v>0.91666666666666663</v>
      </c>
      <c r="BN119" s="35">
        <f t="shared" si="53"/>
        <v>0.91666666666666663</v>
      </c>
      <c r="BO119" s="35">
        <f t="shared" si="53"/>
        <v>0.91666666666666663</v>
      </c>
      <c r="BP119" s="35">
        <f t="shared" si="53"/>
        <v>0.91666666666666663</v>
      </c>
      <c r="BQ119" s="35">
        <f t="shared" si="53"/>
        <v>0.91666666666666663</v>
      </c>
      <c r="BR119" s="36"/>
      <c r="BS119" s="102" t="e">
        <f t="shared" si="53"/>
        <v>#REF!</v>
      </c>
    </row>
    <row r="120" spans="1:71" hidden="1" x14ac:dyDescent="0.2">
      <c r="A120" s="73" t="s">
        <v>14</v>
      </c>
      <c r="B120" s="65" t="s">
        <v>219</v>
      </c>
      <c r="C120" s="98"/>
      <c r="D120" s="101"/>
      <c r="E120" s="35" t="e">
        <f t="shared" ref="E120:BS120" si="56">E116*E110/E118</f>
        <v>#DIV/0!</v>
      </c>
      <c r="F120" s="35" t="e">
        <f t="shared" si="56"/>
        <v>#DIV/0!</v>
      </c>
      <c r="G120" s="35" t="e">
        <f t="shared" si="56"/>
        <v>#DIV/0!</v>
      </c>
      <c r="H120" s="35"/>
      <c r="I120" s="35" t="e">
        <f t="shared" si="56"/>
        <v>#REF!</v>
      </c>
      <c r="J120" s="35" t="e">
        <f t="shared" si="56"/>
        <v>#REF!</v>
      </c>
      <c r="K120" s="35" t="e">
        <f t="shared" si="56"/>
        <v>#REF!</v>
      </c>
      <c r="L120" s="35" t="e">
        <f t="shared" ref="L120:AG120" si="57">L116*L110/L118</f>
        <v>#REF!</v>
      </c>
      <c r="M120" s="35" t="e">
        <f t="shared" si="57"/>
        <v>#REF!</v>
      </c>
      <c r="N120" s="35" t="e">
        <f t="shared" si="57"/>
        <v>#REF!</v>
      </c>
      <c r="O120" s="35" t="e">
        <f t="shared" si="57"/>
        <v>#REF!</v>
      </c>
      <c r="P120" s="35" t="e">
        <f t="shared" si="57"/>
        <v>#REF!</v>
      </c>
      <c r="Q120" s="35" t="e">
        <f t="shared" si="57"/>
        <v>#REF!</v>
      </c>
      <c r="R120" s="35" t="e">
        <f t="shared" si="57"/>
        <v>#REF!</v>
      </c>
      <c r="S120" s="35" t="e">
        <f t="shared" si="57"/>
        <v>#REF!</v>
      </c>
      <c r="T120" s="35" t="e">
        <f t="shared" si="57"/>
        <v>#REF!</v>
      </c>
      <c r="U120" s="35" t="e">
        <f t="shared" si="57"/>
        <v>#REF!</v>
      </c>
      <c r="V120" s="35" t="e">
        <f t="shared" si="57"/>
        <v>#REF!</v>
      </c>
      <c r="W120" s="35" t="e">
        <f t="shared" si="57"/>
        <v>#REF!</v>
      </c>
      <c r="X120" s="35" t="e">
        <f t="shared" si="57"/>
        <v>#REF!</v>
      </c>
      <c r="Y120" s="35" t="e">
        <f t="shared" si="57"/>
        <v>#REF!</v>
      </c>
      <c r="Z120" s="35" t="e">
        <f t="shared" si="57"/>
        <v>#REF!</v>
      </c>
      <c r="AA120" s="35" t="e">
        <f t="shared" si="57"/>
        <v>#REF!</v>
      </c>
      <c r="AB120" s="35" t="e">
        <f t="shared" si="57"/>
        <v>#REF!</v>
      </c>
      <c r="AC120" s="35" t="e">
        <f t="shared" si="57"/>
        <v>#REF!</v>
      </c>
      <c r="AD120" s="35" t="e">
        <f t="shared" si="57"/>
        <v>#REF!</v>
      </c>
      <c r="AE120" s="35" t="e">
        <f t="shared" si="57"/>
        <v>#REF!</v>
      </c>
      <c r="AF120" s="35" t="e">
        <f t="shared" si="57"/>
        <v>#REF!</v>
      </c>
      <c r="AG120" s="35" t="e">
        <f t="shared" si="57"/>
        <v>#REF!</v>
      </c>
      <c r="AH120" s="35" t="e">
        <f t="shared" ref="AH120:AJ120" si="58">AH116*AH110/AH118</f>
        <v>#REF!</v>
      </c>
      <c r="AI120" s="35" t="e">
        <f t="shared" si="58"/>
        <v>#REF!</v>
      </c>
      <c r="AJ120" s="35" t="e">
        <f t="shared" si="58"/>
        <v>#REF!</v>
      </c>
      <c r="AK120" s="35" t="e">
        <f t="shared" si="56"/>
        <v>#REF!</v>
      </c>
      <c r="AL120" s="35" t="e">
        <f t="shared" si="56"/>
        <v>#REF!</v>
      </c>
      <c r="AM120" s="35" t="e">
        <f t="shared" si="56"/>
        <v>#REF!</v>
      </c>
      <c r="AN120" s="35" t="e">
        <f t="shared" si="56"/>
        <v>#REF!</v>
      </c>
      <c r="AO120" s="35" t="e">
        <f t="shared" si="56"/>
        <v>#REF!</v>
      </c>
      <c r="AP120" s="35" t="e">
        <f t="shared" si="56"/>
        <v>#REF!</v>
      </c>
      <c r="AQ120" s="35" t="e">
        <f t="shared" si="56"/>
        <v>#REF!</v>
      </c>
      <c r="AR120" s="35" t="e">
        <f t="shared" si="56"/>
        <v>#REF!</v>
      </c>
      <c r="AS120" s="35" t="e">
        <f t="shared" si="56"/>
        <v>#REF!</v>
      </c>
      <c r="AT120" s="35" t="e">
        <f t="shared" si="56"/>
        <v>#REF!</v>
      </c>
      <c r="AU120" s="35" t="e">
        <f t="shared" si="56"/>
        <v>#REF!</v>
      </c>
      <c r="AV120" s="35" t="e">
        <f t="shared" si="56"/>
        <v>#REF!</v>
      </c>
      <c r="AW120" s="35" t="e">
        <f t="shared" si="56"/>
        <v>#REF!</v>
      </c>
      <c r="AX120" s="35" t="e">
        <f t="shared" si="56"/>
        <v>#REF!</v>
      </c>
      <c r="AY120" s="35" t="e">
        <f t="shared" si="56"/>
        <v>#REF!</v>
      </c>
      <c r="AZ120" s="35" t="e">
        <f t="shared" si="56"/>
        <v>#REF!</v>
      </c>
      <c r="BA120" s="35" t="e">
        <f t="shared" si="56"/>
        <v>#REF!</v>
      </c>
      <c r="BB120" s="35" t="e">
        <f t="shared" si="56"/>
        <v>#REF!</v>
      </c>
      <c r="BC120" s="35" t="e">
        <f t="shared" si="56"/>
        <v>#REF!</v>
      </c>
      <c r="BD120" s="35" t="e">
        <f t="shared" si="56"/>
        <v>#REF!</v>
      </c>
      <c r="BE120" s="35" t="e">
        <f t="shared" si="56"/>
        <v>#REF!</v>
      </c>
      <c r="BF120" s="35" t="e">
        <f t="shared" si="56"/>
        <v>#REF!</v>
      </c>
      <c r="BG120" s="35" t="e">
        <f t="shared" si="56"/>
        <v>#REF!</v>
      </c>
      <c r="BH120" s="35" t="e">
        <f t="shared" si="56"/>
        <v>#REF!</v>
      </c>
      <c r="BI120" s="35" t="e">
        <f t="shared" si="56"/>
        <v>#REF!</v>
      </c>
      <c r="BJ120" s="35" t="e">
        <f t="shared" si="56"/>
        <v>#REF!</v>
      </c>
      <c r="BK120" s="35" t="e">
        <f t="shared" si="56"/>
        <v>#REF!</v>
      </c>
      <c r="BL120" s="35" t="e">
        <f t="shared" si="56"/>
        <v>#REF!</v>
      </c>
      <c r="BM120" s="35" t="e">
        <f t="shared" si="56"/>
        <v>#REF!</v>
      </c>
      <c r="BN120" s="35" t="e">
        <f t="shared" si="56"/>
        <v>#REF!</v>
      </c>
      <c r="BO120" s="35" t="e">
        <f t="shared" si="56"/>
        <v>#REF!</v>
      </c>
      <c r="BP120" s="35" t="e">
        <f t="shared" si="56"/>
        <v>#REF!</v>
      </c>
      <c r="BQ120" s="35" t="e">
        <f t="shared" si="56"/>
        <v>#REF!</v>
      </c>
      <c r="BR120" s="36"/>
      <c r="BS120" s="102" t="e">
        <f t="shared" si="56"/>
        <v>#REF!</v>
      </c>
    </row>
    <row r="121" spans="1:71" ht="21" hidden="1" thickBot="1" x14ac:dyDescent="0.25">
      <c r="A121" s="103"/>
      <c r="B121" s="81" t="s">
        <v>220</v>
      </c>
      <c r="C121" s="82"/>
      <c r="D121" s="83" t="s">
        <v>171</v>
      </c>
      <c r="E121" s="104" t="e">
        <f t="shared" ref="E121:BS121" si="59">E120*E119*100</f>
        <v>#DIV/0!</v>
      </c>
      <c r="F121" s="104" t="e">
        <f t="shared" si="59"/>
        <v>#DIV/0!</v>
      </c>
      <c r="G121" s="104" t="e">
        <f t="shared" si="59"/>
        <v>#DIV/0!</v>
      </c>
      <c r="H121" s="104">
        <f t="shared" si="59"/>
        <v>0</v>
      </c>
      <c r="I121" s="104" t="e">
        <f t="shared" si="59"/>
        <v>#REF!</v>
      </c>
      <c r="J121" s="104" t="e">
        <f t="shared" si="59"/>
        <v>#REF!</v>
      </c>
      <c r="K121" s="104" t="e">
        <f t="shared" si="59"/>
        <v>#REF!</v>
      </c>
      <c r="L121" s="104" t="e">
        <f t="shared" ref="L121:AG121" si="60">L120*L119*100</f>
        <v>#REF!</v>
      </c>
      <c r="M121" s="104" t="e">
        <f t="shared" si="60"/>
        <v>#REF!</v>
      </c>
      <c r="N121" s="104" t="e">
        <f t="shared" si="60"/>
        <v>#REF!</v>
      </c>
      <c r="O121" s="104" t="e">
        <f t="shared" si="60"/>
        <v>#REF!</v>
      </c>
      <c r="P121" s="104" t="e">
        <f t="shared" si="60"/>
        <v>#REF!</v>
      </c>
      <c r="Q121" s="104" t="e">
        <f t="shared" si="60"/>
        <v>#REF!</v>
      </c>
      <c r="R121" s="104" t="e">
        <f t="shared" si="60"/>
        <v>#REF!</v>
      </c>
      <c r="S121" s="104" t="e">
        <f t="shared" si="60"/>
        <v>#REF!</v>
      </c>
      <c r="T121" s="104" t="e">
        <f t="shared" si="60"/>
        <v>#REF!</v>
      </c>
      <c r="U121" s="104" t="e">
        <f t="shared" si="60"/>
        <v>#REF!</v>
      </c>
      <c r="V121" s="104" t="e">
        <f t="shared" si="60"/>
        <v>#REF!</v>
      </c>
      <c r="W121" s="104" t="e">
        <f t="shared" si="60"/>
        <v>#REF!</v>
      </c>
      <c r="X121" s="104" t="e">
        <f t="shared" si="60"/>
        <v>#REF!</v>
      </c>
      <c r="Y121" s="104" t="e">
        <f t="shared" si="60"/>
        <v>#REF!</v>
      </c>
      <c r="Z121" s="104" t="e">
        <f t="shared" si="60"/>
        <v>#REF!</v>
      </c>
      <c r="AA121" s="104" t="e">
        <f t="shared" si="60"/>
        <v>#REF!</v>
      </c>
      <c r="AB121" s="104" t="e">
        <f t="shared" si="60"/>
        <v>#REF!</v>
      </c>
      <c r="AC121" s="104" t="e">
        <f t="shared" si="60"/>
        <v>#REF!</v>
      </c>
      <c r="AD121" s="104" t="e">
        <f t="shared" si="60"/>
        <v>#REF!</v>
      </c>
      <c r="AE121" s="104" t="e">
        <f t="shared" si="60"/>
        <v>#REF!</v>
      </c>
      <c r="AF121" s="104" t="e">
        <f t="shared" si="60"/>
        <v>#REF!</v>
      </c>
      <c r="AG121" s="104" t="e">
        <f t="shared" si="60"/>
        <v>#REF!</v>
      </c>
      <c r="AH121" s="104" t="e">
        <f t="shared" ref="AH121:AJ121" si="61">AH120*AH119*100</f>
        <v>#REF!</v>
      </c>
      <c r="AI121" s="104" t="e">
        <f t="shared" si="61"/>
        <v>#REF!</v>
      </c>
      <c r="AJ121" s="104" t="e">
        <f t="shared" si="61"/>
        <v>#REF!</v>
      </c>
      <c r="AK121" s="104" t="e">
        <f t="shared" si="59"/>
        <v>#REF!</v>
      </c>
      <c r="AL121" s="104" t="e">
        <f t="shared" si="59"/>
        <v>#REF!</v>
      </c>
      <c r="AM121" s="104" t="e">
        <f t="shared" si="59"/>
        <v>#REF!</v>
      </c>
      <c r="AN121" s="104" t="e">
        <f t="shared" si="59"/>
        <v>#REF!</v>
      </c>
      <c r="AO121" s="104" t="e">
        <f t="shared" si="59"/>
        <v>#REF!</v>
      </c>
      <c r="AP121" s="104" t="e">
        <f t="shared" si="59"/>
        <v>#REF!</v>
      </c>
      <c r="AQ121" s="104" t="e">
        <f t="shared" si="59"/>
        <v>#REF!</v>
      </c>
      <c r="AR121" s="104" t="e">
        <f t="shared" si="59"/>
        <v>#REF!</v>
      </c>
      <c r="AS121" s="104" t="e">
        <f t="shared" si="59"/>
        <v>#REF!</v>
      </c>
      <c r="AT121" s="104" t="e">
        <f t="shared" si="59"/>
        <v>#REF!</v>
      </c>
      <c r="AU121" s="104" t="e">
        <f t="shared" si="59"/>
        <v>#REF!</v>
      </c>
      <c r="AV121" s="104" t="e">
        <f t="shared" si="59"/>
        <v>#REF!</v>
      </c>
      <c r="AW121" s="104" t="e">
        <f t="shared" si="59"/>
        <v>#REF!</v>
      </c>
      <c r="AX121" s="104" t="e">
        <f t="shared" si="59"/>
        <v>#REF!</v>
      </c>
      <c r="AY121" s="104" t="e">
        <f t="shared" si="59"/>
        <v>#REF!</v>
      </c>
      <c r="AZ121" s="104" t="e">
        <f t="shared" si="59"/>
        <v>#REF!</v>
      </c>
      <c r="BA121" s="104" t="e">
        <f t="shared" si="59"/>
        <v>#REF!</v>
      </c>
      <c r="BB121" s="104" t="e">
        <f t="shared" si="59"/>
        <v>#REF!</v>
      </c>
      <c r="BC121" s="104" t="e">
        <f t="shared" si="59"/>
        <v>#REF!</v>
      </c>
      <c r="BD121" s="104" t="e">
        <f t="shared" si="59"/>
        <v>#REF!</v>
      </c>
      <c r="BE121" s="104" t="e">
        <f t="shared" si="59"/>
        <v>#REF!</v>
      </c>
      <c r="BF121" s="104" t="e">
        <f t="shared" si="59"/>
        <v>#REF!</v>
      </c>
      <c r="BG121" s="104" t="e">
        <f t="shared" si="59"/>
        <v>#REF!</v>
      </c>
      <c r="BH121" s="104" t="e">
        <f t="shared" si="59"/>
        <v>#REF!</v>
      </c>
      <c r="BI121" s="104" t="e">
        <f t="shared" si="59"/>
        <v>#REF!</v>
      </c>
      <c r="BJ121" s="104" t="e">
        <f t="shared" si="59"/>
        <v>#REF!</v>
      </c>
      <c r="BK121" s="104" t="e">
        <f t="shared" si="59"/>
        <v>#REF!</v>
      </c>
      <c r="BL121" s="104" t="e">
        <f t="shared" si="59"/>
        <v>#REF!</v>
      </c>
      <c r="BM121" s="104" t="e">
        <f t="shared" si="59"/>
        <v>#REF!</v>
      </c>
      <c r="BN121" s="104" t="e">
        <f t="shared" si="59"/>
        <v>#REF!</v>
      </c>
      <c r="BO121" s="104" t="e">
        <f t="shared" si="59"/>
        <v>#REF!</v>
      </c>
      <c r="BP121" s="104" t="e">
        <f t="shared" si="59"/>
        <v>#REF!</v>
      </c>
      <c r="BQ121" s="104" t="e">
        <f t="shared" si="59"/>
        <v>#REF!</v>
      </c>
      <c r="BR121" s="105"/>
      <c r="BS121" s="86" t="e">
        <f t="shared" si="59"/>
        <v>#REF!</v>
      </c>
    </row>
    <row r="122" spans="1:71" x14ac:dyDescent="0.2">
      <c r="A122" s="88"/>
      <c r="B122" s="88"/>
      <c r="C122" s="89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88"/>
    </row>
    <row r="123" spans="1:71" x14ac:dyDescent="0.2">
      <c r="A123" s="88"/>
      <c r="B123" s="88"/>
      <c r="C123" s="89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88"/>
    </row>
    <row r="124" spans="1:71" ht="26.25" customHeight="1" x14ac:dyDescent="0.2">
      <c r="A124" s="88"/>
      <c r="B124" s="88"/>
      <c r="C124" s="89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106"/>
    </row>
    <row r="125" spans="1:71" ht="15.75" customHeight="1" x14ac:dyDescent="0.2">
      <c r="A125" s="88"/>
      <c r="B125" s="88"/>
      <c r="C125" s="89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106"/>
    </row>
    <row r="126" spans="1:71" x14ac:dyDescent="0.2">
      <c r="A126" s="88"/>
      <c r="B126" s="88"/>
      <c r="C126" s="89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106"/>
    </row>
    <row r="127" spans="1:71" x14ac:dyDescent="0.2">
      <c r="A127" s="88"/>
      <c r="B127" s="88" t="s">
        <v>148</v>
      </c>
      <c r="C127" s="89"/>
      <c r="D127" s="88" t="s">
        <v>16</v>
      </c>
      <c r="E127" s="88"/>
      <c r="F127" s="88"/>
      <c r="G127" s="88">
        <v>150.19999999999999</v>
      </c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106"/>
    </row>
    <row r="128" spans="1:71" x14ac:dyDescent="0.2">
      <c r="A128" s="88"/>
      <c r="B128" s="88" t="s">
        <v>248</v>
      </c>
      <c r="C128" s="89"/>
      <c r="D128" s="88" t="s">
        <v>254</v>
      </c>
      <c r="E128" s="88"/>
      <c r="F128" s="88"/>
      <c r="G128" s="88">
        <v>4470.1000000000004</v>
      </c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106"/>
    </row>
    <row r="129" spans="1:71" x14ac:dyDescent="0.2">
      <c r="A129" s="88"/>
      <c r="B129" s="88" t="s">
        <v>249</v>
      </c>
      <c r="C129" s="89"/>
      <c r="D129" s="88" t="s">
        <v>254</v>
      </c>
      <c r="E129" s="88"/>
      <c r="F129" s="88"/>
      <c r="G129" s="88">
        <v>0</v>
      </c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106"/>
    </row>
    <row r="130" spans="1:71" x14ac:dyDescent="0.2">
      <c r="A130" s="88"/>
      <c r="B130" s="88" t="s">
        <v>250</v>
      </c>
      <c r="C130" s="89"/>
      <c r="D130" s="88" t="s">
        <v>151</v>
      </c>
      <c r="E130" s="88"/>
      <c r="F130" s="88"/>
      <c r="G130" s="88">
        <v>615</v>
      </c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106"/>
    </row>
    <row r="131" spans="1:71" x14ac:dyDescent="0.2">
      <c r="A131" s="88"/>
      <c r="B131" s="88" t="s">
        <v>251</v>
      </c>
      <c r="C131" s="89"/>
      <c r="D131" s="88" t="s">
        <v>151</v>
      </c>
      <c r="E131" s="88"/>
      <c r="F131" s="88"/>
      <c r="G131" s="88">
        <v>0</v>
      </c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106"/>
    </row>
    <row r="132" spans="1:71" x14ac:dyDescent="0.2">
      <c r="A132" s="88"/>
      <c r="B132" s="88" t="s">
        <v>252</v>
      </c>
      <c r="C132" s="89"/>
      <c r="D132" s="88" t="s">
        <v>101</v>
      </c>
      <c r="E132" s="88"/>
      <c r="F132" s="88"/>
      <c r="G132" s="88">
        <v>92063</v>
      </c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106"/>
    </row>
    <row r="133" spans="1:71" x14ac:dyDescent="0.2">
      <c r="A133" s="88"/>
      <c r="B133" s="88" t="s">
        <v>253</v>
      </c>
      <c r="C133" s="89"/>
      <c r="D133" s="88" t="s">
        <v>101</v>
      </c>
      <c r="E133" s="88"/>
      <c r="F133" s="88"/>
      <c r="G133" s="88">
        <v>8734</v>
      </c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106"/>
    </row>
    <row r="134" spans="1:71" ht="20.25" customHeight="1" x14ac:dyDescent="0.2">
      <c r="A134" s="88"/>
      <c r="B134" s="88"/>
      <c r="C134" s="89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106"/>
    </row>
  </sheetData>
  <mergeCells count="9">
    <mergeCell ref="I95:AK95"/>
    <mergeCell ref="I3:BS3"/>
    <mergeCell ref="H21:AN21"/>
    <mergeCell ref="C67:BS68"/>
    <mergeCell ref="C74:BS74"/>
    <mergeCell ref="D87:BS87"/>
    <mergeCell ref="I89:AK89"/>
    <mergeCell ref="D59:BS59"/>
    <mergeCell ref="A64:BS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01-05-2026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2026-05-02T09:14:58Z</dcterms:modified>
</cp:coreProperties>
</file>