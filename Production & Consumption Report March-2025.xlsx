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ravindra/Desktop/production /"/>
    </mc:Choice>
  </mc:AlternateContent>
  <xr:revisionPtr revIDLastSave="0" documentId="13_ncr:1_{3F2747D8-7153-A843-B3EC-C077DCB80BFE}" xr6:coauthVersionLast="47" xr6:coauthVersionMax="47" xr10:uidLastSave="{00000000-0000-0000-0000-000000000000}"/>
  <bookViews>
    <workbookView xWindow="0" yWindow="540" windowWidth="20480" windowHeight="11620" firstSheet="25" activeTab="30" xr2:uid="{00000000-000D-0000-FFFF-FFFF00000000}"/>
  </bookViews>
  <sheets>
    <sheet name="01-03-2025" sheetId="282" r:id="rId1"/>
    <sheet name="03-03-2025" sheetId="283" r:id="rId2"/>
    <sheet name="04-03-2025" sheetId="284" r:id="rId3"/>
    <sheet name="05-03-2025" sheetId="285" r:id="rId4"/>
    <sheet name="06-03-2025" sheetId="286" r:id="rId5"/>
    <sheet name="07-03-2025" sheetId="287" r:id="rId6"/>
    <sheet name="08-03-2025" sheetId="288" r:id="rId7"/>
    <sheet name="09-03-2025" sheetId="289" r:id="rId8"/>
    <sheet name="10-03-2025" sheetId="290" r:id="rId9"/>
    <sheet name="11-03-2025" sheetId="291" r:id="rId10"/>
    <sheet name="12-03-2025" sheetId="292" r:id="rId11"/>
    <sheet name="13-03-2025" sheetId="293" r:id="rId12"/>
    <sheet name="14-03-2025" sheetId="294" r:id="rId13"/>
    <sheet name="15-03-2025" sheetId="295" r:id="rId14"/>
    <sheet name="16-03-2025" sheetId="296" r:id="rId15"/>
    <sheet name="17-03-2025" sheetId="297" r:id="rId16"/>
    <sheet name="18-03-2025" sheetId="298" r:id="rId17"/>
    <sheet name="19-03-2025" sheetId="299" r:id="rId18"/>
    <sheet name="20-03-2025" sheetId="300" r:id="rId19"/>
    <sheet name="21-03-2025" sheetId="301" r:id="rId20"/>
    <sheet name="22-03-2025" sheetId="302" r:id="rId21"/>
    <sheet name="23-03-2025" sheetId="303" r:id="rId22"/>
    <sheet name="24-03-2025" sheetId="304" r:id="rId23"/>
    <sheet name="25-03-2025" sheetId="305" r:id="rId24"/>
    <sheet name="26-03-2025" sheetId="306" r:id="rId25"/>
    <sheet name="27-03-2025" sheetId="307" r:id="rId26"/>
    <sheet name="28-03-2025" sheetId="308" r:id="rId27"/>
    <sheet name="29-03-2025" sheetId="309" r:id="rId28"/>
    <sheet name="30-03-2025" sheetId="310" r:id="rId29"/>
    <sheet name="31-03-2025" sheetId="311" r:id="rId30"/>
    <sheet name="PULP &amp; CHEMICAL REPORT" sheetId="41" r:id="rId31"/>
  </sheets>
  <definedNames>
    <definedName name="_xlnm._FilterDatabase" localSheetId="30" hidden="1">'PULP &amp; CHEMICAL REPORT'!$A$2:$AZ$52</definedName>
    <definedName name="_xlnm.Print_Area" localSheetId="30">'PULP &amp; CHEMICAL REPORT'!$A$1:$AY$46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311" l="1"/>
  <c r="F22" i="311"/>
  <c r="H9" i="311"/>
  <c r="G9" i="311"/>
  <c r="AJ97" i="41"/>
  <c r="AJ92" i="41"/>
  <c r="AJ98" i="41" s="1"/>
  <c r="AJ99" i="41" s="1"/>
  <c r="AJ89" i="41"/>
  <c r="AJ87" i="41"/>
  <c r="AJ95" i="41" s="1"/>
  <c r="AJ96" i="41" s="1"/>
  <c r="AJ100" i="41" s="1"/>
  <c r="AJ101" i="41" s="1"/>
  <c r="AJ74" i="41"/>
  <c r="AJ82" i="41" s="1"/>
  <c r="AJ90" i="41" s="1"/>
  <c r="AJ52" i="41"/>
  <c r="AJ16" i="41"/>
  <c r="AJ53" i="41" s="1"/>
  <c r="J26" i="310"/>
  <c r="H14" i="310"/>
  <c r="G14" i="310"/>
  <c r="F22" i="310"/>
  <c r="H13" i="310"/>
  <c r="G13" i="310"/>
  <c r="H12" i="310"/>
  <c r="G12" i="310"/>
  <c r="H11" i="310"/>
  <c r="G11" i="310"/>
  <c r="H10" i="310"/>
  <c r="G10" i="310"/>
  <c r="H9" i="310"/>
  <c r="H22" i="310" s="1"/>
  <c r="G9" i="310"/>
  <c r="G22" i="310" s="1"/>
  <c r="AI97" i="41"/>
  <c r="AI89" i="41"/>
  <c r="AI87" i="41"/>
  <c r="AI95" i="41" s="1"/>
  <c r="AI96" i="41" s="1"/>
  <c r="AI74" i="41"/>
  <c r="AI82" i="41" s="1"/>
  <c r="AI90" i="41" s="1"/>
  <c r="AI52" i="41"/>
  <c r="AI92" i="41" s="1"/>
  <c r="AI98" i="41" s="1"/>
  <c r="AI99" i="41" s="1"/>
  <c r="AI16" i="41"/>
  <c r="AI53" i="41" s="1"/>
  <c r="J26" i="309"/>
  <c r="F22" i="309"/>
  <c r="H13" i="309"/>
  <c r="G13" i="309"/>
  <c r="H12" i="309"/>
  <c r="G12" i="309"/>
  <c r="H11" i="309"/>
  <c r="G11" i="309"/>
  <c r="H10" i="309"/>
  <c r="G10" i="309"/>
  <c r="H9" i="309"/>
  <c r="G9" i="309"/>
  <c r="AH97" i="41"/>
  <c r="AH89" i="41"/>
  <c r="AH87" i="41"/>
  <c r="AH83" i="41" s="1"/>
  <c r="AH74" i="41"/>
  <c r="AH82" i="41" s="1"/>
  <c r="AH90" i="41" s="1"/>
  <c r="AH52" i="41"/>
  <c r="AH92" i="41" s="1"/>
  <c r="AH98" i="41" s="1"/>
  <c r="AH16" i="41"/>
  <c r="AH53" i="41" s="1"/>
  <c r="AG97" i="41"/>
  <c r="AG89" i="41"/>
  <c r="AG87" i="41"/>
  <c r="AG83" i="41" s="1"/>
  <c r="AG74" i="41"/>
  <c r="AG82" i="41" s="1"/>
  <c r="AG90" i="41" s="1"/>
  <c r="AG52" i="41"/>
  <c r="AG92" i="41" s="1"/>
  <c r="AG98" i="41" s="1"/>
  <c r="AG16" i="41"/>
  <c r="AG53" i="41" s="1"/>
  <c r="J26" i="308"/>
  <c r="H16" i="308"/>
  <c r="H17" i="308"/>
  <c r="G16" i="308"/>
  <c r="G17" i="308"/>
  <c r="F22" i="308"/>
  <c r="H22" i="308" s="1"/>
  <c r="H15" i="308"/>
  <c r="G15" i="308"/>
  <c r="H14" i="308"/>
  <c r="G14" i="308"/>
  <c r="H13" i="308"/>
  <c r="G13" i="308"/>
  <c r="H12" i="308"/>
  <c r="G12" i="308"/>
  <c r="H11" i="308"/>
  <c r="G11" i="308"/>
  <c r="H10" i="308"/>
  <c r="G10" i="308"/>
  <c r="H9" i="308"/>
  <c r="G9" i="308"/>
  <c r="AK16" i="41"/>
  <c r="J26" i="307"/>
  <c r="H11" i="307"/>
  <c r="H12" i="307"/>
  <c r="H13" i="307"/>
  <c r="H14" i="307"/>
  <c r="H15" i="307"/>
  <c r="G11" i="307"/>
  <c r="G12" i="307"/>
  <c r="G13" i="307"/>
  <c r="G14" i="307"/>
  <c r="G15" i="307"/>
  <c r="AI83" i="41" l="1"/>
  <c r="AH95" i="41"/>
  <c r="AH96" i="41" s="1"/>
  <c r="AJ83" i="41"/>
  <c r="H22" i="311"/>
  <c r="G22" i="311"/>
  <c r="AH99" i="41"/>
  <c r="AI100" i="41"/>
  <c r="AI101" i="41" s="1"/>
  <c r="AG99" i="41"/>
  <c r="H22" i="309"/>
  <c r="G22" i="309"/>
  <c r="AH100" i="41"/>
  <c r="AG95" i="41"/>
  <c r="AG96" i="41" s="1"/>
  <c r="AG100" i="41" s="1"/>
  <c r="G22" i="308"/>
  <c r="F22" i="307"/>
  <c r="H10" i="307"/>
  <c r="G10" i="307"/>
  <c r="H9" i="307"/>
  <c r="H22" i="307" s="1"/>
  <c r="G9" i="307"/>
  <c r="G22" i="307" s="1"/>
  <c r="AF16" i="41"/>
  <c r="J26" i="306"/>
  <c r="F22" i="306"/>
  <c r="H10" i="306"/>
  <c r="G10" i="306"/>
  <c r="H9" i="306"/>
  <c r="G9" i="306"/>
  <c r="F22" i="305"/>
  <c r="H12" i="305"/>
  <c r="G12" i="305"/>
  <c r="H11" i="305"/>
  <c r="G11" i="305"/>
  <c r="H10" i="305"/>
  <c r="G10" i="305"/>
  <c r="H9" i="305"/>
  <c r="H22" i="305" s="1"/>
  <c r="G9" i="305"/>
  <c r="AE16" i="41"/>
  <c r="J26" i="304"/>
  <c r="F22" i="304"/>
  <c r="H9" i="304"/>
  <c r="H22" i="304" s="1"/>
  <c r="G9" i="304"/>
  <c r="G22" i="304" s="1"/>
  <c r="AD16" i="41"/>
  <c r="J26" i="303"/>
  <c r="H13" i="303"/>
  <c r="H14" i="303"/>
  <c r="G13" i="303"/>
  <c r="G22" i="303" s="1"/>
  <c r="G14" i="303"/>
  <c r="F22" i="303"/>
  <c r="H12" i="303"/>
  <c r="G12" i="303"/>
  <c r="H11" i="303"/>
  <c r="G11" i="303"/>
  <c r="H10" i="303"/>
  <c r="G10" i="303"/>
  <c r="H9" i="303"/>
  <c r="G9" i="303"/>
  <c r="AC16" i="41"/>
  <c r="J26" i="302"/>
  <c r="F22" i="302"/>
  <c r="H12" i="302"/>
  <c r="G12" i="302"/>
  <c r="H11" i="302"/>
  <c r="G11" i="302"/>
  <c r="H10" i="302"/>
  <c r="G10" i="302"/>
  <c r="H9" i="302"/>
  <c r="G9" i="302"/>
  <c r="AB5" i="41"/>
  <c r="AB16" i="41" s="1"/>
  <c r="AA5" i="41"/>
  <c r="AA16" i="41" s="1"/>
  <c r="J26" i="301"/>
  <c r="H13" i="301"/>
  <c r="G13" i="301"/>
  <c r="F22" i="301"/>
  <c r="H12" i="301"/>
  <c r="G12" i="301"/>
  <c r="H11" i="301"/>
  <c r="G11" i="301"/>
  <c r="H10" i="301"/>
  <c r="G10" i="301"/>
  <c r="H9" i="301"/>
  <c r="G9" i="301"/>
  <c r="J26" i="300"/>
  <c r="F22" i="300"/>
  <c r="H12" i="300"/>
  <c r="G12" i="300"/>
  <c r="H11" i="300"/>
  <c r="G11" i="300"/>
  <c r="H10" i="300"/>
  <c r="G10" i="300"/>
  <c r="H9" i="300"/>
  <c r="H22" i="300" s="1"/>
  <c r="G9" i="300"/>
  <c r="Z16" i="41"/>
  <c r="J26" i="299"/>
  <c r="F22" i="299"/>
  <c r="H12" i="299"/>
  <c r="G12" i="299"/>
  <c r="H11" i="299"/>
  <c r="G11" i="299"/>
  <c r="H10" i="299"/>
  <c r="G10" i="299"/>
  <c r="H9" i="299"/>
  <c r="G9" i="299"/>
  <c r="Y16" i="41"/>
  <c r="X16" i="41"/>
  <c r="AY15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J26" i="298"/>
  <c r="F22" i="298"/>
  <c r="H12" i="298"/>
  <c r="G12" i="298"/>
  <c r="H11" i="298"/>
  <c r="G11" i="298"/>
  <c r="H10" i="298"/>
  <c r="G10" i="298"/>
  <c r="H9" i="298"/>
  <c r="G9" i="298"/>
  <c r="F22" i="297"/>
  <c r="H13" i="297"/>
  <c r="G13" i="297"/>
  <c r="H12" i="297"/>
  <c r="G12" i="297"/>
  <c r="H11" i="297"/>
  <c r="G11" i="297"/>
  <c r="H10" i="297"/>
  <c r="G10" i="297"/>
  <c r="H9" i="297"/>
  <c r="G9" i="297"/>
  <c r="G22" i="297" s="1"/>
  <c r="F22" i="296"/>
  <c r="H10" i="296"/>
  <c r="G10" i="296"/>
  <c r="H9" i="296"/>
  <c r="G9" i="296"/>
  <c r="J26" i="295"/>
  <c r="F22" i="295"/>
  <c r="H9" i="295"/>
  <c r="G9" i="295"/>
  <c r="J26" i="294"/>
  <c r="H13" i="294"/>
  <c r="G13" i="294"/>
  <c r="F22" i="294"/>
  <c r="H12" i="294"/>
  <c r="G12" i="294"/>
  <c r="H11" i="294"/>
  <c r="G11" i="294"/>
  <c r="H10" i="294"/>
  <c r="G10" i="294"/>
  <c r="H9" i="294"/>
  <c r="G9" i="294"/>
  <c r="G22" i="294" s="1"/>
  <c r="F22" i="293"/>
  <c r="G22" i="293" s="1"/>
  <c r="H12" i="293"/>
  <c r="G12" i="293"/>
  <c r="H11" i="293"/>
  <c r="G11" i="293"/>
  <c r="H10" i="293"/>
  <c r="G10" i="293"/>
  <c r="H9" i="293"/>
  <c r="G9" i="293"/>
  <c r="AY14" i="41"/>
  <c r="J26" i="292"/>
  <c r="F22" i="292"/>
  <c r="H10" i="292"/>
  <c r="G10" i="292"/>
  <c r="H9" i="292"/>
  <c r="H22" i="292" s="1"/>
  <c r="G9" i="292"/>
  <c r="J26" i="291"/>
  <c r="H10" i="291"/>
  <c r="H11" i="291"/>
  <c r="G10" i="291"/>
  <c r="G11" i="291"/>
  <c r="F22" i="291"/>
  <c r="H9" i="291"/>
  <c r="H22" i="291" s="1"/>
  <c r="G9" i="291"/>
  <c r="G22" i="291" s="1"/>
  <c r="J26" i="290"/>
  <c r="F22" i="290"/>
  <c r="H9" i="290"/>
  <c r="G9" i="290"/>
  <c r="J26" i="289"/>
  <c r="H12" i="289"/>
  <c r="G12" i="289"/>
  <c r="F22" i="289"/>
  <c r="H11" i="289"/>
  <c r="G11" i="289"/>
  <c r="H10" i="289"/>
  <c r="G10" i="289"/>
  <c r="H9" i="289"/>
  <c r="G9" i="289"/>
  <c r="AG101" i="41" l="1"/>
  <c r="AH101" i="41"/>
  <c r="H22" i="306"/>
  <c r="G22" i="306"/>
  <c r="G22" i="305"/>
  <c r="H22" i="303"/>
  <c r="G22" i="302"/>
  <c r="H22" i="302"/>
  <c r="H22" i="301"/>
  <c r="G22" i="301"/>
  <c r="G22" i="300"/>
  <c r="H22" i="299"/>
  <c r="G22" i="299"/>
  <c r="H22" i="298"/>
  <c r="G22" i="298"/>
  <c r="H22" i="297"/>
  <c r="G22" i="296"/>
  <c r="H22" i="296"/>
  <c r="H22" i="295"/>
  <c r="G22" i="295"/>
  <c r="H22" i="294"/>
  <c r="H22" i="293"/>
  <c r="G22" i="292"/>
  <c r="H22" i="290"/>
  <c r="G22" i="290"/>
  <c r="G22" i="289"/>
  <c r="H22" i="289"/>
  <c r="J26" i="288" l="1"/>
  <c r="F22" i="288"/>
  <c r="H11" i="288"/>
  <c r="G11" i="288"/>
  <c r="H10" i="288"/>
  <c r="G10" i="288"/>
  <c r="H9" i="288"/>
  <c r="G9" i="288"/>
  <c r="AY12" i="41"/>
  <c r="J26" i="287"/>
  <c r="F22" i="287"/>
  <c r="H13" i="287"/>
  <c r="G13" i="287"/>
  <c r="H12" i="287"/>
  <c r="G12" i="287"/>
  <c r="H11" i="287"/>
  <c r="G11" i="287"/>
  <c r="H10" i="287"/>
  <c r="G10" i="287"/>
  <c r="H9" i="287"/>
  <c r="G9" i="287"/>
  <c r="H22" i="288" l="1"/>
  <c r="G22" i="288"/>
  <c r="H22" i="287"/>
  <c r="G22" i="287"/>
  <c r="J26" i="286" l="1"/>
  <c r="H13" i="286"/>
  <c r="H14" i="286"/>
  <c r="H15" i="286"/>
  <c r="G13" i="286"/>
  <c r="G14" i="286"/>
  <c r="G15" i="286"/>
  <c r="F22" i="286"/>
  <c r="H22" i="286" s="1"/>
  <c r="H12" i="286"/>
  <c r="G12" i="286"/>
  <c r="H11" i="286"/>
  <c r="G11" i="286"/>
  <c r="H10" i="286"/>
  <c r="G10" i="286"/>
  <c r="H9" i="286"/>
  <c r="G9" i="286"/>
  <c r="J26" i="285"/>
  <c r="G22" i="286" l="1"/>
  <c r="F22" i="285"/>
  <c r="H12" i="285"/>
  <c r="G12" i="285"/>
  <c r="H11" i="285"/>
  <c r="G11" i="285"/>
  <c r="H10" i="285"/>
  <c r="G10" i="285"/>
  <c r="H9" i="285"/>
  <c r="G9" i="285"/>
  <c r="J26" i="284"/>
  <c r="F22" i="284"/>
  <c r="H13" i="284"/>
  <c r="G13" i="284"/>
  <c r="H12" i="284"/>
  <c r="G12" i="284"/>
  <c r="H11" i="284"/>
  <c r="G11" i="284"/>
  <c r="H10" i="284"/>
  <c r="G10" i="284"/>
  <c r="H9" i="284"/>
  <c r="G9" i="284"/>
  <c r="J26" i="283"/>
  <c r="H11" i="283"/>
  <c r="H12" i="283"/>
  <c r="H13" i="283"/>
  <c r="H14" i="283"/>
  <c r="G11" i="283"/>
  <c r="G12" i="283"/>
  <c r="G13" i="283"/>
  <c r="G14" i="283"/>
  <c r="F22" i="283"/>
  <c r="H10" i="283"/>
  <c r="G10" i="283"/>
  <c r="H9" i="283"/>
  <c r="G9" i="283"/>
  <c r="J26" i="282"/>
  <c r="F22" i="282"/>
  <c r="H10" i="282"/>
  <c r="G10" i="282"/>
  <c r="H9" i="282"/>
  <c r="H22" i="282" s="1"/>
  <c r="G9" i="282"/>
  <c r="AY43" i="41"/>
  <c r="AY42" i="41"/>
  <c r="AY41" i="41"/>
  <c r="AY40" i="41"/>
  <c r="AY39" i="41"/>
  <c r="H22" i="285" l="1"/>
  <c r="G22" i="285"/>
  <c r="G22" i="284"/>
  <c r="H22" i="284"/>
  <c r="H22" i="283"/>
  <c r="G22" i="283"/>
  <c r="G22" i="282"/>
  <c r="AY38" i="41"/>
  <c r="AY34" i="41"/>
  <c r="AY6" i="41" l="1"/>
  <c r="AY7" i="41"/>
  <c r="AY8" i="41"/>
  <c r="AY9" i="41"/>
  <c r="AY10" i="41"/>
  <c r="AY11" i="41"/>
  <c r="AY13" i="41"/>
  <c r="AY25" i="41" l="1"/>
  <c r="AY23" i="41"/>
  <c r="AK97" i="41" l="1"/>
  <c r="AK89" i="41"/>
  <c r="AK87" i="41"/>
  <c r="AK83" i="41" s="1"/>
  <c r="AK74" i="41"/>
  <c r="AK82" i="41" s="1"/>
  <c r="AK90" i="41" s="1"/>
  <c r="AK52" i="41"/>
  <c r="AK92" i="41" s="1"/>
  <c r="AK98" i="41" s="1"/>
  <c r="AK53" i="41" l="1"/>
  <c r="AK99" i="41"/>
  <c r="AK95" i="41"/>
  <c r="AK96" i="41" s="1"/>
  <c r="AK100" i="41" s="1"/>
  <c r="AK101" i="41" l="1"/>
  <c r="AF97" i="41"/>
  <c r="AF89" i="41"/>
  <c r="AF87" i="41"/>
  <c r="AF83" i="41" s="1"/>
  <c r="AF74" i="41"/>
  <c r="AF82" i="41" s="1"/>
  <c r="AF90" i="41" s="1"/>
  <c r="AF52" i="41"/>
  <c r="AF92" i="41" s="1"/>
  <c r="AF98" i="41" s="1"/>
  <c r="AE97" i="41"/>
  <c r="AE89" i="41"/>
  <c r="AE87" i="41"/>
  <c r="AE74" i="41"/>
  <c r="AE82" i="41" s="1"/>
  <c r="AE90" i="41" s="1"/>
  <c r="AE52" i="41"/>
  <c r="AE92" i="41" s="1"/>
  <c r="AE98" i="41" s="1"/>
  <c r="AD97" i="41"/>
  <c r="AD89" i="41"/>
  <c r="AD87" i="41"/>
  <c r="AD74" i="41"/>
  <c r="AD82" i="41" s="1"/>
  <c r="AD90" i="41" s="1"/>
  <c r="AD52" i="41"/>
  <c r="AD92" i="41" s="1"/>
  <c r="AD98" i="41" s="1"/>
  <c r="AC97" i="41"/>
  <c r="AC89" i="41"/>
  <c r="AC87" i="41"/>
  <c r="AC83" i="41" s="1"/>
  <c r="AC74" i="41"/>
  <c r="AC82" i="41" s="1"/>
  <c r="AC90" i="41" s="1"/>
  <c r="AC52" i="41"/>
  <c r="AC92" i="41" s="1"/>
  <c r="AC98" i="41" s="1"/>
  <c r="AB97" i="41"/>
  <c r="AB89" i="41"/>
  <c r="AB87" i="41"/>
  <c r="AB83" i="41" s="1"/>
  <c r="AB74" i="41"/>
  <c r="AB82" i="41" s="1"/>
  <c r="AB90" i="41" s="1"/>
  <c r="AB52" i="41"/>
  <c r="AB92" i="41" s="1"/>
  <c r="AB98" i="41" s="1"/>
  <c r="AA97" i="41"/>
  <c r="AA89" i="41"/>
  <c r="AA87" i="41"/>
  <c r="AA83" i="41" s="1"/>
  <c r="AA74" i="41"/>
  <c r="AA82" i="41" s="1"/>
  <c r="AA90" i="41" s="1"/>
  <c r="AA52" i="41"/>
  <c r="AA92" i="41" s="1"/>
  <c r="AA98" i="41" s="1"/>
  <c r="Z97" i="41"/>
  <c r="Z89" i="41"/>
  <c r="Z87" i="41"/>
  <c r="Z83" i="41" s="1"/>
  <c r="Z74" i="41"/>
  <c r="Z82" i="41" s="1"/>
  <c r="Z90" i="41" s="1"/>
  <c r="Z52" i="41"/>
  <c r="Z92" i="41" s="1"/>
  <c r="Z98" i="41" s="1"/>
  <c r="Y97" i="41"/>
  <c r="Y89" i="41"/>
  <c r="Y87" i="41"/>
  <c r="Y83" i="41" s="1"/>
  <c r="Y74" i="41"/>
  <c r="Y82" i="41" s="1"/>
  <c r="Y90" i="41" s="1"/>
  <c r="Y52" i="41"/>
  <c r="Y92" i="41" s="1"/>
  <c r="Y98" i="41" s="1"/>
  <c r="X97" i="41"/>
  <c r="X89" i="41"/>
  <c r="X87" i="41"/>
  <c r="X74" i="41"/>
  <c r="X82" i="41" s="1"/>
  <c r="X90" i="41" s="1"/>
  <c r="X52" i="41"/>
  <c r="X92" i="41" s="1"/>
  <c r="X98" i="41" s="1"/>
  <c r="W97" i="41"/>
  <c r="W89" i="41"/>
  <c r="W87" i="41"/>
  <c r="W74" i="41"/>
  <c r="W82" i="41" s="1"/>
  <c r="W90" i="41" s="1"/>
  <c r="W52" i="41"/>
  <c r="W92" i="41" s="1"/>
  <c r="W98" i="41" s="1"/>
  <c r="V97" i="41"/>
  <c r="V89" i="41"/>
  <c r="V87" i="41"/>
  <c r="V83" i="41" s="1"/>
  <c r="V74" i="41"/>
  <c r="V82" i="41" s="1"/>
  <c r="V90" i="41" s="1"/>
  <c r="V52" i="41"/>
  <c r="V92" i="41" s="1"/>
  <c r="V98" i="41" s="1"/>
  <c r="U97" i="41"/>
  <c r="U89" i="41"/>
  <c r="U87" i="41"/>
  <c r="U83" i="41" s="1"/>
  <c r="U74" i="41"/>
  <c r="U82" i="41" s="1"/>
  <c r="U90" i="41" s="1"/>
  <c r="U52" i="41"/>
  <c r="U92" i="41" s="1"/>
  <c r="U98" i="41" s="1"/>
  <c r="T97" i="41"/>
  <c r="T89" i="41"/>
  <c r="T87" i="41"/>
  <c r="T83" i="41" s="1"/>
  <c r="T74" i="41"/>
  <c r="T82" i="41" s="1"/>
  <c r="T90" i="41" s="1"/>
  <c r="T52" i="41"/>
  <c r="T92" i="41" s="1"/>
  <c r="T98" i="41" s="1"/>
  <c r="AD53" i="41" l="1"/>
  <c r="AE95" i="41"/>
  <c r="AE96" i="41" s="1"/>
  <c r="AE100" i="41" s="1"/>
  <c r="AF53" i="41"/>
  <c r="AF99" i="41"/>
  <c r="AC99" i="41"/>
  <c r="AE53" i="41"/>
  <c r="AF95" i="41"/>
  <c r="AF96" i="41" s="1"/>
  <c r="AF100" i="41" s="1"/>
  <c r="AB99" i="41"/>
  <c r="AE99" i="41"/>
  <c r="W95" i="41"/>
  <c r="W96" i="41" s="1"/>
  <c r="W100" i="41" s="1"/>
  <c r="AA53" i="41"/>
  <c r="AE83" i="41"/>
  <c r="AA99" i="41"/>
  <c r="AD99" i="41"/>
  <c r="AC53" i="41"/>
  <c r="AD95" i="41"/>
  <c r="AD96" i="41" s="1"/>
  <c r="AD100" i="41" s="1"/>
  <c r="AD83" i="41"/>
  <c r="AB53" i="41"/>
  <c r="AB95" i="41"/>
  <c r="AB96" i="41" s="1"/>
  <c r="AB100" i="41" s="1"/>
  <c r="W53" i="41"/>
  <c r="W99" i="41"/>
  <c r="Y53" i="41"/>
  <c r="Z95" i="41"/>
  <c r="Z96" i="41" s="1"/>
  <c r="Z100" i="41" s="1"/>
  <c r="AC95" i="41"/>
  <c r="AC96" i="41" s="1"/>
  <c r="AC100" i="41" s="1"/>
  <c r="Z53" i="41"/>
  <c r="X53" i="41"/>
  <c r="X99" i="41"/>
  <c r="X95" i="41"/>
  <c r="X96" i="41" s="1"/>
  <c r="X100" i="41" s="1"/>
  <c r="AA95" i="41"/>
  <c r="AA96" i="41" s="1"/>
  <c r="AA100" i="41" s="1"/>
  <c r="Z99" i="41"/>
  <c r="U53" i="41"/>
  <c r="X83" i="41"/>
  <c r="Y99" i="41"/>
  <c r="V99" i="41"/>
  <c r="Y95" i="41"/>
  <c r="Y96" i="41" s="1"/>
  <c r="Y100" i="41" s="1"/>
  <c r="U99" i="41"/>
  <c r="T99" i="41"/>
  <c r="V53" i="41"/>
  <c r="W83" i="41"/>
  <c r="V95" i="41"/>
  <c r="V96" i="41" s="1"/>
  <c r="V100" i="41" s="1"/>
  <c r="U95" i="41"/>
  <c r="U96" i="41" s="1"/>
  <c r="U100" i="41" s="1"/>
  <c r="T53" i="41"/>
  <c r="T95" i="41"/>
  <c r="T96" i="41" s="1"/>
  <c r="T100" i="41" s="1"/>
  <c r="X101" i="41" l="1"/>
  <c r="AB101" i="41"/>
  <c r="AE101" i="41"/>
  <c r="AC101" i="41"/>
  <c r="AF101" i="41"/>
  <c r="AD101" i="41"/>
  <c r="U101" i="41"/>
  <c r="AA101" i="41"/>
  <c r="W101" i="41"/>
  <c r="Y101" i="41"/>
  <c r="Z101" i="41"/>
  <c r="T101" i="41"/>
  <c r="V101" i="41"/>
  <c r="AY5" i="41" l="1"/>
  <c r="AY17" i="41"/>
  <c r="AY18" i="41"/>
  <c r="AY19" i="41"/>
  <c r="AY20" i="41"/>
  <c r="AY21" i="41"/>
  <c r="AY22" i="41"/>
  <c r="AY24" i="41"/>
  <c r="AY26" i="41"/>
  <c r="AY27" i="41"/>
  <c r="AY28" i="41"/>
  <c r="AY29" i="41"/>
  <c r="AY30" i="41"/>
  <c r="AY31" i="41"/>
  <c r="AY32" i="41"/>
  <c r="AY33" i="41"/>
  <c r="AY35" i="41"/>
  <c r="AY36" i="41"/>
  <c r="AY37" i="41"/>
  <c r="AY45" i="41"/>
  <c r="AY4" i="41"/>
  <c r="AW16" i="41" l="1"/>
  <c r="AV97" i="41"/>
  <c r="AV92" i="41"/>
  <c r="AV98" i="41" s="1"/>
  <c r="AV89" i="41"/>
  <c r="AV87" i="41"/>
  <c r="AV83" i="41" s="1"/>
  <c r="AV74" i="41"/>
  <c r="AV82" i="41" s="1"/>
  <c r="AV90" i="41" s="1"/>
  <c r="AV46" i="41"/>
  <c r="AV16" i="41"/>
  <c r="AX16" i="41"/>
  <c r="AU97" i="41"/>
  <c r="AU92" i="41"/>
  <c r="AU98" i="41" s="1"/>
  <c r="AU89" i="41"/>
  <c r="AU87" i="41"/>
  <c r="AU74" i="41"/>
  <c r="AU82" i="41" s="1"/>
  <c r="AU90" i="41" s="1"/>
  <c r="AU46" i="41"/>
  <c r="AU16" i="41"/>
  <c r="AT97" i="41"/>
  <c r="AT92" i="41"/>
  <c r="AT98" i="41" s="1"/>
  <c r="AT89" i="41"/>
  <c r="AT87" i="41"/>
  <c r="AT74" i="41"/>
  <c r="AT82" i="41" s="1"/>
  <c r="AT90" i="41" s="1"/>
  <c r="AT46" i="41"/>
  <c r="AT16" i="41"/>
  <c r="AS97" i="41"/>
  <c r="AS92" i="41"/>
  <c r="AS98" i="41" s="1"/>
  <c r="AS89" i="41"/>
  <c r="AS87" i="41"/>
  <c r="AS74" i="41"/>
  <c r="AS82" i="41" s="1"/>
  <c r="AS90" i="41" s="1"/>
  <c r="AS46" i="41"/>
  <c r="AS16" i="41"/>
  <c r="AR97" i="41"/>
  <c r="AR92" i="41"/>
  <c r="AR98" i="41" s="1"/>
  <c r="AR89" i="41"/>
  <c r="AR87" i="41"/>
  <c r="AR74" i="41"/>
  <c r="AR82" i="41" s="1"/>
  <c r="AR90" i="41" s="1"/>
  <c r="AR46" i="41"/>
  <c r="AR16" i="41"/>
  <c r="AQ97" i="41"/>
  <c r="AQ92" i="41"/>
  <c r="AQ98" i="41" s="1"/>
  <c r="AQ89" i="41"/>
  <c r="AQ87" i="41"/>
  <c r="AQ83" i="41" s="1"/>
  <c r="AQ74" i="41"/>
  <c r="AQ82" i="41" s="1"/>
  <c r="AQ90" i="41" s="1"/>
  <c r="AQ46" i="41"/>
  <c r="AQ16" i="41"/>
  <c r="AP97" i="41"/>
  <c r="AP92" i="41"/>
  <c r="AP98" i="41" s="1"/>
  <c r="AP89" i="41"/>
  <c r="AP87" i="41"/>
  <c r="AP74" i="41"/>
  <c r="AP82" i="41" s="1"/>
  <c r="AP90" i="41" s="1"/>
  <c r="AP46" i="41"/>
  <c r="AP16" i="41"/>
  <c r="AO97" i="41"/>
  <c r="AO92" i="41"/>
  <c r="AO98" i="41" s="1"/>
  <c r="AO89" i="41"/>
  <c r="AO87" i="41"/>
  <c r="AO74" i="41"/>
  <c r="AO82" i="41" s="1"/>
  <c r="AO90" i="41" s="1"/>
  <c r="AO46" i="41"/>
  <c r="AO16" i="41"/>
  <c r="AN97" i="41"/>
  <c r="AN92" i="41"/>
  <c r="AN98" i="41" s="1"/>
  <c r="AN89" i="41"/>
  <c r="AN87" i="41"/>
  <c r="AN74" i="41"/>
  <c r="AN82" i="41" s="1"/>
  <c r="AN90" i="41" s="1"/>
  <c r="AN46" i="41"/>
  <c r="AN16" i="41"/>
  <c r="AM97" i="41"/>
  <c r="AM89" i="41"/>
  <c r="AM87" i="41"/>
  <c r="AM74" i="41"/>
  <c r="AM82" i="41" s="1"/>
  <c r="AM90" i="41" s="1"/>
  <c r="AM52" i="41"/>
  <c r="AM92" i="41" s="1"/>
  <c r="AM98" i="41" s="1"/>
  <c r="AM46" i="41"/>
  <c r="AM16" i="41"/>
  <c r="AL97" i="41"/>
  <c r="AL89" i="41"/>
  <c r="AL87" i="41"/>
  <c r="AL74" i="41"/>
  <c r="AL82" i="41" s="1"/>
  <c r="AL90" i="41" s="1"/>
  <c r="AL52" i="41"/>
  <c r="AL92" i="41" s="1"/>
  <c r="AL98" i="41" s="1"/>
  <c r="AL46" i="41"/>
  <c r="AL16" i="41"/>
  <c r="S52" i="41"/>
  <c r="S92" i="41" s="1"/>
  <c r="S98" i="41" s="1"/>
  <c r="R52" i="41"/>
  <c r="R92" i="41" s="1"/>
  <c r="R98" i="41" s="1"/>
  <c r="Q52" i="41"/>
  <c r="Q92" i="41" s="1"/>
  <c r="P52" i="41"/>
  <c r="O52" i="41"/>
  <c r="S97" i="41"/>
  <c r="S89" i="41"/>
  <c r="S87" i="41"/>
  <c r="S74" i="41"/>
  <c r="S82" i="41" s="1"/>
  <c r="S90" i="41" s="1"/>
  <c r="R97" i="41"/>
  <c r="Q83" i="41"/>
  <c r="R89" i="41"/>
  <c r="Q89" i="41"/>
  <c r="P89" i="41"/>
  <c r="R87" i="41"/>
  <c r="R83" i="41" s="1"/>
  <c r="AU53" i="41" l="1"/>
  <c r="AV99" i="41"/>
  <c r="AT95" i="41"/>
  <c r="AT96" i="41" s="1"/>
  <c r="AT100" i="41" s="1"/>
  <c r="AT53" i="41"/>
  <c r="AT99" i="41"/>
  <c r="AR99" i="41"/>
  <c r="AU95" i="41"/>
  <c r="AU96" i="41" s="1"/>
  <c r="AU100" i="41" s="1"/>
  <c r="AV95" i="41"/>
  <c r="AV96" i="41" s="1"/>
  <c r="AV100" i="41" s="1"/>
  <c r="AV53" i="41"/>
  <c r="AU83" i="41"/>
  <c r="AS95" i="41"/>
  <c r="AS96" i="41" s="1"/>
  <c r="AS100" i="41" s="1"/>
  <c r="AO53" i="41"/>
  <c r="AS53" i="41"/>
  <c r="AQ99" i="41"/>
  <c r="AU99" i="41"/>
  <c r="AT83" i="41"/>
  <c r="AP99" i="41"/>
  <c r="AR53" i="41"/>
  <c r="AN53" i="41"/>
  <c r="AO99" i="41"/>
  <c r="AR95" i="41"/>
  <c r="AR96" i="41" s="1"/>
  <c r="AR100" i="41" s="1"/>
  <c r="AS99" i="41"/>
  <c r="AS83" i="41"/>
  <c r="AO95" i="41"/>
  <c r="AO96" i="41" s="1"/>
  <c r="AO100" i="41" s="1"/>
  <c r="AQ53" i="41"/>
  <c r="AR83" i="41"/>
  <c r="AL95" i="41"/>
  <c r="AL96" i="41" s="1"/>
  <c r="AL100" i="41" s="1"/>
  <c r="AN95" i="41"/>
  <c r="AN96" i="41" s="1"/>
  <c r="AN100" i="41" s="1"/>
  <c r="AP53" i="41"/>
  <c r="AQ95" i="41"/>
  <c r="AQ96" i="41" s="1"/>
  <c r="AQ100" i="41" s="1"/>
  <c r="AP95" i="41"/>
  <c r="AP96" i="41" s="1"/>
  <c r="AP100" i="41" s="1"/>
  <c r="AN99" i="41"/>
  <c r="AM99" i="41"/>
  <c r="AL53" i="41"/>
  <c r="AP83" i="41"/>
  <c r="AO83" i="41"/>
  <c r="AN83" i="41"/>
  <c r="AM53" i="41"/>
  <c r="S99" i="41"/>
  <c r="AM95" i="41"/>
  <c r="AM96" i="41" s="1"/>
  <c r="AM100" i="41" s="1"/>
  <c r="AL99" i="41"/>
  <c r="AM83" i="41"/>
  <c r="S95" i="41"/>
  <c r="S96" i="41" s="1"/>
  <c r="S100" i="41" s="1"/>
  <c r="AL83" i="41"/>
  <c r="R95" i="41"/>
  <c r="R96" i="41" s="1"/>
  <c r="S53" i="41"/>
  <c r="S83" i="41"/>
  <c r="R99" i="41"/>
  <c r="AV101" i="41" l="1"/>
  <c r="AU101" i="41"/>
  <c r="AR101" i="41"/>
  <c r="AT101" i="41"/>
  <c r="AY16" i="41"/>
  <c r="AP101" i="41"/>
  <c r="AQ101" i="41"/>
  <c r="AS101" i="41"/>
  <c r="AM101" i="41"/>
  <c r="AN101" i="41"/>
  <c r="AO101" i="41"/>
  <c r="S101" i="41"/>
  <c r="AL101" i="41"/>
  <c r="AY73" i="41" l="1"/>
  <c r="AY72" i="41"/>
  <c r="AY71" i="41"/>
  <c r="AY70" i="41"/>
  <c r="Q97" i="41" l="1"/>
  <c r="Q95" i="41"/>
  <c r="Q96" i="41" s="1"/>
  <c r="Q98" i="41"/>
  <c r="Q74" i="41"/>
  <c r="Q82" i="41" s="1"/>
  <c r="Q90" i="41" s="1"/>
  <c r="Q55" i="41"/>
  <c r="Q99" i="41" l="1"/>
  <c r="Q53" i="41"/>
  <c r="Q56" i="41"/>
  <c r="Q57" i="41"/>
  <c r="Q100" i="41"/>
  <c r="P92" i="41"/>
  <c r="Q101" i="41" l="1"/>
  <c r="AY93" i="41"/>
  <c r="AY91" i="41"/>
  <c r="AY87" i="41"/>
  <c r="R74" i="41"/>
  <c r="R82" i="41" s="1"/>
  <c r="R90" i="41" s="1"/>
  <c r="R100" i="41" s="1"/>
  <c r="R101" i="41" s="1"/>
  <c r="R55" i="41"/>
  <c r="R57" i="41" l="1"/>
  <c r="R53" i="41"/>
  <c r="R56" i="41"/>
  <c r="P98" i="41" l="1"/>
  <c r="P97" i="41"/>
  <c r="P95" i="41"/>
  <c r="P96" i="41" s="1"/>
  <c r="AY97" i="41"/>
  <c r="P83" i="41"/>
  <c r="P74" i="41"/>
  <c r="P82" i="41" s="1"/>
  <c r="P90" i="41" s="1"/>
  <c r="P55" i="41" l="1"/>
  <c r="P56" i="41"/>
  <c r="P57" i="41"/>
  <c r="P53" i="41"/>
  <c r="P99" i="41"/>
  <c r="P100" i="41"/>
  <c r="O89" i="41"/>
  <c r="O95" i="41" s="1"/>
  <c r="O96" i="41" s="1"/>
  <c r="O53" i="41"/>
  <c r="O57" i="41"/>
  <c r="O56" i="41"/>
  <c r="O55" i="41"/>
  <c r="O97" i="41"/>
  <c r="O92" i="41"/>
  <c r="O98" i="41" s="1"/>
  <c r="O83" i="41"/>
  <c r="O81" i="41"/>
  <c r="O74" i="41"/>
  <c r="P101" i="41" l="1"/>
  <c r="O99" i="41"/>
  <c r="O82" i="41"/>
  <c r="N52" i="41"/>
  <c r="N92" i="41" s="1"/>
  <c r="N98" i="41" s="1"/>
  <c r="M52" i="41"/>
  <c r="N89" i="41"/>
  <c r="N95" i="41" s="1"/>
  <c r="N96" i="41" s="1"/>
  <c r="M89" i="41"/>
  <c r="N97" i="41"/>
  <c r="N83" i="41"/>
  <c r="N81" i="41"/>
  <c r="N74" i="41"/>
  <c r="N64" i="41"/>
  <c r="O90" i="41" l="1"/>
  <c r="O100" i="41" s="1"/>
  <c r="O101" i="41" s="1"/>
  <c r="N82" i="41"/>
  <c r="N99" i="41"/>
  <c r="N60" i="41"/>
  <c r="N56" i="41"/>
  <c r="N62" i="41" s="1"/>
  <c r="N57" i="41"/>
  <c r="N63" i="41" s="1"/>
  <c r="N53" i="41"/>
  <c r="N55" i="41"/>
  <c r="N61" i="41" s="1"/>
  <c r="N65" i="41"/>
  <c r="L89" i="41"/>
  <c r="L95" i="41" s="1"/>
  <c r="L52" i="41"/>
  <c r="L92" i="41" s="1"/>
  <c r="L98" i="41" s="1"/>
  <c r="L97" i="41"/>
  <c r="L83" i="41"/>
  <c r="L81" i="41"/>
  <c r="L74" i="41"/>
  <c r="L64" i="41"/>
  <c r="L57" i="41"/>
  <c r="N90" i="41" l="1"/>
  <c r="N100" i="41" s="1"/>
  <c r="N101" i="41" s="1"/>
  <c r="L60" i="41"/>
  <c r="L63" i="41"/>
  <c r="L82" i="41"/>
  <c r="L90" i="41" s="1"/>
  <c r="L99" i="41"/>
  <c r="L53" i="41"/>
  <c r="L96" i="41"/>
  <c r="L65" i="41"/>
  <c r="L56" i="41"/>
  <c r="L62" i="41" s="1"/>
  <c r="L55" i="41"/>
  <c r="L61" i="41" s="1"/>
  <c r="K89" i="41"/>
  <c r="J89" i="41"/>
  <c r="I89" i="41"/>
  <c r="AY89" i="41" l="1"/>
  <c r="L100" i="41"/>
  <c r="L101" i="41" s="1"/>
  <c r="M92" i="41"/>
  <c r="M98" i="41" s="1"/>
  <c r="K52" i="41"/>
  <c r="K92" i="41" s="1"/>
  <c r="K98" i="41" s="1"/>
  <c r="J52" i="41"/>
  <c r="J92" i="41" s="1"/>
  <c r="J98" i="41" s="1"/>
  <c r="I52" i="41"/>
  <c r="M55" i="41"/>
  <c r="M61" i="41" s="1"/>
  <c r="M74" i="41"/>
  <c r="E16" i="41"/>
  <c r="F16" i="41"/>
  <c r="E46" i="41"/>
  <c r="F46" i="41"/>
  <c r="G56" i="41"/>
  <c r="G62" i="41" s="1"/>
  <c r="AY49" i="41"/>
  <c r="AY50" i="41"/>
  <c r="AY51" i="41"/>
  <c r="AY58" i="41"/>
  <c r="AY64" i="41" s="1"/>
  <c r="E64" i="41"/>
  <c r="F64" i="41"/>
  <c r="G64" i="41"/>
  <c r="H64" i="41"/>
  <c r="I64" i="41"/>
  <c r="J64" i="41"/>
  <c r="K64" i="41"/>
  <c r="M64" i="41"/>
  <c r="AY66" i="41"/>
  <c r="E74" i="41"/>
  <c r="F74" i="41"/>
  <c r="G74" i="41"/>
  <c r="H74" i="41"/>
  <c r="I74" i="41"/>
  <c r="J74" i="41"/>
  <c r="K74" i="41"/>
  <c r="AY76" i="41"/>
  <c r="AY77" i="41"/>
  <c r="AY78" i="41"/>
  <c r="AY79" i="41"/>
  <c r="AY80" i="41"/>
  <c r="E81" i="41"/>
  <c r="F81" i="41"/>
  <c r="G81" i="41"/>
  <c r="H81" i="41"/>
  <c r="I81" i="41"/>
  <c r="J81" i="41"/>
  <c r="K81" i="41"/>
  <c r="M81" i="41"/>
  <c r="E83" i="41"/>
  <c r="F83" i="41"/>
  <c r="H83" i="41"/>
  <c r="I83" i="41"/>
  <c r="J83" i="41"/>
  <c r="K83" i="41"/>
  <c r="M83" i="41"/>
  <c r="AY88" i="41"/>
  <c r="E92" i="41"/>
  <c r="F92" i="41"/>
  <c r="F98" i="41" s="1"/>
  <c r="G92" i="41"/>
  <c r="G98" i="41" s="1"/>
  <c r="E95" i="41"/>
  <c r="E96" i="41" s="1"/>
  <c r="F95" i="41"/>
  <c r="F96" i="41" s="1"/>
  <c r="G95" i="41"/>
  <c r="G96" i="41" s="1"/>
  <c r="I95" i="41"/>
  <c r="I96" i="41" s="1"/>
  <c r="J95" i="41"/>
  <c r="J96" i="41" s="1"/>
  <c r="K95" i="41"/>
  <c r="K96" i="41" s="1"/>
  <c r="M95" i="41"/>
  <c r="M96" i="41" s="1"/>
  <c r="E97" i="41"/>
  <c r="F97" i="41"/>
  <c r="G97" i="41"/>
  <c r="I97" i="41"/>
  <c r="J97" i="41"/>
  <c r="K97" i="41"/>
  <c r="M97" i="41"/>
  <c r="I56" i="41" l="1"/>
  <c r="I62" i="41" s="1"/>
  <c r="AY46" i="41"/>
  <c r="AY52" i="41"/>
  <c r="AY95" i="41"/>
  <c r="AY96" i="41" s="1"/>
  <c r="K53" i="41"/>
  <c r="E98" i="41"/>
  <c r="E99" i="41" s="1"/>
  <c r="J53" i="41"/>
  <c r="E55" i="41"/>
  <c r="E61" i="41" s="1"/>
  <c r="K56" i="41"/>
  <c r="K62" i="41" s="1"/>
  <c r="K57" i="41"/>
  <c r="K63" i="41" s="1"/>
  <c r="I92" i="41"/>
  <c r="I53" i="41"/>
  <c r="M53" i="41"/>
  <c r="M56" i="41"/>
  <c r="M62" i="41" s="1"/>
  <c r="M65" i="41"/>
  <c r="M57" i="41"/>
  <c r="M63" i="41" s="1"/>
  <c r="I55" i="41"/>
  <c r="I61" i="41" s="1"/>
  <c r="I57" i="41"/>
  <c r="I63" i="41" s="1"/>
  <c r="K55" i="41"/>
  <c r="K61" i="41" s="1"/>
  <c r="E56" i="41"/>
  <c r="E62" i="41" s="1"/>
  <c r="K65" i="41"/>
  <c r="I65" i="41"/>
  <c r="M82" i="41"/>
  <c r="M90" i="41" s="1"/>
  <c r="M100" i="41" s="1"/>
  <c r="E65" i="41"/>
  <c r="G57" i="41"/>
  <c r="G63" i="41" s="1"/>
  <c r="F57" i="41"/>
  <c r="F63" i="41" s="1"/>
  <c r="I82" i="41"/>
  <c r="I90" i="41" s="1"/>
  <c r="F82" i="41"/>
  <c r="F100" i="41" s="1"/>
  <c r="G82" i="41"/>
  <c r="G100" i="41" s="1"/>
  <c r="F65" i="41"/>
  <c r="F55" i="41"/>
  <c r="F61" i="41" s="1"/>
  <c r="F56" i="41"/>
  <c r="F62" i="41" s="1"/>
  <c r="E57" i="41"/>
  <c r="E63" i="41" s="1"/>
  <c r="G65" i="41"/>
  <c r="G55" i="41"/>
  <c r="G61" i="41" s="1"/>
  <c r="H82" i="41"/>
  <c r="J56" i="41"/>
  <c r="J62" i="41" s="1"/>
  <c r="K82" i="41"/>
  <c r="K90" i="41" s="1"/>
  <c r="K100" i="41" s="1"/>
  <c r="J99" i="41"/>
  <c r="M99" i="41"/>
  <c r="K99" i="41"/>
  <c r="F99" i="41"/>
  <c r="J82" i="41"/>
  <c r="J90" i="41" s="1"/>
  <c r="J100" i="41" s="1"/>
  <c r="J65" i="41"/>
  <c r="AY83" i="41"/>
  <c r="J57" i="41"/>
  <c r="J63" i="41" s="1"/>
  <c r="J55" i="41"/>
  <c r="J61" i="41" s="1"/>
  <c r="AY81" i="41"/>
  <c r="E82" i="41"/>
  <c r="AY74" i="41"/>
  <c r="H65" i="41"/>
  <c r="H63" i="41"/>
  <c r="H61" i="41"/>
  <c r="G99" i="41"/>
  <c r="H62" i="41"/>
  <c r="E100" i="41" l="1"/>
  <c r="E101" i="41" s="1"/>
  <c r="AY53" i="41"/>
  <c r="AY92" i="41"/>
  <c r="AY98" i="41" s="1"/>
  <c r="AY90" i="41"/>
  <c r="I98" i="41"/>
  <c r="I99" i="41" s="1"/>
  <c r="H101" i="41"/>
  <c r="M101" i="41"/>
  <c r="F101" i="41"/>
  <c r="G101" i="41"/>
  <c r="J101" i="41"/>
  <c r="AY55" i="41"/>
  <c r="AY61" i="41" s="1"/>
  <c r="K101" i="41"/>
  <c r="AY56" i="41"/>
  <c r="AY62" i="41" s="1"/>
  <c r="AY57" i="41"/>
  <c r="AY63" i="41" s="1"/>
  <c r="AY82" i="41"/>
  <c r="AY65" i="41"/>
  <c r="AY99" i="41" l="1"/>
  <c r="AY100" i="41"/>
  <c r="I100" i="41"/>
  <c r="I101" i="41" s="1"/>
  <c r="F60" i="41"/>
  <c r="J60" i="41"/>
  <c r="I60" i="41"/>
  <c r="G60" i="41"/>
  <c r="K60" i="41"/>
  <c r="H60" i="41"/>
  <c r="M60" i="41"/>
  <c r="E60" i="41"/>
  <c r="AY101" i="41" l="1"/>
</calcChain>
</file>

<file path=xl/sharedStrings.xml><?xml version="1.0" encoding="utf-8"?>
<sst xmlns="http://schemas.openxmlformats.org/spreadsheetml/2006/main" count="3577" uniqueCount="276">
  <si>
    <t>MT</t>
  </si>
  <si>
    <t xml:space="preserve"> </t>
  </si>
  <si>
    <t>HRS</t>
  </si>
  <si>
    <t>Avg. Gsm</t>
  </si>
  <si>
    <t>m</t>
  </si>
  <si>
    <t>Date:</t>
  </si>
  <si>
    <t>S.N.</t>
  </si>
  <si>
    <t>QUALITY</t>
  </si>
  <si>
    <t>GSM</t>
  </si>
  <si>
    <t>M/C DECKLE</t>
  </si>
  <si>
    <t>M/C Reel SPEED</t>
  </si>
  <si>
    <t>M/C PROD.</t>
  </si>
  <si>
    <t>Avg. speed</t>
  </si>
  <si>
    <t>Production Loss Details</t>
  </si>
  <si>
    <t>REMARKS</t>
  </si>
  <si>
    <t>MPM</t>
  </si>
  <si>
    <t>Dept.</t>
  </si>
  <si>
    <t>Time loss,    Hrs.   Min.</t>
  </si>
  <si>
    <t>Day total</t>
  </si>
  <si>
    <t>Day Total Hrs.: min.</t>
  </si>
  <si>
    <t>Day Total Hrs.</t>
  </si>
  <si>
    <t xml:space="preserve">Tissue Paper Moisture, % </t>
  </si>
  <si>
    <t>Today M/c Production</t>
  </si>
  <si>
    <t>Tissue Paper Brightness, %</t>
  </si>
  <si>
    <t>Todate M/c Production</t>
  </si>
  <si>
    <t>Todate Down Time</t>
  </si>
  <si>
    <t>yankee doctor blade change</t>
  </si>
  <si>
    <t>Grade change</t>
  </si>
  <si>
    <t>Fan pump tripped</t>
  </si>
  <si>
    <t>Power fluctuation/tripped</t>
  </si>
  <si>
    <t>Wire &amp; felt cleaning</t>
  </si>
  <si>
    <t>Felt change</t>
  </si>
  <si>
    <t>Wire change</t>
  </si>
  <si>
    <t>CNG changwe over</t>
  </si>
  <si>
    <t>paper feeding airshower nozzle jammed</t>
  </si>
  <si>
    <t>dcs communication failed</t>
  </si>
  <si>
    <t>Particulars</t>
  </si>
  <si>
    <t>Date</t>
  </si>
  <si>
    <t>Todate consumption</t>
  </si>
  <si>
    <t>A</t>
  </si>
  <si>
    <t>RAW MATERIAL</t>
  </si>
  <si>
    <t>Unit</t>
  </si>
  <si>
    <t>%</t>
  </si>
  <si>
    <t>Total Pulp</t>
  </si>
  <si>
    <t>B</t>
  </si>
  <si>
    <t>Kg.</t>
  </si>
  <si>
    <t>C</t>
  </si>
  <si>
    <t>D</t>
  </si>
  <si>
    <t>F</t>
  </si>
  <si>
    <t>MACHINE PRODUCTION</t>
  </si>
  <si>
    <t>H</t>
  </si>
  <si>
    <t>Steam consumption</t>
  </si>
  <si>
    <t>LPG consumption</t>
  </si>
  <si>
    <t>Water consumption</t>
  </si>
  <si>
    <t>m3</t>
  </si>
  <si>
    <t>Down Time</t>
  </si>
  <si>
    <t>a</t>
  </si>
  <si>
    <t>Pulp Ratio</t>
  </si>
  <si>
    <t>Ratio</t>
  </si>
  <si>
    <t>b</t>
  </si>
  <si>
    <t>Steam,T/T</t>
  </si>
  <si>
    <t>T/T</t>
  </si>
  <si>
    <t>c</t>
  </si>
  <si>
    <t>LPG, Kg/T</t>
  </si>
  <si>
    <t>Kg./T</t>
  </si>
  <si>
    <t>d</t>
  </si>
  <si>
    <t>e</t>
  </si>
  <si>
    <t>Water, m3/T</t>
  </si>
  <si>
    <t>m3/T</t>
  </si>
  <si>
    <t>f</t>
  </si>
  <si>
    <t>Power, KWH/T</t>
  </si>
  <si>
    <t>U/T</t>
  </si>
  <si>
    <t>g</t>
  </si>
  <si>
    <t>h</t>
  </si>
  <si>
    <t>KPI(Key performance indicators)</t>
  </si>
  <si>
    <t>Actual, Rs./T</t>
  </si>
  <si>
    <t>Production Compliance</t>
  </si>
  <si>
    <t>Prod. Compl.</t>
  </si>
  <si>
    <t>Steam cost</t>
  </si>
  <si>
    <t>Rs./T</t>
  </si>
  <si>
    <t>LPG cost</t>
  </si>
  <si>
    <t>Water cost</t>
  </si>
  <si>
    <t>Power cost</t>
  </si>
  <si>
    <t>Variable Man power cost(VLC)</t>
  </si>
  <si>
    <t>Fixed man power (per ton basis)cost</t>
  </si>
  <si>
    <t>Quality Manufactured</t>
  </si>
  <si>
    <t>M/c</t>
  </si>
  <si>
    <t>Domestic</t>
  </si>
  <si>
    <t xml:space="preserve">Export </t>
  </si>
  <si>
    <t>Toilet</t>
  </si>
  <si>
    <t>Facial</t>
  </si>
  <si>
    <t>Napkin</t>
  </si>
  <si>
    <t>k.Towel</t>
  </si>
  <si>
    <t>i</t>
  </si>
  <si>
    <t>Total</t>
  </si>
  <si>
    <t>G.Total</t>
  </si>
  <si>
    <t>gsm</t>
  </si>
  <si>
    <t>J</t>
  </si>
  <si>
    <t>O.E.E. CALCULATION Tissue</t>
  </si>
  <si>
    <t>AVERAGE GSM</t>
  </si>
  <si>
    <t>AVERAGE DECKLE</t>
  </si>
  <si>
    <t>AVERAGE SPEED</t>
  </si>
  <si>
    <t>mpm</t>
  </si>
  <si>
    <t>PRODUCTION</t>
  </si>
  <si>
    <t>TOTAL AVAILABLE TIME</t>
  </si>
  <si>
    <t>hrs.</t>
  </si>
  <si>
    <t>TOTAL DOWN TIME</t>
  </si>
  <si>
    <t>SCHEDULE SHUT</t>
  </si>
  <si>
    <t>PRODUCTION RATE</t>
  </si>
  <si>
    <t>T/hr</t>
  </si>
  <si>
    <t>STANDARD CYCLE</t>
  </si>
  <si>
    <t>hr/MT</t>
  </si>
  <si>
    <t>j</t>
  </si>
  <si>
    <t>CALANDER TIME</t>
  </si>
  <si>
    <t>k</t>
  </si>
  <si>
    <t>LOADING TIME</t>
  </si>
  <si>
    <t>l</t>
  </si>
  <si>
    <t>AVAILABILITY</t>
  </si>
  <si>
    <t>PERFORMANCE</t>
  </si>
  <si>
    <t>O.E.E.</t>
  </si>
  <si>
    <t>NT-17-J</t>
  </si>
  <si>
    <t>KT-34-J</t>
  </si>
  <si>
    <t>KT-40-J</t>
  </si>
  <si>
    <t>KT-42-J</t>
  </si>
  <si>
    <t>KT-38-J</t>
  </si>
  <si>
    <t>KT-32-J</t>
  </si>
  <si>
    <t>KT-22-J</t>
  </si>
  <si>
    <t>TT-18-J</t>
  </si>
  <si>
    <t>TT-17-J</t>
  </si>
  <si>
    <t>TT-15-J</t>
  </si>
  <si>
    <t>NT-18-J</t>
  </si>
  <si>
    <t>NT-16-J</t>
  </si>
  <si>
    <t>NT-15-J</t>
  </si>
  <si>
    <t>NT-14-J</t>
  </si>
  <si>
    <t>FT-12.5-J</t>
  </si>
  <si>
    <t>MR-17-J</t>
  </si>
  <si>
    <t>KT-24-J</t>
  </si>
  <si>
    <t>KT-30-J</t>
  </si>
  <si>
    <t>NT-20-J</t>
  </si>
  <si>
    <t>MR-18-J</t>
  </si>
  <si>
    <t>MR-19-J</t>
  </si>
  <si>
    <t>NT-19-J</t>
  </si>
  <si>
    <t>KT-26-J</t>
  </si>
  <si>
    <t>TC-32-J</t>
  </si>
  <si>
    <t>TT-15.5-J</t>
  </si>
  <si>
    <t>TT-16-J</t>
  </si>
  <si>
    <t>CT-16-J</t>
  </si>
  <si>
    <t>KT-19-J</t>
  </si>
  <si>
    <t>TC-40-J</t>
  </si>
  <si>
    <t>ET-17-J</t>
  </si>
  <si>
    <t>EN-15-J</t>
  </si>
  <si>
    <t>ET-15-J</t>
  </si>
  <si>
    <t>KT-20-J</t>
  </si>
  <si>
    <t>EN-17-J</t>
  </si>
  <si>
    <t>EN-16-J</t>
  </si>
  <si>
    <t>ET-16-J</t>
  </si>
  <si>
    <t>ET-18-J</t>
  </si>
  <si>
    <t>TT-14-J</t>
  </si>
  <si>
    <t>FT-13-J</t>
  </si>
  <si>
    <t>FT-13.5-J</t>
  </si>
  <si>
    <t>KT-35-J</t>
  </si>
  <si>
    <t>EN-18-J</t>
  </si>
  <si>
    <t>FT-14-J</t>
  </si>
  <si>
    <t>KT-17-J</t>
  </si>
  <si>
    <t>KT-18-J</t>
  </si>
  <si>
    <t>KT-36-J</t>
  </si>
  <si>
    <t>TC-35-J</t>
  </si>
  <si>
    <t>TC-37-J</t>
  </si>
  <si>
    <t>TC-38-J</t>
  </si>
  <si>
    <t>TC-42-J</t>
  </si>
  <si>
    <t>TT-16.5-J</t>
  </si>
  <si>
    <t xml:space="preserve">  </t>
  </si>
  <si>
    <t>MR-20-J</t>
  </si>
  <si>
    <t>TT-21-J</t>
  </si>
  <si>
    <t>CSTT-23-J</t>
  </si>
  <si>
    <t>MR-15-J</t>
  </si>
  <si>
    <t>Item code</t>
  </si>
  <si>
    <t>Month - july`2022</t>
  </si>
  <si>
    <t>Kt  (Maxi roll)</t>
  </si>
  <si>
    <t>Kyemene 777LX (WSR)</t>
  </si>
  <si>
    <t>Rezosol 1400 ( Yankee Release)</t>
  </si>
  <si>
    <t>Creptrol A9915 (Yankee coating)</t>
  </si>
  <si>
    <t>Rezosol M278 (MAP)</t>
  </si>
  <si>
    <t>Hercobond 2515AP (DSR)</t>
  </si>
  <si>
    <t xml:space="preserve">Afranil MTC( Defoamer) </t>
  </si>
  <si>
    <t>Prestige FP 7883 AP (Felt Cleaning)</t>
  </si>
  <si>
    <t>M B (Biocide) Spectrum RX 4700</t>
  </si>
  <si>
    <t>MB (Preservative) Spectrum RX 9098</t>
  </si>
  <si>
    <t>Hercobond 8922 AP (Refining Enzyme)</t>
  </si>
  <si>
    <t>Zenix FP 6313 (Wire Passivation)</t>
  </si>
  <si>
    <t>Infinity SL 4620 ( Vacuum scale Control)</t>
  </si>
  <si>
    <t>Renew SC 7450 ( Alkaline Boilout)</t>
  </si>
  <si>
    <t>Praestaret OMA 2520 (Anionic Flocculant)</t>
  </si>
  <si>
    <t>Catiofast 160 (Coagulant)</t>
  </si>
  <si>
    <t>Imported Softwood Pulp SODRA (AD)</t>
  </si>
  <si>
    <t>Kybreak 505 (Repulping Aid)</t>
  </si>
  <si>
    <t>Imported Hardwood Pulp CMPC (AD)Domestic</t>
  </si>
  <si>
    <t>GAYATRISHALTI TISSUE PRIVATE LIMITED</t>
  </si>
  <si>
    <t>DAILY PRODUCTION REPORT OF TISSUE</t>
  </si>
  <si>
    <t>Utility</t>
  </si>
  <si>
    <t>Solenise Chemicals</t>
  </si>
  <si>
    <t>Imported Hardwood Pulp Acacia (AD)April</t>
  </si>
  <si>
    <t>Imported Hardwood Pulp Acacia (AD)Exman</t>
  </si>
  <si>
    <t>Process</t>
  </si>
  <si>
    <t>Imported Softwood Pulp Mercer(AD)</t>
  </si>
  <si>
    <t>Imported Softwood Pulp Laja (AD)</t>
  </si>
  <si>
    <t>Wet strength white Tissue</t>
  </si>
  <si>
    <t>Imported Hardwood Pulp Baycel</t>
  </si>
  <si>
    <t>Imported Softwood Pulp Pacifico (AD)</t>
  </si>
  <si>
    <t>Creptrol 3718 (Yankee coating)</t>
  </si>
  <si>
    <t>Rezosol 150 (Yankee Release)</t>
  </si>
  <si>
    <t>Doctor blade change</t>
  </si>
  <si>
    <t>TOWEL</t>
  </si>
  <si>
    <t>Telofin OF (Boilout)</t>
  </si>
  <si>
    <t>DeTac DC 779 F (Sticky control)</t>
  </si>
  <si>
    <t>FINISHED PRODUCTION TO WARE HOUSE</t>
  </si>
  <si>
    <t>Sodium hypochlorite</t>
  </si>
  <si>
    <t>Mix Xylene</t>
  </si>
  <si>
    <t>Retarder (Ethenol)</t>
  </si>
  <si>
    <t>Caustic soda flakes</t>
  </si>
  <si>
    <t>Anmosuper DIS (Liquid soap)</t>
  </si>
  <si>
    <t>DAILY REPORT  Month (MARCH -2025)</t>
  </si>
  <si>
    <t>NT</t>
  </si>
  <si>
    <t>Instrument</t>
  </si>
  <si>
    <t>Machine stopped due to Next press M/S temp high</t>
  </si>
  <si>
    <t>KT</t>
  </si>
  <si>
    <t>FT</t>
  </si>
  <si>
    <t>TT</t>
  </si>
  <si>
    <t>Sheet break</t>
  </si>
  <si>
    <t>Instruments</t>
  </si>
  <si>
    <t>Paper fly due to anti blowing plate not getting up</t>
  </si>
  <si>
    <t>Power</t>
  </si>
  <si>
    <t>Machine tripped due to power fluctuation</t>
  </si>
  <si>
    <t>Electrical</t>
  </si>
  <si>
    <t>Machine stooped due to MCC switch off and fan pump motor-1</t>
  </si>
  <si>
    <t>protection alarm</t>
  </si>
  <si>
    <t>Machine speed slow due to RW-2 slitter knife loading sensor cable</t>
  </si>
  <si>
    <t>change</t>
  </si>
  <si>
    <t>Mechanical</t>
  </si>
  <si>
    <t>Machine speed slow due to RW-2 camber roll belt idler bearing changed.</t>
  </si>
  <si>
    <t>Others</t>
  </si>
  <si>
    <t>Stock off due to Hood picking at M/C front side</t>
  </si>
  <si>
    <t>Power failure</t>
  </si>
  <si>
    <t>Toscotec</t>
  </si>
  <si>
    <t>V2 blower bearing sleve checked &amp; Headbox lip opening and profile checked</t>
  </si>
  <si>
    <t>by TOSCOTEC</t>
  </si>
  <si>
    <t>Imported Softwood Pulp KOMI (AD)</t>
  </si>
  <si>
    <t>Power cut from GEB</t>
  </si>
  <si>
    <t>Sheet break due to tail cutter not in parking position</t>
  </si>
  <si>
    <t>Maintanance</t>
  </si>
  <si>
    <t>Dry end hood combustion air cooling fan displace from its position</t>
  </si>
  <si>
    <t>Machine stopped due to want of spool due to paper shifting issue</t>
  </si>
  <si>
    <t xml:space="preserve">Sheet break </t>
  </si>
  <si>
    <t>Tail cutter auto sequence not working</t>
  </si>
  <si>
    <t>Machine shut for Toscotec worked on Hood V2 &amp; V5 fans</t>
  </si>
  <si>
    <t>Imported Hardwood Pulp Suzano (AD)</t>
  </si>
  <si>
    <t>System wash up</t>
  </si>
  <si>
    <t>Felt &amp; wire cleaning</t>
  </si>
  <si>
    <t>Tail cutter sequence inturuption</t>
  </si>
  <si>
    <t>Felt &amp; wire cleaning done</t>
  </si>
  <si>
    <t>SOFTING AGENT - PROSOFT TQ 218</t>
  </si>
  <si>
    <t>Imported Softwood Pulp STORA (AD)</t>
  </si>
  <si>
    <t>Jubo roll stuck in pope reel railing</t>
  </si>
  <si>
    <t>Felt and wire sticky cleaning and system drained</t>
  </si>
  <si>
    <t>Machine stopped for secondary arm loading and hood gap checking</t>
  </si>
  <si>
    <t>Tail cutter not working</t>
  </si>
  <si>
    <t>Pope reel speed decrease itself</t>
  </si>
  <si>
    <t>Felt carried the stock in KT 40 gsm</t>
  </si>
  <si>
    <t>Felt and wire cleaning done</t>
  </si>
  <si>
    <t>Natural Gas consumption (Tissue Machine)</t>
  </si>
  <si>
    <t>Natural Gas consumption (Boiler)</t>
  </si>
  <si>
    <t>Power (MACHINE)</t>
  </si>
  <si>
    <t>Power (BOILER+ETP)</t>
  </si>
  <si>
    <t>SCM</t>
  </si>
  <si>
    <t>RO water consumption</t>
  </si>
  <si>
    <t>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</si>
</sst>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h:mm;@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Times New Roman"/>
      <family val="1"/>
    </font>
    <font>
      <b/>
      <u/>
      <sz val="16"/>
      <name val="Times New Roman"/>
      <family val="1"/>
    </font>
    <font>
      <b/>
      <sz val="16"/>
      <name val="Times New Roman"/>
      <family val="1"/>
    </font>
    <font>
      <sz val="16"/>
      <color rgb="FFFF0000"/>
      <name val="Times New Roman"/>
      <family val="1"/>
    </font>
    <font>
      <b/>
      <u/>
      <sz val="18"/>
      <name val="Times New Roman"/>
      <family val="1"/>
    </font>
    <font>
      <b/>
      <sz val="18"/>
      <name val="Times New Roman"/>
      <family val="1"/>
    </font>
    <font>
      <b/>
      <u/>
      <sz val="2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2060"/>
      </top>
      <bottom/>
      <diagonal/>
    </border>
    <border>
      <left style="thin">
        <color rgb="FF002060"/>
      </left>
      <right style="medium">
        <color indexed="64"/>
      </right>
      <top style="thin">
        <color rgb="FF002060"/>
      </top>
      <bottom/>
      <diagonal/>
    </border>
  </borders>
  <cellStyleXfs count="6">
    <xf numFmtId="0" fontId="0" fillId="0" borderId="0"/>
    <xf numFmtId="0" fontId="2" fillId="0" borderId="0"/>
    <xf numFmtId="0" fontId="10" fillId="0" borderId="0"/>
    <xf numFmtId="0" fontId="1" fillId="0" borderId="0"/>
    <xf numFmtId="0" fontId="10" fillId="0" borderId="0"/>
    <xf numFmtId="0" fontId="1" fillId="0" borderId="0"/>
  </cellStyleXfs>
  <cellXfs count="235">
    <xf numFmtId="0" fontId="0" fillId="0" borderId="0" xfId="0"/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164" fontId="3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left"/>
    </xf>
    <xf numFmtId="0" fontId="3" fillId="4" borderId="15" xfId="0" applyFont="1" applyFill="1" applyBorder="1"/>
    <xf numFmtId="0" fontId="5" fillId="4" borderId="15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0" xfId="0" applyFont="1" applyFill="1"/>
    <xf numFmtId="0" fontId="3" fillId="3" borderId="12" xfId="0" applyFont="1" applyFill="1" applyBorder="1"/>
    <xf numFmtId="0" fontId="5" fillId="6" borderId="1" xfId="0" applyFont="1" applyFill="1" applyBorder="1"/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 vertical="center"/>
    </xf>
    <xf numFmtId="165" fontId="5" fillId="7" borderId="16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/>
    </xf>
    <xf numFmtId="0" fontId="9" fillId="5" borderId="2" xfId="0" applyFont="1" applyFill="1" applyBorder="1"/>
    <xf numFmtId="164" fontId="3" fillId="0" borderId="2" xfId="0" applyNumberFormat="1" applyFont="1" applyBorder="1" applyAlignment="1">
      <alignment horizontal="center"/>
    </xf>
    <xf numFmtId="2" fontId="5" fillId="6" borderId="2" xfId="0" applyNumberFormat="1" applyFont="1" applyFill="1" applyBorder="1" applyAlignment="1">
      <alignment horizontal="center"/>
    </xf>
    <xf numFmtId="0" fontId="9" fillId="5" borderId="1" xfId="0" applyFont="1" applyFill="1" applyBorder="1"/>
    <xf numFmtId="0" fontId="9" fillId="5" borderId="20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3" fillId="3" borderId="15" xfId="0" applyFont="1" applyFill="1" applyBorder="1" applyAlignment="1">
      <alignment horizontal="center"/>
    </xf>
    <xf numFmtId="0" fontId="8" fillId="3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2" fontId="5" fillId="3" borderId="16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65" fontId="5" fillId="3" borderId="16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1" fontId="3" fillId="3" borderId="16" xfId="0" applyNumberFormat="1" applyFont="1" applyFill="1" applyBorder="1" applyAlignment="1">
      <alignment horizontal="center"/>
    </xf>
    <xf numFmtId="164" fontId="5" fillId="3" borderId="16" xfId="0" applyNumberFormat="1" applyFont="1" applyFill="1" applyBorder="1" applyAlignment="1">
      <alignment horizontal="center" vertical="center"/>
    </xf>
    <xf numFmtId="1" fontId="5" fillId="3" borderId="16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3" fillId="3" borderId="2" xfId="0" applyFont="1" applyFill="1" applyBorder="1"/>
    <xf numFmtId="0" fontId="3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right"/>
    </xf>
    <xf numFmtId="164" fontId="3" fillId="3" borderId="8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15" xfId="0" applyFont="1" applyFill="1" applyBorder="1"/>
    <xf numFmtId="164" fontId="5" fillId="3" borderId="1" xfId="0" applyNumberFormat="1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/>
    </xf>
    <xf numFmtId="0" fontId="3" fillId="3" borderId="17" xfId="0" applyFont="1" applyFill="1" applyBorder="1"/>
    <xf numFmtId="0" fontId="5" fillId="3" borderId="18" xfId="0" applyFont="1" applyFill="1" applyBorder="1"/>
    <xf numFmtId="0" fontId="5" fillId="3" borderId="18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center"/>
    </xf>
    <xf numFmtId="2" fontId="3" fillId="3" borderId="18" xfId="0" applyNumberFormat="1" applyFont="1" applyFill="1" applyBorder="1" applyAlignment="1">
      <alignment horizontal="center"/>
    </xf>
    <xf numFmtId="2" fontId="5" fillId="3" borderId="19" xfId="0" applyNumberFormat="1" applyFont="1" applyFill="1" applyBorder="1" applyAlignment="1">
      <alignment horizontal="center" vertical="center"/>
    </xf>
    <xf numFmtId="0" fontId="3" fillId="3" borderId="24" xfId="0" applyFont="1" applyFill="1" applyBorder="1"/>
    <xf numFmtId="0" fontId="3" fillId="3" borderId="0" xfId="0" applyFont="1" applyFill="1"/>
    <xf numFmtId="0" fontId="3" fillId="3" borderId="0" xfId="0" applyFont="1" applyFill="1" applyAlignment="1">
      <alignment horizontal="left"/>
    </xf>
    <xf numFmtId="2" fontId="3" fillId="3" borderId="27" xfId="0" applyNumberFormat="1" applyFont="1" applyFill="1" applyBorder="1" applyAlignment="1">
      <alignment horizontal="center"/>
    </xf>
    <xf numFmtId="0" fontId="3" fillId="3" borderId="25" xfId="0" applyFont="1" applyFill="1" applyBorder="1" applyAlignment="1">
      <alignment vertical="center"/>
    </xf>
    <xf numFmtId="0" fontId="3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left"/>
    </xf>
    <xf numFmtId="0" fontId="3" fillId="3" borderId="13" xfId="0" applyFont="1" applyFill="1" applyBorder="1"/>
    <xf numFmtId="0" fontId="5" fillId="3" borderId="13" xfId="0" applyFont="1" applyFill="1" applyBorder="1" applyAlignment="1">
      <alignment horizontal="left"/>
    </xf>
    <xf numFmtId="0" fontId="3" fillId="3" borderId="26" xfId="0" applyFont="1" applyFill="1" applyBorder="1"/>
    <xf numFmtId="0" fontId="5" fillId="3" borderId="1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5" fillId="3" borderId="1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2" fontId="3" fillId="3" borderId="16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/>
    </xf>
    <xf numFmtId="164" fontId="5" fillId="3" borderId="18" xfId="0" applyNumberFormat="1" applyFont="1" applyFill="1" applyBorder="1" applyAlignment="1">
      <alignment horizontal="center"/>
    </xf>
    <xf numFmtId="0" fontId="3" fillId="3" borderId="0" xfId="0" applyFont="1" applyFill="1" applyAlignment="1">
      <alignment vertical="center"/>
    </xf>
    <xf numFmtId="164" fontId="5" fillId="0" borderId="2" xfId="0" applyNumberFormat="1" applyFont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164" fontId="5" fillId="3" borderId="27" xfId="0" applyNumberFormat="1" applyFont="1" applyFill="1" applyBorder="1" applyAlignment="1">
      <alignment horizontal="center"/>
    </xf>
    <xf numFmtId="0" fontId="7" fillId="0" borderId="26" xfId="0" applyFont="1" applyBorder="1"/>
    <xf numFmtId="0" fontId="7" fillId="0" borderId="28" xfId="0" applyFont="1" applyBorder="1"/>
    <xf numFmtId="0" fontId="7" fillId="0" borderId="29" xfId="0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1" fillId="0" borderId="0" xfId="0" applyFont="1" applyAlignment="1">
      <alignment horizontal="right"/>
    </xf>
    <xf numFmtId="14" fontId="11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/>
    </xf>
    <xf numFmtId="0" fontId="12" fillId="0" borderId="7" xfId="0" applyFont="1" applyBorder="1"/>
    <xf numFmtId="0" fontId="12" fillId="0" borderId="8" xfId="0" applyFont="1" applyBorder="1"/>
    <xf numFmtId="2" fontId="12" fillId="0" borderId="8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164" fontId="11" fillId="0" borderId="8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 vertical="center" wrapText="1"/>
    </xf>
    <xf numFmtId="2" fontId="11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/>
    </xf>
    <xf numFmtId="2" fontId="12" fillId="0" borderId="7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left"/>
    </xf>
    <xf numFmtId="2" fontId="1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1" fillId="0" borderId="1" xfId="0" applyFont="1" applyBorder="1"/>
    <xf numFmtId="0" fontId="12" fillId="0" borderId="10" xfId="0" applyFont="1" applyBorder="1"/>
    <xf numFmtId="0" fontId="12" fillId="0" borderId="9" xfId="0" applyFont="1" applyBorder="1"/>
    <xf numFmtId="0" fontId="11" fillId="0" borderId="10" xfId="0" applyFont="1" applyBorder="1" applyAlignment="1">
      <alignment horizontal="right"/>
    </xf>
    <xf numFmtId="2" fontId="12" fillId="0" borderId="10" xfId="0" applyNumberFormat="1" applyFont="1" applyBorder="1" applyAlignment="1">
      <alignment horizontal="center"/>
    </xf>
    <xf numFmtId="0" fontId="11" fillId="0" borderId="10" xfId="0" applyFont="1" applyBorder="1"/>
    <xf numFmtId="0" fontId="12" fillId="0" borderId="6" xfId="0" applyFont="1" applyBorder="1" applyAlignment="1">
      <alignment vertical="center" wrapText="1"/>
    </xf>
    <xf numFmtId="0" fontId="12" fillId="0" borderId="0" xfId="0" applyFont="1" applyAlignment="1">
      <alignment horizontal="left"/>
    </xf>
    <xf numFmtId="0" fontId="14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14" fillId="0" borderId="34" xfId="2" applyFont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/>
    </xf>
    <xf numFmtId="164" fontId="14" fillId="0" borderId="35" xfId="2" applyNumberFormat="1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164" fontId="14" fillId="0" borderId="38" xfId="2" applyNumberFormat="1" applyFont="1" applyBorder="1" applyAlignment="1">
      <alignment horizontal="center" vertical="center" wrapText="1"/>
    </xf>
    <xf numFmtId="0" fontId="14" fillId="0" borderId="39" xfId="2" applyFont="1" applyBorder="1" applyAlignment="1">
      <alignment horizontal="center" vertical="center" wrapText="1"/>
    </xf>
    <xf numFmtId="0" fontId="14" fillId="0" borderId="40" xfId="2" applyFont="1" applyBorder="1" applyAlignment="1">
      <alignment horizontal="center" vertical="center"/>
    </xf>
    <xf numFmtId="164" fontId="14" fillId="0" borderId="41" xfId="2" applyNumberFormat="1" applyFont="1" applyBorder="1" applyAlignment="1">
      <alignment horizontal="center" vertical="center" wrapText="1"/>
    </xf>
    <xf numFmtId="164" fontId="14" fillId="0" borderId="43" xfId="2" applyNumberFormat="1" applyFont="1" applyBorder="1" applyAlignment="1">
      <alignment horizontal="center" vertical="center" wrapText="1"/>
    </xf>
    <xf numFmtId="0" fontId="14" fillId="0" borderId="15" xfId="2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/>
    </xf>
    <xf numFmtId="164" fontId="14" fillId="0" borderId="1" xfId="2" applyNumberFormat="1" applyFont="1" applyBorder="1" applyAlignment="1">
      <alignment horizontal="center" vertical="center" wrapText="1"/>
    </xf>
    <xf numFmtId="0" fontId="14" fillId="0" borderId="8" xfId="2" applyFont="1" applyBorder="1" applyAlignment="1">
      <alignment horizontal="center" vertical="center" wrapText="1"/>
    </xf>
    <xf numFmtId="0" fontId="14" fillId="0" borderId="1" xfId="0" applyFont="1" applyBorder="1"/>
    <xf numFmtId="0" fontId="14" fillId="0" borderId="42" xfId="2" applyFont="1" applyBorder="1" applyAlignment="1">
      <alignment horizontal="center" vertical="center" wrapText="1"/>
    </xf>
    <xf numFmtId="0" fontId="14" fillId="0" borderId="3" xfId="2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 wrapText="1"/>
    </xf>
    <xf numFmtId="164" fontId="14" fillId="0" borderId="3" xfId="2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164" fontId="14" fillId="0" borderId="36" xfId="2" applyNumberFormat="1" applyFont="1" applyBorder="1" applyAlignment="1">
      <alignment horizontal="center" vertical="center" wrapText="1"/>
    </xf>
    <xf numFmtId="164" fontId="14" fillId="0" borderId="33" xfId="2" applyNumberFormat="1" applyFont="1" applyBorder="1" applyAlignment="1">
      <alignment horizontal="center" vertical="center" wrapText="1"/>
    </xf>
    <xf numFmtId="166" fontId="14" fillId="0" borderId="40" xfId="2" applyNumberFormat="1" applyFont="1" applyBorder="1" applyAlignment="1">
      <alignment horizontal="center" vertical="center"/>
    </xf>
    <xf numFmtId="0" fontId="14" fillId="0" borderId="44" xfId="2" applyFont="1" applyBorder="1" applyAlignment="1">
      <alignment vertical="center"/>
    </xf>
    <xf numFmtId="0" fontId="14" fillId="0" borderId="1" xfId="2" applyFont="1" applyBorder="1" applyAlignment="1">
      <alignment horizontal="center"/>
    </xf>
    <xf numFmtId="166" fontId="14" fillId="0" borderId="1" xfId="2" applyNumberFormat="1" applyFont="1" applyBorder="1" applyAlignment="1">
      <alignment horizontal="center" vertical="center"/>
    </xf>
    <xf numFmtId="0" fontId="14" fillId="0" borderId="16" xfId="2" applyFont="1" applyBorder="1"/>
    <xf numFmtId="165" fontId="5" fillId="6" borderId="1" xfId="0" applyNumberFormat="1" applyFont="1" applyFill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0" fontId="15" fillId="0" borderId="34" xfId="2" applyFont="1" applyBorder="1" applyAlignment="1">
      <alignment horizontal="center" vertical="center" wrapText="1"/>
    </xf>
    <xf numFmtId="0" fontId="15" fillId="0" borderId="35" xfId="2" applyFont="1" applyBorder="1" applyAlignment="1">
      <alignment horizontal="center" vertical="center" wrapText="1"/>
    </xf>
    <xf numFmtId="164" fontId="15" fillId="0" borderId="1" xfId="2" applyNumberFormat="1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164" fontId="15" fillId="0" borderId="11" xfId="2" applyNumberFormat="1" applyFont="1" applyBorder="1" applyAlignment="1">
      <alignment horizontal="center" vertical="center" wrapText="1"/>
    </xf>
    <xf numFmtId="0" fontId="15" fillId="0" borderId="40" xfId="2" applyFont="1" applyBorder="1" applyAlignment="1">
      <alignment horizontal="center" vertical="center"/>
    </xf>
    <xf numFmtId="166" fontId="15" fillId="0" borderId="40" xfId="2" applyNumberFormat="1" applyFont="1" applyBorder="1" applyAlignment="1">
      <alignment horizontal="center" vertical="center"/>
    </xf>
    <xf numFmtId="0" fontId="15" fillId="0" borderId="44" xfId="2" applyFont="1" applyBorder="1" applyAlignment="1">
      <alignment vertical="center"/>
    </xf>
    <xf numFmtId="0" fontId="15" fillId="0" borderId="32" xfId="2" applyFont="1" applyBorder="1" applyAlignment="1">
      <alignment horizontal="center" vertical="center"/>
    </xf>
    <xf numFmtId="0" fontId="15" fillId="0" borderId="33" xfId="2" applyFont="1" applyBorder="1" applyAlignment="1">
      <alignment horizontal="center" vertical="center" wrapText="1"/>
    </xf>
    <xf numFmtId="164" fontId="15" fillId="0" borderId="8" xfId="2" applyNumberFormat="1" applyFont="1" applyBorder="1" applyAlignment="1">
      <alignment horizontal="center" vertical="center" wrapText="1"/>
    </xf>
    <xf numFmtId="0" fontId="15" fillId="0" borderId="8" xfId="2" applyFont="1" applyBorder="1" applyAlignment="1">
      <alignment horizontal="center" vertical="center" wrapText="1"/>
    </xf>
    <xf numFmtId="164" fontId="15" fillId="0" borderId="36" xfId="2" applyNumberFormat="1" applyFont="1" applyBorder="1" applyAlignment="1">
      <alignment horizontal="center" vertical="center" wrapText="1"/>
    </xf>
    <xf numFmtId="0" fontId="15" fillId="0" borderId="30" xfId="2" applyFont="1" applyBorder="1" applyAlignment="1">
      <alignment horizontal="center" vertical="center"/>
    </xf>
    <xf numFmtId="166" fontId="15" fillId="0" borderId="30" xfId="2" applyNumberFormat="1" applyFont="1" applyBorder="1" applyAlignment="1">
      <alignment horizontal="center" vertical="center"/>
    </xf>
    <xf numFmtId="0" fontId="15" fillId="0" borderId="31" xfId="2" applyFont="1" applyBorder="1" applyAlignment="1">
      <alignment vertical="center"/>
    </xf>
    <xf numFmtId="164" fontId="15" fillId="0" borderId="37" xfId="2" applyNumberFormat="1" applyFont="1" applyBorder="1" applyAlignment="1">
      <alignment horizontal="center" vertical="center" wrapText="1"/>
    </xf>
    <xf numFmtId="0" fontId="14" fillId="0" borderId="32" xfId="2" applyFont="1" applyBorder="1" applyAlignment="1">
      <alignment horizontal="center" vertical="center"/>
    </xf>
    <xf numFmtId="0" fontId="14" fillId="0" borderId="33" xfId="2" applyFont="1" applyBorder="1" applyAlignment="1">
      <alignment horizontal="center" vertical="center" wrapText="1"/>
    </xf>
    <xf numFmtId="164" fontId="14" fillId="0" borderId="8" xfId="2" applyNumberFormat="1" applyFont="1" applyBorder="1" applyAlignment="1">
      <alignment horizontal="center" vertical="center" wrapText="1"/>
    </xf>
    <xf numFmtId="166" fontId="14" fillId="0" borderId="30" xfId="2" applyNumberFormat="1" applyFont="1" applyBorder="1" applyAlignment="1">
      <alignment horizontal="center" vertical="center"/>
    </xf>
    <xf numFmtId="0" fontId="14" fillId="0" borderId="31" xfId="2" applyFont="1" applyBorder="1" applyAlignment="1">
      <alignment vertical="center"/>
    </xf>
    <xf numFmtId="0" fontId="14" fillId="0" borderId="35" xfId="2" applyFont="1" applyBorder="1" applyAlignment="1">
      <alignment horizontal="center" vertical="center" wrapText="1"/>
    </xf>
    <xf numFmtId="164" fontId="14" fillId="0" borderId="37" xfId="2" applyNumberFormat="1" applyFont="1" applyBorder="1" applyAlignment="1">
      <alignment horizontal="center" vertical="center" wrapText="1"/>
    </xf>
    <xf numFmtId="164" fontId="14" fillId="0" borderId="11" xfId="2" applyNumberFormat="1" applyFont="1" applyBorder="1" applyAlignment="1">
      <alignment horizontal="center" vertical="center" wrapText="1"/>
    </xf>
    <xf numFmtId="1" fontId="14" fillId="0" borderId="1" xfId="2" applyNumberFormat="1" applyFont="1" applyBorder="1" applyAlignment="1">
      <alignment horizontal="center" vertical="center" wrapText="1"/>
    </xf>
    <xf numFmtId="1" fontId="14" fillId="0" borderId="8" xfId="2" applyNumberFormat="1" applyFont="1" applyBorder="1" applyAlignment="1">
      <alignment horizontal="center" vertical="center" wrapText="1"/>
    </xf>
    <xf numFmtId="164" fontId="15" fillId="0" borderId="33" xfId="2" applyNumberFormat="1" applyFont="1" applyBorder="1" applyAlignment="1">
      <alignment horizontal="center" vertical="center" wrapText="1"/>
    </xf>
    <xf numFmtId="164" fontId="15" fillId="0" borderId="35" xfId="2" applyNumberFormat="1" applyFont="1" applyBorder="1" applyAlignment="1">
      <alignment horizontal="center" vertical="center" wrapText="1"/>
    </xf>
    <xf numFmtId="164" fontId="15" fillId="0" borderId="38" xfId="2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5" fontId="5" fillId="0" borderId="16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2 2" xfId="5" xr:uid="{447BF3C0-45C6-4799-87A6-E5372FB82479}"/>
    <cellStyle name="Normal 3" xfId="4" xr:uid="{37AF12E4-87F8-4F33-B814-393EC32EA1A7}"/>
    <cellStyle name="Normal 4" xfId="2" xr:uid="{638E90D9-1CCA-41BF-B1E9-C971D077DBB5}"/>
    <cellStyle name="Normal 5" xfId="3" xr:uid="{D22FDA42-3B61-4296-B763-86CA3A54C87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59BB-8385-4D29-BFEC-19DB2ED57C4E}">
  <dimension ref="A1:K85"/>
  <sheetViews>
    <sheetView topLeftCell="A3" workbookViewId="0">
      <selection activeCell="A3"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65.83203125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45718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191">
        <v>1</v>
      </c>
      <c r="B9" s="192" t="s">
        <v>222</v>
      </c>
      <c r="C9" s="193">
        <v>17</v>
      </c>
      <c r="D9" s="180">
        <v>2.85</v>
      </c>
      <c r="E9" s="194">
        <v>1324</v>
      </c>
      <c r="F9" s="195">
        <v>10.4</v>
      </c>
      <c r="G9" s="181">
        <f>E9*F9</f>
        <v>13769.6</v>
      </c>
      <c r="H9" s="182">
        <f>F9*C9</f>
        <v>176.8</v>
      </c>
      <c r="I9" s="196" t="s">
        <v>203</v>
      </c>
      <c r="J9" s="197">
        <v>2.0833333333333332E-2</v>
      </c>
      <c r="K9" s="198" t="s">
        <v>211</v>
      </c>
    </row>
    <row r="10" spans="1:11" ht="17" x14ac:dyDescent="0.15">
      <c r="A10" s="183">
        <v>2</v>
      </c>
      <c r="B10" s="184" t="s">
        <v>212</v>
      </c>
      <c r="C10" s="185">
        <v>17</v>
      </c>
      <c r="D10" s="180">
        <v>2.85</v>
      </c>
      <c r="E10" s="186">
        <v>1326</v>
      </c>
      <c r="F10" s="199">
        <v>71.599999999999994</v>
      </c>
      <c r="G10" s="181">
        <f t="shared" ref="G10" si="0">E10*F10</f>
        <v>94941.599999999991</v>
      </c>
      <c r="H10" s="182">
        <f t="shared" ref="H10" si="1">F10*C10</f>
        <v>1217.1999999999998</v>
      </c>
      <c r="I10" s="188" t="s">
        <v>223</v>
      </c>
      <c r="J10" s="189">
        <v>5.5555555555555552E-2</v>
      </c>
      <c r="K10" s="190" t="s">
        <v>224</v>
      </c>
    </row>
    <row r="11" spans="1:11" ht="16" x14ac:dyDescent="0.15">
      <c r="A11" s="183"/>
      <c r="B11" s="184"/>
      <c r="C11" s="185"/>
      <c r="D11" s="180"/>
      <c r="E11" s="186"/>
      <c r="F11" s="187"/>
      <c r="G11" s="181"/>
      <c r="H11" s="182"/>
      <c r="I11" s="188"/>
      <c r="J11" s="189"/>
      <c r="K11" s="190"/>
    </row>
    <row r="12" spans="1:11" ht="19.25" customHeight="1" x14ac:dyDescent="0.15">
      <c r="A12" s="151"/>
      <c r="B12" s="152"/>
      <c r="C12" s="171"/>
      <c r="D12" s="148"/>
      <c r="E12" s="163"/>
      <c r="F12" s="170"/>
      <c r="G12" s="149"/>
      <c r="H12" s="150"/>
      <c r="I12" s="157"/>
      <c r="J12" s="172"/>
      <c r="K12" s="173"/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82</v>
      </c>
      <c r="G22" s="130">
        <f>SUM(G9:G21)/F22</f>
        <v>1325.7463414634146</v>
      </c>
      <c r="H22" s="131">
        <f>SUM(H9:H21)/F22</f>
        <v>16.999999999999996</v>
      </c>
      <c r="I22" s="132" t="s">
        <v>19</v>
      </c>
      <c r="J22" s="133">
        <v>1.5</v>
      </c>
      <c r="K22" s="126"/>
    </row>
    <row r="23" spans="1:11" x14ac:dyDescent="0.15">
      <c r="E23" s="134"/>
      <c r="F23" s="135"/>
      <c r="I23" s="136" t="s">
        <v>20</v>
      </c>
      <c r="J23" s="137">
        <v>1.83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82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18+82</f>
        <v>100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19.829999999999998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B16:B19" xr:uid="{3A7FDD58-D956-4EAA-9F18-F3A4FA39B3D7}">
      <formula1>$K$29:$K$85</formula1>
    </dataValidation>
    <dataValidation type="list" allowBlank="1" showInputMessage="1" showErrorMessage="1" sqref="B20:B21" xr:uid="{E0D0C334-D069-4158-BF60-ECE0FCA0F203}">
      <formula1>$K$29:$K$40</formula1>
    </dataValidation>
    <dataValidation type="list" allowBlank="1" showInputMessage="1" showErrorMessage="1" sqref="I50 K15:K21" xr:uid="{CA9F8206-6429-4133-A146-D328693DDB7A}">
      <formula1>$I$41:$I$50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16ED-73C3-42C2-B221-90470626102C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65.83203125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45719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222</v>
      </c>
      <c r="C9" s="202">
        <v>15</v>
      </c>
      <c r="D9" s="148">
        <v>2.85</v>
      </c>
      <c r="E9" s="163">
        <v>1404</v>
      </c>
      <c r="F9" s="170">
        <v>17</v>
      </c>
      <c r="G9" s="149">
        <f>E9*F9</f>
        <v>23868</v>
      </c>
      <c r="H9" s="150">
        <f>F9*C9</f>
        <v>255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222</v>
      </c>
      <c r="C10" s="162">
        <v>16</v>
      </c>
      <c r="D10" s="148">
        <v>2.85</v>
      </c>
      <c r="E10" s="154">
        <v>1326</v>
      </c>
      <c r="F10" s="206">
        <v>3</v>
      </c>
      <c r="G10" s="149">
        <f t="shared" ref="G10:G14" si="0">E10*F10</f>
        <v>3978</v>
      </c>
      <c r="H10" s="150">
        <f t="shared" ref="H10:H14" si="1">F10*C10</f>
        <v>48</v>
      </c>
      <c r="I10" s="157" t="s">
        <v>27</v>
      </c>
      <c r="J10" s="172">
        <v>3.125E-2</v>
      </c>
      <c r="K10" s="173" t="s">
        <v>27</v>
      </c>
    </row>
    <row r="11" spans="1:11" ht="17" x14ac:dyDescent="0.15">
      <c r="A11" s="151">
        <v>3</v>
      </c>
      <c r="B11" s="205" t="s">
        <v>222</v>
      </c>
      <c r="C11" s="162">
        <v>17</v>
      </c>
      <c r="D11" s="148">
        <v>2.85</v>
      </c>
      <c r="E11" s="154">
        <v>1440</v>
      </c>
      <c r="F11" s="207">
        <v>7</v>
      </c>
      <c r="G11" s="149">
        <f t="shared" si="0"/>
        <v>10080</v>
      </c>
      <c r="H11" s="150">
        <f t="shared" si="1"/>
        <v>119</v>
      </c>
      <c r="I11" s="157"/>
      <c r="J11" s="172"/>
      <c r="K11" s="173"/>
    </row>
    <row r="12" spans="1:11" ht="19.25" customHeight="1" x14ac:dyDescent="0.15">
      <c r="A12" s="151">
        <v>4</v>
      </c>
      <c r="B12" s="152" t="s">
        <v>222</v>
      </c>
      <c r="C12" s="171">
        <v>19</v>
      </c>
      <c r="D12" s="148">
        <v>2.85</v>
      </c>
      <c r="E12" s="163">
        <v>1344</v>
      </c>
      <c r="F12" s="170">
        <v>6</v>
      </c>
      <c r="G12" s="149">
        <f t="shared" si="0"/>
        <v>8064</v>
      </c>
      <c r="H12" s="150">
        <f t="shared" si="1"/>
        <v>114</v>
      </c>
      <c r="I12" s="157"/>
      <c r="J12" s="172"/>
      <c r="K12" s="173"/>
    </row>
    <row r="13" spans="1:11" ht="16" x14ac:dyDescent="0.15">
      <c r="A13" s="151">
        <v>5</v>
      </c>
      <c r="B13" s="152" t="s">
        <v>212</v>
      </c>
      <c r="C13" s="153">
        <v>17</v>
      </c>
      <c r="D13" s="148">
        <v>2.85</v>
      </c>
      <c r="E13" s="154">
        <v>1440</v>
      </c>
      <c r="F13" s="155">
        <v>42.3</v>
      </c>
      <c r="G13" s="149">
        <f t="shared" si="0"/>
        <v>60911.999999999993</v>
      </c>
      <c r="H13" s="150">
        <f t="shared" si="1"/>
        <v>719.09999999999991</v>
      </c>
      <c r="I13" s="157"/>
      <c r="J13" s="172"/>
      <c r="K13" s="173"/>
    </row>
    <row r="14" spans="1:11" ht="16" x14ac:dyDescent="0.15">
      <c r="A14" s="156">
        <v>6</v>
      </c>
      <c r="B14" s="157" t="s">
        <v>225</v>
      </c>
      <c r="C14" s="158">
        <v>21</v>
      </c>
      <c r="D14" s="148">
        <v>2.85</v>
      </c>
      <c r="E14" s="154">
        <v>1250</v>
      </c>
      <c r="F14" s="159">
        <v>15.7</v>
      </c>
      <c r="G14" s="149">
        <f t="shared" si="0"/>
        <v>19625</v>
      </c>
      <c r="H14" s="150">
        <f t="shared" si="1"/>
        <v>329.7</v>
      </c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91</v>
      </c>
      <c r="G22" s="130">
        <f>SUM(G9:G21)/F22</f>
        <v>1390.4065934065934</v>
      </c>
      <c r="H22" s="131">
        <f>SUM(H9:H21)/F22</f>
        <v>17.415384615384614</v>
      </c>
      <c r="I22" s="132" t="s">
        <v>19</v>
      </c>
      <c r="J22" s="133">
        <v>1.1499999999999999</v>
      </c>
      <c r="K22" s="126"/>
    </row>
    <row r="23" spans="1:11" x14ac:dyDescent="0.15">
      <c r="E23" s="134"/>
      <c r="F23" s="135"/>
      <c r="I23" s="136" t="s">
        <v>20</v>
      </c>
      <c r="J23" s="137">
        <v>1.08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91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18+82+91</f>
        <v>191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21.08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I50 K15:K21" xr:uid="{A36DEF31-8BE0-410C-96ED-D97CF25F8576}">
      <formula1>$I$41:$I$50</formula1>
    </dataValidation>
    <dataValidation type="list" allowBlank="1" showInputMessage="1" showErrorMessage="1" sqref="B20:B21" xr:uid="{1BA9AC27-A4A1-450C-90D5-50DBC0FB619A}">
      <formula1>$K$29:$K$40</formula1>
    </dataValidation>
    <dataValidation type="list" allowBlank="1" showInputMessage="1" showErrorMessage="1" sqref="B16:B19" xr:uid="{02BDCF33-6D63-4DA7-9C05-31F2F3011038}">
      <formula1>$K$29:$K$85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0890-C54D-4464-863D-2C2281C028EF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65.83203125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45720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226</v>
      </c>
      <c r="C9" s="202">
        <v>12.5</v>
      </c>
      <c r="D9" s="148">
        <v>2.85</v>
      </c>
      <c r="E9" s="163">
        <v>1431</v>
      </c>
      <c r="F9" s="170">
        <v>17.8</v>
      </c>
      <c r="G9" s="149">
        <f>E9*F9</f>
        <v>25471.8</v>
      </c>
      <c r="H9" s="150">
        <f>F9*C9</f>
        <v>222.5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222</v>
      </c>
      <c r="C10" s="162">
        <v>15</v>
      </c>
      <c r="D10" s="148">
        <v>2.85</v>
      </c>
      <c r="E10" s="154">
        <v>1431</v>
      </c>
      <c r="F10" s="206">
        <v>17.399999999999999</v>
      </c>
      <c r="G10" s="149">
        <f t="shared" ref="G10:G13" si="0">E10*F10</f>
        <v>24899.399999999998</v>
      </c>
      <c r="H10" s="150">
        <f t="shared" ref="H10:H13" si="1">F10*C10</f>
        <v>261</v>
      </c>
      <c r="I10" s="157" t="s">
        <v>27</v>
      </c>
      <c r="J10" s="172">
        <v>3.125E-2</v>
      </c>
      <c r="K10" s="173" t="s">
        <v>27</v>
      </c>
    </row>
    <row r="11" spans="1:11" ht="17" x14ac:dyDescent="0.15">
      <c r="A11" s="151">
        <v>3</v>
      </c>
      <c r="B11" s="205" t="s">
        <v>227</v>
      </c>
      <c r="C11" s="162">
        <v>15</v>
      </c>
      <c r="D11" s="148">
        <v>2.85</v>
      </c>
      <c r="E11" s="154">
        <v>1422</v>
      </c>
      <c r="F11" s="207">
        <v>20.2</v>
      </c>
      <c r="G11" s="149">
        <f t="shared" si="0"/>
        <v>28724.399999999998</v>
      </c>
      <c r="H11" s="150">
        <f t="shared" si="1"/>
        <v>303</v>
      </c>
      <c r="I11" s="157" t="s">
        <v>228</v>
      </c>
      <c r="J11" s="172">
        <v>3.4722222222222224E-2</v>
      </c>
      <c r="K11" s="173" t="s">
        <v>228</v>
      </c>
    </row>
    <row r="12" spans="1:11" ht="19.25" customHeight="1" x14ac:dyDescent="0.15">
      <c r="A12" s="151">
        <v>4</v>
      </c>
      <c r="B12" s="152" t="s">
        <v>227</v>
      </c>
      <c r="C12" s="171">
        <v>17</v>
      </c>
      <c r="D12" s="148">
        <v>2.85</v>
      </c>
      <c r="E12" s="163">
        <v>1422</v>
      </c>
      <c r="F12" s="170">
        <v>8.1999999999999993</v>
      </c>
      <c r="G12" s="149">
        <f t="shared" si="0"/>
        <v>11660.4</v>
      </c>
      <c r="H12" s="150">
        <f t="shared" si="1"/>
        <v>139.39999999999998</v>
      </c>
      <c r="I12" s="157" t="s">
        <v>229</v>
      </c>
      <c r="J12" s="172">
        <v>2.0833333333333332E-2</v>
      </c>
      <c r="K12" s="173" t="s">
        <v>230</v>
      </c>
    </row>
    <row r="13" spans="1:11" ht="16" x14ac:dyDescent="0.15">
      <c r="A13" s="151">
        <v>5</v>
      </c>
      <c r="B13" s="152" t="s">
        <v>212</v>
      </c>
      <c r="C13" s="153">
        <v>17</v>
      </c>
      <c r="D13" s="148">
        <v>2.85</v>
      </c>
      <c r="E13" s="154">
        <v>1422</v>
      </c>
      <c r="F13" s="155">
        <v>13.4</v>
      </c>
      <c r="G13" s="149">
        <f t="shared" si="0"/>
        <v>19054.8</v>
      </c>
      <c r="H13" s="150">
        <f t="shared" si="1"/>
        <v>227.8</v>
      </c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77.000000000000014</v>
      </c>
      <c r="G22" s="130">
        <f>SUM(G9:G21)/F22</f>
        <v>1426.1142857142852</v>
      </c>
      <c r="H22" s="131">
        <f>SUM(H9:H21)/F22</f>
        <v>14.983116883116882</v>
      </c>
      <c r="I22" s="132" t="s">
        <v>19</v>
      </c>
      <c r="J22" s="133">
        <v>2.35</v>
      </c>
      <c r="K22" s="126"/>
    </row>
    <row r="23" spans="1:11" x14ac:dyDescent="0.15">
      <c r="E23" s="134"/>
      <c r="F23" s="135"/>
      <c r="I23" s="136" t="s">
        <v>20</v>
      </c>
      <c r="J23" s="137">
        <v>2.58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77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18+82+91+77</f>
        <v>268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23.67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B16:B19" xr:uid="{107FDBAE-3827-4A82-AC7A-FEC0971C5C55}">
      <formula1>$K$29:$K$85</formula1>
    </dataValidation>
    <dataValidation type="list" allowBlank="1" showInputMessage="1" showErrorMessage="1" sqref="B20:B21" xr:uid="{2B63359D-3A6B-4CB4-AFF2-27966EEA75AF}">
      <formula1>$K$29:$K$40</formula1>
    </dataValidation>
    <dataValidation type="list" allowBlank="1" showInputMessage="1" showErrorMessage="1" sqref="I50 K15:K21" xr:uid="{0D30E44C-EFD2-4E77-A0CB-5EA63C1C6463}">
      <formula1>$I$41:$I$50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DD5C-CC37-47E4-9691-76354AAAD510}">
  <dimension ref="A1:K85"/>
  <sheetViews>
    <sheetView topLeftCell="B1" workbookViewId="0">
      <selection activeCell="B1"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45721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226</v>
      </c>
      <c r="C9" s="202">
        <v>12.5</v>
      </c>
      <c r="D9" s="148">
        <v>2.85</v>
      </c>
      <c r="E9" s="163">
        <v>1303</v>
      </c>
      <c r="F9" s="170">
        <v>12.8</v>
      </c>
      <c r="G9" s="149">
        <f>E9*F9</f>
        <v>16678.400000000001</v>
      </c>
      <c r="H9" s="150">
        <f>F9*C9</f>
        <v>160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222</v>
      </c>
      <c r="C10" s="162">
        <v>15</v>
      </c>
      <c r="D10" s="148">
        <v>2.85</v>
      </c>
      <c r="E10" s="154">
        <v>1303</v>
      </c>
      <c r="F10" s="206">
        <v>2.5</v>
      </c>
      <c r="G10" s="149">
        <f t="shared" ref="G10:G12" si="0">E10*F10</f>
        <v>3257.5</v>
      </c>
      <c r="H10" s="150">
        <f t="shared" ref="H10:H12" si="1">F10*C10</f>
        <v>37.5</v>
      </c>
      <c r="I10" s="157" t="s">
        <v>27</v>
      </c>
      <c r="J10" s="172">
        <v>1.3888888888888888E-2</v>
      </c>
      <c r="K10" s="173" t="s">
        <v>27</v>
      </c>
    </row>
    <row r="11" spans="1:11" ht="17" x14ac:dyDescent="0.15">
      <c r="A11" s="151">
        <v>3</v>
      </c>
      <c r="B11" s="205" t="s">
        <v>227</v>
      </c>
      <c r="C11" s="162">
        <v>17</v>
      </c>
      <c r="D11" s="148">
        <v>2.85</v>
      </c>
      <c r="E11" s="154">
        <v>1422</v>
      </c>
      <c r="F11" s="207">
        <v>1.7</v>
      </c>
      <c r="G11" s="149">
        <f t="shared" si="0"/>
        <v>2417.4</v>
      </c>
      <c r="H11" s="150">
        <f t="shared" si="1"/>
        <v>28.9</v>
      </c>
      <c r="I11" s="157" t="s">
        <v>231</v>
      </c>
      <c r="J11" s="172">
        <v>4.1666666666666664E-2</v>
      </c>
      <c r="K11" s="173" t="s">
        <v>232</v>
      </c>
    </row>
    <row r="12" spans="1:11" ht="19.25" customHeight="1" x14ac:dyDescent="0.15">
      <c r="A12" s="151">
        <v>4</v>
      </c>
      <c r="B12" s="152" t="s">
        <v>212</v>
      </c>
      <c r="C12" s="171">
        <v>17</v>
      </c>
      <c r="D12" s="148">
        <v>2.85</v>
      </c>
      <c r="E12" s="163">
        <v>1248</v>
      </c>
      <c r="F12" s="170">
        <v>45</v>
      </c>
      <c r="G12" s="149">
        <f t="shared" si="0"/>
        <v>56160</v>
      </c>
      <c r="H12" s="150">
        <f t="shared" si="1"/>
        <v>765</v>
      </c>
      <c r="I12" s="157" t="s">
        <v>233</v>
      </c>
      <c r="J12" s="172">
        <v>5.5555555555555552E-2</v>
      </c>
      <c r="K12" s="173" t="s">
        <v>234</v>
      </c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/>
      <c r="J13" s="172"/>
      <c r="K13" s="173" t="s">
        <v>235</v>
      </c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 t="s">
        <v>229</v>
      </c>
      <c r="J14" s="175">
        <v>2.0833333333333332E-2</v>
      </c>
      <c r="K14" s="173" t="s">
        <v>236</v>
      </c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 t="s">
        <v>237</v>
      </c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 t="s">
        <v>238</v>
      </c>
      <c r="J16" s="175">
        <v>0.10416666666666667</v>
      </c>
      <c r="K16" s="176" t="s">
        <v>239</v>
      </c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 t="s">
        <v>228</v>
      </c>
      <c r="J17" s="175">
        <v>6.9444444444444441E-3</v>
      </c>
      <c r="K17" s="176" t="s">
        <v>228</v>
      </c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62</v>
      </c>
      <c r="G22" s="130">
        <f>SUM(G9:G21)/F22</f>
        <v>1266.3435483870969</v>
      </c>
      <c r="H22" s="131">
        <f>SUM(H9:H21)/F22</f>
        <v>15.990322580645161</v>
      </c>
      <c r="I22" s="132" t="s">
        <v>19</v>
      </c>
      <c r="J22" s="133">
        <v>6.2</v>
      </c>
      <c r="K22" s="126"/>
    </row>
    <row r="23" spans="1:11" x14ac:dyDescent="0.15">
      <c r="E23" s="134"/>
      <c r="F23" s="135"/>
      <c r="I23" s="136" t="s">
        <v>20</v>
      </c>
      <c r="J23" s="137">
        <v>6.33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62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18+82+91+77+62</f>
        <v>330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30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I50 K15:K21" xr:uid="{4DC94102-629E-47C7-8905-780EED171532}">
      <formula1>$I$41:$I$50</formula1>
    </dataValidation>
    <dataValidation type="list" allowBlank="1" showInputMessage="1" showErrorMessage="1" sqref="B20:B21" xr:uid="{8B7C2DD0-38E6-4685-A72F-CBC4C63F3EA2}">
      <formula1>$K$29:$K$40</formula1>
    </dataValidation>
    <dataValidation type="list" allowBlank="1" showInputMessage="1" showErrorMessage="1" sqref="B16:B19" xr:uid="{C76CDCE4-878D-4EDB-979B-CA8CD85FB9EF}">
      <formula1>$K$29:$K$85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56E0-25AB-4678-9A1D-D5D0FFE8B5AB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45722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212</v>
      </c>
      <c r="C9" s="202">
        <v>17</v>
      </c>
      <c r="D9" s="148">
        <v>2.85</v>
      </c>
      <c r="E9" s="163">
        <v>1326</v>
      </c>
      <c r="F9" s="170">
        <v>19.600000000000001</v>
      </c>
      <c r="G9" s="149">
        <f>E9*F9</f>
        <v>25989.600000000002</v>
      </c>
      <c r="H9" s="150">
        <f>F9*C9</f>
        <v>333.20000000000005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225</v>
      </c>
      <c r="C10" s="162">
        <v>21</v>
      </c>
      <c r="D10" s="148">
        <v>2.85</v>
      </c>
      <c r="E10" s="154">
        <v>1252</v>
      </c>
      <c r="F10" s="206">
        <v>18.399999999999999</v>
      </c>
      <c r="G10" s="149">
        <f t="shared" ref="G10:G15" si="0">E10*F10</f>
        <v>23036.799999999999</v>
      </c>
      <c r="H10" s="150">
        <f t="shared" ref="H10:H15" si="1">F10*C10</f>
        <v>386.4</v>
      </c>
      <c r="I10" s="157" t="s">
        <v>27</v>
      </c>
      <c r="J10" s="172">
        <v>5.2083333333333336E-2</v>
      </c>
      <c r="K10" s="173" t="s">
        <v>27</v>
      </c>
    </row>
    <row r="11" spans="1:11" ht="17" x14ac:dyDescent="0.15">
      <c r="A11" s="151">
        <v>3</v>
      </c>
      <c r="B11" s="205" t="s">
        <v>225</v>
      </c>
      <c r="C11" s="162">
        <v>28</v>
      </c>
      <c r="D11" s="148">
        <v>2.85</v>
      </c>
      <c r="E11" s="154">
        <v>960</v>
      </c>
      <c r="F11" s="207">
        <v>10</v>
      </c>
      <c r="G11" s="149">
        <f t="shared" si="0"/>
        <v>9600</v>
      </c>
      <c r="H11" s="150">
        <f t="shared" si="1"/>
        <v>280</v>
      </c>
      <c r="I11" s="157" t="s">
        <v>240</v>
      </c>
      <c r="J11" s="172">
        <v>1.0416666666666666E-2</v>
      </c>
      <c r="K11" s="173" t="s">
        <v>241</v>
      </c>
    </row>
    <row r="12" spans="1:11" ht="19.25" customHeight="1" x14ac:dyDescent="0.15">
      <c r="A12" s="151">
        <v>4</v>
      </c>
      <c r="B12" s="152" t="s">
        <v>225</v>
      </c>
      <c r="C12" s="171">
        <v>30</v>
      </c>
      <c r="D12" s="148">
        <v>2.85</v>
      </c>
      <c r="E12" s="163">
        <v>885</v>
      </c>
      <c r="F12" s="170">
        <v>11</v>
      </c>
      <c r="G12" s="149">
        <f t="shared" si="0"/>
        <v>9735</v>
      </c>
      <c r="H12" s="150">
        <f t="shared" si="1"/>
        <v>330</v>
      </c>
      <c r="I12" s="157"/>
      <c r="J12" s="172"/>
      <c r="K12" s="173"/>
    </row>
    <row r="13" spans="1:11" ht="16" x14ac:dyDescent="0.15">
      <c r="A13" s="151">
        <v>5</v>
      </c>
      <c r="B13" s="152" t="s">
        <v>225</v>
      </c>
      <c r="C13" s="153">
        <v>31</v>
      </c>
      <c r="D13" s="148">
        <v>2.85</v>
      </c>
      <c r="E13" s="154">
        <v>885</v>
      </c>
      <c r="F13" s="155">
        <v>10</v>
      </c>
      <c r="G13" s="149">
        <f>E13*F13</f>
        <v>8850</v>
      </c>
      <c r="H13" s="150">
        <f>F13*C13</f>
        <v>310</v>
      </c>
      <c r="I13" s="157"/>
      <c r="J13" s="172"/>
      <c r="K13" s="173"/>
    </row>
    <row r="14" spans="1:11" ht="16" x14ac:dyDescent="0.15">
      <c r="A14" s="156">
        <v>6</v>
      </c>
      <c r="B14" s="157" t="s">
        <v>225</v>
      </c>
      <c r="C14" s="158">
        <v>32</v>
      </c>
      <c r="D14" s="148">
        <v>2.85</v>
      </c>
      <c r="E14" s="154">
        <v>885</v>
      </c>
      <c r="F14" s="159">
        <v>15.5</v>
      </c>
      <c r="G14" s="149">
        <f t="shared" si="0"/>
        <v>13717.5</v>
      </c>
      <c r="H14" s="150">
        <f t="shared" si="1"/>
        <v>496</v>
      </c>
      <c r="I14" s="157"/>
      <c r="J14" s="175"/>
      <c r="K14" s="173"/>
    </row>
    <row r="15" spans="1:11" ht="16" x14ac:dyDescent="0.2">
      <c r="A15" s="160">
        <v>7</v>
      </c>
      <c r="B15" s="161" t="s">
        <v>225</v>
      </c>
      <c r="C15" s="162">
        <v>34</v>
      </c>
      <c r="D15" s="148">
        <v>2.85</v>
      </c>
      <c r="E15" s="163">
        <v>826</v>
      </c>
      <c r="F15" s="162">
        <v>16.5</v>
      </c>
      <c r="G15" s="149">
        <f t="shared" si="0"/>
        <v>13629</v>
      </c>
      <c r="H15" s="150">
        <f t="shared" si="1"/>
        <v>561</v>
      </c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101</v>
      </c>
      <c r="G22" s="130">
        <f>SUM(G9:G21)/F22</f>
        <v>1035.2267326732672</v>
      </c>
      <c r="H22" s="131">
        <f>SUM(H9:H21)/F22</f>
        <v>26.699009900990099</v>
      </c>
      <c r="I22" s="132" t="s">
        <v>19</v>
      </c>
      <c r="J22" s="133">
        <v>2</v>
      </c>
      <c r="K22" s="126"/>
    </row>
    <row r="23" spans="1:11" x14ac:dyDescent="0.15">
      <c r="E23" s="134"/>
      <c r="F23" s="135"/>
      <c r="I23" s="136" t="s">
        <v>20</v>
      </c>
      <c r="J23" s="137">
        <v>2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101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18+82+91+77+62+101</f>
        <v>431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32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B16:B19" xr:uid="{11777480-D350-4AB9-8E8C-21A60F45A71B}">
      <formula1>$K$29:$K$85</formula1>
    </dataValidation>
    <dataValidation type="list" allowBlank="1" showInputMessage="1" showErrorMessage="1" sqref="B20:B21" xr:uid="{64263B63-6A85-41F0-A75D-ADBC2D19E582}">
      <formula1>$K$29:$K$40</formula1>
    </dataValidation>
    <dataValidation type="list" allowBlank="1" showInputMessage="1" showErrorMessage="1" sqref="I50 K15:K21" xr:uid="{503D9AF2-EF1C-4B9D-8513-71C8E8D5B892}">
      <formula1>$I$41:$I$50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210F-9374-4101-B019-C2F773DE6E80}">
  <dimension ref="A1:K85"/>
  <sheetViews>
    <sheetView topLeftCell="A21" workbookViewId="0">
      <selection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45723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222</v>
      </c>
      <c r="C9" s="202">
        <v>14</v>
      </c>
      <c r="D9" s="148">
        <v>2.85</v>
      </c>
      <c r="E9" s="163">
        <v>1422</v>
      </c>
      <c r="F9" s="170">
        <v>6.3</v>
      </c>
      <c r="G9" s="149">
        <f>E9*F9</f>
        <v>8958.6</v>
      </c>
      <c r="H9" s="150">
        <f>F9*C9</f>
        <v>88.2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222</v>
      </c>
      <c r="C10" s="162">
        <v>15</v>
      </c>
      <c r="D10" s="148">
        <v>2.85</v>
      </c>
      <c r="E10" s="154">
        <v>1422</v>
      </c>
      <c r="F10" s="206">
        <v>37.700000000000003</v>
      </c>
      <c r="G10" s="149">
        <f t="shared" ref="G10:G12" si="0">E10*F10</f>
        <v>53609.4</v>
      </c>
      <c r="H10" s="150">
        <f t="shared" ref="H10:H12" si="1">F10*C10</f>
        <v>565.5</v>
      </c>
      <c r="I10" s="157" t="s">
        <v>27</v>
      </c>
      <c r="J10" s="172">
        <v>3.4722222222222224E-2</v>
      </c>
      <c r="K10" s="173" t="s">
        <v>27</v>
      </c>
    </row>
    <row r="11" spans="1:11" ht="17" x14ac:dyDescent="0.15">
      <c r="A11" s="151">
        <v>3</v>
      </c>
      <c r="B11" s="205" t="s">
        <v>226</v>
      </c>
      <c r="C11" s="162">
        <v>12.5</v>
      </c>
      <c r="D11" s="148">
        <v>2.85</v>
      </c>
      <c r="E11" s="154">
        <v>1422</v>
      </c>
      <c r="F11" s="207">
        <v>5.2</v>
      </c>
      <c r="G11" s="149">
        <f t="shared" si="0"/>
        <v>7394.4000000000005</v>
      </c>
      <c r="H11" s="150">
        <f t="shared" si="1"/>
        <v>65</v>
      </c>
      <c r="I11" s="157" t="s">
        <v>231</v>
      </c>
      <c r="J11" s="172">
        <v>6.25E-2</v>
      </c>
      <c r="K11" s="173" t="s">
        <v>242</v>
      </c>
    </row>
    <row r="12" spans="1:11" ht="19.25" customHeight="1" x14ac:dyDescent="0.15">
      <c r="A12" s="151">
        <v>4</v>
      </c>
      <c r="B12" s="152" t="s">
        <v>226</v>
      </c>
      <c r="C12" s="171">
        <v>13.5</v>
      </c>
      <c r="D12" s="148">
        <v>2.85</v>
      </c>
      <c r="E12" s="163">
        <v>1404</v>
      </c>
      <c r="F12" s="170">
        <v>6.8</v>
      </c>
      <c r="G12" s="149">
        <f t="shared" si="0"/>
        <v>9547.1999999999989</v>
      </c>
      <c r="H12" s="150">
        <f t="shared" si="1"/>
        <v>91.8</v>
      </c>
      <c r="I12" s="157" t="s">
        <v>243</v>
      </c>
      <c r="J12" s="172">
        <v>8.3333333333333329E-2</v>
      </c>
      <c r="K12" s="173" t="s">
        <v>244</v>
      </c>
    </row>
    <row r="13" spans="1:11" ht="16" x14ac:dyDescent="0.15">
      <c r="A13" s="151">
        <v>5</v>
      </c>
      <c r="B13" s="152" t="s">
        <v>225</v>
      </c>
      <c r="C13" s="153">
        <v>34</v>
      </c>
      <c r="D13" s="148">
        <v>2.85</v>
      </c>
      <c r="E13" s="154">
        <v>817</v>
      </c>
      <c r="F13" s="155">
        <v>7</v>
      </c>
      <c r="G13" s="149">
        <f>E13*F13</f>
        <v>5719</v>
      </c>
      <c r="H13" s="150">
        <f>F13*C13</f>
        <v>238</v>
      </c>
      <c r="I13" s="157"/>
      <c r="J13" s="172"/>
      <c r="K13" s="173" t="s">
        <v>245</v>
      </c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63</v>
      </c>
      <c r="G22" s="130">
        <f>SUM(G9:G21)/F22</f>
        <v>1352.8349206349205</v>
      </c>
      <c r="H22" s="131">
        <f>SUM(H9:H21)/F22</f>
        <v>16.642857142857142</v>
      </c>
      <c r="I22" s="132" t="s">
        <v>19</v>
      </c>
      <c r="J22" s="133">
        <v>4.5</v>
      </c>
      <c r="K22" s="126"/>
    </row>
    <row r="23" spans="1:11" x14ac:dyDescent="0.15">
      <c r="E23" s="134"/>
      <c r="F23" s="135"/>
      <c r="I23" s="136" t="s">
        <v>20</v>
      </c>
      <c r="J23" s="137">
        <v>4.83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63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18+82+91+77+62+101+63</f>
        <v>494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36.83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I50 K15:K21" xr:uid="{3DAF3759-6960-4831-8559-40E26F0B7DF7}">
      <formula1>$I$41:$I$50</formula1>
    </dataValidation>
    <dataValidation type="list" allowBlank="1" showInputMessage="1" showErrorMessage="1" sqref="B20:B21" xr:uid="{D4F91A3C-C320-485D-B714-DA8953B26C9E}">
      <formula1>$K$29:$K$40</formula1>
    </dataValidation>
    <dataValidation type="list" allowBlank="1" showInputMessage="1" showErrorMessage="1" sqref="B16:B19" xr:uid="{E400EB04-4C41-4CEC-92C4-90E1C0FB97E5}">
      <formula1>$K$29:$K$85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441A-6E8B-44A1-9EC7-E5490FA4F284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45724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222</v>
      </c>
      <c r="C9" s="202">
        <v>15</v>
      </c>
      <c r="D9" s="148">
        <v>2.85</v>
      </c>
      <c r="E9" s="163">
        <v>1413</v>
      </c>
      <c r="F9" s="170">
        <v>20.8</v>
      </c>
      <c r="G9" s="149">
        <f>E9*F9</f>
        <v>29390.400000000001</v>
      </c>
      <c r="H9" s="150">
        <f>F9*C9</f>
        <v>312</v>
      </c>
      <c r="I9" s="152" t="s">
        <v>203</v>
      </c>
      <c r="J9" s="203">
        <v>1.3888888888888888E-2</v>
      </c>
      <c r="K9" s="204" t="s">
        <v>211</v>
      </c>
    </row>
    <row r="10" spans="1:11" ht="17" x14ac:dyDescent="0.15">
      <c r="A10" s="151">
        <v>2</v>
      </c>
      <c r="B10" s="205" t="s">
        <v>226</v>
      </c>
      <c r="C10" s="162">
        <v>12.5</v>
      </c>
      <c r="D10" s="148">
        <v>2.85</v>
      </c>
      <c r="E10" s="154">
        <v>1386</v>
      </c>
      <c r="F10" s="206">
        <v>6</v>
      </c>
      <c r="G10" s="149">
        <f t="shared" ref="G10:G11" si="0">E10*F10</f>
        <v>8316</v>
      </c>
      <c r="H10" s="150">
        <f t="shared" ref="H10:H11" si="1">F10*C10</f>
        <v>75</v>
      </c>
      <c r="I10" s="157" t="s">
        <v>27</v>
      </c>
      <c r="J10" s="172">
        <v>6.9444444444444441E-3</v>
      </c>
      <c r="K10" s="173" t="s">
        <v>27</v>
      </c>
    </row>
    <row r="11" spans="1:11" ht="17" x14ac:dyDescent="0.15">
      <c r="A11" s="151">
        <v>3</v>
      </c>
      <c r="B11" s="205" t="s">
        <v>226</v>
      </c>
      <c r="C11" s="162">
        <v>13.5</v>
      </c>
      <c r="D11" s="148">
        <v>2.85</v>
      </c>
      <c r="E11" s="154">
        <v>1383</v>
      </c>
      <c r="F11" s="207">
        <v>18.2</v>
      </c>
      <c r="G11" s="149">
        <f t="shared" si="0"/>
        <v>25170.6</v>
      </c>
      <c r="H11" s="150">
        <f t="shared" si="1"/>
        <v>245.7</v>
      </c>
      <c r="I11" s="157" t="s">
        <v>231</v>
      </c>
      <c r="J11" s="172">
        <v>0.33333333333333331</v>
      </c>
      <c r="K11" s="173" t="s">
        <v>247</v>
      </c>
    </row>
    <row r="12" spans="1:11" ht="19.25" customHeight="1" x14ac:dyDescent="0.15">
      <c r="A12" s="151"/>
      <c r="B12" s="152"/>
      <c r="C12" s="171"/>
      <c r="D12" s="148"/>
      <c r="E12" s="163"/>
      <c r="F12" s="170"/>
      <c r="G12" s="149"/>
      <c r="H12" s="150"/>
      <c r="I12" s="157" t="s">
        <v>229</v>
      </c>
      <c r="J12" s="172">
        <v>2.0833333333333332E-2</v>
      </c>
      <c r="K12" s="173" t="s">
        <v>248</v>
      </c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45</v>
      </c>
      <c r="G22" s="130">
        <f>SUM(G9:G21)/F22</f>
        <v>1397.2666666666667</v>
      </c>
      <c r="H22" s="131">
        <f>SUM(H9:H21)/F22</f>
        <v>14.06</v>
      </c>
      <c r="I22" s="132" t="s">
        <v>19</v>
      </c>
      <c r="J22" s="133">
        <v>9</v>
      </c>
      <c r="K22" s="126"/>
    </row>
    <row r="23" spans="1:11" x14ac:dyDescent="0.15">
      <c r="E23" s="134"/>
      <c r="F23" s="135"/>
      <c r="I23" s="136" t="s">
        <v>20</v>
      </c>
      <c r="J23" s="137">
        <v>9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45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18+82+91+77+62+101+63+45</f>
        <v>539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45.83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B16:B19" xr:uid="{A7533C33-254C-420E-B999-68CFADF0C3DD}">
      <formula1>$K$29:$K$85</formula1>
    </dataValidation>
    <dataValidation type="list" allowBlank="1" showInputMessage="1" showErrorMessage="1" sqref="B20:B21" xr:uid="{5E3D6DFE-88CE-42BA-AC72-7C0F3792DE72}">
      <formula1>$K$29:$K$40</formula1>
    </dataValidation>
    <dataValidation type="list" allowBlank="1" showInputMessage="1" showErrorMessage="1" sqref="I50 K15:K21" xr:uid="{50954AD5-1EDA-4925-999F-F567C4F4B124}">
      <formula1>$I$41:$I$50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EE3B-7394-491B-BAF9-85D24BA910E4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45725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222</v>
      </c>
      <c r="C9" s="202">
        <v>15</v>
      </c>
      <c r="D9" s="148">
        <v>2.85</v>
      </c>
      <c r="E9" s="163">
        <v>1382</v>
      </c>
      <c r="F9" s="170">
        <v>3</v>
      </c>
      <c r="G9" s="149">
        <f>E9*F9</f>
        <v>4146</v>
      </c>
      <c r="H9" s="150">
        <f>F9*C9</f>
        <v>45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222</v>
      </c>
      <c r="C10" s="162">
        <v>17</v>
      </c>
      <c r="D10" s="148">
        <v>2.85</v>
      </c>
      <c r="E10" s="154">
        <v>1382</v>
      </c>
      <c r="F10" s="206">
        <v>3.5</v>
      </c>
      <c r="G10" s="149">
        <f t="shared" ref="G10:G11" si="0">E10*F10</f>
        <v>4837</v>
      </c>
      <c r="H10" s="150">
        <f t="shared" ref="H10:H11" si="1">F10*C10</f>
        <v>59.5</v>
      </c>
      <c r="I10" s="157" t="s">
        <v>27</v>
      </c>
      <c r="J10" s="172">
        <v>1.3888888888888888E-2</v>
      </c>
      <c r="K10" s="173" t="s">
        <v>27</v>
      </c>
    </row>
    <row r="11" spans="1:11" ht="17" x14ac:dyDescent="0.15">
      <c r="A11" s="151">
        <v>3</v>
      </c>
      <c r="B11" s="205" t="s">
        <v>226</v>
      </c>
      <c r="C11" s="162">
        <v>12.5</v>
      </c>
      <c r="D11" s="148">
        <v>2.85</v>
      </c>
      <c r="E11" s="154">
        <v>1382</v>
      </c>
      <c r="F11" s="207">
        <v>3.5</v>
      </c>
      <c r="G11" s="149">
        <f t="shared" si="0"/>
        <v>4837</v>
      </c>
      <c r="H11" s="150">
        <f t="shared" si="1"/>
        <v>43.75</v>
      </c>
      <c r="I11" s="157" t="s">
        <v>249</v>
      </c>
      <c r="J11" s="172">
        <v>4.1666666666666664E-2</v>
      </c>
      <c r="K11" s="173" t="s">
        <v>250</v>
      </c>
    </row>
    <row r="12" spans="1:11" ht="19.25" customHeight="1" x14ac:dyDescent="0.15">
      <c r="A12" s="151">
        <v>4</v>
      </c>
      <c r="B12" s="152" t="s">
        <v>212</v>
      </c>
      <c r="C12" s="171">
        <v>17</v>
      </c>
      <c r="D12" s="148">
        <v>2.85</v>
      </c>
      <c r="E12" s="163">
        <v>1278</v>
      </c>
      <c r="F12" s="170">
        <v>47</v>
      </c>
      <c r="G12" s="149">
        <f>E12*F12</f>
        <v>60066</v>
      </c>
      <c r="H12" s="150">
        <f>F12*C12</f>
        <v>799</v>
      </c>
      <c r="I12" s="157" t="s">
        <v>229</v>
      </c>
      <c r="J12" s="172">
        <v>1.3888888888888888E-2</v>
      </c>
      <c r="K12" s="173" t="s">
        <v>248</v>
      </c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 t="s">
        <v>240</v>
      </c>
      <c r="J13" s="172">
        <v>0.18055555555555555</v>
      </c>
      <c r="K13" s="173" t="s">
        <v>251</v>
      </c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57</v>
      </c>
      <c r="G22" s="130">
        <f>SUM(G9:G21)/F22</f>
        <v>1296.2456140350878</v>
      </c>
      <c r="H22" s="131">
        <f>SUM(H9:H21)/F22</f>
        <v>16.618421052631579</v>
      </c>
      <c r="I22" s="132" t="s">
        <v>19</v>
      </c>
      <c r="J22" s="133">
        <v>6.3</v>
      </c>
      <c r="K22" s="126"/>
    </row>
    <row r="23" spans="1:11" x14ac:dyDescent="0.15">
      <c r="E23" s="134"/>
      <c r="F23" s="135"/>
      <c r="I23" s="136" t="s">
        <v>20</v>
      </c>
      <c r="J23" s="137">
        <v>6.5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57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18+82+91+77+62+101+63+45+57</f>
        <v>596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52.33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I50 K15:K21" xr:uid="{6A3A8AD2-6707-43EC-9D9D-DCA1BEC52BC2}">
      <formula1>$I$41:$I$50</formula1>
    </dataValidation>
    <dataValidation type="list" allowBlank="1" showInputMessage="1" showErrorMessage="1" sqref="B20:B21" xr:uid="{61751E4D-A0B0-49CB-85CD-8ADDA1851219}">
      <formula1>$K$29:$K$40</formula1>
    </dataValidation>
    <dataValidation type="list" allowBlank="1" showInputMessage="1" showErrorMessage="1" sqref="B16:B19" xr:uid="{383D047F-5B0E-46B5-AADC-CB7AA956AE6C}">
      <formula1>$K$29:$K$85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1CDC-1578-4A57-B76F-FE67121F52CB}">
  <dimension ref="A1:K85"/>
  <sheetViews>
    <sheetView topLeftCell="B1" workbookViewId="0">
      <selection activeCell="B1"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45726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212</v>
      </c>
      <c r="C9" s="202">
        <v>17</v>
      </c>
      <c r="D9" s="148">
        <v>2.85</v>
      </c>
      <c r="E9" s="163">
        <v>1326</v>
      </c>
      <c r="F9" s="170">
        <v>87</v>
      </c>
      <c r="G9" s="149">
        <f>E9*F9</f>
        <v>115362</v>
      </c>
      <c r="H9" s="150">
        <f>F9*C9</f>
        <v>1479</v>
      </c>
      <c r="I9" s="152" t="s">
        <v>203</v>
      </c>
      <c r="J9" s="203">
        <v>2.0833333333333332E-2</v>
      </c>
      <c r="K9" s="204" t="s">
        <v>211</v>
      </c>
    </row>
    <row r="10" spans="1:11" ht="16" x14ac:dyDescent="0.15">
      <c r="A10" s="151"/>
      <c r="B10" s="205"/>
      <c r="C10" s="162"/>
      <c r="D10" s="148"/>
      <c r="E10" s="154"/>
      <c r="F10" s="206"/>
      <c r="G10" s="149"/>
      <c r="H10" s="150"/>
      <c r="I10" s="157" t="s">
        <v>228</v>
      </c>
      <c r="J10" s="172">
        <v>1.3888888888888888E-2</v>
      </c>
      <c r="K10" s="173" t="s">
        <v>252</v>
      </c>
    </row>
    <row r="11" spans="1:11" ht="16" x14ac:dyDescent="0.15">
      <c r="A11" s="151"/>
      <c r="B11" s="205"/>
      <c r="C11" s="162"/>
      <c r="D11" s="148"/>
      <c r="E11" s="154"/>
      <c r="F11" s="207"/>
      <c r="G11" s="149"/>
      <c r="H11" s="150"/>
      <c r="I11" s="157"/>
      <c r="J11" s="172"/>
      <c r="K11" s="173"/>
    </row>
    <row r="12" spans="1:11" ht="19.25" customHeight="1" x14ac:dyDescent="0.15">
      <c r="A12" s="151"/>
      <c r="B12" s="152"/>
      <c r="C12" s="171"/>
      <c r="D12" s="148"/>
      <c r="E12" s="163"/>
      <c r="F12" s="170"/>
      <c r="G12" s="149"/>
      <c r="H12" s="150"/>
      <c r="I12" s="157"/>
      <c r="J12" s="172"/>
      <c r="K12" s="173"/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87</v>
      </c>
      <c r="G22" s="130">
        <f>SUM(G9:G21)/F22</f>
        <v>1326</v>
      </c>
      <c r="H22" s="131">
        <f>SUM(H9:H21)/F22</f>
        <v>17</v>
      </c>
      <c r="I22" s="132" t="s">
        <v>19</v>
      </c>
      <c r="J22" s="133">
        <v>0.5</v>
      </c>
      <c r="K22" s="126"/>
    </row>
    <row r="23" spans="1:11" x14ac:dyDescent="0.15">
      <c r="E23" s="134"/>
      <c r="F23" s="135"/>
      <c r="I23" s="136" t="s">
        <v>20</v>
      </c>
      <c r="J23" s="137">
        <v>0.83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87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18+82+91+77+62+101+63+45+57+87</f>
        <v>683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53.17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B16:B19" xr:uid="{04F21116-E4F3-4A29-9813-975D21DC36FF}">
      <formula1>$K$29:$K$85</formula1>
    </dataValidation>
    <dataValidation type="list" allowBlank="1" showInputMessage="1" showErrorMessage="1" sqref="B20:B21" xr:uid="{0F282876-3DA2-427A-AE2E-378D2CEA8DDD}">
      <formula1>$K$29:$K$40</formula1>
    </dataValidation>
    <dataValidation type="list" allowBlank="1" showInputMessage="1" showErrorMessage="1" sqref="I50 K15:K21" xr:uid="{FEA6F3DE-73F2-4A09-8467-BD14864106CE}">
      <formula1>$I$41:$I$50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DA77-A7E4-44F8-89FA-F41FE23E117A}">
  <dimension ref="A1:K85"/>
  <sheetViews>
    <sheetView topLeftCell="B1" workbookViewId="0">
      <selection activeCell="B1"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45727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212</v>
      </c>
      <c r="C9" s="202">
        <v>17</v>
      </c>
      <c r="D9" s="148">
        <v>2.85</v>
      </c>
      <c r="E9" s="163">
        <v>1341</v>
      </c>
      <c r="F9" s="170">
        <v>9.5</v>
      </c>
      <c r="G9" s="149">
        <f>E9*F9</f>
        <v>12739.5</v>
      </c>
      <c r="H9" s="150">
        <f>F9*C9</f>
        <v>161.5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222</v>
      </c>
      <c r="C10" s="162">
        <v>15</v>
      </c>
      <c r="D10" s="148">
        <v>2.85</v>
      </c>
      <c r="E10" s="154">
        <v>1365</v>
      </c>
      <c r="F10" s="206">
        <v>26.5</v>
      </c>
      <c r="G10" s="149">
        <f t="shared" ref="G10:G11" si="0">E10*F10</f>
        <v>36172.5</v>
      </c>
      <c r="H10" s="150">
        <f t="shared" ref="H10:H11" si="1">F10*C10</f>
        <v>397.5</v>
      </c>
      <c r="I10" s="157" t="s">
        <v>228</v>
      </c>
      <c r="J10" s="172">
        <v>6.9444444444444441E-3</v>
      </c>
      <c r="K10" s="173" t="s">
        <v>252</v>
      </c>
    </row>
    <row r="11" spans="1:11" ht="17" x14ac:dyDescent="0.15">
      <c r="A11" s="151">
        <v>3</v>
      </c>
      <c r="B11" s="205" t="s">
        <v>226</v>
      </c>
      <c r="C11" s="162">
        <v>12.5</v>
      </c>
      <c r="D11" s="148">
        <v>2.85</v>
      </c>
      <c r="E11" s="154">
        <v>1404</v>
      </c>
      <c r="F11" s="207">
        <v>34</v>
      </c>
      <c r="G11" s="149">
        <f t="shared" si="0"/>
        <v>47736</v>
      </c>
      <c r="H11" s="150">
        <f t="shared" si="1"/>
        <v>425</v>
      </c>
      <c r="I11" s="157" t="s">
        <v>27</v>
      </c>
      <c r="J11" s="172">
        <v>2.7777777777777776E-2</v>
      </c>
      <c r="K11" s="173" t="s">
        <v>27</v>
      </c>
    </row>
    <row r="12" spans="1:11" ht="19.25" customHeight="1" x14ac:dyDescent="0.15">
      <c r="A12" s="151"/>
      <c r="B12" s="152"/>
      <c r="C12" s="171"/>
      <c r="D12" s="148"/>
      <c r="E12" s="163"/>
      <c r="F12" s="170"/>
      <c r="G12" s="149"/>
      <c r="H12" s="150"/>
      <c r="I12" s="157" t="s">
        <v>229</v>
      </c>
      <c r="J12" s="172">
        <v>1.0416666666666666E-2</v>
      </c>
      <c r="K12" s="173" t="s">
        <v>253</v>
      </c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70</v>
      </c>
      <c r="G22" s="130">
        <f>SUM(G9:G21)/F22</f>
        <v>1380.6857142857143</v>
      </c>
      <c r="H22" s="131">
        <f>SUM(H9:H21)/F22</f>
        <v>14.057142857142857</v>
      </c>
      <c r="I22" s="132" t="s">
        <v>19</v>
      </c>
      <c r="J22" s="133">
        <v>1.35</v>
      </c>
      <c r="K22" s="126"/>
    </row>
    <row r="23" spans="1:11" x14ac:dyDescent="0.15">
      <c r="E23" s="134"/>
      <c r="F23" s="135"/>
      <c r="I23" s="136" t="s">
        <v>20</v>
      </c>
      <c r="J23" s="137">
        <v>1.58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70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18+82+91+77+62+101+63+45+57+87+70</f>
        <v>753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54.75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I50 K15:K21" xr:uid="{D359A9DD-8A09-4C84-A22B-01F06DD235AD}">
      <formula1>$I$41:$I$50</formula1>
    </dataValidation>
    <dataValidation type="list" allowBlank="1" showInputMessage="1" showErrorMessage="1" sqref="B20:B21" xr:uid="{D16BD9B4-FF8C-4C96-BE24-F373506F3A50}">
      <formula1>$K$29:$K$40</formula1>
    </dataValidation>
    <dataValidation type="list" allowBlank="1" showInputMessage="1" showErrorMessage="1" sqref="B16:B19" xr:uid="{ABA3D8FE-99B3-4633-850C-0024913E1EC1}">
      <formula1>$K$29:$K$85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5739-5D50-4BC4-A706-F857F76818FD}">
  <dimension ref="A1:K85"/>
  <sheetViews>
    <sheetView workbookViewId="0">
      <selection activeCell="K16" sqref="K1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45728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222</v>
      </c>
      <c r="C9" s="202">
        <v>15</v>
      </c>
      <c r="D9" s="148">
        <v>2.85</v>
      </c>
      <c r="E9" s="163">
        <v>1404</v>
      </c>
      <c r="F9" s="170">
        <v>25.5</v>
      </c>
      <c r="G9" s="149">
        <f>E9*F9</f>
        <v>35802</v>
      </c>
      <c r="H9" s="150">
        <f>F9*C9</f>
        <v>382.5</v>
      </c>
      <c r="I9" s="152" t="s">
        <v>203</v>
      </c>
      <c r="J9" s="203">
        <v>6.9444444444444441E-3</v>
      </c>
      <c r="K9" s="204" t="s">
        <v>211</v>
      </c>
    </row>
    <row r="10" spans="1:11" ht="17" x14ac:dyDescent="0.15">
      <c r="A10" s="151">
        <v>2</v>
      </c>
      <c r="B10" s="205" t="s">
        <v>212</v>
      </c>
      <c r="C10" s="162">
        <v>19</v>
      </c>
      <c r="D10" s="148">
        <v>2.85</v>
      </c>
      <c r="E10" s="154">
        <v>1341</v>
      </c>
      <c r="F10" s="206">
        <v>1.5</v>
      </c>
      <c r="G10" s="149">
        <f t="shared" ref="G10" si="0">E10*F10</f>
        <v>2011.5</v>
      </c>
      <c r="H10" s="150">
        <f t="shared" ref="H10" si="1">F10*C10</f>
        <v>28.5</v>
      </c>
      <c r="I10" s="157" t="s">
        <v>27</v>
      </c>
      <c r="J10" s="172">
        <v>6.9444444444444441E-3</v>
      </c>
      <c r="K10" s="173" t="s">
        <v>27</v>
      </c>
    </row>
    <row r="11" spans="1:11" ht="16" x14ac:dyDescent="0.15">
      <c r="A11" s="151"/>
      <c r="B11" s="205"/>
      <c r="C11" s="162"/>
      <c r="D11" s="148"/>
      <c r="E11" s="154"/>
      <c r="F11" s="207"/>
      <c r="G11" s="149"/>
      <c r="H11" s="150"/>
      <c r="I11" s="157" t="s">
        <v>231</v>
      </c>
      <c r="J11" s="172">
        <v>0.25</v>
      </c>
      <c r="K11" s="173" t="s">
        <v>242</v>
      </c>
    </row>
    <row r="12" spans="1:11" ht="19.25" customHeight="1" x14ac:dyDescent="0.15">
      <c r="A12" s="151"/>
      <c r="B12" s="152"/>
      <c r="C12" s="171"/>
      <c r="D12" s="148"/>
      <c r="E12" s="163"/>
      <c r="F12" s="170"/>
      <c r="G12" s="149"/>
      <c r="H12" s="150"/>
      <c r="I12" s="157" t="s">
        <v>243</v>
      </c>
      <c r="J12" s="172">
        <v>0.40625</v>
      </c>
      <c r="K12" s="173" t="s">
        <v>254</v>
      </c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27</v>
      </c>
      <c r="G22" s="130">
        <f>SUM(G9:G21)/F22</f>
        <v>1400.5</v>
      </c>
      <c r="H22" s="131">
        <f>SUM(H9:H21)/F22</f>
        <v>15.222222222222221</v>
      </c>
      <c r="I22" s="132" t="s">
        <v>19</v>
      </c>
      <c r="J22" s="133">
        <v>16.05</v>
      </c>
      <c r="K22" s="126"/>
    </row>
    <row r="23" spans="1:11" x14ac:dyDescent="0.15">
      <c r="E23" s="134"/>
      <c r="F23" s="135"/>
      <c r="I23" s="136" t="s">
        <v>20</v>
      </c>
      <c r="J23" s="137">
        <v>16.079999999999998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27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18+82+91+77+62+101+63+45+57+87+70+27</f>
        <v>780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70.83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B16:B19" xr:uid="{045F9FAA-7263-4CCE-A76C-3226B8C583E7}">
      <formula1>$K$29:$K$85</formula1>
    </dataValidation>
    <dataValidation type="list" allowBlank="1" showInputMessage="1" showErrorMessage="1" sqref="B20:B21" xr:uid="{2B886368-A1B8-4BC3-A569-4AE132B180C4}">
      <formula1>$K$29:$K$40</formula1>
    </dataValidation>
    <dataValidation type="list" allowBlank="1" showInputMessage="1" showErrorMessage="1" sqref="I50 K15:K21" xr:uid="{53B52763-408C-47EF-AC02-3183E25B2EA9}">
      <formula1>$I$41:$I$50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26AD-8569-402B-A0B9-987BC583FD00}">
  <dimension ref="A1:K85"/>
  <sheetViews>
    <sheetView topLeftCell="B1" workbookViewId="0">
      <selection activeCell="B1"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45729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212</v>
      </c>
      <c r="C9" s="202">
        <v>19</v>
      </c>
      <c r="D9" s="148">
        <v>2.85</v>
      </c>
      <c r="E9" s="163">
        <v>1422</v>
      </c>
      <c r="F9" s="170">
        <v>77.5</v>
      </c>
      <c r="G9" s="149">
        <f>E9*F9</f>
        <v>110205</v>
      </c>
      <c r="H9" s="150">
        <f>F9*C9</f>
        <v>1472.5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225</v>
      </c>
      <c r="C10" s="162">
        <v>20</v>
      </c>
      <c r="D10" s="148">
        <v>2.85</v>
      </c>
      <c r="E10" s="154">
        <v>1380</v>
      </c>
      <c r="F10" s="206">
        <v>8</v>
      </c>
      <c r="G10" s="149">
        <f t="shared" ref="G10:G11" si="0">E10*F10</f>
        <v>11040</v>
      </c>
      <c r="H10" s="150">
        <f t="shared" ref="H10:H11" si="1">F10*C10</f>
        <v>160</v>
      </c>
      <c r="I10" s="157" t="s">
        <v>27</v>
      </c>
      <c r="J10" s="172">
        <v>6.9444444444444441E-3</v>
      </c>
      <c r="K10" s="173" t="s">
        <v>27</v>
      </c>
    </row>
    <row r="11" spans="1:11" ht="17" x14ac:dyDescent="0.15">
      <c r="A11" s="151">
        <v>3</v>
      </c>
      <c r="B11" s="205" t="s">
        <v>225</v>
      </c>
      <c r="C11" s="162">
        <v>21</v>
      </c>
      <c r="D11" s="148">
        <v>2.85</v>
      </c>
      <c r="E11" s="154">
        <v>1376</v>
      </c>
      <c r="F11" s="207">
        <v>13.5</v>
      </c>
      <c r="G11" s="149">
        <f t="shared" si="0"/>
        <v>18576</v>
      </c>
      <c r="H11" s="150">
        <f t="shared" si="1"/>
        <v>283.5</v>
      </c>
      <c r="I11" s="157" t="s">
        <v>228</v>
      </c>
      <c r="J11" s="172">
        <v>6.9444444444444441E-3</v>
      </c>
      <c r="K11" s="173" t="s">
        <v>228</v>
      </c>
    </row>
    <row r="12" spans="1:11" ht="19.25" customHeight="1" x14ac:dyDescent="0.15">
      <c r="A12" s="151">
        <v>4</v>
      </c>
      <c r="B12" s="152" t="s">
        <v>225</v>
      </c>
      <c r="C12" s="171">
        <v>22</v>
      </c>
      <c r="D12" s="148">
        <v>2.85</v>
      </c>
      <c r="E12" s="163">
        <v>1344</v>
      </c>
      <c r="F12" s="170">
        <v>8</v>
      </c>
      <c r="G12" s="149">
        <f>E12*F12</f>
        <v>10752</v>
      </c>
      <c r="H12" s="150">
        <f>F12*C12</f>
        <v>176</v>
      </c>
      <c r="I12" s="157"/>
      <c r="J12" s="172"/>
      <c r="K12" s="173"/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107</v>
      </c>
      <c r="G22" s="130">
        <f>SUM(G9:G21)/F22</f>
        <v>1407.2242990654206</v>
      </c>
      <c r="H22" s="131">
        <f>SUM(H9:H21)/F22</f>
        <v>19.55140186915888</v>
      </c>
      <c r="I22" s="132" t="s">
        <v>19</v>
      </c>
      <c r="J22" s="133">
        <v>0.5</v>
      </c>
      <c r="K22" s="126"/>
    </row>
    <row r="23" spans="1:11" x14ac:dyDescent="0.15">
      <c r="E23" s="134"/>
      <c r="F23" s="135"/>
      <c r="I23" s="136" t="s">
        <v>20</v>
      </c>
      <c r="J23" s="137">
        <v>0.83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107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v>887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71.67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B16:B19" xr:uid="{D48D0F2A-5295-40A4-8B4B-2DE5809B0466}">
      <formula1>$K$29:$K$85</formula1>
    </dataValidation>
    <dataValidation type="list" allowBlank="1" showInputMessage="1" showErrorMessage="1" sqref="B20:B21" xr:uid="{96D5870D-890E-45D5-B188-66E552ACB949}">
      <formula1>$K$29:$K$40</formula1>
    </dataValidation>
    <dataValidation type="list" allowBlank="1" showInputMessage="1" showErrorMessage="1" sqref="I50 K15:K21" xr:uid="{5BBCFEE1-A04C-4F14-AF1E-FD9B6F0E1A5C}">
      <formula1>$I$41:$I$50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4145-1A63-4EA4-8AF6-6A4A0D32ED0A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45730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212</v>
      </c>
      <c r="C9" s="202">
        <v>19</v>
      </c>
      <c r="D9" s="148">
        <v>2.85</v>
      </c>
      <c r="E9" s="163">
        <v>1422</v>
      </c>
      <c r="F9" s="170">
        <v>2</v>
      </c>
      <c r="G9" s="149">
        <f>E9*F9</f>
        <v>2844</v>
      </c>
      <c r="H9" s="150">
        <f>F9*C9</f>
        <v>38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212</v>
      </c>
      <c r="C10" s="162">
        <v>18</v>
      </c>
      <c r="D10" s="148">
        <v>2.85</v>
      </c>
      <c r="E10" s="154">
        <v>1422</v>
      </c>
      <c r="F10" s="206">
        <v>6</v>
      </c>
      <c r="G10" s="149">
        <f t="shared" ref="G10:G11" si="0">E10*F10</f>
        <v>8532</v>
      </c>
      <c r="H10" s="150">
        <f t="shared" ref="H10:H11" si="1">F10*C10</f>
        <v>108</v>
      </c>
      <c r="I10" s="157" t="s">
        <v>27</v>
      </c>
      <c r="J10" s="172">
        <v>6.9444444444444441E-3</v>
      </c>
      <c r="K10" s="173" t="s">
        <v>27</v>
      </c>
    </row>
    <row r="11" spans="1:11" ht="17" x14ac:dyDescent="0.15">
      <c r="A11" s="151">
        <v>3</v>
      </c>
      <c r="B11" s="205" t="s">
        <v>212</v>
      </c>
      <c r="C11" s="162">
        <v>17</v>
      </c>
      <c r="D11" s="148">
        <v>2.85</v>
      </c>
      <c r="E11" s="154">
        <v>1422</v>
      </c>
      <c r="F11" s="207">
        <v>7</v>
      </c>
      <c r="G11" s="149">
        <f t="shared" si="0"/>
        <v>9954</v>
      </c>
      <c r="H11" s="150">
        <f t="shared" si="1"/>
        <v>119</v>
      </c>
      <c r="I11" s="157" t="s">
        <v>228</v>
      </c>
      <c r="J11" s="172">
        <v>2.0833333333333332E-2</v>
      </c>
      <c r="K11" s="173" t="s">
        <v>228</v>
      </c>
    </row>
    <row r="12" spans="1:11" ht="19.25" customHeight="1" x14ac:dyDescent="0.15">
      <c r="A12" s="151">
        <v>4</v>
      </c>
      <c r="B12" s="152" t="s">
        <v>222</v>
      </c>
      <c r="C12" s="171">
        <v>14</v>
      </c>
      <c r="D12" s="148">
        <v>2.85</v>
      </c>
      <c r="E12" s="163">
        <v>1413</v>
      </c>
      <c r="F12" s="170">
        <v>14.5</v>
      </c>
      <c r="G12" s="149">
        <f>E12*F12</f>
        <v>20488.5</v>
      </c>
      <c r="H12" s="150">
        <f>F12*C12</f>
        <v>203</v>
      </c>
      <c r="I12" s="157"/>
      <c r="J12" s="172"/>
      <c r="K12" s="173"/>
    </row>
    <row r="13" spans="1:11" ht="16" x14ac:dyDescent="0.15">
      <c r="A13" s="151">
        <v>5</v>
      </c>
      <c r="B13" s="152" t="s">
        <v>227</v>
      </c>
      <c r="C13" s="153">
        <v>15</v>
      </c>
      <c r="D13" s="148">
        <v>2.85</v>
      </c>
      <c r="E13" s="154">
        <v>1413</v>
      </c>
      <c r="F13" s="155">
        <v>51.5</v>
      </c>
      <c r="G13" s="149">
        <f>E13*F13</f>
        <v>72769.5</v>
      </c>
      <c r="H13" s="150">
        <f>F13*C13</f>
        <v>772.5</v>
      </c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81</v>
      </c>
      <c r="G22" s="130">
        <f>SUM(G9:G21)/F22</f>
        <v>1414.6666666666667</v>
      </c>
      <c r="H22" s="131">
        <f>SUM(H9:H21)/F22</f>
        <v>15.314814814814815</v>
      </c>
      <c r="I22" s="132" t="s">
        <v>19</v>
      </c>
      <c r="J22" s="133">
        <v>1.1000000000000001</v>
      </c>
      <c r="K22" s="126"/>
    </row>
    <row r="23" spans="1:11" x14ac:dyDescent="0.15">
      <c r="E23" s="134"/>
      <c r="F23" s="135"/>
      <c r="I23" s="136" t="s">
        <v>20</v>
      </c>
      <c r="J23" s="137">
        <v>1.17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81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887+81</f>
        <v>968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72.83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I50 K15:K21" xr:uid="{C83B5C03-39FB-4638-8197-E96A499B70CC}">
      <formula1>$I$41:$I$50</formula1>
    </dataValidation>
    <dataValidation type="list" allowBlank="1" showInputMessage="1" showErrorMessage="1" sqref="B20:B21" xr:uid="{3C47C072-4793-42CA-9A12-36BE35CFFCEC}">
      <formula1>$K$29:$K$40</formula1>
    </dataValidation>
    <dataValidation type="list" allowBlank="1" showInputMessage="1" showErrorMessage="1" sqref="B16:B19" xr:uid="{A08B946A-221A-4E6B-A134-8F4A00562688}">
      <formula1>$K$29:$K$85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0664-C143-47E2-BD39-D3CF2859DB95}">
  <dimension ref="A1:K85"/>
  <sheetViews>
    <sheetView topLeftCell="A8" workbookViewId="0">
      <selection activeCell="L17" sqref="L17:L18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45731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227</v>
      </c>
      <c r="C9" s="202">
        <v>15</v>
      </c>
      <c r="D9" s="148">
        <v>2.85</v>
      </c>
      <c r="E9" s="163">
        <v>1422</v>
      </c>
      <c r="F9" s="170">
        <v>2</v>
      </c>
      <c r="G9" s="149">
        <f>E9*F9</f>
        <v>2844</v>
      </c>
      <c r="H9" s="150">
        <f>F9*C9</f>
        <v>30</v>
      </c>
      <c r="I9" s="152" t="s">
        <v>203</v>
      </c>
      <c r="J9" s="203">
        <v>2.4305555555555556E-2</v>
      </c>
      <c r="K9" s="204" t="s">
        <v>211</v>
      </c>
    </row>
    <row r="10" spans="1:11" ht="16" x14ac:dyDescent="0.15">
      <c r="A10" s="151"/>
      <c r="B10" s="205"/>
      <c r="C10" s="162"/>
      <c r="D10" s="148"/>
      <c r="E10" s="154"/>
      <c r="F10" s="206"/>
      <c r="G10" s="149"/>
      <c r="H10" s="150"/>
      <c r="I10" s="157" t="s">
        <v>256</v>
      </c>
      <c r="J10" s="172">
        <v>6.9444444444444448E-2</v>
      </c>
      <c r="K10" s="173" t="s">
        <v>257</v>
      </c>
    </row>
    <row r="11" spans="1:11" ht="16" x14ac:dyDescent="0.15">
      <c r="A11" s="151"/>
      <c r="B11" s="205"/>
      <c r="C11" s="162"/>
      <c r="D11" s="148"/>
      <c r="E11" s="154"/>
      <c r="F11" s="207"/>
      <c r="G11" s="149"/>
      <c r="H11" s="150"/>
      <c r="I11" s="157" t="s">
        <v>229</v>
      </c>
      <c r="J11" s="172">
        <v>4.1666666666666664E-2</v>
      </c>
      <c r="K11" s="173" t="s">
        <v>258</v>
      </c>
    </row>
    <row r="12" spans="1:11" ht="19.25" customHeight="1" x14ac:dyDescent="0.15">
      <c r="A12" s="151"/>
      <c r="B12" s="152"/>
      <c r="C12" s="171"/>
      <c r="D12" s="148"/>
      <c r="E12" s="163"/>
      <c r="F12" s="170"/>
      <c r="G12" s="149"/>
      <c r="H12" s="150"/>
      <c r="I12" s="157" t="s">
        <v>228</v>
      </c>
      <c r="J12" s="172">
        <v>4.8611111111111112E-2</v>
      </c>
      <c r="K12" s="173" t="s">
        <v>228</v>
      </c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2</v>
      </c>
      <c r="G22" s="130">
        <f>SUM(G9:G21)/F22</f>
        <v>1422</v>
      </c>
      <c r="H22" s="131">
        <f>SUM(H9:H21)/F22</f>
        <v>15</v>
      </c>
      <c r="I22" s="132" t="s">
        <v>19</v>
      </c>
      <c r="J22" s="133">
        <v>4.25</v>
      </c>
      <c r="K22" s="126"/>
    </row>
    <row r="23" spans="1:11" x14ac:dyDescent="0.15">
      <c r="E23" s="134"/>
      <c r="F23" s="135"/>
      <c r="I23" s="136" t="s">
        <v>20</v>
      </c>
      <c r="J23" s="137">
        <v>4.42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70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887+81+70</f>
        <v>1038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77.25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B16:B19" xr:uid="{01F4763D-6D81-4E6C-8B6C-95EADC586A9E}">
      <formula1>$K$29:$K$85</formula1>
    </dataValidation>
    <dataValidation type="list" allowBlank="1" showInputMessage="1" showErrorMessage="1" sqref="B20:B21" xr:uid="{B86D9070-8B67-4584-8ACF-B59DE0D987A2}">
      <formula1>$K$29:$K$40</formula1>
    </dataValidation>
    <dataValidation type="list" allowBlank="1" showInputMessage="1" showErrorMessage="1" sqref="I50 K15:K21" xr:uid="{65616AFA-F954-42EA-BFD4-ECE3592D381F}">
      <formula1>$I$41:$I$50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76DE-7B0E-4926-B433-58A2A722BD12}">
  <dimension ref="A1:K85"/>
  <sheetViews>
    <sheetView workbookViewId="0">
      <selection activeCell="K19" sqref="K19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45732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227</v>
      </c>
      <c r="C9" s="202">
        <v>15</v>
      </c>
      <c r="D9" s="148">
        <v>2.85</v>
      </c>
      <c r="E9" s="163">
        <v>1422</v>
      </c>
      <c r="F9" s="170">
        <v>40.9</v>
      </c>
      <c r="G9" s="149">
        <f>E9*F9</f>
        <v>58159.799999999996</v>
      </c>
      <c r="H9" s="150">
        <f>F9*C9</f>
        <v>613.5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222</v>
      </c>
      <c r="C10" s="162">
        <v>15</v>
      </c>
      <c r="D10" s="148">
        <v>2.85</v>
      </c>
      <c r="E10" s="154">
        <v>1422</v>
      </c>
      <c r="F10" s="206">
        <v>27.1</v>
      </c>
      <c r="G10" s="149">
        <f t="shared" ref="G10" si="0">E10*F10</f>
        <v>38536.200000000004</v>
      </c>
      <c r="H10" s="150">
        <f t="shared" ref="H10" si="1">F10*C10</f>
        <v>406.5</v>
      </c>
      <c r="I10" s="157" t="s">
        <v>27</v>
      </c>
      <c r="J10" s="172">
        <v>2.0833333333333332E-2</v>
      </c>
      <c r="K10" s="173" t="s">
        <v>27</v>
      </c>
    </row>
    <row r="11" spans="1:11" ht="16" x14ac:dyDescent="0.15">
      <c r="A11" s="151"/>
      <c r="B11" s="205"/>
      <c r="C11" s="162"/>
      <c r="D11" s="148"/>
      <c r="E11" s="154"/>
      <c r="F11" s="207"/>
      <c r="G11" s="149"/>
      <c r="H11" s="150"/>
      <c r="I11" s="157" t="s">
        <v>228</v>
      </c>
      <c r="J11" s="172">
        <v>2.0833333333333332E-2</v>
      </c>
      <c r="K11" s="173" t="s">
        <v>228</v>
      </c>
    </row>
    <row r="12" spans="1:11" ht="19.25" customHeight="1" x14ac:dyDescent="0.15">
      <c r="A12" s="151"/>
      <c r="B12" s="152"/>
      <c r="C12" s="171"/>
      <c r="D12" s="148"/>
      <c r="E12" s="163"/>
      <c r="F12" s="170"/>
      <c r="G12" s="149"/>
      <c r="H12" s="150"/>
      <c r="I12" s="157" t="s">
        <v>256</v>
      </c>
      <c r="J12" s="172">
        <v>8.3333333333333329E-2</v>
      </c>
      <c r="K12" s="173" t="s">
        <v>259</v>
      </c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68</v>
      </c>
      <c r="G22" s="130">
        <f>SUM(G9:G21)/F22</f>
        <v>1422</v>
      </c>
      <c r="H22" s="131">
        <f>SUM(H9:H21)/F22</f>
        <v>15</v>
      </c>
      <c r="I22" s="132" t="s">
        <v>19</v>
      </c>
      <c r="J22" s="133">
        <v>3.3</v>
      </c>
      <c r="K22" s="126"/>
    </row>
    <row r="23" spans="1:11" x14ac:dyDescent="0.15">
      <c r="E23" s="134"/>
      <c r="F23" s="135"/>
      <c r="I23" s="136" t="s">
        <v>20</v>
      </c>
      <c r="J23" s="137">
        <v>3.5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68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v>1106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80.75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B16:B19" xr:uid="{E113D27A-38D4-4329-8EAD-B12B5418937F}">
      <formula1>$K$29:$K$85</formula1>
    </dataValidation>
    <dataValidation type="list" allowBlank="1" showInputMessage="1" showErrorMessage="1" sqref="B20:B21" xr:uid="{C67AC3C5-5165-4FEB-9519-C1AC2DBE890F}">
      <formula1>$K$29:$K$40</formula1>
    </dataValidation>
    <dataValidation type="list" allowBlank="1" showInputMessage="1" showErrorMessage="1" sqref="I50 K15:K21" xr:uid="{E7EF0823-157F-4FA4-884E-020A6AA0A404}">
      <formula1>$I$41:$I$50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5455-51C9-44D4-B497-E6CC78A74D53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45733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222</v>
      </c>
      <c r="C9" s="202">
        <v>14</v>
      </c>
      <c r="D9" s="148">
        <v>2.85</v>
      </c>
      <c r="E9" s="163">
        <v>1292</v>
      </c>
      <c r="F9" s="170">
        <v>11</v>
      </c>
      <c r="G9" s="149">
        <f>E9*F9</f>
        <v>14212</v>
      </c>
      <c r="H9" s="150">
        <f>F9*C9</f>
        <v>154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222</v>
      </c>
      <c r="C10" s="162">
        <v>15</v>
      </c>
      <c r="D10" s="148">
        <v>2.85</v>
      </c>
      <c r="E10" s="154">
        <v>1422</v>
      </c>
      <c r="F10" s="206">
        <v>19.899999999999999</v>
      </c>
      <c r="G10" s="149">
        <f t="shared" ref="G10:G11" si="0">E10*F10</f>
        <v>28297.8</v>
      </c>
      <c r="H10" s="150">
        <f t="shared" ref="H10:H11" si="1">F10*C10</f>
        <v>298.5</v>
      </c>
      <c r="I10" s="157" t="s">
        <v>27</v>
      </c>
      <c r="J10" s="172">
        <v>3.4722222222222224E-2</v>
      </c>
      <c r="K10" s="173" t="s">
        <v>27</v>
      </c>
    </row>
    <row r="11" spans="1:11" ht="17" x14ac:dyDescent="0.15">
      <c r="A11" s="151">
        <v>3</v>
      </c>
      <c r="B11" s="205" t="s">
        <v>222</v>
      </c>
      <c r="C11" s="162">
        <v>16</v>
      </c>
      <c r="D11" s="148">
        <v>2.85</v>
      </c>
      <c r="E11" s="154">
        <v>1440</v>
      </c>
      <c r="F11" s="207">
        <v>7</v>
      </c>
      <c r="G11" s="149">
        <f t="shared" si="0"/>
        <v>10080</v>
      </c>
      <c r="H11" s="150">
        <f t="shared" si="1"/>
        <v>112</v>
      </c>
      <c r="I11" s="157" t="s">
        <v>228</v>
      </c>
      <c r="J11" s="172">
        <v>1.0416666666666666E-2</v>
      </c>
      <c r="K11" s="173" t="s">
        <v>228</v>
      </c>
    </row>
    <row r="12" spans="1:11" ht="19.25" customHeight="1" x14ac:dyDescent="0.15">
      <c r="A12" s="151">
        <v>4</v>
      </c>
      <c r="B12" s="152" t="s">
        <v>222</v>
      </c>
      <c r="C12" s="171">
        <v>17</v>
      </c>
      <c r="D12" s="148">
        <v>2.85</v>
      </c>
      <c r="E12" s="163">
        <v>1184</v>
      </c>
      <c r="F12" s="170">
        <v>10.6</v>
      </c>
      <c r="G12" s="149">
        <f>E12*F12</f>
        <v>12550.4</v>
      </c>
      <c r="H12" s="150">
        <f>F12*C12</f>
        <v>180.2</v>
      </c>
      <c r="I12" s="157"/>
      <c r="J12" s="172"/>
      <c r="K12" s="173"/>
    </row>
    <row r="13" spans="1:11" ht="16" x14ac:dyDescent="0.15">
      <c r="A13" s="151">
        <v>5</v>
      </c>
      <c r="B13" s="152" t="s">
        <v>226</v>
      </c>
      <c r="C13" s="153">
        <v>12.5</v>
      </c>
      <c r="D13" s="148">
        <v>2.85</v>
      </c>
      <c r="E13" s="154">
        <v>1292</v>
      </c>
      <c r="F13" s="155">
        <v>22.5</v>
      </c>
      <c r="G13" s="149">
        <f>E13*F13</f>
        <v>29070</v>
      </c>
      <c r="H13" s="150">
        <f>F13*C13</f>
        <v>281.25</v>
      </c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71</v>
      </c>
      <c r="G22" s="130">
        <f>SUM(G9:G21)/F22</f>
        <v>1326.9042253521129</v>
      </c>
      <c r="H22" s="131">
        <f>SUM(H9:H21)/F22</f>
        <v>14.450000000000001</v>
      </c>
      <c r="I22" s="132" t="s">
        <v>19</v>
      </c>
      <c r="J22" s="133">
        <v>1.35</v>
      </c>
      <c r="K22" s="126"/>
    </row>
    <row r="23" spans="1:11" x14ac:dyDescent="0.15">
      <c r="E23" s="134"/>
      <c r="F23" s="135"/>
      <c r="I23" s="136" t="s">
        <v>20</v>
      </c>
      <c r="J23" s="137">
        <v>1.58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71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v>1177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82.33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B16:B19" xr:uid="{FA67771C-DAA7-4858-9FCA-63E82E0A1F1E}">
      <formula1>$K$29:$K$85</formula1>
    </dataValidation>
    <dataValidation type="list" allowBlank="1" showInputMessage="1" showErrorMessage="1" sqref="B20:B21" xr:uid="{34D7183B-C95C-455F-8FD7-E31DF7D8928F}">
      <formula1>$K$29:$K$40</formula1>
    </dataValidation>
    <dataValidation type="list" allowBlank="1" showInputMessage="1" showErrorMessage="1" sqref="I50 K15:K21" xr:uid="{4F1B12C6-C59B-4AB3-9AA4-64F883BF6214}">
      <formula1>$I$41:$I$50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6DD6-C44C-4056-9331-608D4D8A8590}">
  <dimension ref="A1:K85"/>
  <sheetViews>
    <sheetView topLeftCell="A5" workbookViewId="0">
      <selection activeCell="A5"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45734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222</v>
      </c>
      <c r="C9" s="202">
        <v>17</v>
      </c>
      <c r="D9" s="148">
        <v>2.85</v>
      </c>
      <c r="E9" s="163">
        <v>1383</v>
      </c>
      <c r="F9" s="170">
        <v>0.8</v>
      </c>
      <c r="G9" s="149">
        <f>E9*F9</f>
        <v>1106.4000000000001</v>
      </c>
      <c r="H9" s="150">
        <f>F9*C9</f>
        <v>13.600000000000001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222</v>
      </c>
      <c r="C10" s="162">
        <v>15</v>
      </c>
      <c r="D10" s="148">
        <v>2.85</v>
      </c>
      <c r="E10" s="154">
        <v>1383</v>
      </c>
      <c r="F10" s="206">
        <v>38.1</v>
      </c>
      <c r="G10" s="149">
        <f t="shared" ref="G10:G11" si="0">E10*F10</f>
        <v>52692.3</v>
      </c>
      <c r="H10" s="150">
        <f t="shared" ref="H10:H11" si="1">F10*C10</f>
        <v>571.5</v>
      </c>
      <c r="I10" s="157" t="s">
        <v>27</v>
      </c>
      <c r="J10" s="172">
        <v>2.0833333333333332E-2</v>
      </c>
      <c r="K10" s="173" t="s">
        <v>27</v>
      </c>
    </row>
    <row r="11" spans="1:11" ht="17" x14ac:dyDescent="0.15">
      <c r="A11" s="151">
        <v>3</v>
      </c>
      <c r="B11" s="205" t="s">
        <v>222</v>
      </c>
      <c r="C11" s="162">
        <v>14</v>
      </c>
      <c r="D11" s="148">
        <v>2.85</v>
      </c>
      <c r="E11" s="154">
        <v>1406</v>
      </c>
      <c r="F11" s="207">
        <v>6</v>
      </c>
      <c r="G11" s="149">
        <f t="shared" si="0"/>
        <v>8436</v>
      </c>
      <c r="H11" s="150">
        <f t="shared" si="1"/>
        <v>84</v>
      </c>
      <c r="I11" s="157" t="s">
        <v>228</v>
      </c>
      <c r="J11" s="172">
        <v>1.3888888888888888E-2</v>
      </c>
      <c r="K11" s="173" t="s">
        <v>228</v>
      </c>
    </row>
    <row r="12" spans="1:11" ht="19.25" customHeight="1" x14ac:dyDescent="0.15">
      <c r="A12" s="151">
        <v>4</v>
      </c>
      <c r="B12" s="152" t="s">
        <v>226</v>
      </c>
      <c r="C12" s="171">
        <v>12.5</v>
      </c>
      <c r="D12" s="148">
        <v>2.85</v>
      </c>
      <c r="E12" s="163">
        <v>1326</v>
      </c>
      <c r="F12" s="170">
        <v>28.1</v>
      </c>
      <c r="G12" s="149">
        <f>E12*F12</f>
        <v>37260.6</v>
      </c>
      <c r="H12" s="150">
        <f>F12*C12</f>
        <v>351.25</v>
      </c>
      <c r="I12" s="157"/>
      <c r="J12" s="172"/>
      <c r="K12" s="173"/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73</v>
      </c>
      <c r="G22" s="130">
        <f>SUM(G9:G21)/F22</f>
        <v>1362.9493150684932</v>
      </c>
      <c r="H22" s="131">
        <f>SUM(H9:H21)/F22</f>
        <v>13.977397260273973</v>
      </c>
      <c r="I22" s="132" t="s">
        <v>19</v>
      </c>
      <c r="J22" s="133">
        <v>1.2</v>
      </c>
      <c r="K22" s="126"/>
    </row>
    <row r="23" spans="1:11" x14ac:dyDescent="0.15">
      <c r="E23" s="134"/>
      <c r="F23" s="135"/>
      <c r="I23" s="136" t="s">
        <v>20</v>
      </c>
      <c r="J23" s="137">
        <v>1.33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73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1177+73</f>
        <v>1250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83.68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I50 K15:K21" xr:uid="{649E3E12-98F7-496C-AF2A-2D2A96FC3260}">
      <formula1>$I$41:$I$50</formula1>
    </dataValidation>
    <dataValidation type="list" allowBlank="1" showInputMessage="1" showErrorMessage="1" sqref="B20:B21" xr:uid="{5A02019F-D537-407C-8A62-5A1CDCC66BF6}">
      <formula1>$K$29:$K$40</formula1>
    </dataValidation>
    <dataValidation type="list" allowBlank="1" showInputMessage="1" showErrorMessage="1" sqref="B16:B19" xr:uid="{E4A321AD-9ADB-4257-8690-3D81CD2095A5}">
      <formula1>$K$29:$K$85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C860-0CFE-4365-8956-168B619C71BC}">
  <dimension ref="A1:K85"/>
  <sheetViews>
    <sheetView topLeftCell="A8" workbookViewId="0">
      <selection activeCell="A8"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45735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222</v>
      </c>
      <c r="C9" s="202">
        <v>14</v>
      </c>
      <c r="D9" s="148">
        <v>2.85</v>
      </c>
      <c r="E9" s="163">
        <v>1422</v>
      </c>
      <c r="F9" s="170">
        <v>6.3</v>
      </c>
      <c r="G9" s="149">
        <f>E9*F9</f>
        <v>8958.6</v>
      </c>
      <c r="H9" s="150">
        <f>F9*C9</f>
        <v>88.2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222</v>
      </c>
      <c r="C10" s="162">
        <v>15</v>
      </c>
      <c r="D10" s="148">
        <v>2.85</v>
      </c>
      <c r="E10" s="154">
        <v>1422</v>
      </c>
      <c r="F10" s="206">
        <v>26.2</v>
      </c>
      <c r="G10" s="149">
        <f t="shared" ref="G10:G11" si="0">E10*F10</f>
        <v>37256.400000000001</v>
      </c>
      <c r="H10" s="150">
        <f t="shared" ref="H10:H11" si="1">F10*C10</f>
        <v>393</v>
      </c>
      <c r="I10" s="157" t="s">
        <v>27</v>
      </c>
      <c r="J10" s="172">
        <v>2.0833333333333332E-2</v>
      </c>
      <c r="K10" s="173" t="s">
        <v>27</v>
      </c>
    </row>
    <row r="11" spans="1:11" ht="17" x14ac:dyDescent="0.15">
      <c r="A11" s="151">
        <v>3</v>
      </c>
      <c r="B11" s="205" t="s">
        <v>222</v>
      </c>
      <c r="C11" s="162">
        <v>16</v>
      </c>
      <c r="D11" s="148">
        <v>2.85</v>
      </c>
      <c r="E11" s="154">
        <v>1406</v>
      </c>
      <c r="F11" s="207">
        <v>3</v>
      </c>
      <c r="G11" s="149">
        <f t="shared" si="0"/>
        <v>4218</v>
      </c>
      <c r="H11" s="150">
        <f t="shared" si="1"/>
        <v>48</v>
      </c>
      <c r="I11" s="157" t="s">
        <v>228</v>
      </c>
      <c r="J11" s="172">
        <v>6.9444444444444441E-3</v>
      </c>
      <c r="K11" s="173" t="s">
        <v>228</v>
      </c>
    </row>
    <row r="12" spans="1:11" ht="19.25" customHeight="1" x14ac:dyDescent="0.15">
      <c r="A12" s="151">
        <v>4</v>
      </c>
      <c r="B12" s="152" t="s">
        <v>226</v>
      </c>
      <c r="C12" s="171">
        <v>12.5</v>
      </c>
      <c r="D12" s="148">
        <v>2.85</v>
      </c>
      <c r="E12" s="163">
        <v>1326</v>
      </c>
      <c r="F12" s="170">
        <v>36.5</v>
      </c>
      <c r="G12" s="149">
        <f>E12*F12</f>
        <v>48399</v>
      </c>
      <c r="H12" s="150">
        <f>F12*C12</f>
        <v>456.25</v>
      </c>
      <c r="I12" s="157"/>
      <c r="J12" s="172"/>
      <c r="K12" s="173"/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72</v>
      </c>
      <c r="G22" s="130">
        <f>SUM(G9:G21)/F22</f>
        <v>1372.6666666666667</v>
      </c>
      <c r="H22" s="131">
        <f>SUM(H9:H21)/F22</f>
        <v>13.686805555555557</v>
      </c>
      <c r="I22" s="132" t="s">
        <v>19</v>
      </c>
      <c r="J22" s="133">
        <v>1.1000000000000001</v>
      </c>
      <c r="K22" s="126"/>
    </row>
    <row r="23" spans="1:11" x14ac:dyDescent="0.15">
      <c r="E23" s="134"/>
      <c r="F23" s="135"/>
      <c r="I23" s="136" t="s">
        <v>20</v>
      </c>
      <c r="J23" s="137">
        <v>1.17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72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1177+73+72</f>
        <v>1322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84.83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B16:B19" xr:uid="{83A49248-D3A5-4A98-8846-4B0538985DB4}">
      <formula1>$K$29:$K$85</formula1>
    </dataValidation>
    <dataValidation type="list" allowBlank="1" showInputMessage="1" showErrorMessage="1" sqref="B20:B21" xr:uid="{734320AF-4122-43E7-9425-537C2A8B4A1A}">
      <formula1>$K$29:$K$40</formula1>
    </dataValidation>
    <dataValidation type="list" allowBlank="1" showInputMessage="1" showErrorMessage="1" sqref="I50 K15:K21" xr:uid="{92D8B169-D01D-4A4F-A5CC-A0E9A4E84ADD}">
      <formula1>$I$41:$I$50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433C-C1E6-49BD-8E86-ED03C3B1C7FA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45736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222</v>
      </c>
      <c r="C9" s="202">
        <v>14</v>
      </c>
      <c r="D9" s="148">
        <v>2.85</v>
      </c>
      <c r="E9" s="163">
        <v>1422</v>
      </c>
      <c r="F9" s="170">
        <v>13.7</v>
      </c>
      <c r="G9" s="149">
        <f>E9*F9</f>
        <v>19481.399999999998</v>
      </c>
      <c r="H9" s="150">
        <f>F9*C9</f>
        <v>191.79999999999998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222</v>
      </c>
      <c r="C10" s="162">
        <v>15</v>
      </c>
      <c r="D10" s="148">
        <v>2.85</v>
      </c>
      <c r="E10" s="154">
        <v>1422</v>
      </c>
      <c r="F10" s="206">
        <v>1</v>
      </c>
      <c r="G10" s="149">
        <f t="shared" ref="G10:G11" si="0">E10*F10</f>
        <v>1422</v>
      </c>
      <c r="H10" s="150">
        <f t="shared" ref="H10:H11" si="1">F10*C10</f>
        <v>15</v>
      </c>
      <c r="I10" s="157" t="s">
        <v>27</v>
      </c>
      <c r="J10" s="172">
        <v>2.7777777777777776E-2</v>
      </c>
      <c r="K10" s="173" t="s">
        <v>27</v>
      </c>
    </row>
    <row r="11" spans="1:11" ht="17" x14ac:dyDescent="0.15">
      <c r="A11" s="151">
        <v>3</v>
      </c>
      <c r="B11" s="205" t="s">
        <v>222</v>
      </c>
      <c r="C11" s="162">
        <v>16</v>
      </c>
      <c r="D11" s="148">
        <v>2.85</v>
      </c>
      <c r="E11" s="154">
        <v>1343</v>
      </c>
      <c r="F11" s="207">
        <v>21.5</v>
      </c>
      <c r="G11" s="149">
        <f t="shared" si="0"/>
        <v>28874.5</v>
      </c>
      <c r="H11" s="150">
        <f t="shared" si="1"/>
        <v>344</v>
      </c>
      <c r="I11" s="157" t="s">
        <v>228</v>
      </c>
      <c r="J11" s="172">
        <v>2.0833333333333332E-2</v>
      </c>
      <c r="K11" s="173" t="s">
        <v>228</v>
      </c>
    </row>
    <row r="12" spans="1:11" ht="19.25" customHeight="1" x14ac:dyDescent="0.15">
      <c r="A12" s="151">
        <v>4</v>
      </c>
      <c r="B12" s="152" t="s">
        <v>226</v>
      </c>
      <c r="C12" s="171">
        <v>12.5</v>
      </c>
      <c r="D12" s="148">
        <v>2.85</v>
      </c>
      <c r="E12" s="163">
        <v>1343</v>
      </c>
      <c r="F12" s="170">
        <v>33.799999999999997</v>
      </c>
      <c r="G12" s="149">
        <f>E12*F12</f>
        <v>45393.399999999994</v>
      </c>
      <c r="H12" s="150">
        <f>F12*C12</f>
        <v>422.49999999999994</v>
      </c>
      <c r="I12" s="157" t="s">
        <v>240</v>
      </c>
      <c r="J12" s="172">
        <v>1.7361111111111112E-2</v>
      </c>
      <c r="K12" s="173" t="s">
        <v>262</v>
      </c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70</v>
      </c>
      <c r="G22" s="130">
        <f>SUM(G9:G21)/F22</f>
        <v>1359.59</v>
      </c>
      <c r="H22" s="131">
        <f>SUM(H9:H21)/F22</f>
        <v>13.904285714285713</v>
      </c>
      <c r="I22" s="132" t="s">
        <v>19</v>
      </c>
      <c r="J22" s="133">
        <v>2.0499999999999998</v>
      </c>
      <c r="K22" s="126"/>
    </row>
    <row r="23" spans="1:11" x14ac:dyDescent="0.15">
      <c r="E23" s="134"/>
      <c r="F23" s="135"/>
      <c r="I23" s="136" t="s">
        <v>20</v>
      </c>
      <c r="J23" s="137">
        <v>2.08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70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1177+73+72+70</f>
        <v>1392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86.92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I50 K15:K21" xr:uid="{7001DFB8-F7ED-4168-AEDE-C39C85281EE4}">
      <formula1>$I$41:$I$50</formula1>
    </dataValidation>
    <dataValidation type="list" allowBlank="1" showInputMessage="1" showErrorMessage="1" sqref="B20:B21" xr:uid="{F7D51541-1E82-466C-9F66-2DF937D7AB0C}">
      <formula1>$K$29:$K$40</formula1>
    </dataValidation>
    <dataValidation type="list" allowBlank="1" showInputMessage="1" showErrorMessage="1" sqref="B16:B19" xr:uid="{5A63B923-1AF2-44BA-91FD-9E638D5059FB}">
      <formula1>$K$29:$K$85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BDEE-9E8F-4B67-BAE3-0362E9436057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45737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222</v>
      </c>
      <c r="C9" s="202">
        <v>14</v>
      </c>
      <c r="D9" s="148">
        <v>2.85</v>
      </c>
      <c r="E9" s="163">
        <v>1365</v>
      </c>
      <c r="F9" s="170">
        <v>9.4</v>
      </c>
      <c r="G9" s="149">
        <f>E9*F9</f>
        <v>12831</v>
      </c>
      <c r="H9" s="150">
        <f>F9*C9</f>
        <v>131.6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222</v>
      </c>
      <c r="C10" s="162">
        <v>16</v>
      </c>
      <c r="D10" s="148">
        <v>2.85</v>
      </c>
      <c r="E10" s="154">
        <v>1365</v>
      </c>
      <c r="F10" s="206">
        <v>11.5</v>
      </c>
      <c r="G10" s="149">
        <f t="shared" ref="G10:G11" si="0">E10*F10</f>
        <v>15697.5</v>
      </c>
      <c r="H10" s="150">
        <f t="shared" ref="H10:H11" si="1">F10*C10</f>
        <v>184</v>
      </c>
      <c r="I10" s="157" t="s">
        <v>27</v>
      </c>
      <c r="J10" s="172">
        <v>2.0833333333333332E-2</v>
      </c>
      <c r="K10" s="173" t="s">
        <v>27</v>
      </c>
    </row>
    <row r="11" spans="1:11" ht="17" x14ac:dyDescent="0.15">
      <c r="A11" s="151">
        <v>3</v>
      </c>
      <c r="B11" s="205" t="s">
        <v>227</v>
      </c>
      <c r="C11" s="162">
        <v>14</v>
      </c>
      <c r="D11" s="148">
        <v>2.85</v>
      </c>
      <c r="E11" s="154">
        <v>1264</v>
      </c>
      <c r="F11" s="207">
        <v>6.4</v>
      </c>
      <c r="G11" s="149">
        <f t="shared" si="0"/>
        <v>8089.6</v>
      </c>
      <c r="H11" s="150">
        <f t="shared" si="1"/>
        <v>89.600000000000009</v>
      </c>
      <c r="I11" s="157" t="s">
        <v>256</v>
      </c>
      <c r="J11" s="172">
        <v>0.16666666666666666</v>
      </c>
      <c r="K11" s="173" t="s">
        <v>263</v>
      </c>
    </row>
    <row r="12" spans="1:11" ht="19.25" customHeight="1" x14ac:dyDescent="0.15">
      <c r="A12" s="151">
        <v>4</v>
      </c>
      <c r="B12" s="152" t="s">
        <v>227</v>
      </c>
      <c r="C12" s="171">
        <v>15</v>
      </c>
      <c r="D12" s="148">
        <v>2.85</v>
      </c>
      <c r="E12" s="163">
        <v>1264</v>
      </c>
      <c r="F12" s="170">
        <v>18.600000000000001</v>
      </c>
      <c r="G12" s="149">
        <f>E12*F12</f>
        <v>23510.400000000001</v>
      </c>
      <c r="H12" s="150">
        <f>F12*C12</f>
        <v>279</v>
      </c>
      <c r="I12" s="157" t="s">
        <v>243</v>
      </c>
      <c r="J12" s="172">
        <v>6.25E-2</v>
      </c>
      <c r="K12" s="173" t="s">
        <v>264</v>
      </c>
    </row>
    <row r="13" spans="1:11" ht="16" x14ac:dyDescent="0.15">
      <c r="A13" s="151">
        <v>5</v>
      </c>
      <c r="B13" s="152" t="s">
        <v>226</v>
      </c>
      <c r="C13" s="153">
        <v>12.5</v>
      </c>
      <c r="D13" s="148">
        <v>2.85</v>
      </c>
      <c r="E13" s="154">
        <v>1365</v>
      </c>
      <c r="F13" s="155">
        <v>14.1</v>
      </c>
      <c r="G13" s="149">
        <f>E13*F13</f>
        <v>19246.5</v>
      </c>
      <c r="H13" s="150">
        <f>F13*C13</f>
        <v>176.25</v>
      </c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60</v>
      </c>
      <c r="G22" s="130">
        <f>SUM(G9:G21)/F22</f>
        <v>1322.9166666666667</v>
      </c>
      <c r="H22" s="131">
        <f>SUM(H9:H21)/F22</f>
        <v>14.340833333333334</v>
      </c>
      <c r="I22" s="132" t="s">
        <v>19</v>
      </c>
      <c r="J22" s="133">
        <v>6.3</v>
      </c>
      <c r="K22" s="126"/>
    </row>
    <row r="23" spans="1:11" x14ac:dyDescent="0.15">
      <c r="E23" s="134"/>
      <c r="F23" s="135"/>
      <c r="I23" s="136" t="s">
        <v>20</v>
      </c>
      <c r="J23" s="137">
        <v>6.5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60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1177+73+72+70+60</f>
        <v>1452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93.42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B16:B19" xr:uid="{028FB81E-88B2-4478-BE8B-A73532F4BD0E}">
      <formula1>$K$29:$K$85</formula1>
    </dataValidation>
    <dataValidation type="list" allowBlank="1" showInputMessage="1" showErrorMessage="1" sqref="B20:B21" xr:uid="{EF777A6F-DC25-42FE-A32D-CC7DB9C3ACF6}">
      <formula1>$K$29:$K$40</formula1>
    </dataValidation>
    <dataValidation type="list" allowBlank="1" showInputMessage="1" showErrorMessage="1" sqref="I50 K15:K21" xr:uid="{3929D18A-F9BC-4588-995E-99A348850F96}">
      <formula1>$I$41:$I$50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C920-A2BE-4198-8ED5-D4342915CB18}">
  <dimension ref="A1:K85"/>
  <sheetViews>
    <sheetView topLeftCell="B7" workbookViewId="0">
      <selection activeCell="B7"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45738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222</v>
      </c>
      <c r="C9" s="202">
        <v>16</v>
      </c>
      <c r="D9" s="148">
        <v>2.85</v>
      </c>
      <c r="E9" s="163">
        <v>1287</v>
      </c>
      <c r="F9" s="170">
        <v>16.399999999999999</v>
      </c>
      <c r="G9" s="149">
        <f>E9*F9</f>
        <v>21106.799999999999</v>
      </c>
      <c r="H9" s="150">
        <f>F9*C9</f>
        <v>262.39999999999998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227</v>
      </c>
      <c r="C10" s="162">
        <v>14</v>
      </c>
      <c r="D10" s="148">
        <v>2.85</v>
      </c>
      <c r="E10" s="154">
        <v>1343</v>
      </c>
      <c r="F10" s="206">
        <v>8</v>
      </c>
      <c r="G10" s="149">
        <f t="shared" ref="G10:G11" si="0">E10*F10</f>
        <v>10744</v>
      </c>
      <c r="H10" s="150">
        <f t="shared" ref="H10:H11" si="1">F10*C10</f>
        <v>112</v>
      </c>
      <c r="I10" s="157" t="s">
        <v>27</v>
      </c>
      <c r="J10" s="172">
        <v>2.7777777777777776E-2</v>
      </c>
      <c r="K10" s="173" t="s">
        <v>27</v>
      </c>
    </row>
    <row r="11" spans="1:11" ht="17" x14ac:dyDescent="0.15">
      <c r="A11" s="151">
        <v>3</v>
      </c>
      <c r="B11" s="205" t="s">
        <v>227</v>
      </c>
      <c r="C11" s="162">
        <v>15</v>
      </c>
      <c r="D11" s="148">
        <v>2.85</v>
      </c>
      <c r="E11" s="154">
        <v>1287</v>
      </c>
      <c r="F11" s="207">
        <v>17</v>
      </c>
      <c r="G11" s="149">
        <f t="shared" si="0"/>
        <v>21879</v>
      </c>
      <c r="H11" s="150">
        <f t="shared" si="1"/>
        <v>255</v>
      </c>
      <c r="I11" s="157" t="s">
        <v>256</v>
      </c>
      <c r="J11" s="172">
        <v>8.3333333333333329E-2</v>
      </c>
      <c r="K11" s="173" t="s">
        <v>263</v>
      </c>
    </row>
    <row r="12" spans="1:11" ht="19.25" customHeight="1" x14ac:dyDescent="0.15">
      <c r="A12" s="151">
        <v>4</v>
      </c>
      <c r="B12" s="152" t="s">
        <v>226</v>
      </c>
      <c r="C12" s="171">
        <v>12.5</v>
      </c>
      <c r="D12" s="148">
        <v>2.85</v>
      </c>
      <c r="E12" s="163">
        <v>1343</v>
      </c>
      <c r="F12" s="170">
        <v>21.6</v>
      </c>
      <c r="G12" s="149">
        <f>E12*F12</f>
        <v>29008.800000000003</v>
      </c>
      <c r="H12" s="150">
        <f>F12*C12</f>
        <v>270</v>
      </c>
      <c r="I12" s="157" t="s">
        <v>233</v>
      </c>
      <c r="J12" s="172">
        <v>2.7777777777777776E-2</v>
      </c>
      <c r="K12" s="173" t="s">
        <v>265</v>
      </c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63</v>
      </c>
      <c r="G22" s="130">
        <f>SUM(G9:G21)/F22</f>
        <v>1313.3111111111111</v>
      </c>
      <c r="H22" s="131">
        <f>SUM(H9:H21)/F22</f>
        <v>14.276190476190475</v>
      </c>
      <c r="I22" s="132" t="s">
        <v>19</v>
      </c>
      <c r="J22" s="133">
        <v>3.5</v>
      </c>
      <c r="K22" s="126"/>
    </row>
    <row r="23" spans="1:11" x14ac:dyDescent="0.15">
      <c r="E23" s="134"/>
      <c r="F23" s="135"/>
      <c r="I23" s="136" t="s">
        <v>20</v>
      </c>
      <c r="J23" s="137">
        <v>3.83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63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1177+73+72+70+60+63</f>
        <v>1515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97.25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I50 K15:K21" xr:uid="{FFA76F4C-0B6E-4357-B58E-B98310D6E447}">
      <formula1>$I$41:$I$50</formula1>
    </dataValidation>
    <dataValidation type="list" allowBlank="1" showInputMessage="1" showErrorMessage="1" sqref="B20:B21" xr:uid="{56AD01BF-45E0-49ED-A5F0-DB9911F6844B}">
      <formula1>$K$29:$K$40</formula1>
    </dataValidation>
    <dataValidation type="list" allowBlank="1" showInputMessage="1" showErrorMessage="1" sqref="B16:B19" xr:uid="{E0AFBE2B-07EF-4A9D-A365-174E2A444360}">
      <formula1>$K$29:$K$85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607D-60A6-47C3-ACCB-D861C3C30918}">
  <dimension ref="A1:K85"/>
  <sheetViews>
    <sheetView topLeftCell="A8" workbookViewId="0">
      <selection activeCell="A8"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45739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222</v>
      </c>
      <c r="C9" s="202">
        <v>17</v>
      </c>
      <c r="D9" s="148">
        <v>2.85</v>
      </c>
      <c r="E9" s="163">
        <v>1326</v>
      </c>
      <c r="F9" s="170">
        <v>2.5</v>
      </c>
      <c r="G9" s="149">
        <f>E9*F9</f>
        <v>3315</v>
      </c>
      <c r="H9" s="150">
        <f>F9*C9</f>
        <v>42.5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222</v>
      </c>
      <c r="C10" s="162">
        <v>18</v>
      </c>
      <c r="D10" s="148">
        <v>2.85</v>
      </c>
      <c r="E10" s="154">
        <v>1326</v>
      </c>
      <c r="F10" s="206">
        <v>5</v>
      </c>
      <c r="G10" s="149">
        <f t="shared" ref="G10:G11" si="0">E10*F10</f>
        <v>6630</v>
      </c>
      <c r="H10" s="150">
        <f t="shared" ref="H10:H11" si="1">F10*C10</f>
        <v>90</v>
      </c>
      <c r="I10" s="157" t="s">
        <v>27</v>
      </c>
      <c r="J10" s="172">
        <v>2.7777777777777776E-2</v>
      </c>
      <c r="K10" s="173" t="s">
        <v>27</v>
      </c>
    </row>
    <row r="11" spans="1:11" ht="17" x14ac:dyDescent="0.15">
      <c r="A11" s="151">
        <v>3</v>
      </c>
      <c r="B11" s="205" t="s">
        <v>212</v>
      </c>
      <c r="C11" s="162">
        <v>16.5</v>
      </c>
      <c r="D11" s="148">
        <v>2.85</v>
      </c>
      <c r="E11" s="154">
        <v>1404</v>
      </c>
      <c r="F11" s="207">
        <v>12.4</v>
      </c>
      <c r="G11" s="149">
        <f t="shared" si="0"/>
        <v>17409.600000000002</v>
      </c>
      <c r="H11" s="150">
        <f t="shared" si="1"/>
        <v>204.6</v>
      </c>
      <c r="I11" s="157" t="s">
        <v>233</v>
      </c>
      <c r="J11" s="172">
        <v>3.8194444444444448E-2</v>
      </c>
      <c r="K11" s="173" t="s">
        <v>265</v>
      </c>
    </row>
    <row r="12" spans="1:11" ht="19.25" customHeight="1" x14ac:dyDescent="0.15">
      <c r="A12" s="151">
        <v>4</v>
      </c>
      <c r="B12" s="152" t="s">
        <v>212</v>
      </c>
      <c r="C12" s="171">
        <v>17</v>
      </c>
      <c r="D12" s="148">
        <v>2.85</v>
      </c>
      <c r="E12" s="163">
        <v>1365</v>
      </c>
      <c r="F12" s="170">
        <v>40.6</v>
      </c>
      <c r="G12" s="149">
        <f>E12*F12</f>
        <v>55419</v>
      </c>
      <c r="H12" s="150">
        <f>F12*C12</f>
        <v>690.2</v>
      </c>
      <c r="I12" s="157" t="s">
        <v>229</v>
      </c>
      <c r="J12" s="172">
        <v>2.0833333333333332E-2</v>
      </c>
      <c r="K12" s="173" t="s">
        <v>266</v>
      </c>
    </row>
    <row r="13" spans="1:11" ht="16" x14ac:dyDescent="0.15">
      <c r="A13" s="151">
        <v>5</v>
      </c>
      <c r="B13" s="152" t="s">
        <v>212</v>
      </c>
      <c r="C13" s="153">
        <v>19</v>
      </c>
      <c r="D13" s="148">
        <v>2.85</v>
      </c>
      <c r="E13" s="154">
        <v>1365</v>
      </c>
      <c r="F13" s="155">
        <v>10.5</v>
      </c>
      <c r="G13" s="149">
        <f>E13*F13</f>
        <v>14332.5</v>
      </c>
      <c r="H13" s="150">
        <f>F13*C13</f>
        <v>199.5</v>
      </c>
      <c r="I13" s="157"/>
      <c r="J13" s="172"/>
      <c r="K13" s="173"/>
    </row>
    <row r="14" spans="1:11" ht="16" x14ac:dyDescent="0.15">
      <c r="A14" s="156">
        <v>6</v>
      </c>
      <c r="B14" s="157" t="s">
        <v>226</v>
      </c>
      <c r="C14" s="158">
        <v>12.5</v>
      </c>
      <c r="D14" s="148">
        <v>2.85</v>
      </c>
      <c r="E14" s="154">
        <v>1326</v>
      </c>
      <c r="F14" s="159">
        <v>14</v>
      </c>
      <c r="G14" s="149">
        <f t="shared" ref="G14" si="2">E14*F14</f>
        <v>18564</v>
      </c>
      <c r="H14" s="150">
        <f t="shared" ref="H14" si="3">F14*C14</f>
        <v>175</v>
      </c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85</v>
      </c>
      <c r="G22" s="130">
        <f>SUM(G9:G21)/F22</f>
        <v>1360.8247058823531</v>
      </c>
      <c r="H22" s="131">
        <f>SUM(H9:H21)/F22</f>
        <v>16.491764705882353</v>
      </c>
      <c r="I22" s="132" t="s">
        <v>19</v>
      </c>
      <c r="J22" s="133">
        <v>2.35</v>
      </c>
      <c r="K22" s="126"/>
    </row>
    <row r="23" spans="1:11" x14ac:dyDescent="0.15">
      <c r="E23" s="134"/>
      <c r="F23" s="135"/>
      <c r="I23" s="136" t="s">
        <v>20</v>
      </c>
      <c r="J23" s="137">
        <v>2.58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85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1177+73+72+70+60+63+85</f>
        <v>1600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99.83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B16:B19" xr:uid="{FFC18F39-EFFD-4DF4-9910-E36F0EE0BFE7}">
      <formula1>$K$29:$K$85</formula1>
    </dataValidation>
    <dataValidation type="list" allowBlank="1" showInputMessage="1" showErrorMessage="1" sqref="B20:B21" xr:uid="{FBA2D08B-84BF-4EA9-B28B-A7E6505DAE69}">
      <formula1>$K$29:$K$40</formula1>
    </dataValidation>
    <dataValidation type="list" allowBlank="1" showInputMessage="1" showErrorMessage="1" sqref="I50 K15:K21" xr:uid="{78F15B2F-1D22-4B17-BC1E-4A600BFBD376}">
      <formula1>$I$41:$I$50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6B13-F396-46F3-ACAD-52F405745102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45740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212</v>
      </c>
      <c r="C9" s="202">
        <v>19</v>
      </c>
      <c r="D9" s="148">
        <v>2.85</v>
      </c>
      <c r="E9" s="163">
        <v>1326</v>
      </c>
      <c r="F9" s="170">
        <v>86</v>
      </c>
      <c r="G9" s="149">
        <f>E9*F9</f>
        <v>114036</v>
      </c>
      <c r="H9" s="150">
        <f>F9*C9</f>
        <v>1634</v>
      </c>
      <c r="I9" s="152" t="s">
        <v>203</v>
      </c>
      <c r="J9" s="203">
        <v>2.0833333333333332E-2</v>
      </c>
      <c r="K9" s="204" t="s">
        <v>211</v>
      </c>
    </row>
    <row r="10" spans="1:11" ht="16" x14ac:dyDescent="0.15">
      <c r="A10" s="151"/>
      <c r="B10" s="205"/>
      <c r="C10" s="162"/>
      <c r="D10" s="148"/>
      <c r="E10" s="154"/>
      <c r="F10" s="206"/>
      <c r="G10" s="149"/>
      <c r="H10" s="150"/>
      <c r="I10" s="157" t="s">
        <v>256</v>
      </c>
      <c r="J10" s="172">
        <v>4.1666666666666664E-2</v>
      </c>
      <c r="K10" s="173" t="s">
        <v>259</v>
      </c>
    </row>
    <row r="11" spans="1:11" ht="16" x14ac:dyDescent="0.15">
      <c r="A11" s="151"/>
      <c r="B11" s="205"/>
      <c r="C11" s="162"/>
      <c r="D11" s="148"/>
      <c r="E11" s="154"/>
      <c r="F11" s="207"/>
      <c r="G11" s="149"/>
      <c r="H11" s="150"/>
      <c r="I11" s="157" t="s">
        <v>231</v>
      </c>
      <c r="J11" s="172">
        <v>6.25E-2</v>
      </c>
      <c r="K11" s="173" t="s">
        <v>232</v>
      </c>
    </row>
    <row r="12" spans="1:11" ht="19.25" customHeight="1" x14ac:dyDescent="0.15">
      <c r="A12" s="151"/>
      <c r="B12" s="152"/>
      <c r="C12" s="171"/>
      <c r="D12" s="148"/>
      <c r="E12" s="163"/>
      <c r="F12" s="170"/>
      <c r="G12" s="149"/>
      <c r="H12" s="150"/>
      <c r="I12" s="157" t="s">
        <v>233</v>
      </c>
      <c r="J12" s="172">
        <v>2.7777777777777776E-2</v>
      </c>
      <c r="K12" s="173" t="s">
        <v>265</v>
      </c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86</v>
      </c>
      <c r="G22" s="130">
        <f>SUM(G9:G21)/F22</f>
        <v>1326</v>
      </c>
      <c r="H22" s="131">
        <f>SUM(H9:H21)/F22</f>
        <v>19</v>
      </c>
      <c r="I22" s="132" t="s">
        <v>19</v>
      </c>
      <c r="J22" s="133">
        <v>3.4</v>
      </c>
      <c r="K22" s="126"/>
    </row>
    <row r="23" spans="1:11" x14ac:dyDescent="0.15">
      <c r="E23" s="134"/>
      <c r="F23" s="135"/>
      <c r="I23" s="136" t="s">
        <v>20</v>
      </c>
      <c r="J23" s="137">
        <v>3.67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86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1177+73+72+70+60+63+85+86</f>
        <v>1686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103.5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I50 K15:K21" xr:uid="{8EA85CE8-3025-4238-ACE3-D3482581F554}">
      <formula1>$I$41:$I$50</formula1>
    </dataValidation>
    <dataValidation type="list" allowBlank="1" showInputMessage="1" showErrorMessage="1" sqref="B20:B21" xr:uid="{8FE7C6A8-FB78-4D6E-B65F-0FE443418F14}">
      <formula1>$K$29:$K$40</formula1>
    </dataValidation>
    <dataValidation type="list" allowBlank="1" showInputMessage="1" showErrorMessage="1" sqref="B16:B19" xr:uid="{2BBCD195-CD1D-443B-ACF8-C944E3D9423B}">
      <formula1>$K$29:$K$85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ACE9-5FB1-49E0-B54A-D20146EBBC75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45741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212</v>
      </c>
      <c r="C9" s="202">
        <v>19</v>
      </c>
      <c r="D9" s="148">
        <v>2.85</v>
      </c>
      <c r="E9" s="163">
        <v>1326</v>
      </c>
      <c r="F9" s="170">
        <v>29</v>
      </c>
      <c r="G9" s="149">
        <f>E9*F9</f>
        <v>38454</v>
      </c>
      <c r="H9" s="150">
        <f>F9*C9</f>
        <v>551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225</v>
      </c>
      <c r="C10" s="162">
        <v>28</v>
      </c>
      <c r="D10" s="148">
        <v>2.85</v>
      </c>
      <c r="E10" s="154">
        <v>858</v>
      </c>
      <c r="F10" s="206">
        <v>12</v>
      </c>
      <c r="G10" s="149">
        <f t="shared" ref="G10:G11" si="0">E10*F10</f>
        <v>10296</v>
      </c>
      <c r="H10" s="150">
        <f t="shared" ref="H10:H11" si="1">F10*C10</f>
        <v>336</v>
      </c>
      <c r="I10" s="157" t="s">
        <v>27</v>
      </c>
      <c r="J10" s="172">
        <v>2.0833333333333332E-2</v>
      </c>
      <c r="K10" s="173" t="s">
        <v>27</v>
      </c>
    </row>
    <row r="11" spans="1:11" ht="17" x14ac:dyDescent="0.15">
      <c r="A11" s="151">
        <v>3</v>
      </c>
      <c r="B11" s="205" t="s">
        <v>225</v>
      </c>
      <c r="C11" s="162">
        <v>30</v>
      </c>
      <c r="D11" s="148">
        <v>2.85</v>
      </c>
      <c r="E11" s="154">
        <v>804</v>
      </c>
      <c r="F11" s="207">
        <v>11</v>
      </c>
      <c r="G11" s="149">
        <f t="shared" si="0"/>
        <v>8844</v>
      </c>
      <c r="H11" s="150">
        <f t="shared" si="1"/>
        <v>330</v>
      </c>
      <c r="I11" s="157" t="s">
        <v>256</v>
      </c>
      <c r="J11" s="172">
        <v>6.25E-2</v>
      </c>
      <c r="K11" s="173" t="s">
        <v>259</v>
      </c>
    </row>
    <row r="12" spans="1:11" ht="19.25" customHeight="1" x14ac:dyDescent="0.15">
      <c r="A12" s="151">
        <v>4</v>
      </c>
      <c r="B12" s="152" t="s">
        <v>225</v>
      </c>
      <c r="C12" s="171">
        <v>32</v>
      </c>
      <c r="D12" s="148">
        <v>2.85</v>
      </c>
      <c r="E12" s="163">
        <v>761</v>
      </c>
      <c r="F12" s="170">
        <v>35</v>
      </c>
      <c r="G12" s="149">
        <f>E12*F12</f>
        <v>26635</v>
      </c>
      <c r="H12" s="150">
        <f>F12*C12</f>
        <v>1120</v>
      </c>
      <c r="I12" s="157" t="s">
        <v>233</v>
      </c>
      <c r="J12" s="172">
        <v>2.7777777777777776E-2</v>
      </c>
      <c r="K12" s="173" t="s">
        <v>265</v>
      </c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87</v>
      </c>
      <c r="G22" s="130">
        <f>SUM(G9:G21)/F22</f>
        <v>968.14942528735628</v>
      </c>
      <c r="H22" s="131">
        <f>SUM(H9:H21)/F22</f>
        <v>26.862068965517242</v>
      </c>
      <c r="I22" s="132" t="s">
        <v>19</v>
      </c>
      <c r="J22" s="133">
        <v>3.1</v>
      </c>
      <c r="K22" s="126"/>
    </row>
    <row r="23" spans="1:11" x14ac:dyDescent="0.15">
      <c r="E23" s="134"/>
      <c r="F23" s="135"/>
      <c r="I23" s="136" t="s">
        <v>20</v>
      </c>
      <c r="J23" s="137">
        <v>3.17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87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v>1773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106.67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I50 K15:K21" xr:uid="{6E337B88-4D8D-4055-B0AF-5917C36CDA85}">
      <formula1>$I$41:$I$50</formula1>
    </dataValidation>
    <dataValidation type="list" allowBlank="1" showInputMessage="1" showErrorMessage="1" sqref="B20:B21" xr:uid="{6C36AB18-22BB-4638-BE4D-D9A6E728FA2A}">
      <formula1>$K$29:$K$40</formula1>
    </dataValidation>
    <dataValidation type="list" allowBlank="1" showInputMessage="1" showErrorMessage="1" sqref="B16:B19" xr:uid="{BBE10982-C056-4C0E-8CF4-4EC605A58D69}">
      <formula1>$K$29:$K$85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BB3D-8AE2-42DF-AAA4-F8B55ED3BB3D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45742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225</v>
      </c>
      <c r="C9" s="202">
        <v>32</v>
      </c>
      <c r="D9" s="148">
        <v>2.85</v>
      </c>
      <c r="E9" s="163">
        <v>757</v>
      </c>
      <c r="F9" s="170">
        <v>5.5</v>
      </c>
      <c r="G9" s="149">
        <f>E9*F9</f>
        <v>4163.5</v>
      </c>
      <c r="H9" s="150">
        <f>F9*C9</f>
        <v>176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225</v>
      </c>
      <c r="C10" s="162">
        <v>34</v>
      </c>
      <c r="D10" s="148">
        <v>2.85</v>
      </c>
      <c r="E10" s="154">
        <v>722</v>
      </c>
      <c r="F10" s="206">
        <v>90.5</v>
      </c>
      <c r="G10" s="149">
        <f t="shared" ref="G10" si="0">E10*F10</f>
        <v>65341</v>
      </c>
      <c r="H10" s="150">
        <f t="shared" ref="H10" si="1">F10*C10</f>
        <v>3077</v>
      </c>
      <c r="I10" s="157" t="s">
        <v>27</v>
      </c>
      <c r="J10" s="172">
        <v>1.0416666666666666E-2</v>
      </c>
      <c r="K10" s="173" t="s">
        <v>27</v>
      </c>
    </row>
    <row r="11" spans="1:11" ht="16" x14ac:dyDescent="0.15">
      <c r="A11" s="151"/>
      <c r="B11" s="205"/>
      <c r="C11" s="162"/>
      <c r="D11" s="148"/>
      <c r="E11" s="154"/>
      <c r="F11" s="207"/>
      <c r="G11" s="149"/>
      <c r="H11" s="150"/>
      <c r="I11" s="157" t="s">
        <v>233</v>
      </c>
      <c r="J11" s="172">
        <v>2.0833333333333332E-2</v>
      </c>
      <c r="K11" s="173" t="s">
        <v>265</v>
      </c>
    </row>
    <row r="12" spans="1:11" ht="19.25" customHeight="1" x14ac:dyDescent="0.15">
      <c r="A12" s="151"/>
      <c r="B12" s="152"/>
      <c r="C12" s="171"/>
      <c r="D12" s="148"/>
      <c r="E12" s="163"/>
      <c r="F12" s="170"/>
      <c r="G12" s="149"/>
      <c r="H12" s="150"/>
      <c r="I12" s="157"/>
      <c r="J12" s="172"/>
      <c r="K12" s="173"/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163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96</v>
      </c>
      <c r="G22" s="130">
        <f>SUM(G9:G21)/F22</f>
        <v>724.00520833333337</v>
      </c>
      <c r="H22" s="131">
        <f>SUM(H9:H21)/F22</f>
        <v>33.885416666666664</v>
      </c>
      <c r="I22" s="132" t="s">
        <v>19</v>
      </c>
      <c r="J22" s="133">
        <v>1.1499999999999999</v>
      </c>
      <c r="K22" s="126"/>
    </row>
    <row r="23" spans="1:11" x14ac:dyDescent="0.15">
      <c r="E23" s="134"/>
      <c r="F23" s="135"/>
      <c r="I23" s="136" t="s">
        <v>20</v>
      </c>
      <c r="J23" s="137">
        <v>1.25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96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1773+96</f>
        <v>1869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107.92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B16:B19" xr:uid="{155790E4-4DB2-491C-B303-6871EBBDCD43}">
      <formula1>$K$29:$K$85</formula1>
    </dataValidation>
    <dataValidation type="list" allowBlank="1" showInputMessage="1" showErrorMessage="1" sqref="B20:B21" xr:uid="{620B4D12-779E-4944-863C-D19A22455A3D}">
      <formula1>$K$29:$K$40</formula1>
    </dataValidation>
    <dataValidation type="list" allowBlank="1" showInputMessage="1" showErrorMessage="1" sqref="I50 K15:K21" xr:uid="{DD433951-0E7B-43FF-B07D-DF1AFAA5F3DA}">
      <formula1>$I$41:$I$50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4D44-7040-4012-9179-35BC8647B310}">
  <dimension ref="A1:K85"/>
  <sheetViews>
    <sheetView workbookViewId="0">
      <selection activeCell="K12" sqref="K12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45743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225</v>
      </c>
      <c r="C9" s="202">
        <v>34</v>
      </c>
      <c r="D9" s="148">
        <v>2.85</v>
      </c>
      <c r="E9" s="163">
        <v>722</v>
      </c>
      <c r="F9" s="170">
        <v>32</v>
      </c>
      <c r="G9" s="149">
        <f>E9*F9</f>
        <v>23104</v>
      </c>
      <c r="H9" s="150">
        <f>F9*C9</f>
        <v>1088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225</v>
      </c>
      <c r="C10" s="162">
        <v>35</v>
      </c>
      <c r="D10" s="148">
        <v>2.85</v>
      </c>
      <c r="E10" s="154">
        <v>621</v>
      </c>
      <c r="F10" s="206">
        <v>4.5</v>
      </c>
      <c r="G10" s="149">
        <f t="shared" ref="G10:G15" si="0">E10*F10</f>
        <v>2794.5</v>
      </c>
      <c r="H10" s="150">
        <f t="shared" ref="H10:H15" si="1">F10*C10</f>
        <v>157.5</v>
      </c>
      <c r="I10" s="157" t="s">
        <v>27</v>
      </c>
      <c r="J10" s="172">
        <v>4.1666666666666664E-2</v>
      </c>
      <c r="K10" s="173" t="s">
        <v>27</v>
      </c>
    </row>
    <row r="11" spans="1:11" ht="17" x14ac:dyDescent="0.15">
      <c r="A11" s="151">
        <v>3</v>
      </c>
      <c r="B11" s="205" t="s">
        <v>225</v>
      </c>
      <c r="C11" s="162">
        <v>36</v>
      </c>
      <c r="D11" s="148">
        <v>2.85</v>
      </c>
      <c r="E11" s="154">
        <v>621</v>
      </c>
      <c r="F11" s="207">
        <v>17.3</v>
      </c>
      <c r="G11" s="149">
        <f t="shared" si="0"/>
        <v>10743.300000000001</v>
      </c>
      <c r="H11" s="150">
        <f t="shared" si="1"/>
        <v>622.80000000000007</v>
      </c>
      <c r="I11" s="157" t="s">
        <v>240</v>
      </c>
      <c r="J11" s="172">
        <v>8.3333333333333329E-2</v>
      </c>
      <c r="K11" s="173" t="s">
        <v>267</v>
      </c>
    </row>
    <row r="12" spans="1:11" ht="19.25" customHeight="1" x14ac:dyDescent="0.15">
      <c r="A12" s="151">
        <v>4</v>
      </c>
      <c r="B12" s="152" t="s">
        <v>225</v>
      </c>
      <c r="C12" s="171">
        <v>37</v>
      </c>
      <c r="D12" s="148">
        <v>2.85</v>
      </c>
      <c r="E12" s="163">
        <v>621</v>
      </c>
      <c r="F12" s="170">
        <v>10</v>
      </c>
      <c r="G12" s="149">
        <f t="shared" si="0"/>
        <v>6210</v>
      </c>
      <c r="H12" s="150">
        <f t="shared" si="1"/>
        <v>370</v>
      </c>
      <c r="I12" s="157"/>
      <c r="J12" s="172"/>
      <c r="K12" s="173"/>
    </row>
    <row r="13" spans="1:11" ht="16" x14ac:dyDescent="0.15">
      <c r="A13" s="151">
        <v>5</v>
      </c>
      <c r="B13" s="152" t="s">
        <v>225</v>
      </c>
      <c r="C13" s="153">
        <v>38</v>
      </c>
      <c r="D13" s="148">
        <v>2.85</v>
      </c>
      <c r="E13" s="154">
        <v>621</v>
      </c>
      <c r="F13" s="155">
        <v>5</v>
      </c>
      <c r="G13" s="149">
        <f t="shared" si="0"/>
        <v>3105</v>
      </c>
      <c r="H13" s="150">
        <f t="shared" si="1"/>
        <v>190</v>
      </c>
      <c r="I13" s="157"/>
      <c r="J13" s="172"/>
      <c r="K13" s="173"/>
    </row>
    <row r="14" spans="1:11" ht="16" x14ac:dyDescent="0.15">
      <c r="A14" s="156">
        <v>6</v>
      </c>
      <c r="B14" s="157" t="s">
        <v>225</v>
      </c>
      <c r="C14" s="158">
        <v>40</v>
      </c>
      <c r="D14" s="148">
        <v>2.85</v>
      </c>
      <c r="E14" s="154">
        <v>627</v>
      </c>
      <c r="F14" s="159">
        <v>14.2</v>
      </c>
      <c r="G14" s="149">
        <f t="shared" si="0"/>
        <v>8903.4</v>
      </c>
      <c r="H14" s="150">
        <f t="shared" si="1"/>
        <v>568</v>
      </c>
      <c r="I14" s="157"/>
      <c r="J14" s="175"/>
      <c r="K14" s="173"/>
    </row>
    <row r="15" spans="1:11" ht="16" x14ac:dyDescent="0.2">
      <c r="A15" s="160">
        <v>7</v>
      </c>
      <c r="B15" s="161" t="s">
        <v>225</v>
      </c>
      <c r="C15" s="162">
        <v>42</v>
      </c>
      <c r="D15" s="148">
        <v>2.85</v>
      </c>
      <c r="E15" s="163">
        <v>621</v>
      </c>
      <c r="F15" s="162">
        <v>2</v>
      </c>
      <c r="G15" s="149">
        <f t="shared" si="0"/>
        <v>1242</v>
      </c>
      <c r="H15" s="150">
        <f t="shared" si="1"/>
        <v>84</v>
      </c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154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154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85</v>
      </c>
      <c r="G22" s="130">
        <f>SUM(G9:G21)/F22</f>
        <v>660.02588235294127</v>
      </c>
      <c r="H22" s="131">
        <f>SUM(H9:H21)/F22</f>
        <v>36.238823529411768</v>
      </c>
      <c r="I22" s="132" t="s">
        <v>19</v>
      </c>
      <c r="J22" s="133">
        <v>3.3</v>
      </c>
      <c r="K22" s="126"/>
    </row>
    <row r="23" spans="1:11" x14ac:dyDescent="0.15">
      <c r="E23" s="134"/>
      <c r="F23" s="135"/>
      <c r="I23" s="136" t="s">
        <v>20</v>
      </c>
      <c r="J23" s="137">
        <v>3.5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85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1773+96+85</f>
        <v>1954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111.42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I50 K15:K21" xr:uid="{3A81EEFD-0E7B-48E5-AA09-BB0FBB4696BE}">
      <formula1>$I$41:$I$50</formula1>
    </dataValidation>
    <dataValidation type="list" allowBlank="1" showInputMessage="1" showErrorMessage="1" sqref="B20:B21" xr:uid="{59EA56D1-5E9F-428C-AFD9-0D0CF0F21B9A}">
      <formula1>$K$29:$K$40</formula1>
    </dataValidation>
    <dataValidation type="list" allowBlank="1" showInputMessage="1" showErrorMessage="1" sqref="B16:B19" xr:uid="{8857450B-AF2F-4199-8148-F4D07EC28E55}">
      <formula1>$K$29:$K$85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19EA-843A-4E7C-A859-E63BBB918D66}">
  <dimension ref="A1:K85"/>
  <sheetViews>
    <sheetView topLeftCell="A7" workbookViewId="0">
      <selection activeCell="A7"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45744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222</v>
      </c>
      <c r="C9" s="202">
        <v>15</v>
      </c>
      <c r="D9" s="148">
        <v>2.85</v>
      </c>
      <c r="E9" s="163">
        <v>1750</v>
      </c>
      <c r="F9" s="170">
        <v>10.5</v>
      </c>
      <c r="G9" s="149">
        <f>E9*F9</f>
        <v>18375</v>
      </c>
      <c r="H9" s="150">
        <f>F9*C9</f>
        <v>157.5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225</v>
      </c>
      <c r="C10" s="162">
        <v>20</v>
      </c>
      <c r="D10" s="148">
        <v>2.85</v>
      </c>
      <c r="E10" s="154">
        <v>1450</v>
      </c>
      <c r="F10" s="206">
        <v>9</v>
      </c>
      <c r="G10" s="149">
        <f t="shared" ref="G10:G17" si="0">E10*F10</f>
        <v>13050</v>
      </c>
      <c r="H10" s="150">
        <f t="shared" ref="H10:H17" si="1">F10*C10</f>
        <v>180</v>
      </c>
      <c r="I10" s="157" t="s">
        <v>27</v>
      </c>
      <c r="J10" s="172">
        <v>5.9027777777777776E-2</v>
      </c>
      <c r="K10" s="173" t="s">
        <v>27</v>
      </c>
    </row>
    <row r="11" spans="1:11" ht="17" x14ac:dyDescent="0.15">
      <c r="A11" s="151">
        <v>3</v>
      </c>
      <c r="B11" s="205" t="s">
        <v>225</v>
      </c>
      <c r="C11" s="162">
        <v>30</v>
      </c>
      <c r="D11" s="148">
        <v>2.85</v>
      </c>
      <c r="E11" s="154">
        <v>970</v>
      </c>
      <c r="F11" s="207">
        <v>6.5</v>
      </c>
      <c r="G11" s="149">
        <f t="shared" si="0"/>
        <v>6305</v>
      </c>
      <c r="H11" s="150">
        <f t="shared" si="1"/>
        <v>195</v>
      </c>
      <c r="I11" s="157"/>
      <c r="J11" s="172"/>
      <c r="K11" s="173"/>
    </row>
    <row r="12" spans="1:11" ht="19.25" customHeight="1" x14ac:dyDescent="0.15">
      <c r="A12" s="151">
        <v>4</v>
      </c>
      <c r="B12" s="152" t="s">
        <v>225</v>
      </c>
      <c r="C12" s="171">
        <v>35</v>
      </c>
      <c r="D12" s="148">
        <v>2.85</v>
      </c>
      <c r="E12" s="163">
        <v>835</v>
      </c>
      <c r="F12" s="170">
        <v>4.5</v>
      </c>
      <c r="G12" s="149">
        <f t="shared" si="0"/>
        <v>3757.5</v>
      </c>
      <c r="H12" s="150">
        <f t="shared" si="1"/>
        <v>157.5</v>
      </c>
      <c r="I12" s="157"/>
      <c r="J12" s="172"/>
      <c r="K12" s="173"/>
    </row>
    <row r="13" spans="1:11" ht="16" x14ac:dyDescent="0.15">
      <c r="A13" s="151">
        <v>5</v>
      </c>
      <c r="B13" s="152" t="s">
        <v>225</v>
      </c>
      <c r="C13" s="153">
        <v>36</v>
      </c>
      <c r="D13" s="148">
        <v>2.85</v>
      </c>
      <c r="E13" s="208">
        <v>810</v>
      </c>
      <c r="F13" s="155">
        <v>4.5</v>
      </c>
      <c r="G13" s="149">
        <f t="shared" si="0"/>
        <v>3645</v>
      </c>
      <c r="H13" s="150">
        <f t="shared" si="1"/>
        <v>162</v>
      </c>
      <c r="I13" s="157"/>
      <c r="J13" s="172"/>
      <c r="K13" s="173"/>
    </row>
    <row r="14" spans="1:11" ht="16" x14ac:dyDescent="0.15">
      <c r="A14" s="156">
        <v>6</v>
      </c>
      <c r="B14" s="157" t="s">
        <v>225</v>
      </c>
      <c r="C14" s="158">
        <v>37</v>
      </c>
      <c r="D14" s="148">
        <v>2.85</v>
      </c>
      <c r="E14" s="208">
        <v>790</v>
      </c>
      <c r="F14" s="159">
        <v>2.5</v>
      </c>
      <c r="G14" s="149">
        <f t="shared" si="0"/>
        <v>1975</v>
      </c>
      <c r="H14" s="150">
        <f t="shared" si="1"/>
        <v>92.5</v>
      </c>
      <c r="I14" s="157"/>
      <c r="J14" s="175"/>
      <c r="K14" s="173"/>
    </row>
    <row r="15" spans="1:11" ht="16" x14ac:dyDescent="0.2">
      <c r="A15" s="160">
        <v>7</v>
      </c>
      <c r="B15" s="161" t="s">
        <v>225</v>
      </c>
      <c r="C15" s="162">
        <v>40</v>
      </c>
      <c r="D15" s="148">
        <v>2.85</v>
      </c>
      <c r="E15" s="209">
        <v>720</v>
      </c>
      <c r="F15" s="162">
        <v>1.5</v>
      </c>
      <c r="G15" s="149">
        <f t="shared" si="0"/>
        <v>1080</v>
      </c>
      <c r="H15" s="150">
        <f t="shared" si="1"/>
        <v>60</v>
      </c>
      <c r="I15" s="174"/>
      <c r="J15" s="175"/>
      <c r="K15" s="173"/>
    </row>
    <row r="16" spans="1:11" ht="16" x14ac:dyDescent="0.2">
      <c r="A16" s="160">
        <v>8</v>
      </c>
      <c r="B16" s="161" t="s">
        <v>227</v>
      </c>
      <c r="C16" s="162">
        <v>16</v>
      </c>
      <c r="D16" s="148">
        <v>2.85</v>
      </c>
      <c r="E16" s="208">
        <v>1750</v>
      </c>
      <c r="F16" s="162">
        <v>24</v>
      </c>
      <c r="G16" s="149">
        <f>E16*F16</f>
        <v>42000</v>
      </c>
      <c r="H16" s="150">
        <f>F16*C16</f>
        <v>384</v>
      </c>
      <c r="I16" s="174"/>
      <c r="J16" s="175"/>
      <c r="K16" s="176"/>
    </row>
    <row r="17" spans="1:11" ht="16" x14ac:dyDescent="0.2">
      <c r="A17" s="160">
        <v>9</v>
      </c>
      <c r="B17" s="161" t="s">
        <v>227</v>
      </c>
      <c r="C17" s="162">
        <v>17</v>
      </c>
      <c r="D17" s="148">
        <v>2.85</v>
      </c>
      <c r="E17" s="208">
        <v>1750</v>
      </c>
      <c r="F17" s="162">
        <v>24</v>
      </c>
      <c r="G17" s="149">
        <f t="shared" si="0"/>
        <v>42000</v>
      </c>
      <c r="H17" s="150">
        <f t="shared" si="1"/>
        <v>408</v>
      </c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87</v>
      </c>
      <c r="G22" s="130">
        <f>SUM(G9:G21)/F22</f>
        <v>1519.3965517241379</v>
      </c>
      <c r="H22" s="131">
        <f>SUM(H9:H21)/F22</f>
        <v>20.649425287356323</v>
      </c>
      <c r="I22" s="132" t="s">
        <v>19</v>
      </c>
      <c r="J22" s="133">
        <v>1.55</v>
      </c>
      <c r="K22" s="126"/>
    </row>
    <row r="23" spans="1:11" x14ac:dyDescent="0.15">
      <c r="E23" s="134"/>
      <c r="F23" s="135"/>
      <c r="I23" s="136" t="s">
        <v>20</v>
      </c>
      <c r="J23" s="137">
        <v>1.92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87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1773+96+85+87</f>
        <v>2041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113.33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B16:B19" xr:uid="{2DE20140-7B3C-4BA7-88A0-76F6E9052909}">
      <formula1>$K$29:$K$85</formula1>
    </dataValidation>
    <dataValidation type="list" allowBlank="1" showInputMessage="1" showErrorMessage="1" sqref="B20:B21" xr:uid="{821FECA0-7A5D-4E89-8F10-797AF533B0A0}">
      <formula1>$K$29:$K$40</formula1>
    </dataValidation>
    <dataValidation type="list" allowBlank="1" showInputMessage="1" showErrorMessage="1" sqref="I50 K15:K21" xr:uid="{BB5A8438-B706-4543-9FE3-A0B5EDE4B963}">
      <formula1>$I$41:$I$50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1E53-98F3-4660-AFF7-383AAC8AD263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45745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191">
        <v>1</v>
      </c>
      <c r="B9" s="192" t="s">
        <v>222</v>
      </c>
      <c r="C9" s="193">
        <v>15</v>
      </c>
      <c r="D9" s="180">
        <v>2.85</v>
      </c>
      <c r="E9" s="194">
        <v>1382</v>
      </c>
      <c r="F9" s="195">
        <v>22</v>
      </c>
      <c r="G9" s="181">
        <f>E9*F9</f>
        <v>30404</v>
      </c>
      <c r="H9" s="182">
        <f>F9*C9</f>
        <v>330</v>
      </c>
      <c r="I9" s="196" t="s">
        <v>203</v>
      </c>
      <c r="J9" s="197">
        <v>2.0833333333333332E-2</v>
      </c>
      <c r="K9" s="198" t="s">
        <v>211</v>
      </c>
    </row>
    <row r="10" spans="1:11" ht="17" x14ac:dyDescent="0.15">
      <c r="A10" s="183">
        <v>2</v>
      </c>
      <c r="B10" s="184" t="s">
        <v>227</v>
      </c>
      <c r="C10" s="185">
        <v>16.5</v>
      </c>
      <c r="D10" s="180">
        <v>2.85</v>
      </c>
      <c r="E10" s="186">
        <v>1434</v>
      </c>
      <c r="F10" s="199">
        <v>6.3</v>
      </c>
      <c r="G10" s="181">
        <f t="shared" ref="G10:G13" si="0">E10*F10</f>
        <v>9034.1999999999989</v>
      </c>
      <c r="H10" s="182">
        <f t="shared" ref="H10:H13" si="1">F10*C10</f>
        <v>103.95</v>
      </c>
      <c r="I10" s="188" t="s">
        <v>27</v>
      </c>
      <c r="J10" s="189">
        <v>3.4722222222222224E-2</v>
      </c>
      <c r="K10" s="190" t="s">
        <v>27</v>
      </c>
    </row>
    <row r="11" spans="1:11" ht="17" x14ac:dyDescent="0.15">
      <c r="A11" s="183">
        <v>3</v>
      </c>
      <c r="B11" s="184" t="s">
        <v>227</v>
      </c>
      <c r="C11" s="185">
        <v>17</v>
      </c>
      <c r="D11" s="180">
        <v>2.85</v>
      </c>
      <c r="E11" s="186">
        <v>1400</v>
      </c>
      <c r="F11" s="187">
        <v>12</v>
      </c>
      <c r="G11" s="181">
        <f t="shared" si="0"/>
        <v>16800</v>
      </c>
      <c r="H11" s="182">
        <f t="shared" si="1"/>
        <v>204</v>
      </c>
      <c r="I11" s="188" t="s">
        <v>256</v>
      </c>
      <c r="J11" s="189">
        <v>6.25E-2</v>
      </c>
      <c r="K11" s="190" t="s">
        <v>268</v>
      </c>
    </row>
    <row r="12" spans="1:11" ht="19.25" customHeight="1" x14ac:dyDescent="0.15">
      <c r="A12" s="183">
        <v>4</v>
      </c>
      <c r="B12" s="196" t="s">
        <v>226</v>
      </c>
      <c r="C12" s="210">
        <v>12.5</v>
      </c>
      <c r="D12" s="180">
        <v>2.85</v>
      </c>
      <c r="E12" s="194">
        <v>1382</v>
      </c>
      <c r="F12" s="195">
        <v>16.5</v>
      </c>
      <c r="G12" s="181">
        <f t="shared" si="0"/>
        <v>22803</v>
      </c>
      <c r="H12" s="182">
        <f t="shared" si="1"/>
        <v>206.25</v>
      </c>
      <c r="I12" s="188" t="s">
        <v>228</v>
      </c>
      <c r="J12" s="189">
        <v>1.7361111111111112E-2</v>
      </c>
      <c r="K12" s="190" t="s">
        <v>228</v>
      </c>
    </row>
    <row r="13" spans="1:11" ht="16" x14ac:dyDescent="0.15">
      <c r="A13" s="183">
        <v>5</v>
      </c>
      <c r="B13" s="196" t="s">
        <v>226</v>
      </c>
      <c r="C13" s="211">
        <v>13.5</v>
      </c>
      <c r="D13" s="180">
        <v>2.85</v>
      </c>
      <c r="E13" s="186">
        <v>1382</v>
      </c>
      <c r="F13" s="212">
        <v>12.2</v>
      </c>
      <c r="G13" s="181">
        <f t="shared" si="0"/>
        <v>16860.399999999998</v>
      </c>
      <c r="H13" s="182">
        <f t="shared" si="1"/>
        <v>164.7</v>
      </c>
      <c r="I13" s="188"/>
      <c r="J13" s="189"/>
      <c r="K13" s="190"/>
    </row>
    <row r="14" spans="1:11" ht="16" x14ac:dyDescent="0.15">
      <c r="A14" s="156"/>
      <c r="B14" s="157"/>
      <c r="C14" s="158"/>
      <c r="D14" s="148"/>
      <c r="E14" s="208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209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208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208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69</v>
      </c>
      <c r="G22" s="130">
        <f>SUM(G9:G21)/F22</f>
        <v>1389.8782608695651</v>
      </c>
      <c r="H22" s="131">
        <f>SUM(H9:H21)/F22</f>
        <v>14.621739130434785</v>
      </c>
      <c r="I22" s="132" t="s">
        <v>19</v>
      </c>
      <c r="J22" s="133">
        <v>3.15</v>
      </c>
      <c r="K22" s="126"/>
    </row>
    <row r="23" spans="1:11" x14ac:dyDescent="0.15">
      <c r="E23" s="134"/>
      <c r="F23" s="135"/>
      <c r="I23" s="136" t="s">
        <v>20</v>
      </c>
      <c r="J23" s="137">
        <v>3.25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69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1773+96+85+87+69</f>
        <v>2110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116.58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I50 K15:K21" xr:uid="{A7084732-6EB0-47F9-8059-15EE8EACF08B}">
      <formula1>$I$41:$I$50</formula1>
    </dataValidation>
    <dataValidation type="list" allowBlank="1" showInputMessage="1" showErrorMessage="1" sqref="B20:B21" xr:uid="{7BDCA2C7-CF8D-4B8D-B4D2-ED1A359E34D9}">
      <formula1>$K$29:$K$40</formula1>
    </dataValidation>
    <dataValidation type="list" allowBlank="1" showInputMessage="1" showErrorMessage="1" sqref="B16:B19" xr:uid="{B1F1433A-6BBD-444A-8F18-C2A078C9B4D8}">
      <formula1>$K$29:$K$85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4CC7-A7AE-4F6F-B85B-B472775D0F57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45746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222</v>
      </c>
      <c r="C9" s="202">
        <v>15</v>
      </c>
      <c r="D9" s="148">
        <v>2.85</v>
      </c>
      <c r="E9" s="163">
        <v>1400</v>
      </c>
      <c r="F9" s="170">
        <v>20.3</v>
      </c>
      <c r="G9" s="149">
        <f>E9*F9</f>
        <v>28420</v>
      </c>
      <c r="H9" s="150">
        <f>F9*C9</f>
        <v>304.5</v>
      </c>
      <c r="I9" s="152" t="s">
        <v>203</v>
      </c>
      <c r="J9" s="203">
        <v>2.0833333333333332E-2</v>
      </c>
      <c r="K9" s="204" t="s">
        <v>211</v>
      </c>
    </row>
    <row r="10" spans="1:11" ht="17" x14ac:dyDescent="0.15">
      <c r="A10" s="151">
        <v>2</v>
      </c>
      <c r="B10" s="205" t="s">
        <v>227</v>
      </c>
      <c r="C10" s="162">
        <v>16.5</v>
      </c>
      <c r="D10" s="148">
        <v>2.85</v>
      </c>
      <c r="E10" s="154">
        <v>1418</v>
      </c>
      <c r="F10" s="206">
        <v>6</v>
      </c>
      <c r="G10" s="149">
        <f t="shared" ref="G10:G13" si="0">E10*F10</f>
        <v>8508</v>
      </c>
      <c r="H10" s="150">
        <f t="shared" ref="H10:H13" si="1">F10*C10</f>
        <v>99</v>
      </c>
      <c r="I10" s="157" t="s">
        <v>27</v>
      </c>
      <c r="J10" s="172">
        <v>4.1666666666666664E-2</v>
      </c>
      <c r="K10" s="173" t="s">
        <v>27</v>
      </c>
    </row>
    <row r="11" spans="1:11" ht="17" x14ac:dyDescent="0.15">
      <c r="A11" s="151">
        <v>3</v>
      </c>
      <c r="B11" s="205" t="s">
        <v>227</v>
      </c>
      <c r="C11" s="162">
        <v>17</v>
      </c>
      <c r="D11" s="148">
        <v>2.85</v>
      </c>
      <c r="E11" s="154">
        <v>1400</v>
      </c>
      <c r="F11" s="207">
        <v>19</v>
      </c>
      <c r="G11" s="149">
        <f t="shared" si="0"/>
        <v>26600</v>
      </c>
      <c r="H11" s="150">
        <f t="shared" si="1"/>
        <v>323</v>
      </c>
      <c r="I11" s="157"/>
      <c r="J11" s="172"/>
      <c r="K11" s="173"/>
    </row>
    <row r="12" spans="1:11" ht="19.25" customHeight="1" x14ac:dyDescent="0.15">
      <c r="A12" s="151">
        <v>4</v>
      </c>
      <c r="B12" s="152" t="s">
        <v>226</v>
      </c>
      <c r="C12" s="171">
        <v>12.5</v>
      </c>
      <c r="D12" s="148">
        <v>2.85</v>
      </c>
      <c r="E12" s="163">
        <v>1383</v>
      </c>
      <c r="F12" s="170">
        <v>17.8</v>
      </c>
      <c r="G12" s="149">
        <f t="shared" si="0"/>
        <v>24617.4</v>
      </c>
      <c r="H12" s="150">
        <f t="shared" si="1"/>
        <v>222.5</v>
      </c>
      <c r="I12" s="157"/>
      <c r="J12" s="172"/>
      <c r="K12" s="173"/>
    </row>
    <row r="13" spans="1:11" ht="16" x14ac:dyDescent="0.15">
      <c r="A13" s="151">
        <v>5</v>
      </c>
      <c r="B13" s="152" t="s">
        <v>226</v>
      </c>
      <c r="C13" s="153">
        <v>13.5</v>
      </c>
      <c r="D13" s="148">
        <v>2.85</v>
      </c>
      <c r="E13" s="154">
        <v>1400</v>
      </c>
      <c r="F13" s="155">
        <v>9.9</v>
      </c>
      <c r="G13" s="149">
        <f t="shared" si="0"/>
        <v>13860</v>
      </c>
      <c r="H13" s="150">
        <f t="shared" si="1"/>
        <v>133.65</v>
      </c>
      <c r="I13" s="157"/>
      <c r="J13" s="172"/>
      <c r="K13" s="173"/>
    </row>
    <row r="14" spans="1:11" ht="16" x14ac:dyDescent="0.15">
      <c r="A14" s="156">
        <v>6</v>
      </c>
      <c r="B14" s="157" t="s">
        <v>212</v>
      </c>
      <c r="C14" s="158">
        <v>17</v>
      </c>
      <c r="D14" s="148">
        <v>2.85</v>
      </c>
      <c r="E14" s="154">
        <v>1400</v>
      </c>
      <c r="F14" s="159">
        <v>5</v>
      </c>
      <c r="G14" s="149">
        <f>E14*F14</f>
        <v>7000</v>
      </c>
      <c r="H14" s="150">
        <f>F14*C14</f>
        <v>85</v>
      </c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209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208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208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78</v>
      </c>
      <c r="G22" s="130">
        <f>SUM(G9:G21)/F22</f>
        <v>1397.5051282051281</v>
      </c>
      <c r="H22" s="131">
        <f>SUM(H9:H21)/F22</f>
        <v>14.969871794871796</v>
      </c>
      <c r="I22" s="132" t="s">
        <v>19</v>
      </c>
      <c r="J22" s="133">
        <v>1.3</v>
      </c>
      <c r="K22" s="126"/>
    </row>
    <row r="23" spans="1:11" x14ac:dyDescent="0.15">
      <c r="E23" s="134"/>
      <c r="F23" s="135"/>
      <c r="I23" s="136" t="s">
        <v>20</v>
      </c>
      <c r="J23" s="137">
        <v>1.5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78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1773+96+85+87+69+78</f>
        <v>2188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118.08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B16:B19" xr:uid="{042FDBFB-7623-4973-8309-6346FEA957B8}">
      <formula1>$K$29:$K$85</formula1>
    </dataValidation>
    <dataValidation type="list" allowBlank="1" showInputMessage="1" showErrorMessage="1" sqref="B20:B21" xr:uid="{B3A0EA10-3672-4A49-8F0B-DBDD5C2D75D7}">
      <formula1>$K$29:$K$40</formula1>
    </dataValidation>
    <dataValidation type="list" allowBlank="1" showInputMessage="1" showErrorMessage="1" sqref="I50 K15:K21" xr:uid="{B94C6E02-C5A7-4F8A-89E1-87A3A2D39CDF}">
      <formula1>$I$41:$I$50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9F9C-81BE-44D6-B3A7-9343763CAF31}">
  <dimension ref="A1:K85"/>
  <sheetViews>
    <sheetView topLeftCell="A8" workbookViewId="0">
      <selection activeCell="K15" sqref="K15"/>
    </sheetView>
  </sheetViews>
  <sheetFormatPr baseColWidth="10" defaultColWidth="9.1640625" defaultRowHeight="14" x14ac:dyDescent="0.15"/>
  <cols>
    <col min="1" max="1" width="5.1640625" style="109" customWidth="1"/>
    <col min="2" max="2" width="22.5" style="109" customWidth="1"/>
    <col min="3" max="3" width="6.1640625" style="109" customWidth="1"/>
    <col min="4" max="4" width="12.5" style="109" bestFit="1" customWidth="1"/>
    <col min="5" max="5" width="9.83203125" style="109" customWidth="1"/>
    <col min="6" max="6" width="9.33203125" style="109" bestFit="1" customWidth="1"/>
    <col min="7" max="7" width="8.6640625" style="109" customWidth="1"/>
    <col min="8" max="8" width="9.5" style="109" bestFit="1" customWidth="1"/>
    <col min="9" max="9" width="17.83203125" style="109" bestFit="1" customWidth="1"/>
    <col min="10" max="10" width="10.33203125" style="109" bestFit="1" customWidth="1"/>
    <col min="11" max="11" width="78" style="109" bestFit="1" customWidth="1"/>
    <col min="12" max="16384" width="9.1640625" style="109"/>
  </cols>
  <sheetData>
    <row r="1" spans="1:11" x14ac:dyDescent="0.15">
      <c r="A1" s="108" t="s">
        <v>197</v>
      </c>
      <c r="I1" s="110"/>
    </row>
    <row r="2" spans="1:11" x14ac:dyDescent="0.15">
      <c r="J2" s="111"/>
    </row>
    <row r="3" spans="1:11" x14ac:dyDescent="0.15">
      <c r="A3" s="110" t="s">
        <v>198</v>
      </c>
      <c r="I3" s="108"/>
      <c r="J3" s="108"/>
    </row>
    <row r="4" spans="1:11" x14ac:dyDescent="0.15">
      <c r="A4" s="110"/>
      <c r="I4" s="111" t="s">
        <v>5</v>
      </c>
      <c r="J4" s="112">
        <v>45747</v>
      </c>
    </row>
    <row r="5" spans="1:11" x14ac:dyDescent="0.15">
      <c r="J5" s="109" t="s">
        <v>1</v>
      </c>
    </row>
    <row r="6" spans="1:11" ht="30" x14ac:dyDescent="0.15">
      <c r="A6" s="113" t="s">
        <v>6</v>
      </c>
      <c r="B6" s="113" t="s">
        <v>7</v>
      </c>
      <c r="C6" s="113" t="s">
        <v>8</v>
      </c>
      <c r="D6" s="113" t="s">
        <v>9</v>
      </c>
      <c r="E6" s="113" t="s">
        <v>10</v>
      </c>
      <c r="F6" s="113" t="s">
        <v>11</v>
      </c>
      <c r="G6" s="114" t="s">
        <v>12</v>
      </c>
      <c r="H6" s="114" t="s">
        <v>3</v>
      </c>
      <c r="I6" s="114" t="s">
        <v>13</v>
      </c>
      <c r="J6" s="115"/>
      <c r="K6" s="113" t="s">
        <v>14</v>
      </c>
    </row>
    <row r="7" spans="1:11" ht="30" x14ac:dyDescent="0.15">
      <c r="A7" s="114"/>
      <c r="B7" s="116"/>
      <c r="C7" s="113"/>
      <c r="D7" s="113" t="s">
        <v>4</v>
      </c>
      <c r="E7" s="113" t="s">
        <v>15</v>
      </c>
      <c r="F7" s="117" t="s">
        <v>0</v>
      </c>
      <c r="G7" s="117" t="s">
        <v>15</v>
      </c>
      <c r="H7" s="117" t="s">
        <v>171</v>
      </c>
      <c r="I7" s="113" t="s">
        <v>16</v>
      </c>
      <c r="J7" s="117" t="s">
        <v>17</v>
      </c>
      <c r="K7" s="117"/>
    </row>
    <row r="8" spans="1:11" ht="16" x14ac:dyDescent="0.2">
      <c r="A8" s="164"/>
      <c r="B8" s="148"/>
      <c r="C8" s="150"/>
      <c r="D8" s="148"/>
      <c r="E8" s="148"/>
      <c r="F8" s="164"/>
      <c r="G8" s="164"/>
      <c r="H8" s="164"/>
      <c r="I8" s="164"/>
      <c r="J8" s="169"/>
      <c r="K8" s="164"/>
    </row>
    <row r="9" spans="1:11" ht="17" x14ac:dyDescent="0.15">
      <c r="A9" s="200">
        <v>1</v>
      </c>
      <c r="B9" s="201" t="s">
        <v>212</v>
      </c>
      <c r="C9" s="202">
        <v>17</v>
      </c>
      <c r="D9" s="148">
        <v>2.85</v>
      </c>
      <c r="E9" s="163">
        <v>1418</v>
      </c>
      <c r="F9" s="170">
        <v>90</v>
      </c>
      <c r="G9" s="149">
        <f>E9*F9</f>
        <v>127620</v>
      </c>
      <c r="H9" s="150">
        <f>F9*C9</f>
        <v>1530</v>
      </c>
      <c r="I9" s="152" t="s">
        <v>203</v>
      </c>
      <c r="J9" s="203">
        <v>2.7777777777777776E-2</v>
      </c>
      <c r="K9" s="204" t="s">
        <v>211</v>
      </c>
    </row>
    <row r="10" spans="1:11" ht="16" x14ac:dyDescent="0.15">
      <c r="A10" s="151"/>
      <c r="B10" s="205"/>
      <c r="C10" s="162"/>
      <c r="D10" s="148"/>
      <c r="E10" s="154"/>
      <c r="F10" s="206"/>
      <c r="G10" s="149"/>
      <c r="H10" s="150"/>
      <c r="I10" s="157" t="s">
        <v>228</v>
      </c>
      <c r="J10" s="172">
        <v>6.9444444444444441E-3</v>
      </c>
      <c r="K10" s="173" t="s">
        <v>228</v>
      </c>
    </row>
    <row r="11" spans="1:11" ht="16" x14ac:dyDescent="0.15">
      <c r="A11" s="151"/>
      <c r="B11" s="205"/>
      <c r="C11" s="162"/>
      <c r="D11" s="148"/>
      <c r="E11" s="154"/>
      <c r="F11" s="207"/>
      <c r="G11" s="149"/>
      <c r="H11" s="150"/>
      <c r="I11" s="157"/>
      <c r="J11" s="172"/>
      <c r="K11" s="173"/>
    </row>
    <row r="12" spans="1:11" ht="19.25" customHeight="1" x14ac:dyDescent="0.15">
      <c r="A12" s="151"/>
      <c r="B12" s="152"/>
      <c r="C12" s="171"/>
      <c r="D12" s="148"/>
      <c r="E12" s="163"/>
      <c r="F12" s="170"/>
      <c r="G12" s="149"/>
      <c r="H12" s="150"/>
      <c r="I12" s="157"/>
      <c r="J12" s="172"/>
      <c r="K12" s="173"/>
    </row>
    <row r="13" spans="1:11" ht="16" x14ac:dyDescent="0.15">
      <c r="A13" s="151"/>
      <c r="B13" s="152"/>
      <c r="C13" s="153"/>
      <c r="D13" s="148"/>
      <c r="E13" s="154"/>
      <c r="F13" s="155"/>
      <c r="G13" s="149"/>
      <c r="H13" s="150"/>
      <c r="I13" s="157"/>
      <c r="J13" s="172"/>
      <c r="K13" s="173"/>
    </row>
    <row r="14" spans="1:11" ht="16" x14ac:dyDescent="0.15">
      <c r="A14" s="156"/>
      <c r="B14" s="157"/>
      <c r="C14" s="158"/>
      <c r="D14" s="148"/>
      <c r="E14" s="154"/>
      <c r="F14" s="159"/>
      <c r="G14" s="149"/>
      <c r="H14" s="150"/>
      <c r="I14" s="157"/>
      <c r="J14" s="175"/>
      <c r="K14" s="173"/>
    </row>
    <row r="15" spans="1:11" ht="16" x14ac:dyDescent="0.2">
      <c r="A15" s="160"/>
      <c r="B15" s="161"/>
      <c r="C15" s="162"/>
      <c r="D15" s="148"/>
      <c r="E15" s="209"/>
      <c r="F15" s="162"/>
      <c r="G15" s="149"/>
      <c r="H15" s="150"/>
      <c r="I15" s="174"/>
      <c r="J15" s="175"/>
      <c r="K15" s="173"/>
    </row>
    <row r="16" spans="1:11" ht="16" x14ac:dyDescent="0.2">
      <c r="A16" s="160"/>
      <c r="B16" s="161"/>
      <c r="C16" s="162"/>
      <c r="D16" s="148"/>
      <c r="E16" s="208"/>
      <c r="F16" s="162"/>
      <c r="G16" s="149"/>
      <c r="H16" s="150"/>
      <c r="I16" s="174"/>
      <c r="J16" s="175"/>
      <c r="K16" s="176"/>
    </row>
    <row r="17" spans="1:11" ht="16" x14ac:dyDescent="0.2">
      <c r="A17" s="160"/>
      <c r="B17" s="161"/>
      <c r="C17" s="162"/>
      <c r="D17" s="148"/>
      <c r="E17" s="208"/>
      <c r="F17" s="162"/>
      <c r="G17" s="149"/>
      <c r="H17" s="150"/>
      <c r="I17" s="174"/>
      <c r="J17" s="175"/>
      <c r="K17" s="176"/>
    </row>
    <row r="18" spans="1:11" ht="16" x14ac:dyDescent="0.2">
      <c r="A18" s="165"/>
      <c r="B18" s="166"/>
      <c r="C18" s="162"/>
      <c r="D18" s="148"/>
      <c r="E18" s="167"/>
      <c r="F18" s="168"/>
      <c r="G18" s="149"/>
      <c r="H18" s="150"/>
      <c r="I18" s="164"/>
      <c r="J18" s="169"/>
      <c r="K18" s="164"/>
    </row>
    <row r="19" spans="1:11" x14ac:dyDescent="0.15">
      <c r="A19" s="119"/>
      <c r="B19" s="118"/>
      <c r="C19" s="120"/>
      <c r="D19" s="123"/>
      <c r="E19" s="119"/>
      <c r="F19" s="120"/>
      <c r="G19" s="122"/>
      <c r="H19" s="120"/>
      <c r="I19" s="118"/>
      <c r="J19" s="121"/>
      <c r="K19" s="118"/>
    </row>
    <row r="20" spans="1:11" x14ac:dyDescent="0.15">
      <c r="A20" s="119"/>
      <c r="B20" s="118"/>
      <c r="C20" s="120"/>
      <c r="D20" s="123"/>
      <c r="E20" s="119"/>
      <c r="F20" s="120"/>
      <c r="G20" s="122"/>
      <c r="H20" s="120"/>
      <c r="I20" s="118"/>
      <c r="J20" s="121"/>
      <c r="K20" s="118"/>
    </row>
    <row r="21" spans="1:11" x14ac:dyDescent="0.15">
      <c r="A21" s="119"/>
      <c r="B21" s="118"/>
      <c r="C21" s="124"/>
      <c r="D21" s="119"/>
      <c r="E21" s="121"/>
      <c r="F21" s="124"/>
      <c r="G21" s="122"/>
      <c r="H21" s="120"/>
      <c r="I21" s="118"/>
      <c r="J21" s="121"/>
      <c r="K21" s="118"/>
    </row>
    <row r="22" spans="1:11" x14ac:dyDescent="0.15">
      <c r="A22" s="125"/>
      <c r="B22" s="126"/>
      <c r="C22" s="127"/>
      <c r="D22" s="127"/>
      <c r="E22" s="128" t="s">
        <v>18</v>
      </c>
      <c r="F22" s="129">
        <f>SUM(F9:F21)</f>
        <v>90</v>
      </c>
      <c r="G22" s="130">
        <f>SUM(G9:G21)/F22</f>
        <v>1418</v>
      </c>
      <c r="H22" s="131">
        <f>SUM(H9:H21)/F22</f>
        <v>17</v>
      </c>
      <c r="I22" s="132" t="s">
        <v>19</v>
      </c>
      <c r="J22" s="133">
        <v>0.5</v>
      </c>
      <c r="K22" s="126"/>
    </row>
    <row r="23" spans="1:11" x14ac:dyDescent="0.15">
      <c r="E23" s="134"/>
      <c r="F23" s="135"/>
      <c r="I23" s="136" t="s">
        <v>20</v>
      </c>
      <c r="J23" s="137">
        <v>0.83</v>
      </c>
    </row>
    <row r="24" spans="1:11" x14ac:dyDescent="0.15">
      <c r="A24" s="108"/>
      <c r="I24" s="138"/>
      <c r="J24" s="139"/>
    </row>
    <row r="25" spans="1:11" x14ac:dyDescent="0.15">
      <c r="A25" s="140" t="s">
        <v>21</v>
      </c>
      <c r="B25" s="140"/>
      <c r="C25" s="140"/>
      <c r="D25" s="124"/>
      <c r="H25" s="111" t="s">
        <v>22</v>
      </c>
      <c r="I25" s="111"/>
      <c r="J25" s="134">
        <v>90</v>
      </c>
      <c r="K25" s="108" t="s">
        <v>0</v>
      </c>
    </row>
    <row r="26" spans="1:11" x14ac:dyDescent="0.15">
      <c r="A26" s="140" t="s">
        <v>23</v>
      </c>
      <c r="B26" s="140"/>
      <c r="C26" s="140"/>
      <c r="D26" s="124"/>
      <c r="H26" s="111" t="s">
        <v>24</v>
      </c>
      <c r="I26" s="111"/>
      <c r="J26" s="134">
        <f>1773+96+85+87+69+78+90</f>
        <v>2278</v>
      </c>
      <c r="K26" s="108" t="s">
        <v>0</v>
      </c>
    </row>
    <row r="27" spans="1:11" ht="15" thickBot="1" x14ac:dyDescent="0.2">
      <c r="A27" s="141"/>
      <c r="B27" s="141"/>
      <c r="C27" s="141"/>
      <c r="D27" s="141"/>
      <c r="E27" s="142"/>
      <c r="F27" s="142"/>
      <c r="G27" s="141"/>
      <c r="H27" s="143" t="s">
        <v>25</v>
      </c>
      <c r="I27" s="143"/>
      <c r="J27" s="144">
        <v>118.92</v>
      </c>
      <c r="K27" s="145" t="s">
        <v>2</v>
      </c>
    </row>
    <row r="28" spans="1:11" x14ac:dyDescent="0.15">
      <c r="J28" s="109" t="s">
        <v>1</v>
      </c>
    </row>
    <row r="29" spans="1:11" hidden="1" x14ac:dyDescent="0.15">
      <c r="K29" s="109" t="s">
        <v>172</v>
      </c>
    </row>
    <row r="30" spans="1:11" hidden="1" x14ac:dyDescent="0.15">
      <c r="K30" s="109" t="s">
        <v>146</v>
      </c>
    </row>
    <row r="31" spans="1:11" hidden="1" x14ac:dyDescent="0.15">
      <c r="K31" s="109" t="s">
        <v>150</v>
      </c>
    </row>
    <row r="32" spans="1:11" hidden="1" x14ac:dyDescent="0.15">
      <c r="K32" s="109" t="s">
        <v>154</v>
      </c>
    </row>
    <row r="33" spans="9:11" hidden="1" x14ac:dyDescent="0.15">
      <c r="K33" s="109" t="s">
        <v>153</v>
      </c>
    </row>
    <row r="34" spans="9:11" hidden="1" x14ac:dyDescent="0.15">
      <c r="K34" s="109" t="s">
        <v>161</v>
      </c>
    </row>
    <row r="35" spans="9:11" hidden="1" x14ac:dyDescent="0.15">
      <c r="K35" s="109" t="s">
        <v>151</v>
      </c>
    </row>
    <row r="36" spans="9:11" hidden="1" x14ac:dyDescent="0.15">
      <c r="K36" s="109" t="s">
        <v>155</v>
      </c>
    </row>
    <row r="37" spans="9:11" hidden="1" x14ac:dyDescent="0.15">
      <c r="K37" s="109" t="s">
        <v>149</v>
      </c>
    </row>
    <row r="38" spans="9:11" hidden="1" x14ac:dyDescent="0.15">
      <c r="K38" s="109" t="s">
        <v>156</v>
      </c>
    </row>
    <row r="39" spans="9:11" hidden="1" x14ac:dyDescent="0.15">
      <c r="K39" s="109" t="s">
        <v>134</v>
      </c>
    </row>
    <row r="40" spans="9:11" hidden="1" x14ac:dyDescent="0.15">
      <c r="K40" s="109" t="s">
        <v>158</v>
      </c>
    </row>
    <row r="41" spans="9:11" ht="30" hidden="1" x14ac:dyDescent="0.15">
      <c r="I41" s="146" t="s">
        <v>26</v>
      </c>
      <c r="K41" s="109" t="s">
        <v>159</v>
      </c>
    </row>
    <row r="42" spans="9:11" ht="15" hidden="1" x14ac:dyDescent="0.15">
      <c r="I42" s="146" t="s">
        <v>27</v>
      </c>
      <c r="K42" s="109" t="s">
        <v>162</v>
      </c>
    </row>
    <row r="43" spans="9:11" hidden="1" x14ac:dyDescent="0.15">
      <c r="I43" s="147" t="s">
        <v>28</v>
      </c>
      <c r="K43" s="109" t="s">
        <v>173</v>
      </c>
    </row>
    <row r="44" spans="9:11" hidden="1" x14ac:dyDescent="0.15">
      <c r="I44" s="109" t="s">
        <v>29</v>
      </c>
      <c r="K44" s="109" t="s">
        <v>163</v>
      </c>
    </row>
    <row r="45" spans="9:11" hidden="1" x14ac:dyDescent="0.15">
      <c r="I45" s="109" t="s">
        <v>30</v>
      </c>
      <c r="K45" s="109" t="s">
        <v>164</v>
      </c>
    </row>
    <row r="46" spans="9:11" hidden="1" x14ac:dyDescent="0.15">
      <c r="I46" s="109" t="s">
        <v>34</v>
      </c>
      <c r="K46" s="109" t="s">
        <v>147</v>
      </c>
    </row>
    <row r="47" spans="9:11" hidden="1" x14ac:dyDescent="0.15">
      <c r="I47" s="109" t="s">
        <v>35</v>
      </c>
      <c r="K47" s="109" t="s">
        <v>152</v>
      </c>
    </row>
    <row r="48" spans="9:11" hidden="1" x14ac:dyDescent="0.15">
      <c r="I48" s="109" t="s">
        <v>31</v>
      </c>
      <c r="K48" s="109" t="s">
        <v>126</v>
      </c>
    </row>
    <row r="49" spans="9:11" hidden="1" x14ac:dyDescent="0.15">
      <c r="I49" s="109" t="s">
        <v>32</v>
      </c>
      <c r="K49" s="109" t="s">
        <v>136</v>
      </c>
    </row>
    <row r="50" spans="9:11" hidden="1" x14ac:dyDescent="0.15">
      <c r="I50" s="109" t="s">
        <v>33</v>
      </c>
      <c r="K50" s="109" t="s">
        <v>142</v>
      </c>
    </row>
    <row r="51" spans="9:11" hidden="1" x14ac:dyDescent="0.15">
      <c r="K51" s="109" t="s">
        <v>137</v>
      </c>
    </row>
    <row r="52" spans="9:11" hidden="1" x14ac:dyDescent="0.15">
      <c r="K52" s="109" t="s">
        <v>125</v>
      </c>
    </row>
    <row r="53" spans="9:11" hidden="1" x14ac:dyDescent="0.15">
      <c r="K53" s="109" t="s">
        <v>121</v>
      </c>
    </row>
    <row r="54" spans="9:11" hidden="1" x14ac:dyDescent="0.15">
      <c r="K54" s="109" t="s">
        <v>160</v>
      </c>
    </row>
    <row r="55" spans="9:11" hidden="1" x14ac:dyDescent="0.15">
      <c r="K55" s="109" t="s">
        <v>165</v>
      </c>
    </row>
    <row r="56" spans="9:11" hidden="1" x14ac:dyDescent="0.15">
      <c r="K56" s="109" t="s">
        <v>174</v>
      </c>
    </row>
    <row r="57" spans="9:11" hidden="1" x14ac:dyDescent="0.15">
      <c r="K57" s="109" t="s">
        <v>124</v>
      </c>
    </row>
    <row r="58" spans="9:11" hidden="1" x14ac:dyDescent="0.15">
      <c r="K58" s="109" t="s">
        <v>122</v>
      </c>
    </row>
    <row r="59" spans="9:11" hidden="1" x14ac:dyDescent="0.15">
      <c r="K59" s="109" t="s">
        <v>123</v>
      </c>
    </row>
    <row r="60" spans="9:11" hidden="1" x14ac:dyDescent="0.15">
      <c r="K60" s="109" t="s">
        <v>135</v>
      </c>
    </row>
    <row r="61" spans="9:11" hidden="1" x14ac:dyDescent="0.15">
      <c r="K61" s="109" t="s">
        <v>139</v>
      </c>
    </row>
    <row r="62" spans="9:11" hidden="1" x14ac:dyDescent="0.15">
      <c r="K62" s="109" t="s">
        <v>140</v>
      </c>
    </row>
    <row r="63" spans="9:11" hidden="1" x14ac:dyDescent="0.15">
      <c r="K63" s="109" t="s">
        <v>174</v>
      </c>
    </row>
    <row r="64" spans="9:11" hidden="1" x14ac:dyDescent="0.15">
      <c r="K64" s="109" t="s">
        <v>133</v>
      </c>
    </row>
    <row r="65" spans="11:11" hidden="1" x14ac:dyDescent="0.15">
      <c r="K65" s="109" t="s">
        <v>132</v>
      </c>
    </row>
    <row r="66" spans="11:11" hidden="1" x14ac:dyDescent="0.15">
      <c r="K66" s="109" t="s">
        <v>131</v>
      </c>
    </row>
    <row r="67" spans="11:11" hidden="1" x14ac:dyDescent="0.15">
      <c r="K67" s="109" t="s">
        <v>120</v>
      </c>
    </row>
    <row r="68" spans="11:11" hidden="1" x14ac:dyDescent="0.15">
      <c r="K68" s="109" t="s">
        <v>130</v>
      </c>
    </row>
    <row r="69" spans="11:11" hidden="1" x14ac:dyDescent="0.15">
      <c r="K69" s="109" t="s">
        <v>141</v>
      </c>
    </row>
    <row r="70" spans="11:11" hidden="1" x14ac:dyDescent="0.15">
      <c r="K70" s="109" t="s">
        <v>138</v>
      </c>
    </row>
    <row r="71" spans="11:11" hidden="1" x14ac:dyDescent="0.15">
      <c r="K71" s="109" t="s">
        <v>175</v>
      </c>
    </row>
    <row r="72" spans="11:11" hidden="1" x14ac:dyDescent="0.15">
      <c r="K72" s="109" t="s">
        <v>143</v>
      </c>
    </row>
    <row r="73" spans="11:11" hidden="1" x14ac:dyDescent="0.15">
      <c r="K73" s="109" t="s">
        <v>166</v>
      </c>
    </row>
    <row r="74" spans="11:11" hidden="1" x14ac:dyDescent="0.15">
      <c r="K74" s="109" t="s">
        <v>167</v>
      </c>
    </row>
    <row r="75" spans="11:11" hidden="1" x14ac:dyDescent="0.15">
      <c r="K75" s="109" t="s">
        <v>168</v>
      </c>
    </row>
    <row r="76" spans="11:11" hidden="1" x14ac:dyDescent="0.15">
      <c r="K76" s="109" t="s">
        <v>148</v>
      </c>
    </row>
    <row r="77" spans="11:11" hidden="1" x14ac:dyDescent="0.15">
      <c r="K77" s="109" t="s">
        <v>169</v>
      </c>
    </row>
    <row r="78" spans="11:11" hidden="1" x14ac:dyDescent="0.15">
      <c r="K78" s="109" t="s">
        <v>157</v>
      </c>
    </row>
    <row r="79" spans="11:11" hidden="1" x14ac:dyDescent="0.15">
      <c r="K79" s="109" t="s">
        <v>129</v>
      </c>
    </row>
    <row r="80" spans="11:11" hidden="1" x14ac:dyDescent="0.15">
      <c r="K80" s="109" t="s">
        <v>144</v>
      </c>
    </row>
    <row r="81" spans="11:11" hidden="1" x14ac:dyDescent="0.15">
      <c r="K81" s="109" t="s">
        <v>145</v>
      </c>
    </row>
    <row r="82" spans="11:11" hidden="1" x14ac:dyDescent="0.15">
      <c r="K82" s="109" t="s">
        <v>170</v>
      </c>
    </row>
    <row r="83" spans="11:11" hidden="1" x14ac:dyDescent="0.15">
      <c r="K83" s="109" t="s">
        <v>128</v>
      </c>
    </row>
    <row r="84" spans="11:11" hidden="1" x14ac:dyDescent="0.15">
      <c r="K84" s="109" t="s">
        <v>127</v>
      </c>
    </row>
    <row r="85" spans="11:11" hidden="1" x14ac:dyDescent="0.15">
      <c r="K85" s="109" t="s">
        <v>173</v>
      </c>
    </row>
  </sheetData>
  <dataValidations count="3">
    <dataValidation type="list" allowBlank="1" showInputMessage="1" showErrorMessage="1" sqref="I50 K15:K21" xr:uid="{FF5B7881-252F-4C66-BD76-91478A28B2AC}">
      <formula1>$I$41:$I$50</formula1>
    </dataValidation>
    <dataValidation type="list" allowBlank="1" showInputMessage="1" showErrorMessage="1" sqref="B20:B21" xr:uid="{82AC1141-D682-4317-BAF9-64F16D2E0644}">
      <formula1>$K$29:$K$40</formula1>
    </dataValidation>
    <dataValidation type="list" allowBlank="1" showInputMessage="1" showErrorMessage="1" sqref="B16:B19" xr:uid="{6361F846-70A1-4727-A43F-E813D49B608B}">
      <formula1>$K$29:$K$85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4">
    <pageSetUpPr fitToPage="1"/>
  </sheetPr>
  <dimension ref="A1:BB118"/>
  <sheetViews>
    <sheetView tabSelected="1" zoomScaleNormal="100" zoomScaleSheetLayoutView="41" workbookViewId="0">
      <pane xSplit="7" ySplit="2" topLeftCell="AH13" activePane="bottomRight" state="frozen"/>
      <selection activeCell="K28" sqref="K28"/>
      <selection pane="topRight" activeCell="K28" sqref="K28"/>
      <selection pane="bottomLeft" activeCell="K28" sqref="K28"/>
      <selection pane="bottomRight" activeCell="AK46" sqref="AK46"/>
    </sheetView>
  </sheetViews>
  <sheetFormatPr baseColWidth="10" defaultColWidth="9.1640625" defaultRowHeight="20" x14ac:dyDescent="0.2"/>
  <cols>
    <col min="1" max="1" width="4.5" style="26" customWidth="1"/>
    <col min="2" max="2" width="67.33203125" style="1" bestFit="1" customWidth="1"/>
    <col min="3" max="3" width="14.83203125" style="8" hidden="1" customWidth="1"/>
    <col min="4" max="4" width="12.1640625" style="1" customWidth="1"/>
    <col min="5" max="5" width="12.6640625" style="1" hidden="1" customWidth="1"/>
    <col min="6" max="6" width="17.33203125" style="1" hidden="1" customWidth="1"/>
    <col min="7" max="10" width="10.1640625" style="1" customWidth="1"/>
    <col min="11" max="11" width="10.33203125" style="1" bestFit="1" customWidth="1"/>
    <col min="12" max="12" width="11.83203125" style="1" bestFit="1" customWidth="1"/>
    <col min="13" max="13" width="10.1640625" style="1" customWidth="1"/>
    <col min="14" max="14" width="11.6640625" style="1" customWidth="1"/>
    <col min="15" max="15" width="12.5" style="1" customWidth="1"/>
    <col min="16" max="16" width="11.6640625" style="1" customWidth="1"/>
    <col min="17" max="17" width="12" style="1" customWidth="1"/>
    <col min="18" max="18" width="12.1640625" style="1" customWidth="1"/>
    <col min="19" max="19" width="11.83203125" style="1" customWidth="1"/>
    <col min="20" max="20" width="11" style="1" customWidth="1"/>
    <col min="21" max="25" width="11.33203125" style="1" customWidth="1"/>
    <col min="26" max="26" width="13.1640625" style="1" customWidth="1"/>
    <col min="27" max="27" width="12.83203125" style="1" customWidth="1"/>
    <col min="28" max="37" width="11.33203125" style="1" customWidth="1"/>
    <col min="38" max="50" width="11" style="1" hidden="1" customWidth="1"/>
    <col min="51" max="51" width="34.33203125" style="9" customWidth="1"/>
    <col min="52" max="52" width="14.83203125" style="1" customWidth="1"/>
    <col min="53" max="53" width="13.5" style="1" customWidth="1"/>
    <col min="54" max="54" width="17" style="1" customWidth="1"/>
    <col min="55" max="55" width="10" style="1" customWidth="1"/>
    <col min="56" max="16384" width="9.1640625" style="1"/>
  </cols>
  <sheetData>
    <row r="1" spans="1:52" ht="23" x14ac:dyDescent="0.25">
      <c r="A1" s="27" t="s">
        <v>1</v>
      </c>
      <c r="B1" s="105" t="s">
        <v>221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7"/>
    </row>
    <row r="2" spans="1:52" ht="44.25" customHeight="1" x14ac:dyDescent="0.2">
      <c r="A2" s="23"/>
      <c r="B2" s="17" t="s">
        <v>36</v>
      </c>
      <c r="C2" s="17" t="s">
        <v>176</v>
      </c>
      <c r="D2" s="18" t="s">
        <v>37</v>
      </c>
      <c r="E2" s="18">
        <v>1</v>
      </c>
      <c r="F2" s="18">
        <v>2</v>
      </c>
      <c r="G2" s="18">
        <v>1</v>
      </c>
      <c r="H2" s="18">
        <v>2</v>
      </c>
      <c r="I2" s="18">
        <v>3</v>
      </c>
      <c r="J2" s="18">
        <v>4</v>
      </c>
      <c r="K2" s="18">
        <v>5</v>
      </c>
      <c r="L2" s="18">
        <v>6</v>
      </c>
      <c r="M2" s="18">
        <v>7</v>
      </c>
      <c r="N2" s="18">
        <v>8</v>
      </c>
      <c r="O2" s="18">
        <v>9</v>
      </c>
      <c r="P2" s="18">
        <v>10</v>
      </c>
      <c r="Q2" s="18">
        <v>11</v>
      </c>
      <c r="R2" s="18">
        <v>12</v>
      </c>
      <c r="S2" s="18">
        <v>13</v>
      </c>
      <c r="T2" s="18">
        <v>14</v>
      </c>
      <c r="U2" s="18">
        <v>15</v>
      </c>
      <c r="V2" s="18">
        <v>16</v>
      </c>
      <c r="W2" s="18">
        <v>17</v>
      </c>
      <c r="X2" s="18">
        <v>18</v>
      </c>
      <c r="Y2" s="18">
        <v>19</v>
      </c>
      <c r="Z2" s="18">
        <v>20</v>
      </c>
      <c r="AA2" s="18">
        <v>21</v>
      </c>
      <c r="AB2" s="18">
        <v>22</v>
      </c>
      <c r="AC2" s="18">
        <v>23</v>
      </c>
      <c r="AD2" s="18">
        <v>24</v>
      </c>
      <c r="AE2" s="18">
        <v>25</v>
      </c>
      <c r="AF2" s="18">
        <v>26</v>
      </c>
      <c r="AG2" s="18">
        <v>27</v>
      </c>
      <c r="AH2" s="18">
        <v>28</v>
      </c>
      <c r="AI2" s="18">
        <v>29</v>
      </c>
      <c r="AJ2" s="18">
        <v>30</v>
      </c>
      <c r="AK2" s="18">
        <v>31</v>
      </c>
      <c r="AL2" s="18">
        <v>16</v>
      </c>
      <c r="AM2" s="18">
        <v>17</v>
      </c>
      <c r="AN2" s="18">
        <v>18</v>
      </c>
      <c r="AO2" s="18">
        <v>19</v>
      </c>
      <c r="AP2" s="18">
        <v>20</v>
      </c>
      <c r="AQ2" s="18">
        <v>21</v>
      </c>
      <c r="AR2" s="18">
        <v>22</v>
      </c>
      <c r="AS2" s="18">
        <v>23</v>
      </c>
      <c r="AT2" s="18">
        <v>24</v>
      </c>
      <c r="AU2" s="18">
        <v>25</v>
      </c>
      <c r="AV2" s="18">
        <v>26</v>
      </c>
      <c r="AW2" s="18">
        <v>27</v>
      </c>
      <c r="AX2" s="18">
        <v>28</v>
      </c>
      <c r="AY2" s="19" t="s">
        <v>38</v>
      </c>
    </row>
    <row r="3" spans="1:52" s="3" customFormat="1" x14ac:dyDescent="0.2">
      <c r="A3" s="24" t="s">
        <v>39</v>
      </c>
      <c r="B3" s="20" t="s">
        <v>40</v>
      </c>
      <c r="C3" s="11"/>
      <c r="D3" s="5" t="s">
        <v>41</v>
      </c>
      <c r="E3" s="10"/>
      <c r="F3" s="12"/>
      <c r="G3" s="12"/>
      <c r="H3" s="12"/>
      <c r="I3" s="220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  <c r="AR3" s="221"/>
      <c r="AS3" s="221"/>
      <c r="AT3" s="221"/>
      <c r="AU3" s="221"/>
      <c r="AV3" s="221"/>
      <c r="AW3" s="221"/>
      <c r="AX3" s="221"/>
      <c r="AY3" s="222"/>
    </row>
    <row r="4" spans="1:52" x14ac:dyDescent="0.2">
      <c r="A4" s="25">
        <v>1</v>
      </c>
      <c r="B4" s="21" t="s">
        <v>194</v>
      </c>
      <c r="C4" s="14"/>
      <c r="D4" s="13" t="s">
        <v>0</v>
      </c>
      <c r="E4" s="10">
        <v>0</v>
      </c>
      <c r="F4" s="10">
        <v>0</v>
      </c>
      <c r="G4" s="179">
        <v>2.2679999999999998</v>
      </c>
      <c r="H4" s="179">
        <v>7.56</v>
      </c>
      <c r="I4" s="179">
        <v>6.048</v>
      </c>
      <c r="J4" s="179">
        <v>5.2919999999999998</v>
      </c>
      <c r="K4" s="179">
        <v>4.5359999999999996</v>
      </c>
      <c r="L4" s="179">
        <v>9.0719999999999992</v>
      </c>
      <c r="M4" s="179">
        <v>4.5359999999999996</v>
      </c>
      <c r="N4" s="179">
        <v>1.512</v>
      </c>
      <c r="O4" s="178">
        <v>1.512</v>
      </c>
      <c r="P4" s="178">
        <v>1.512</v>
      </c>
      <c r="Q4" s="178">
        <v>0</v>
      </c>
      <c r="R4" s="178">
        <v>0</v>
      </c>
      <c r="S4" s="178">
        <v>0</v>
      </c>
      <c r="T4" s="178">
        <v>0</v>
      </c>
      <c r="U4" s="178">
        <v>0</v>
      </c>
      <c r="V4" s="178">
        <v>0</v>
      </c>
      <c r="W4" s="178">
        <v>5.5439999999999996</v>
      </c>
      <c r="X4" s="178">
        <v>7.56</v>
      </c>
      <c r="Y4" s="178">
        <v>1.26</v>
      </c>
      <c r="Z4" s="178">
        <v>2.7719999999999998</v>
      </c>
      <c r="AA4" s="178">
        <v>2.016</v>
      </c>
      <c r="AB4" s="178">
        <v>0</v>
      </c>
      <c r="AC4" s="178">
        <v>0</v>
      </c>
      <c r="AD4" s="178">
        <v>0</v>
      </c>
      <c r="AE4" s="178">
        <v>0</v>
      </c>
      <c r="AF4" s="178">
        <v>0</v>
      </c>
      <c r="AG4" s="178">
        <v>0</v>
      </c>
      <c r="AH4" s="178">
        <v>0</v>
      </c>
      <c r="AI4" s="178">
        <v>3.528</v>
      </c>
      <c r="AJ4" s="178">
        <v>3.528</v>
      </c>
      <c r="AK4" s="178">
        <v>1.008</v>
      </c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2">
        <f>SUM(G4:AK4)</f>
        <v>71.063999999999993</v>
      </c>
      <c r="AZ4" s="2"/>
    </row>
    <row r="5" spans="1:52" x14ac:dyDescent="0.2">
      <c r="A5" s="25">
        <v>2</v>
      </c>
      <c r="B5" s="21" t="s">
        <v>201</v>
      </c>
      <c r="C5" s="14"/>
      <c r="D5" s="13" t="s">
        <v>0</v>
      </c>
      <c r="E5" s="10"/>
      <c r="F5" s="10"/>
      <c r="G5" s="179">
        <v>22.75</v>
      </c>
      <c r="H5" s="179">
        <v>61.25</v>
      </c>
      <c r="I5" s="179">
        <v>68.25</v>
      </c>
      <c r="J5" s="179">
        <v>59.5</v>
      </c>
      <c r="K5" s="179">
        <v>52.5</v>
      </c>
      <c r="L5" s="179">
        <v>78.75</v>
      </c>
      <c r="M5" s="179">
        <v>57.75</v>
      </c>
      <c r="N5" s="179">
        <v>35</v>
      </c>
      <c r="O5" s="178">
        <v>49</v>
      </c>
      <c r="P5" s="178">
        <v>59.5</v>
      </c>
      <c r="Q5" s="178">
        <v>54.25</v>
      </c>
      <c r="R5" s="178">
        <v>22.75</v>
      </c>
      <c r="S5" s="178">
        <v>31.75</v>
      </c>
      <c r="T5" s="178">
        <v>20.5</v>
      </c>
      <c r="U5" s="178">
        <v>18.5</v>
      </c>
      <c r="V5" s="178">
        <v>19.5</v>
      </c>
      <c r="W5" s="178">
        <v>31</v>
      </c>
      <c r="X5" s="178">
        <v>36.5</v>
      </c>
      <c r="Y5" s="178">
        <v>36.25</v>
      </c>
      <c r="Z5" s="178">
        <v>37.5</v>
      </c>
      <c r="AA5" s="178">
        <f>21.75+9.576</f>
        <v>31.326000000000001</v>
      </c>
      <c r="AB5" s="178">
        <f>16.5+2.016</f>
        <v>18.515999999999998</v>
      </c>
      <c r="AC5" s="178">
        <v>19</v>
      </c>
      <c r="AD5" s="178">
        <v>19</v>
      </c>
      <c r="AE5" s="178">
        <v>20</v>
      </c>
      <c r="AF5" s="178">
        <v>22.5</v>
      </c>
      <c r="AG5" s="178">
        <v>22.5</v>
      </c>
      <c r="AH5" s="178">
        <v>33</v>
      </c>
      <c r="AI5" s="178">
        <v>34.5</v>
      </c>
      <c r="AJ5" s="178">
        <v>43.75</v>
      </c>
      <c r="AK5" s="178">
        <v>31.75</v>
      </c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>
        <f>SUM(G5:AK5)</f>
        <v>1148.5920000000001</v>
      </c>
      <c r="AZ5" s="2"/>
    </row>
    <row r="6" spans="1:52" x14ac:dyDescent="0.2">
      <c r="A6" s="25">
        <v>3</v>
      </c>
      <c r="B6" s="21" t="s">
        <v>202</v>
      </c>
      <c r="C6" s="14"/>
      <c r="D6" s="13" t="s">
        <v>0</v>
      </c>
      <c r="E6" s="10">
        <v>0</v>
      </c>
      <c r="F6" s="10">
        <v>0</v>
      </c>
      <c r="G6" s="179">
        <v>0</v>
      </c>
      <c r="H6" s="179">
        <v>0</v>
      </c>
      <c r="I6" s="179">
        <v>0</v>
      </c>
      <c r="J6" s="179">
        <v>0</v>
      </c>
      <c r="K6" s="179">
        <v>0</v>
      </c>
      <c r="L6" s="179">
        <v>0</v>
      </c>
      <c r="M6" s="179">
        <v>0</v>
      </c>
      <c r="N6" s="179">
        <v>0</v>
      </c>
      <c r="O6" s="178">
        <v>0</v>
      </c>
      <c r="P6" s="178">
        <v>0</v>
      </c>
      <c r="Q6" s="178">
        <v>0</v>
      </c>
      <c r="R6" s="178">
        <v>0</v>
      </c>
      <c r="S6" s="178">
        <v>0</v>
      </c>
      <c r="T6" s="178">
        <v>0</v>
      </c>
      <c r="U6" s="178">
        <v>0</v>
      </c>
      <c r="V6" s="178">
        <v>0</v>
      </c>
      <c r="W6" s="178">
        <v>0</v>
      </c>
      <c r="X6" s="178">
        <v>0</v>
      </c>
      <c r="Y6" s="178">
        <v>0</v>
      </c>
      <c r="Z6" s="178">
        <v>0</v>
      </c>
      <c r="AA6" s="178">
        <v>0</v>
      </c>
      <c r="AB6" s="178">
        <v>0</v>
      </c>
      <c r="AC6" s="178">
        <v>0</v>
      </c>
      <c r="AD6" s="178">
        <v>0</v>
      </c>
      <c r="AE6" s="178">
        <v>0</v>
      </c>
      <c r="AF6" s="178">
        <v>0</v>
      </c>
      <c r="AG6" s="178">
        <v>0</v>
      </c>
      <c r="AH6" s="178">
        <v>0</v>
      </c>
      <c r="AI6" s="178">
        <v>0</v>
      </c>
      <c r="AJ6" s="178">
        <v>0</v>
      </c>
      <c r="AK6" s="178">
        <v>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2">
        <f t="shared" ref="AY6:AY15" si="0">SUM(G6:AK6)</f>
        <v>0</v>
      </c>
      <c r="AZ6" s="2"/>
    </row>
    <row r="7" spans="1:52" x14ac:dyDescent="0.2">
      <c r="A7" s="25">
        <v>4</v>
      </c>
      <c r="B7" s="21" t="s">
        <v>196</v>
      </c>
      <c r="C7" s="14"/>
      <c r="D7" s="13" t="s">
        <v>0</v>
      </c>
      <c r="E7" s="10">
        <v>0</v>
      </c>
      <c r="F7" s="10">
        <v>0</v>
      </c>
      <c r="G7" s="179">
        <v>0</v>
      </c>
      <c r="H7" s="179">
        <v>0</v>
      </c>
      <c r="I7" s="179">
        <v>0</v>
      </c>
      <c r="J7" s="179">
        <v>0</v>
      </c>
      <c r="K7" s="179">
        <v>0</v>
      </c>
      <c r="L7" s="179">
        <v>0</v>
      </c>
      <c r="M7" s="179">
        <v>0</v>
      </c>
      <c r="N7" s="179">
        <v>0</v>
      </c>
      <c r="O7" s="178">
        <v>0</v>
      </c>
      <c r="P7" s="178">
        <v>0</v>
      </c>
      <c r="Q7" s="178">
        <v>0</v>
      </c>
      <c r="R7" s="178">
        <v>0</v>
      </c>
      <c r="S7" s="178">
        <v>0</v>
      </c>
      <c r="T7" s="178">
        <v>0</v>
      </c>
      <c r="U7" s="178">
        <v>0</v>
      </c>
      <c r="V7" s="178">
        <v>0</v>
      </c>
      <c r="W7" s="178">
        <v>0</v>
      </c>
      <c r="X7" s="178">
        <v>0</v>
      </c>
      <c r="Y7" s="178">
        <v>0</v>
      </c>
      <c r="Z7" s="178">
        <v>0</v>
      </c>
      <c r="AA7" s="178">
        <v>0</v>
      </c>
      <c r="AB7" s="178">
        <v>0</v>
      </c>
      <c r="AC7" s="178">
        <v>0</v>
      </c>
      <c r="AD7" s="178">
        <v>0</v>
      </c>
      <c r="AE7" s="178">
        <v>0</v>
      </c>
      <c r="AF7" s="178">
        <v>11.087999999999999</v>
      </c>
      <c r="AG7" s="178">
        <v>24.096</v>
      </c>
      <c r="AH7" s="178">
        <v>44.176000000000002</v>
      </c>
      <c r="AI7" s="178">
        <v>21.585999999999999</v>
      </c>
      <c r="AJ7" s="178">
        <v>17.57</v>
      </c>
      <c r="AK7" s="178">
        <v>36.646000000000001</v>
      </c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2">
        <f t="shared" si="0"/>
        <v>155.16199999999998</v>
      </c>
      <c r="AZ7" s="2"/>
    </row>
    <row r="8" spans="1:52" x14ac:dyDescent="0.2">
      <c r="A8" s="25">
        <v>5</v>
      </c>
      <c r="B8" s="21" t="s">
        <v>207</v>
      </c>
      <c r="C8" s="14"/>
      <c r="D8" s="13" t="s">
        <v>0</v>
      </c>
      <c r="E8" s="10"/>
      <c r="F8" s="10"/>
      <c r="G8" s="179">
        <v>0</v>
      </c>
      <c r="H8" s="179">
        <v>0</v>
      </c>
      <c r="I8" s="179">
        <v>0</v>
      </c>
      <c r="J8" s="179">
        <v>0</v>
      </c>
      <c r="K8" s="179">
        <v>0</v>
      </c>
      <c r="L8" s="179">
        <v>0</v>
      </c>
      <c r="M8" s="179">
        <v>0</v>
      </c>
      <c r="N8" s="179">
        <v>0</v>
      </c>
      <c r="O8" s="178">
        <v>0</v>
      </c>
      <c r="P8" s="178">
        <v>0</v>
      </c>
      <c r="Q8" s="178">
        <v>0</v>
      </c>
      <c r="R8" s="178">
        <v>0</v>
      </c>
      <c r="S8" s="178">
        <v>0</v>
      </c>
      <c r="T8" s="178">
        <v>0</v>
      </c>
      <c r="U8" s="178">
        <v>0</v>
      </c>
      <c r="V8" s="178">
        <v>0</v>
      </c>
      <c r="W8" s="178">
        <v>0</v>
      </c>
      <c r="X8" s="178">
        <v>0</v>
      </c>
      <c r="Y8" s="178">
        <v>0</v>
      </c>
      <c r="Z8" s="178">
        <v>0</v>
      </c>
      <c r="AA8" s="178">
        <v>0</v>
      </c>
      <c r="AB8" s="178">
        <v>0</v>
      </c>
      <c r="AC8" s="178">
        <v>0</v>
      </c>
      <c r="AD8" s="178">
        <v>0</v>
      </c>
      <c r="AE8" s="178">
        <v>0</v>
      </c>
      <c r="AF8" s="178">
        <v>0</v>
      </c>
      <c r="AG8" s="178">
        <v>0</v>
      </c>
      <c r="AH8" s="178">
        <v>0</v>
      </c>
      <c r="AI8" s="178">
        <v>0</v>
      </c>
      <c r="AJ8" s="178">
        <v>0</v>
      </c>
      <c r="AK8" s="178">
        <v>0</v>
      </c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2">
        <f t="shared" si="0"/>
        <v>0</v>
      </c>
      <c r="AZ8" s="2"/>
    </row>
    <row r="9" spans="1:52" x14ac:dyDescent="0.2">
      <c r="A9" s="25">
        <v>6</v>
      </c>
      <c r="B9" s="21" t="s">
        <v>204</v>
      </c>
      <c r="C9" s="14"/>
      <c r="D9" s="13" t="s">
        <v>0</v>
      </c>
      <c r="E9" s="10"/>
      <c r="F9" s="10"/>
      <c r="G9" s="179">
        <v>0</v>
      </c>
      <c r="H9" s="179">
        <v>0</v>
      </c>
      <c r="I9" s="179">
        <v>0</v>
      </c>
      <c r="J9" s="179">
        <v>0</v>
      </c>
      <c r="K9" s="179">
        <v>0</v>
      </c>
      <c r="L9" s="179">
        <v>0</v>
      </c>
      <c r="M9" s="179">
        <v>0</v>
      </c>
      <c r="N9" s="179">
        <v>0</v>
      </c>
      <c r="O9" s="178">
        <v>0</v>
      </c>
      <c r="P9" s="178">
        <v>0</v>
      </c>
      <c r="Q9" s="178">
        <v>0</v>
      </c>
      <c r="R9" s="178">
        <v>0</v>
      </c>
      <c r="S9" s="178">
        <v>0</v>
      </c>
      <c r="T9" s="178">
        <v>0</v>
      </c>
      <c r="U9" s="178">
        <v>0</v>
      </c>
      <c r="V9" s="178">
        <v>0</v>
      </c>
      <c r="W9" s="178">
        <v>0</v>
      </c>
      <c r="X9" s="178">
        <v>0</v>
      </c>
      <c r="Y9" s="178">
        <v>0</v>
      </c>
      <c r="Z9" s="178">
        <v>0</v>
      </c>
      <c r="AA9" s="178">
        <v>0</v>
      </c>
      <c r="AB9" s="178">
        <v>0</v>
      </c>
      <c r="AC9" s="178">
        <v>0</v>
      </c>
      <c r="AD9" s="178">
        <v>0</v>
      </c>
      <c r="AE9" s="178">
        <v>0</v>
      </c>
      <c r="AF9" s="178">
        <v>0</v>
      </c>
      <c r="AG9" s="178">
        <v>0</v>
      </c>
      <c r="AH9" s="178">
        <v>0</v>
      </c>
      <c r="AI9" s="178">
        <v>0</v>
      </c>
      <c r="AJ9" s="178">
        <v>0</v>
      </c>
      <c r="AK9" s="178">
        <v>0</v>
      </c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2">
        <f t="shared" si="0"/>
        <v>0</v>
      </c>
      <c r="AZ9" s="2"/>
    </row>
    <row r="10" spans="1:52" x14ac:dyDescent="0.2">
      <c r="A10" s="25">
        <v>7</v>
      </c>
      <c r="B10" s="21" t="s">
        <v>205</v>
      </c>
      <c r="C10" s="14"/>
      <c r="D10" s="13" t="s">
        <v>0</v>
      </c>
      <c r="E10" s="10"/>
      <c r="F10" s="10"/>
      <c r="G10" s="179">
        <v>3.1440000000000001</v>
      </c>
      <c r="H10" s="179">
        <v>10.48</v>
      </c>
      <c r="I10" s="179">
        <v>8.3840000000000003</v>
      </c>
      <c r="J10" s="179">
        <v>7.3360000000000003</v>
      </c>
      <c r="K10" s="179">
        <v>6.2880000000000003</v>
      </c>
      <c r="L10" s="179">
        <v>12.576000000000001</v>
      </c>
      <c r="M10" s="179">
        <v>6.2880000000000003</v>
      </c>
      <c r="N10" s="179">
        <v>2.0960000000000001</v>
      </c>
      <c r="O10" s="179">
        <v>2.0960000000000001</v>
      </c>
      <c r="P10" s="179">
        <v>2.0960000000000001</v>
      </c>
      <c r="Q10" s="179">
        <v>0</v>
      </c>
      <c r="R10" s="179">
        <v>0</v>
      </c>
      <c r="S10" s="179">
        <v>0</v>
      </c>
      <c r="T10" s="179">
        <v>0</v>
      </c>
      <c r="U10" s="179">
        <v>0</v>
      </c>
      <c r="V10" s="179">
        <v>0</v>
      </c>
      <c r="W10" s="179">
        <v>0</v>
      </c>
      <c r="X10" s="179">
        <v>0</v>
      </c>
      <c r="Y10" s="179">
        <v>0</v>
      </c>
      <c r="Z10" s="179">
        <v>0</v>
      </c>
      <c r="AA10" s="179">
        <v>0</v>
      </c>
      <c r="AB10" s="179">
        <v>0</v>
      </c>
      <c r="AC10" s="179">
        <v>0</v>
      </c>
      <c r="AD10" s="179">
        <v>0</v>
      </c>
      <c r="AE10" s="179">
        <v>0</v>
      </c>
      <c r="AF10" s="179">
        <v>0</v>
      </c>
      <c r="AG10" s="179">
        <v>0</v>
      </c>
      <c r="AH10" s="179">
        <v>0</v>
      </c>
      <c r="AI10" s="179">
        <v>0</v>
      </c>
      <c r="AJ10" s="179">
        <v>0</v>
      </c>
      <c r="AK10" s="179">
        <v>8.3840000000000003</v>
      </c>
      <c r="AL10" s="10"/>
      <c r="AM10" s="10"/>
      <c r="AN10" s="10"/>
      <c r="AO10" s="10"/>
      <c r="AP10" s="10"/>
      <c r="AQ10" s="10"/>
      <c r="AR10" s="35"/>
      <c r="AS10" s="35"/>
      <c r="AT10" s="35"/>
      <c r="AU10" s="35"/>
      <c r="AV10" s="35"/>
      <c r="AW10" s="35"/>
      <c r="AX10" s="35"/>
      <c r="AY10" s="32">
        <f t="shared" si="0"/>
        <v>69.168000000000021</v>
      </c>
      <c r="AZ10" s="2"/>
    </row>
    <row r="11" spans="1:52" x14ac:dyDescent="0.2">
      <c r="A11" s="25">
        <v>8</v>
      </c>
      <c r="B11" s="21" t="s">
        <v>208</v>
      </c>
      <c r="C11" s="14"/>
      <c r="D11" s="13" t="s">
        <v>0</v>
      </c>
      <c r="E11" s="10"/>
      <c r="F11" s="10"/>
      <c r="G11" s="179">
        <v>0</v>
      </c>
      <c r="H11" s="179">
        <v>0</v>
      </c>
      <c r="I11" s="179">
        <v>0</v>
      </c>
      <c r="J11" s="179">
        <v>0</v>
      </c>
      <c r="K11" s="179">
        <v>0</v>
      </c>
      <c r="L11" s="179">
        <v>0</v>
      </c>
      <c r="M11" s="179">
        <v>0</v>
      </c>
      <c r="N11" s="179">
        <v>0</v>
      </c>
      <c r="O11" s="179">
        <v>0</v>
      </c>
      <c r="P11" s="179">
        <v>0</v>
      </c>
      <c r="Q11" s="179">
        <v>0</v>
      </c>
      <c r="R11" s="179">
        <v>0</v>
      </c>
      <c r="S11" s="179">
        <v>0</v>
      </c>
      <c r="T11" s="179">
        <v>0</v>
      </c>
      <c r="U11" s="179">
        <v>0</v>
      </c>
      <c r="V11" s="179">
        <v>0</v>
      </c>
      <c r="W11" s="179">
        <v>0</v>
      </c>
      <c r="X11" s="179">
        <v>0</v>
      </c>
      <c r="Y11" s="179">
        <v>0</v>
      </c>
      <c r="Z11" s="179">
        <v>0</v>
      </c>
      <c r="AA11" s="179">
        <v>0</v>
      </c>
      <c r="AB11" s="179">
        <v>0</v>
      </c>
      <c r="AC11" s="179">
        <v>0</v>
      </c>
      <c r="AD11" s="179">
        <v>0</v>
      </c>
      <c r="AE11" s="179">
        <v>0</v>
      </c>
      <c r="AF11" s="179">
        <v>0</v>
      </c>
      <c r="AG11" s="179">
        <v>0</v>
      </c>
      <c r="AH11" s="179">
        <v>0</v>
      </c>
      <c r="AI11" s="179">
        <v>0</v>
      </c>
      <c r="AJ11" s="179">
        <v>0</v>
      </c>
      <c r="AK11" s="179">
        <v>0</v>
      </c>
      <c r="AL11" s="10"/>
      <c r="AM11" s="10"/>
      <c r="AN11" s="10"/>
      <c r="AO11" s="10"/>
      <c r="AP11" s="10"/>
      <c r="AQ11" s="10"/>
      <c r="AR11" s="35"/>
      <c r="AS11" s="35"/>
      <c r="AT11" s="35"/>
      <c r="AU11" s="35"/>
      <c r="AV11" s="35"/>
      <c r="AW11" s="35"/>
      <c r="AX11" s="35"/>
      <c r="AY11" s="32">
        <f t="shared" si="0"/>
        <v>0</v>
      </c>
      <c r="AZ11" s="2"/>
    </row>
    <row r="12" spans="1:52" x14ac:dyDescent="0.2">
      <c r="A12" s="25">
        <v>9</v>
      </c>
      <c r="B12" s="21" t="s">
        <v>246</v>
      </c>
      <c r="C12" s="14"/>
      <c r="D12" s="13" t="s">
        <v>0</v>
      </c>
      <c r="E12" s="10"/>
      <c r="F12" s="10"/>
      <c r="G12" s="179">
        <v>0</v>
      </c>
      <c r="H12" s="179">
        <v>0</v>
      </c>
      <c r="I12" s="179">
        <v>0</v>
      </c>
      <c r="J12" s="179">
        <v>0</v>
      </c>
      <c r="K12" s="179">
        <v>0</v>
      </c>
      <c r="L12" s="179">
        <v>0</v>
      </c>
      <c r="M12" s="179">
        <v>0</v>
      </c>
      <c r="N12" s="179">
        <v>5.25</v>
      </c>
      <c r="O12" s="179">
        <v>8.75</v>
      </c>
      <c r="P12" s="179">
        <v>14</v>
      </c>
      <c r="Q12" s="179">
        <v>14</v>
      </c>
      <c r="R12" s="179">
        <v>3.5</v>
      </c>
      <c r="S12" s="179">
        <v>14</v>
      </c>
      <c r="T12" s="179">
        <v>7</v>
      </c>
      <c r="U12" s="179">
        <v>5.25</v>
      </c>
      <c r="V12" s="179">
        <v>5.25</v>
      </c>
      <c r="W12" s="179">
        <v>6.75</v>
      </c>
      <c r="X12" s="179">
        <v>4.75</v>
      </c>
      <c r="Y12" s="179">
        <v>0.5</v>
      </c>
      <c r="Z12" s="179">
        <v>8.25</v>
      </c>
      <c r="AA12" s="179">
        <v>4.5</v>
      </c>
      <c r="AB12" s="179">
        <v>6.25</v>
      </c>
      <c r="AC12" s="179">
        <v>11.25</v>
      </c>
      <c r="AD12" s="179">
        <v>12.5</v>
      </c>
      <c r="AE12" s="179">
        <v>12.5</v>
      </c>
      <c r="AF12" s="179">
        <v>11.25</v>
      </c>
      <c r="AG12" s="179">
        <v>8.25</v>
      </c>
      <c r="AH12" s="179">
        <v>3.5</v>
      </c>
      <c r="AI12" s="179">
        <v>0.5</v>
      </c>
      <c r="AJ12" s="179">
        <v>0</v>
      </c>
      <c r="AK12" s="179">
        <v>0</v>
      </c>
      <c r="AL12" s="10"/>
      <c r="AM12" s="10"/>
      <c r="AN12" s="10"/>
      <c r="AO12" s="10"/>
      <c r="AP12" s="10"/>
      <c r="AQ12" s="10"/>
      <c r="AR12" s="35"/>
      <c r="AS12" s="35"/>
      <c r="AT12" s="35"/>
      <c r="AU12" s="35"/>
      <c r="AV12" s="35"/>
      <c r="AW12" s="35"/>
      <c r="AX12" s="35"/>
      <c r="AY12" s="32">
        <f t="shared" si="0"/>
        <v>167.75</v>
      </c>
      <c r="AZ12" s="2"/>
    </row>
    <row r="13" spans="1:52" x14ac:dyDescent="0.2">
      <c r="A13" s="25">
        <v>10</v>
      </c>
      <c r="B13" s="21" t="s">
        <v>206</v>
      </c>
      <c r="C13" s="14"/>
      <c r="D13" s="13" t="s">
        <v>0</v>
      </c>
      <c r="E13" s="10"/>
      <c r="F13" s="10"/>
      <c r="G13" s="179">
        <v>0</v>
      </c>
      <c r="H13" s="179">
        <v>0</v>
      </c>
      <c r="I13" s="179">
        <v>0</v>
      </c>
      <c r="J13" s="179">
        <v>0</v>
      </c>
      <c r="K13" s="179">
        <v>0</v>
      </c>
      <c r="L13" s="179">
        <v>0</v>
      </c>
      <c r="M13" s="179">
        <v>0</v>
      </c>
      <c r="N13" s="179">
        <v>0</v>
      </c>
      <c r="O13" s="179">
        <v>0</v>
      </c>
      <c r="P13" s="179">
        <v>3</v>
      </c>
      <c r="Q13" s="179">
        <v>1</v>
      </c>
      <c r="R13" s="179">
        <v>0.5</v>
      </c>
      <c r="S13" s="179">
        <v>2</v>
      </c>
      <c r="T13" s="179">
        <v>0</v>
      </c>
      <c r="U13" s="179">
        <v>0</v>
      </c>
      <c r="V13" s="179">
        <v>0</v>
      </c>
      <c r="W13" s="179">
        <v>0</v>
      </c>
      <c r="X13" s="179">
        <v>0</v>
      </c>
      <c r="Y13" s="179">
        <v>0</v>
      </c>
      <c r="Z13" s="179">
        <v>1</v>
      </c>
      <c r="AA13" s="179">
        <v>1</v>
      </c>
      <c r="AB13" s="179">
        <v>0</v>
      </c>
      <c r="AC13" s="179">
        <v>0</v>
      </c>
      <c r="AD13" s="179">
        <v>0</v>
      </c>
      <c r="AE13" s="179">
        <v>0</v>
      </c>
      <c r="AF13" s="179">
        <v>0</v>
      </c>
      <c r="AG13" s="179">
        <v>0</v>
      </c>
      <c r="AH13" s="179">
        <v>0</v>
      </c>
      <c r="AI13" s="179">
        <v>0</v>
      </c>
      <c r="AJ13" s="179">
        <v>0</v>
      </c>
      <c r="AK13" s="179">
        <v>0</v>
      </c>
      <c r="AL13" s="10"/>
      <c r="AM13" s="10"/>
      <c r="AN13" s="10"/>
      <c r="AO13" s="10"/>
      <c r="AP13" s="10"/>
      <c r="AQ13" s="10"/>
      <c r="AR13" s="35"/>
      <c r="AS13" s="35"/>
      <c r="AT13" s="35"/>
      <c r="AU13" s="35"/>
      <c r="AV13" s="35"/>
      <c r="AW13" s="35"/>
      <c r="AX13" s="35"/>
      <c r="AY13" s="32">
        <f t="shared" si="0"/>
        <v>8.5</v>
      </c>
      <c r="AZ13" s="2"/>
    </row>
    <row r="14" spans="1:52" x14ac:dyDescent="0.2">
      <c r="A14" s="25">
        <v>11</v>
      </c>
      <c r="B14" s="21" t="s">
        <v>255</v>
      </c>
      <c r="C14" s="14"/>
      <c r="D14" s="13" t="s">
        <v>0</v>
      </c>
      <c r="E14" s="10"/>
      <c r="F14" s="10"/>
      <c r="G14" s="179">
        <v>0</v>
      </c>
      <c r="H14" s="179">
        <v>0</v>
      </c>
      <c r="I14" s="179">
        <v>0</v>
      </c>
      <c r="J14" s="179">
        <v>0</v>
      </c>
      <c r="K14" s="179">
        <v>0</v>
      </c>
      <c r="L14" s="179">
        <v>0</v>
      </c>
      <c r="M14" s="179">
        <v>0</v>
      </c>
      <c r="N14" s="179">
        <v>0</v>
      </c>
      <c r="O14" s="179">
        <v>0</v>
      </c>
      <c r="P14" s="179">
        <v>0</v>
      </c>
      <c r="Q14" s="179">
        <v>0</v>
      </c>
      <c r="R14" s="179">
        <v>0</v>
      </c>
      <c r="S14" s="179">
        <v>48.945</v>
      </c>
      <c r="T14" s="179">
        <v>51.454999999999998</v>
      </c>
      <c r="U14" s="179">
        <v>46.435000000000002</v>
      </c>
      <c r="V14" s="179">
        <v>40.159999999999997</v>
      </c>
      <c r="W14" s="179">
        <v>25.1</v>
      </c>
      <c r="X14" s="179">
        <v>17.821000000000002</v>
      </c>
      <c r="Y14" s="179">
        <v>14.558</v>
      </c>
      <c r="Z14" s="179">
        <v>15.06</v>
      </c>
      <c r="AA14" s="179">
        <v>12.55</v>
      </c>
      <c r="AB14" s="179">
        <v>35.893000000000001</v>
      </c>
      <c r="AC14" s="179">
        <v>47.69</v>
      </c>
      <c r="AD14" s="179">
        <v>47.69</v>
      </c>
      <c r="AE14" s="179">
        <v>50.2</v>
      </c>
      <c r="AF14" s="179">
        <v>45.430999999999997</v>
      </c>
      <c r="AG14" s="179">
        <v>21.971</v>
      </c>
      <c r="AH14" s="179">
        <v>0</v>
      </c>
      <c r="AI14" s="179">
        <v>0</v>
      </c>
      <c r="AJ14" s="179">
        <v>0</v>
      </c>
      <c r="AK14" s="179">
        <v>0</v>
      </c>
      <c r="AL14" s="10"/>
      <c r="AM14" s="10"/>
      <c r="AN14" s="10"/>
      <c r="AO14" s="10"/>
      <c r="AP14" s="10"/>
      <c r="AQ14" s="10"/>
      <c r="AR14" s="35"/>
      <c r="AS14" s="35"/>
      <c r="AT14" s="35"/>
      <c r="AU14" s="35"/>
      <c r="AV14" s="35"/>
      <c r="AW14" s="35"/>
      <c r="AX14" s="35"/>
      <c r="AY14" s="32">
        <f t="shared" si="0"/>
        <v>520.95899999999995</v>
      </c>
      <c r="AZ14" s="2"/>
    </row>
    <row r="15" spans="1:52" x14ac:dyDescent="0.2">
      <c r="A15" s="25">
        <v>12</v>
      </c>
      <c r="B15" s="21" t="s">
        <v>261</v>
      </c>
      <c r="C15" s="14"/>
      <c r="D15" s="13" t="s">
        <v>0</v>
      </c>
      <c r="E15" s="10"/>
      <c r="F15" s="10"/>
      <c r="G15" s="179">
        <v>0</v>
      </c>
      <c r="H15" s="179">
        <v>0</v>
      </c>
      <c r="I15" s="179">
        <v>0</v>
      </c>
      <c r="J15" s="179">
        <v>0</v>
      </c>
      <c r="K15" s="179">
        <v>0</v>
      </c>
      <c r="L15" s="179">
        <v>0</v>
      </c>
      <c r="M15" s="179">
        <v>0</v>
      </c>
      <c r="N15" s="179">
        <v>0</v>
      </c>
      <c r="O15" s="179">
        <v>0</v>
      </c>
      <c r="P15" s="179">
        <v>0</v>
      </c>
      <c r="Q15" s="179">
        <v>0</v>
      </c>
      <c r="R15" s="179">
        <v>0</v>
      </c>
      <c r="S15" s="179">
        <v>0</v>
      </c>
      <c r="T15" s="179">
        <v>0</v>
      </c>
      <c r="U15" s="179">
        <v>0</v>
      </c>
      <c r="V15" s="179">
        <v>0</v>
      </c>
      <c r="W15" s="179">
        <v>0</v>
      </c>
      <c r="X15" s="179">
        <v>0</v>
      </c>
      <c r="Y15" s="179">
        <v>12.005000000000001</v>
      </c>
      <c r="Z15" s="179">
        <v>1.96</v>
      </c>
      <c r="AA15" s="179">
        <v>0</v>
      </c>
      <c r="AB15" s="179">
        <v>2.4500000000000002</v>
      </c>
      <c r="AC15" s="179">
        <v>4.41</v>
      </c>
      <c r="AD15" s="179">
        <v>4.9000000000000004</v>
      </c>
      <c r="AE15" s="179">
        <v>4.9000000000000004</v>
      </c>
      <c r="AF15" s="179">
        <v>7.84</v>
      </c>
      <c r="AG15" s="179">
        <v>14.21</v>
      </c>
      <c r="AH15" s="179">
        <v>8.5749999999999993</v>
      </c>
      <c r="AI15" s="179">
        <v>9.8000000000000007</v>
      </c>
      <c r="AJ15" s="179">
        <v>8.5749999999999993</v>
      </c>
      <c r="AK15" s="179">
        <v>8.33</v>
      </c>
      <c r="AL15" s="10"/>
      <c r="AM15" s="10"/>
      <c r="AN15" s="10"/>
      <c r="AO15" s="10"/>
      <c r="AP15" s="10"/>
      <c r="AQ15" s="10"/>
      <c r="AR15" s="35"/>
      <c r="AS15" s="35"/>
      <c r="AT15" s="35"/>
      <c r="AU15" s="35"/>
      <c r="AV15" s="35"/>
      <c r="AW15" s="35"/>
      <c r="AX15" s="35"/>
      <c r="AY15" s="32">
        <f t="shared" si="0"/>
        <v>87.954999999999998</v>
      </c>
      <c r="AZ15" s="2"/>
    </row>
    <row r="16" spans="1:52" x14ac:dyDescent="0.2">
      <c r="A16" s="25"/>
      <c r="B16" s="28" t="s">
        <v>43</v>
      </c>
      <c r="C16" s="29"/>
      <c r="D16" s="30" t="s">
        <v>0</v>
      </c>
      <c r="E16" s="31">
        <f>SUM(E4:E7)</f>
        <v>0</v>
      </c>
      <c r="F16" s="31">
        <f>SUM(F4:F7)</f>
        <v>0</v>
      </c>
      <c r="G16" s="31">
        <f t="shared" ref="G16:Y16" si="1">SUM(G4:G15)</f>
        <v>28.161999999999999</v>
      </c>
      <c r="H16" s="31">
        <f t="shared" si="1"/>
        <v>79.290000000000006</v>
      </c>
      <c r="I16" s="31">
        <f t="shared" si="1"/>
        <v>82.682000000000002</v>
      </c>
      <c r="J16" s="31">
        <f t="shared" si="1"/>
        <v>72.128</v>
      </c>
      <c r="K16" s="31">
        <f t="shared" si="1"/>
        <v>63.323999999999998</v>
      </c>
      <c r="L16" s="31">
        <f t="shared" si="1"/>
        <v>100.398</v>
      </c>
      <c r="M16" s="31">
        <f t="shared" si="1"/>
        <v>68.573999999999998</v>
      </c>
      <c r="N16" s="31">
        <f t="shared" si="1"/>
        <v>43.858000000000004</v>
      </c>
      <c r="O16" s="31">
        <f t="shared" si="1"/>
        <v>61.358000000000004</v>
      </c>
      <c r="P16" s="31">
        <f t="shared" si="1"/>
        <v>80.108000000000004</v>
      </c>
      <c r="Q16" s="31">
        <f t="shared" si="1"/>
        <v>69.25</v>
      </c>
      <c r="R16" s="31">
        <f t="shared" si="1"/>
        <v>26.75</v>
      </c>
      <c r="S16" s="31">
        <f t="shared" si="1"/>
        <v>96.694999999999993</v>
      </c>
      <c r="T16" s="31">
        <f t="shared" si="1"/>
        <v>78.954999999999998</v>
      </c>
      <c r="U16" s="31">
        <f t="shared" si="1"/>
        <v>70.185000000000002</v>
      </c>
      <c r="V16" s="31">
        <f t="shared" si="1"/>
        <v>64.91</v>
      </c>
      <c r="W16" s="31">
        <f t="shared" si="1"/>
        <v>68.394000000000005</v>
      </c>
      <c r="X16" s="31">
        <f t="shared" si="1"/>
        <v>66.631</v>
      </c>
      <c r="Y16" s="31">
        <f t="shared" si="1"/>
        <v>64.572999999999993</v>
      </c>
      <c r="Z16" s="31">
        <f t="shared" ref="Z16:AE16" si="2">SUM(Z4:Z15)</f>
        <v>66.541999999999987</v>
      </c>
      <c r="AA16" s="31">
        <f t="shared" si="2"/>
        <v>51.391999999999996</v>
      </c>
      <c r="AB16" s="31">
        <f t="shared" si="2"/>
        <v>63.109000000000002</v>
      </c>
      <c r="AC16" s="31">
        <f t="shared" si="2"/>
        <v>82.35</v>
      </c>
      <c r="AD16" s="31">
        <f t="shared" si="2"/>
        <v>84.09</v>
      </c>
      <c r="AE16" s="31">
        <f t="shared" si="2"/>
        <v>87.600000000000009</v>
      </c>
      <c r="AF16" s="31">
        <f t="shared" ref="AF16:AK16" si="3">SUM(AF4:AF15)</f>
        <v>98.109000000000009</v>
      </c>
      <c r="AG16" s="31">
        <f t="shared" si="3"/>
        <v>91.027000000000015</v>
      </c>
      <c r="AH16" s="31">
        <f t="shared" si="3"/>
        <v>89.251000000000005</v>
      </c>
      <c r="AI16" s="31">
        <f t="shared" si="3"/>
        <v>69.914000000000001</v>
      </c>
      <c r="AJ16" s="31">
        <f t="shared" si="3"/>
        <v>73.423000000000002</v>
      </c>
      <c r="AK16" s="31">
        <f t="shared" si="3"/>
        <v>86.117999999999995</v>
      </c>
      <c r="AL16" s="31">
        <f t="shared" ref="AL16:AP16" si="4">SUM(AL4:AL9)</f>
        <v>0</v>
      </c>
      <c r="AM16" s="31">
        <f t="shared" si="4"/>
        <v>0</v>
      </c>
      <c r="AN16" s="31">
        <f t="shared" si="4"/>
        <v>0</v>
      </c>
      <c r="AO16" s="31">
        <f t="shared" si="4"/>
        <v>0</v>
      </c>
      <c r="AP16" s="31">
        <f t="shared" si="4"/>
        <v>0</v>
      </c>
      <c r="AQ16" s="31">
        <f t="shared" ref="AQ16" si="5">SUM(AQ4:AQ9)</f>
        <v>0</v>
      </c>
      <c r="AR16" s="31">
        <f t="shared" ref="AR16:AX16" si="6">SUM(AR4:AR10)</f>
        <v>0</v>
      </c>
      <c r="AS16" s="31">
        <f t="shared" si="6"/>
        <v>0</v>
      </c>
      <c r="AT16" s="31">
        <f t="shared" si="6"/>
        <v>0</v>
      </c>
      <c r="AU16" s="31">
        <f t="shared" si="6"/>
        <v>0</v>
      </c>
      <c r="AV16" s="31">
        <f t="shared" ref="AV16:AW16" si="7">SUM(AV4:AV10)</f>
        <v>0</v>
      </c>
      <c r="AW16" s="31">
        <f t="shared" si="7"/>
        <v>0</v>
      </c>
      <c r="AX16" s="31">
        <f t="shared" si="6"/>
        <v>0</v>
      </c>
      <c r="AY16" s="32">
        <f t="shared" ref="AY16:AY46" si="8">SUM(G16:AK16)</f>
        <v>2229.15</v>
      </c>
      <c r="AZ16" s="2"/>
    </row>
    <row r="17" spans="1:54" ht="25" x14ac:dyDescent="0.25">
      <c r="A17" s="24" t="s">
        <v>44</v>
      </c>
      <c r="B17" s="34" t="s">
        <v>200</v>
      </c>
      <c r="C17" s="37"/>
      <c r="D17" s="37"/>
      <c r="E17" s="37"/>
      <c r="F17" s="37"/>
      <c r="G17" s="37"/>
      <c r="H17" s="232"/>
      <c r="I17" s="233"/>
      <c r="J17" s="233"/>
      <c r="K17" s="233"/>
      <c r="L17" s="233"/>
      <c r="M17" s="233"/>
      <c r="N17" s="233"/>
      <c r="O17" s="233"/>
      <c r="P17" s="234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2">
        <f t="shared" si="8"/>
        <v>0</v>
      </c>
      <c r="AZ17" s="2"/>
    </row>
    <row r="18" spans="1:54" x14ac:dyDescent="0.2">
      <c r="A18" s="25">
        <v>1</v>
      </c>
      <c r="B18" s="22" t="s">
        <v>183</v>
      </c>
      <c r="C18" s="14"/>
      <c r="D18" s="13" t="s">
        <v>45</v>
      </c>
      <c r="E18" s="10"/>
      <c r="F18" s="10"/>
      <c r="G18" s="10">
        <v>0</v>
      </c>
      <c r="H18" s="10">
        <v>0</v>
      </c>
      <c r="I18" s="10">
        <v>0</v>
      </c>
      <c r="J18" s="16">
        <v>0</v>
      </c>
      <c r="K18" s="16">
        <v>0</v>
      </c>
      <c r="L18" s="10">
        <v>0</v>
      </c>
      <c r="M18" s="10">
        <v>0</v>
      </c>
      <c r="N18" s="10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0</v>
      </c>
      <c r="AF18" s="35">
        <v>0</v>
      </c>
      <c r="AG18" s="35">
        <v>0</v>
      </c>
      <c r="AH18" s="35">
        <v>0</v>
      </c>
      <c r="AI18" s="35">
        <v>0</v>
      </c>
      <c r="AJ18" s="35">
        <v>0</v>
      </c>
      <c r="AK18" s="35">
        <v>0</v>
      </c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2">
        <f t="shared" si="8"/>
        <v>0</v>
      </c>
      <c r="AZ18" s="2"/>
    </row>
    <row r="19" spans="1:54" x14ac:dyDescent="0.2">
      <c r="A19" s="25">
        <v>2</v>
      </c>
      <c r="B19" s="22" t="s">
        <v>182</v>
      </c>
      <c r="C19" s="14"/>
      <c r="D19" s="13" t="s">
        <v>45</v>
      </c>
      <c r="E19" s="10"/>
      <c r="F19" s="10"/>
      <c r="G19" s="10">
        <v>27</v>
      </c>
      <c r="H19" s="10">
        <v>23</v>
      </c>
      <c r="I19" s="10">
        <v>20</v>
      </c>
      <c r="J19" s="10">
        <v>20</v>
      </c>
      <c r="K19" s="10">
        <v>32</v>
      </c>
      <c r="L19" s="10">
        <v>12</v>
      </c>
      <c r="M19" s="39">
        <v>30</v>
      </c>
      <c r="N19" s="10">
        <v>28</v>
      </c>
      <c r="O19" s="35">
        <v>27</v>
      </c>
      <c r="P19" s="40">
        <v>21</v>
      </c>
      <c r="Q19" s="35">
        <v>35</v>
      </c>
      <c r="R19" s="35">
        <v>30</v>
      </c>
      <c r="S19" s="35">
        <v>38</v>
      </c>
      <c r="T19" s="35">
        <v>26</v>
      </c>
      <c r="U19" s="35">
        <v>30</v>
      </c>
      <c r="V19" s="35">
        <v>25</v>
      </c>
      <c r="W19" s="35">
        <v>35</v>
      </c>
      <c r="X19" s="35">
        <v>37</v>
      </c>
      <c r="Y19" s="35">
        <v>44</v>
      </c>
      <c r="Z19" s="35">
        <v>50</v>
      </c>
      <c r="AA19" s="35">
        <v>35</v>
      </c>
      <c r="AB19" s="35">
        <v>30</v>
      </c>
      <c r="AC19" s="35">
        <v>40</v>
      </c>
      <c r="AD19" s="35">
        <v>30</v>
      </c>
      <c r="AE19" s="35">
        <v>24</v>
      </c>
      <c r="AF19" s="35">
        <v>20</v>
      </c>
      <c r="AG19" s="35">
        <v>16</v>
      </c>
      <c r="AH19" s="35">
        <v>31</v>
      </c>
      <c r="AI19" s="35">
        <v>38</v>
      </c>
      <c r="AJ19" s="35">
        <v>36</v>
      </c>
      <c r="AK19" s="35">
        <v>45</v>
      </c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2">
        <f t="shared" si="8"/>
        <v>935</v>
      </c>
      <c r="AZ19" s="2"/>
    </row>
    <row r="20" spans="1:54" x14ac:dyDescent="0.2">
      <c r="A20" s="25">
        <v>3</v>
      </c>
      <c r="B20" s="22" t="s">
        <v>179</v>
      </c>
      <c r="C20" s="14"/>
      <c r="D20" s="13" t="s">
        <v>45</v>
      </c>
      <c r="E20" s="10"/>
      <c r="F20" s="10"/>
      <c r="G20" s="10">
        <v>100</v>
      </c>
      <c r="H20" s="10">
        <v>1330</v>
      </c>
      <c r="I20" s="10">
        <v>980</v>
      </c>
      <c r="J20" s="10">
        <v>440</v>
      </c>
      <c r="K20" s="10">
        <v>960</v>
      </c>
      <c r="L20" s="10">
        <v>1460</v>
      </c>
      <c r="M20" s="10">
        <v>620</v>
      </c>
      <c r="N20" s="10">
        <v>450</v>
      </c>
      <c r="O20" s="35">
        <v>930</v>
      </c>
      <c r="P20" s="35">
        <v>1330</v>
      </c>
      <c r="Q20" s="35">
        <v>690</v>
      </c>
      <c r="R20" s="35">
        <v>260</v>
      </c>
      <c r="S20" s="35">
        <v>1100</v>
      </c>
      <c r="T20" s="35">
        <v>230</v>
      </c>
      <c r="U20" s="35">
        <v>0</v>
      </c>
      <c r="V20" s="35">
        <v>250</v>
      </c>
      <c r="W20" s="35">
        <v>410</v>
      </c>
      <c r="X20" s="35">
        <v>500</v>
      </c>
      <c r="Y20" s="35">
        <v>600</v>
      </c>
      <c r="Z20" s="35">
        <v>610</v>
      </c>
      <c r="AA20" s="35">
        <v>220</v>
      </c>
      <c r="AB20" s="35">
        <v>440</v>
      </c>
      <c r="AC20" s="35">
        <v>950</v>
      </c>
      <c r="AD20" s="35">
        <v>1150</v>
      </c>
      <c r="AE20" s="35">
        <v>1110</v>
      </c>
      <c r="AF20" s="35">
        <v>1540</v>
      </c>
      <c r="AG20" s="35">
        <v>1480</v>
      </c>
      <c r="AH20" s="35">
        <v>390</v>
      </c>
      <c r="AI20" s="35">
        <v>460</v>
      </c>
      <c r="AJ20" s="35">
        <v>480</v>
      </c>
      <c r="AK20" s="35">
        <v>1360</v>
      </c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2">
        <f t="shared" si="8"/>
        <v>22830</v>
      </c>
      <c r="AZ20" s="2"/>
    </row>
    <row r="21" spans="1:54" x14ac:dyDescent="0.2">
      <c r="A21" s="25">
        <v>4</v>
      </c>
      <c r="B21" s="22" t="s">
        <v>260</v>
      </c>
      <c r="C21" s="14"/>
      <c r="D21" s="13" t="s">
        <v>45</v>
      </c>
      <c r="E21" s="10"/>
      <c r="F21" s="10"/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42</v>
      </c>
      <c r="X21" s="35">
        <v>21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5">
        <v>0</v>
      </c>
      <c r="AJ21" s="35">
        <v>0</v>
      </c>
      <c r="AK21" s="35">
        <v>0</v>
      </c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2">
        <f t="shared" si="8"/>
        <v>63</v>
      </c>
      <c r="AZ21" s="2"/>
    </row>
    <row r="22" spans="1:54" x14ac:dyDescent="0.2">
      <c r="A22" s="25">
        <v>5</v>
      </c>
      <c r="B22" s="22" t="s">
        <v>181</v>
      </c>
      <c r="C22" s="14"/>
      <c r="D22" s="13" t="s">
        <v>45</v>
      </c>
      <c r="E22" s="10"/>
      <c r="F22" s="10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  <c r="X22" s="35">
        <v>0</v>
      </c>
      <c r="Y22" s="10">
        <v>0</v>
      </c>
      <c r="Z22" s="10">
        <v>0</v>
      </c>
      <c r="AA22" s="10">
        <v>0</v>
      </c>
      <c r="AB22" s="10">
        <v>0</v>
      </c>
      <c r="AC22" s="35">
        <v>0</v>
      </c>
      <c r="AD22" s="35">
        <v>0</v>
      </c>
      <c r="AE22" s="35">
        <v>0</v>
      </c>
      <c r="AF22" s="35">
        <v>0</v>
      </c>
      <c r="AG22" s="35">
        <v>0</v>
      </c>
      <c r="AH22" s="35">
        <v>0</v>
      </c>
      <c r="AI22" s="35">
        <v>0</v>
      </c>
      <c r="AJ22" s="35">
        <v>0</v>
      </c>
      <c r="AK22" s="35">
        <v>0</v>
      </c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2">
        <f t="shared" si="8"/>
        <v>0</v>
      </c>
      <c r="AZ22" s="2"/>
    </row>
    <row r="23" spans="1:54" x14ac:dyDescent="0.2">
      <c r="A23" s="25">
        <v>6</v>
      </c>
      <c r="B23" s="22" t="s">
        <v>209</v>
      </c>
      <c r="C23" s="14"/>
      <c r="D23" s="13" t="s">
        <v>45</v>
      </c>
      <c r="E23" s="10"/>
      <c r="F23" s="10"/>
      <c r="G23" s="10">
        <v>22</v>
      </c>
      <c r="H23" s="10">
        <v>56</v>
      </c>
      <c r="I23" s="10">
        <v>54</v>
      </c>
      <c r="J23" s="10">
        <v>56</v>
      </c>
      <c r="K23" s="10">
        <v>53</v>
      </c>
      <c r="L23" s="10">
        <v>81</v>
      </c>
      <c r="M23" s="10">
        <v>60</v>
      </c>
      <c r="N23" s="10">
        <v>40</v>
      </c>
      <c r="O23" s="10">
        <v>69</v>
      </c>
      <c r="P23" s="10">
        <v>116</v>
      </c>
      <c r="Q23" s="10">
        <v>87</v>
      </c>
      <c r="R23" s="10">
        <v>35</v>
      </c>
      <c r="S23" s="10">
        <v>112</v>
      </c>
      <c r="T23" s="10">
        <v>80</v>
      </c>
      <c r="U23" s="10">
        <v>78</v>
      </c>
      <c r="V23" s="10">
        <v>71</v>
      </c>
      <c r="W23" s="10">
        <v>70</v>
      </c>
      <c r="X23" s="35">
        <v>74</v>
      </c>
      <c r="Y23" s="10">
        <v>68</v>
      </c>
      <c r="Z23" s="10">
        <v>75</v>
      </c>
      <c r="AA23" s="10">
        <v>65</v>
      </c>
      <c r="AB23" s="10">
        <v>73</v>
      </c>
      <c r="AC23" s="35">
        <v>86</v>
      </c>
      <c r="AD23" s="35">
        <v>91</v>
      </c>
      <c r="AE23" s="35">
        <v>91</v>
      </c>
      <c r="AF23" s="35">
        <v>87</v>
      </c>
      <c r="AG23" s="35">
        <v>83</v>
      </c>
      <c r="AH23" s="35">
        <v>92</v>
      </c>
      <c r="AI23" s="35">
        <v>70</v>
      </c>
      <c r="AJ23" s="35">
        <v>76</v>
      </c>
      <c r="AK23" s="35">
        <v>100</v>
      </c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2">
        <f t="shared" si="8"/>
        <v>2271</v>
      </c>
      <c r="AZ23" s="2"/>
    </row>
    <row r="24" spans="1:54" x14ac:dyDescent="0.2">
      <c r="A24" s="25">
        <v>7</v>
      </c>
      <c r="B24" s="22" t="s">
        <v>180</v>
      </c>
      <c r="C24" s="14"/>
      <c r="D24" s="13" t="s">
        <v>45</v>
      </c>
      <c r="E24" s="10"/>
      <c r="F24" s="10"/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  <c r="Y24" s="10">
        <v>0</v>
      </c>
      <c r="Z24" s="10">
        <v>0</v>
      </c>
      <c r="AA24" s="10">
        <v>0</v>
      </c>
      <c r="AB24" s="10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v>0</v>
      </c>
      <c r="AI24" s="35">
        <v>0</v>
      </c>
      <c r="AJ24" s="35">
        <v>0</v>
      </c>
      <c r="AK24" s="35">
        <v>0</v>
      </c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2">
        <f t="shared" si="8"/>
        <v>0</v>
      </c>
      <c r="AZ24" s="2"/>
    </row>
    <row r="25" spans="1:54" x14ac:dyDescent="0.2">
      <c r="A25" s="25">
        <v>8</v>
      </c>
      <c r="B25" s="22" t="s">
        <v>210</v>
      </c>
      <c r="C25" s="14"/>
      <c r="D25" s="13" t="s">
        <v>45</v>
      </c>
      <c r="E25" s="10"/>
      <c r="F25" s="10"/>
      <c r="G25" s="10">
        <v>21</v>
      </c>
      <c r="H25" s="10">
        <v>65</v>
      </c>
      <c r="I25" s="10">
        <v>60</v>
      </c>
      <c r="J25" s="10">
        <v>75</v>
      </c>
      <c r="K25" s="10">
        <v>67</v>
      </c>
      <c r="L25" s="10">
        <v>37</v>
      </c>
      <c r="M25" s="10">
        <v>62</v>
      </c>
      <c r="N25" s="10">
        <v>52</v>
      </c>
      <c r="O25" s="10">
        <v>50</v>
      </c>
      <c r="P25" s="10">
        <v>82</v>
      </c>
      <c r="Q25" s="10">
        <v>80</v>
      </c>
      <c r="R25" s="10">
        <v>20</v>
      </c>
      <c r="S25" s="10">
        <v>45</v>
      </c>
      <c r="T25" s="10">
        <v>78</v>
      </c>
      <c r="U25" s="10">
        <v>74</v>
      </c>
      <c r="V25" s="10">
        <v>85</v>
      </c>
      <c r="W25" s="10">
        <v>70</v>
      </c>
      <c r="X25" s="35">
        <v>75</v>
      </c>
      <c r="Y25" s="35">
        <v>90</v>
      </c>
      <c r="Z25" s="35">
        <v>77</v>
      </c>
      <c r="AA25" s="35">
        <v>70</v>
      </c>
      <c r="AB25" s="35">
        <v>70</v>
      </c>
      <c r="AC25" s="35">
        <v>68</v>
      </c>
      <c r="AD25" s="35">
        <v>45</v>
      </c>
      <c r="AE25" s="35">
        <v>15</v>
      </c>
      <c r="AF25" s="35">
        <v>10</v>
      </c>
      <c r="AG25" s="35">
        <v>5</v>
      </c>
      <c r="AH25" s="35">
        <v>58</v>
      </c>
      <c r="AI25" s="35">
        <v>72</v>
      </c>
      <c r="AJ25" s="35">
        <v>76</v>
      </c>
      <c r="AK25" s="35">
        <v>60</v>
      </c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2">
        <f t="shared" si="8"/>
        <v>1814</v>
      </c>
      <c r="AZ25" s="2"/>
    </row>
    <row r="26" spans="1:54" x14ac:dyDescent="0.2">
      <c r="A26" s="25">
        <v>9</v>
      </c>
      <c r="B26" s="22" t="s">
        <v>184</v>
      </c>
      <c r="C26" s="15"/>
      <c r="D26" s="13" t="s">
        <v>45</v>
      </c>
      <c r="E26" s="10"/>
      <c r="F26" s="10"/>
      <c r="G26" s="10">
        <v>2</v>
      </c>
      <c r="H26" s="10">
        <v>9</v>
      </c>
      <c r="I26" s="10">
        <v>15</v>
      </c>
      <c r="J26" s="10">
        <v>15</v>
      </c>
      <c r="K26" s="10">
        <v>8</v>
      </c>
      <c r="L26" s="10">
        <v>18</v>
      </c>
      <c r="M26" s="10">
        <v>20</v>
      </c>
      <c r="N26" s="10">
        <v>8</v>
      </c>
      <c r="O26" s="35">
        <v>14</v>
      </c>
      <c r="P26" s="35">
        <v>16</v>
      </c>
      <c r="Q26" s="35">
        <v>16</v>
      </c>
      <c r="R26" s="35">
        <v>3</v>
      </c>
      <c r="S26" s="35">
        <v>10</v>
      </c>
      <c r="T26" s="35">
        <v>10</v>
      </c>
      <c r="U26" s="35">
        <v>4</v>
      </c>
      <c r="V26" s="35">
        <v>4</v>
      </c>
      <c r="W26" s="35">
        <v>4</v>
      </c>
      <c r="X26" s="35">
        <v>4</v>
      </c>
      <c r="Y26" s="35">
        <v>2</v>
      </c>
      <c r="Z26" s="35">
        <v>0</v>
      </c>
      <c r="AA26" s="35">
        <v>2</v>
      </c>
      <c r="AB26" s="35">
        <v>0</v>
      </c>
      <c r="AC26" s="35">
        <v>2</v>
      </c>
      <c r="AD26" s="35">
        <v>0</v>
      </c>
      <c r="AE26" s="35">
        <v>0</v>
      </c>
      <c r="AF26" s="35">
        <v>0</v>
      </c>
      <c r="AG26" s="35">
        <v>0</v>
      </c>
      <c r="AH26" s="35">
        <v>0</v>
      </c>
      <c r="AI26" s="35">
        <v>0</v>
      </c>
      <c r="AJ26" s="35">
        <v>0</v>
      </c>
      <c r="AK26" s="35">
        <v>5</v>
      </c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2">
        <f t="shared" si="8"/>
        <v>191</v>
      </c>
      <c r="AZ26" s="2"/>
    </row>
    <row r="27" spans="1:54" x14ac:dyDescent="0.2">
      <c r="A27" s="25">
        <v>10</v>
      </c>
      <c r="B27" s="22" t="s">
        <v>185</v>
      </c>
      <c r="C27" s="14"/>
      <c r="D27" s="13" t="s">
        <v>45</v>
      </c>
      <c r="E27" s="10"/>
      <c r="F27" s="10"/>
      <c r="G27" s="10">
        <v>5</v>
      </c>
      <c r="H27" s="10">
        <v>10</v>
      </c>
      <c r="I27" s="10">
        <v>10</v>
      </c>
      <c r="J27" s="10">
        <v>15</v>
      </c>
      <c r="K27" s="10">
        <v>15</v>
      </c>
      <c r="L27" s="10">
        <v>8</v>
      </c>
      <c r="M27" s="10">
        <v>20</v>
      </c>
      <c r="N27" s="10">
        <v>16</v>
      </c>
      <c r="O27" s="35">
        <v>16</v>
      </c>
      <c r="P27" s="35">
        <v>22</v>
      </c>
      <c r="Q27" s="35">
        <v>19</v>
      </c>
      <c r="R27" s="35">
        <v>5</v>
      </c>
      <c r="S27" s="35">
        <v>9</v>
      </c>
      <c r="T27" s="35">
        <v>10</v>
      </c>
      <c r="U27" s="35">
        <v>34</v>
      </c>
      <c r="V27" s="35">
        <v>34</v>
      </c>
      <c r="W27" s="35">
        <v>38</v>
      </c>
      <c r="X27" s="35">
        <v>34</v>
      </c>
      <c r="Y27" s="35">
        <v>25</v>
      </c>
      <c r="Z27" s="35">
        <v>8</v>
      </c>
      <c r="AA27" s="35">
        <v>10</v>
      </c>
      <c r="AB27" s="35">
        <v>4</v>
      </c>
      <c r="AC27" s="35">
        <v>4</v>
      </c>
      <c r="AD27" s="35">
        <v>4</v>
      </c>
      <c r="AE27" s="35">
        <v>4</v>
      </c>
      <c r="AF27" s="35">
        <v>4</v>
      </c>
      <c r="AG27" s="35">
        <v>2</v>
      </c>
      <c r="AH27" s="35">
        <v>2</v>
      </c>
      <c r="AI27" s="35">
        <v>2</v>
      </c>
      <c r="AJ27" s="35">
        <v>2</v>
      </c>
      <c r="AK27" s="35">
        <v>2</v>
      </c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2">
        <f t="shared" si="8"/>
        <v>393</v>
      </c>
      <c r="AZ27" s="2"/>
    </row>
    <row r="28" spans="1:54" x14ac:dyDescent="0.2">
      <c r="A28" s="25">
        <v>11</v>
      </c>
      <c r="B28" s="22" t="s">
        <v>186</v>
      </c>
      <c r="C28" s="14"/>
      <c r="D28" s="13" t="s">
        <v>45</v>
      </c>
      <c r="E28" s="10"/>
      <c r="F28" s="10"/>
      <c r="G28" s="10">
        <v>2</v>
      </c>
      <c r="H28" s="10">
        <v>3</v>
      </c>
      <c r="I28" s="10">
        <v>3</v>
      </c>
      <c r="J28" s="10">
        <v>3</v>
      </c>
      <c r="K28" s="10">
        <v>3</v>
      </c>
      <c r="L28" s="10">
        <v>3</v>
      </c>
      <c r="M28" s="10">
        <v>3</v>
      </c>
      <c r="N28" s="10">
        <v>3</v>
      </c>
      <c r="O28" s="35">
        <v>3</v>
      </c>
      <c r="P28" s="35">
        <v>3</v>
      </c>
      <c r="Q28" s="35">
        <v>1</v>
      </c>
      <c r="R28" s="35">
        <v>0</v>
      </c>
      <c r="S28" s="35">
        <v>0</v>
      </c>
      <c r="T28" s="35">
        <v>0</v>
      </c>
      <c r="U28" s="35">
        <v>0</v>
      </c>
      <c r="V28" s="35">
        <v>3</v>
      </c>
      <c r="W28" s="35">
        <v>3</v>
      </c>
      <c r="X28" s="35">
        <v>3</v>
      </c>
      <c r="Y28" s="35">
        <v>3</v>
      </c>
      <c r="Z28" s="35">
        <v>3</v>
      </c>
      <c r="AA28" s="35">
        <v>3</v>
      </c>
      <c r="AB28" s="35">
        <v>3</v>
      </c>
      <c r="AC28" s="35">
        <v>3</v>
      </c>
      <c r="AD28" s="35">
        <v>3</v>
      </c>
      <c r="AE28" s="35">
        <v>3</v>
      </c>
      <c r="AF28" s="35">
        <v>3</v>
      </c>
      <c r="AG28" s="35">
        <v>3</v>
      </c>
      <c r="AH28" s="35">
        <v>3</v>
      </c>
      <c r="AI28" s="35">
        <v>3</v>
      </c>
      <c r="AJ28" s="35">
        <v>3</v>
      </c>
      <c r="AK28" s="35">
        <v>3</v>
      </c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2">
        <f t="shared" si="8"/>
        <v>78</v>
      </c>
      <c r="AZ28" s="2"/>
    </row>
    <row r="29" spans="1:54" x14ac:dyDescent="0.2">
      <c r="A29" s="25">
        <v>12</v>
      </c>
      <c r="B29" s="22" t="s">
        <v>187</v>
      </c>
      <c r="C29" s="14"/>
      <c r="D29" s="13" t="s">
        <v>45</v>
      </c>
      <c r="E29" s="10"/>
      <c r="F29" s="10"/>
      <c r="G29" s="10">
        <v>2</v>
      </c>
      <c r="H29" s="10">
        <v>3</v>
      </c>
      <c r="I29" s="10">
        <v>3</v>
      </c>
      <c r="J29" s="10">
        <v>3</v>
      </c>
      <c r="K29" s="10">
        <v>3</v>
      </c>
      <c r="L29" s="10">
        <v>3</v>
      </c>
      <c r="M29" s="10">
        <v>3</v>
      </c>
      <c r="N29" s="10">
        <v>3</v>
      </c>
      <c r="O29" s="35">
        <v>3</v>
      </c>
      <c r="P29" s="35">
        <v>3</v>
      </c>
      <c r="Q29" s="35">
        <v>3</v>
      </c>
      <c r="R29" s="35">
        <v>1</v>
      </c>
      <c r="S29" s="35">
        <v>3</v>
      </c>
      <c r="T29" s="35">
        <v>3</v>
      </c>
      <c r="U29" s="35">
        <v>3</v>
      </c>
      <c r="V29" s="35">
        <v>3</v>
      </c>
      <c r="W29" s="35">
        <v>3</v>
      </c>
      <c r="X29" s="35">
        <v>3</v>
      </c>
      <c r="Y29" s="35">
        <v>3</v>
      </c>
      <c r="Z29" s="35">
        <v>4</v>
      </c>
      <c r="AA29" s="35">
        <v>3</v>
      </c>
      <c r="AB29" s="35">
        <v>3</v>
      </c>
      <c r="AC29" s="35">
        <v>3</v>
      </c>
      <c r="AD29" s="35">
        <v>3</v>
      </c>
      <c r="AE29" s="35">
        <v>3</v>
      </c>
      <c r="AF29" s="35">
        <v>3</v>
      </c>
      <c r="AG29" s="35">
        <v>3</v>
      </c>
      <c r="AH29" s="35">
        <v>3</v>
      </c>
      <c r="AI29" s="35">
        <v>3</v>
      </c>
      <c r="AJ29" s="35">
        <v>3</v>
      </c>
      <c r="AK29" s="35">
        <v>3</v>
      </c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2">
        <f t="shared" si="8"/>
        <v>91</v>
      </c>
      <c r="AZ29" s="2"/>
    </row>
    <row r="30" spans="1:54" x14ac:dyDescent="0.2">
      <c r="A30" s="25">
        <v>13</v>
      </c>
      <c r="B30" s="22" t="s">
        <v>188</v>
      </c>
      <c r="C30" s="14"/>
      <c r="D30" s="13" t="s">
        <v>45</v>
      </c>
      <c r="E30" s="10"/>
      <c r="F30" s="10"/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5">
        <v>0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  <c r="AJ30" s="35">
        <v>0</v>
      </c>
      <c r="AK30" s="35">
        <v>0</v>
      </c>
      <c r="AL30" s="35"/>
      <c r="AM30" s="35"/>
      <c r="AN30" s="35"/>
      <c r="AO30" s="35"/>
      <c r="AP30" s="35"/>
      <c r="AQ30" s="35"/>
      <c r="AR30" s="101"/>
      <c r="AS30" s="35"/>
      <c r="AT30" s="35"/>
      <c r="AU30" s="35"/>
      <c r="AV30" s="35"/>
      <c r="AW30" s="35"/>
      <c r="AX30" s="35"/>
      <c r="AY30" s="32">
        <f t="shared" si="8"/>
        <v>0</v>
      </c>
      <c r="AZ30" s="2"/>
    </row>
    <row r="31" spans="1:54" x14ac:dyDescent="0.2">
      <c r="A31" s="25">
        <v>14</v>
      </c>
      <c r="B31" s="22" t="s">
        <v>189</v>
      </c>
      <c r="C31" s="15"/>
      <c r="D31" s="13" t="s">
        <v>45</v>
      </c>
      <c r="E31" s="10"/>
      <c r="F31" s="10"/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5">
        <v>0</v>
      </c>
      <c r="AC31" s="35">
        <v>0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5">
        <v>0</v>
      </c>
      <c r="AJ31" s="35">
        <v>0</v>
      </c>
      <c r="AK31" s="35">
        <v>0</v>
      </c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2">
        <f t="shared" si="8"/>
        <v>0</v>
      </c>
      <c r="BA31" s="3"/>
      <c r="BB31" s="2"/>
    </row>
    <row r="32" spans="1:54" x14ac:dyDescent="0.2">
      <c r="A32" s="25">
        <v>15</v>
      </c>
      <c r="B32" s="22" t="s">
        <v>190</v>
      </c>
      <c r="C32" s="14"/>
      <c r="D32" s="13" t="s">
        <v>45</v>
      </c>
      <c r="E32" s="10"/>
      <c r="F32" s="10"/>
      <c r="G32" s="10">
        <v>2</v>
      </c>
      <c r="H32" s="10">
        <v>4</v>
      </c>
      <c r="I32" s="10">
        <v>4</v>
      </c>
      <c r="J32" s="10">
        <v>4</v>
      </c>
      <c r="K32" s="10">
        <v>4</v>
      </c>
      <c r="L32" s="10">
        <v>4</v>
      </c>
      <c r="M32" s="10">
        <v>4</v>
      </c>
      <c r="N32" s="10">
        <v>3</v>
      </c>
      <c r="O32" s="35">
        <v>3</v>
      </c>
      <c r="P32" s="35">
        <v>4</v>
      </c>
      <c r="Q32" s="35">
        <v>3</v>
      </c>
      <c r="R32" s="35">
        <v>1</v>
      </c>
      <c r="S32" s="35">
        <v>2</v>
      </c>
      <c r="T32" s="35">
        <v>1</v>
      </c>
      <c r="U32" s="35">
        <v>1</v>
      </c>
      <c r="V32" s="35">
        <v>1</v>
      </c>
      <c r="W32" s="35">
        <v>2</v>
      </c>
      <c r="X32" s="35">
        <v>1</v>
      </c>
      <c r="Y32" s="35">
        <v>1</v>
      </c>
      <c r="Z32" s="35">
        <v>1</v>
      </c>
      <c r="AA32" s="35">
        <v>1</v>
      </c>
      <c r="AB32" s="35">
        <v>1</v>
      </c>
      <c r="AC32" s="35">
        <v>1</v>
      </c>
      <c r="AD32" s="35">
        <v>1</v>
      </c>
      <c r="AE32" s="35">
        <v>1</v>
      </c>
      <c r="AF32" s="35">
        <v>1</v>
      </c>
      <c r="AG32" s="35">
        <v>1</v>
      </c>
      <c r="AH32" s="35">
        <v>1</v>
      </c>
      <c r="AI32" s="35">
        <v>1</v>
      </c>
      <c r="AJ32" s="35">
        <v>1</v>
      </c>
      <c r="AK32" s="35">
        <v>1</v>
      </c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2">
        <f t="shared" si="8"/>
        <v>61</v>
      </c>
      <c r="BA32" s="3"/>
      <c r="BB32" s="2"/>
    </row>
    <row r="33" spans="1:54" x14ac:dyDescent="0.2">
      <c r="A33" s="25">
        <v>16</v>
      </c>
      <c r="B33" s="22" t="s">
        <v>191</v>
      </c>
      <c r="C33" s="14"/>
      <c r="D33" s="13" t="s">
        <v>45</v>
      </c>
      <c r="E33" s="10"/>
      <c r="F33" s="10"/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5">
        <v>0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  <c r="AI33" s="35">
        <v>0</v>
      </c>
      <c r="AJ33" s="35">
        <v>0</v>
      </c>
      <c r="AK33" s="35">
        <v>0</v>
      </c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2">
        <f t="shared" si="8"/>
        <v>0</v>
      </c>
      <c r="BA33" s="3"/>
      <c r="BB33" s="2"/>
    </row>
    <row r="34" spans="1:54" x14ac:dyDescent="0.2">
      <c r="A34" s="25">
        <v>17</v>
      </c>
      <c r="B34" s="22" t="s">
        <v>213</v>
      </c>
      <c r="C34" s="14"/>
      <c r="D34" s="13" t="s">
        <v>45</v>
      </c>
      <c r="E34" s="10"/>
      <c r="F34" s="10"/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  <c r="U34" s="35">
        <v>0</v>
      </c>
      <c r="V34" s="35">
        <v>0</v>
      </c>
      <c r="W34" s="35">
        <v>0</v>
      </c>
      <c r="X34" s="35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35">
        <v>0</v>
      </c>
      <c r="AG34" s="35">
        <v>0</v>
      </c>
      <c r="AH34" s="35">
        <v>0</v>
      </c>
      <c r="AI34" s="35">
        <v>0</v>
      </c>
      <c r="AJ34" s="35">
        <v>0</v>
      </c>
      <c r="AK34" s="35">
        <v>0</v>
      </c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2">
        <f t="shared" si="8"/>
        <v>0</v>
      </c>
      <c r="BA34" s="3"/>
      <c r="BB34" s="2"/>
    </row>
    <row r="35" spans="1:54" x14ac:dyDescent="0.2">
      <c r="A35" s="25">
        <v>17</v>
      </c>
      <c r="B35" s="22" t="s">
        <v>192</v>
      </c>
      <c r="C35" s="15"/>
      <c r="D35" s="13" t="s">
        <v>45</v>
      </c>
      <c r="E35" s="10"/>
      <c r="F35" s="10"/>
      <c r="G35" s="10">
        <v>2</v>
      </c>
      <c r="H35" s="10">
        <v>7</v>
      </c>
      <c r="I35" s="10">
        <v>7</v>
      </c>
      <c r="J35" s="10">
        <v>7</v>
      </c>
      <c r="K35" s="10">
        <v>7</v>
      </c>
      <c r="L35" s="10">
        <v>8</v>
      </c>
      <c r="M35" s="10">
        <v>4</v>
      </c>
      <c r="N35" s="10">
        <v>3</v>
      </c>
      <c r="O35" s="35">
        <v>4</v>
      </c>
      <c r="P35" s="35">
        <v>4</v>
      </c>
      <c r="Q35" s="35">
        <v>6</v>
      </c>
      <c r="R35" s="35">
        <v>1</v>
      </c>
      <c r="S35" s="35">
        <v>8</v>
      </c>
      <c r="T35" s="35">
        <v>10</v>
      </c>
      <c r="U35" s="35">
        <v>7</v>
      </c>
      <c r="V35" s="35">
        <v>10</v>
      </c>
      <c r="W35" s="35">
        <v>10</v>
      </c>
      <c r="X35" s="35">
        <v>10</v>
      </c>
      <c r="Y35" s="35">
        <v>10</v>
      </c>
      <c r="Z35" s="35">
        <v>8</v>
      </c>
      <c r="AA35" s="35">
        <v>7</v>
      </c>
      <c r="AB35" s="35">
        <v>7</v>
      </c>
      <c r="AC35" s="35">
        <v>7</v>
      </c>
      <c r="AD35" s="35">
        <v>8</v>
      </c>
      <c r="AE35" s="35">
        <v>8</v>
      </c>
      <c r="AF35" s="35">
        <v>10</v>
      </c>
      <c r="AG35" s="35">
        <v>10</v>
      </c>
      <c r="AH35" s="35">
        <v>10</v>
      </c>
      <c r="AI35" s="35">
        <v>5</v>
      </c>
      <c r="AJ35" s="35">
        <v>7</v>
      </c>
      <c r="AK35" s="35">
        <v>7</v>
      </c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2">
        <f t="shared" si="8"/>
        <v>219</v>
      </c>
      <c r="BA35" s="3"/>
      <c r="BB35" s="2"/>
    </row>
    <row r="36" spans="1:54" x14ac:dyDescent="0.2">
      <c r="A36" s="25">
        <v>18</v>
      </c>
      <c r="B36" s="22" t="s">
        <v>195</v>
      </c>
      <c r="C36" s="15"/>
      <c r="D36" s="13" t="s">
        <v>45</v>
      </c>
      <c r="E36" s="10"/>
      <c r="F36" s="10"/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  <c r="U36" s="35">
        <v>0</v>
      </c>
      <c r="V36" s="35">
        <v>0</v>
      </c>
      <c r="W36" s="35">
        <v>0</v>
      </c>
      <c r="X36" s="35">
        <v>0</v>
      </c>
      <c r="Y36" s="35">
        <v>0</v>
      </c>
      <c r="Z36" s="35">
        <v>0</v>
      </c>
      <c r="AA36" s="35">
        <v>0</v>
      </c>
      <c r="AB36" s="35">
        <v>0</v>
      </c>
      <c r="AC36" s="35">
        <v>0</v>
      </c>
      <c r="AD36" s="35">
        <v>0</v>
      </c>
      <c r="AE36" s="35">
        <v>0</v>
      </c>
      <c r="AF36" s="35">
        <v>0</v>
      </c>
      <c r="AG36" s="35">
        <v>0</v>
      </c>
      <c r="AH36" s="35">
        <v>0</v>
      </c>
      <c r="AI36" s="35">
        <v>0</v>
      </c>
      <c r="AJ36" s="35">
        <v>0</v>
      </c>
      <c r="AK36" s="35">
        <v>0</v>
      </c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2">
        <f t="shared" si="8"/>
        <v>0</v>
      </c>
      <c r="BA36" s="3"/>
      <c r="BB36" s="2"/>
    </row>
    <row r="37" spans="1:54" x14ac:dyDescent="0.2">
      <c r="A37" s="25">
        <v>19</v>
      </c>
      <c r="B37" s="22" t="s">
        <v>193</v>
      </c>
      <c r="C37" s="14"/>
      <c r="D37" s="13" t="s">
        <v>45</v>
      </c>
      <c r="E37" s="10"/>
      <c r="F37" s="10"/>
      <c r="G37" s="10">
        <v>6</v>
      </c>
      <c r="H37" s="10">
        <v>15</v>
      </c>
      <c r="I37" s="10">
        <v>15</v>
      </c>
      <c r="J37" s="10">
        <v>15</v>
      </c>
      <c r="K37" s="10">
        <v>20</v>
      </c>
      <c r="L37" s="10">
        <v>18</v>
      </c>
      <c r="M37" s="10">
        <v>20</v>
      </c>
      <c r="N37" s="10">
        <v>18</v>
      </c>
      <c r="O37" s="35">
        <v>18</v>
      </c>
      <c r="P37" s="35">
        <v>20</v>
      </c>
      <c r="Q37" s="35">
        <v>13</v>
      </c>
      <c r="R37" s="35">
        <v>4</v>
      </c>
      <c r="S37" s="35">
        <v>12</v>
      </c>
      <c r="T37" s="35">
        <v>15</v>
      </c>
      <c r="U37" s="35">
        <v>18</v>
      </c>
      <c r="V37" s="35">
        <v>15</v>
      </c>
      <c r="W37" s="35">
        <v>15</v>
      </c>
      <c r="X37" s="35">
        <v>15</v>
      </c>
      <c r="Y37" s="35">
        <v>15</v>
      </c>
      <c r="Z37" s="35">
        <v>15</v>
      </c>
      <c r="AA37" s="35">
        <v>15</v>
      </c>
      <c r="AB37" s="35">
        <v>15</v>
      </c>
      <c r="AC37" s="35">
        <v>15</v>
      </c>
      <c r="AD37" s="35">
        <v>10</v>
      </c>
      <c r="AE37" s="35">
        <v>10</v>
      </c>
      <c r="AF37" s="35">
        <v>7</v>
      </c>
      <c r="AG37" s="35">
        <v>5</v>
      </c>
      <c r="AH37" s="35">
        <v>10</v>
      </c>
      <c r="AI37" s="35">
        <v>18</v>
      </c>
      <c r="AJ37" s="35">
        <v>15</v>
      </c>
      <c r="AK37" s="35">
        <v>15</v>
      </c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2">
        <f t="shared" si="8"/>
        <v>437</v>
      </c>
      <c r="BA37" s="4"/>
      <c r="BB37" s="2"/>
    </row>
    <row r="38" spans="1:54" x14ac:dyDescent="0.2">
      <c r="A38" s="25">
        <v>20</v>
      </c>
      <c r="B38" s="22" t="s">
        <v>214</v>
      </c>
      <c r="C38" s="14"/>
      <c r="D38" s="13" t="s">
        <v>45</v>
      </c>
      <c r="E38" s="10"/>
      <c r="F38" s="10"/>
      <c r="G38" s="10">
        <v>10</v>
      </c>
      <c r="H38" s="10">
        <v>30</v>
      </c>
      <c r="I38" s="10">
        <v>25</v>
      </c>
      <c r="J38" s="10">
        <v>25</v>
      </c>
      <c r="K38" s="10">
        <v>20</v>
      </c>
      <c r="L38" s="10">
        <v>25</v>
      </c>
      <c r="M38" s="10">
        <v>25</v>
      </c>
      <c r="N38" s="10">
        <v>15</v>
      </c>
      <c r="O38" s="35">
        <v>20</v>
      </c>
      <c r="P38" s="35">
        <v>38</v>
      </c>
      <c r="Q38" s="35">
        <v>27</v>
      </c>
      <c r="R38" s="35">
        <v>3</v>
      </c>
      <c r="S38" s="35">
        <v>8</v>
      </c>
      <c r="T38" s="35">
        <v>8</v>
      </c>
      <c r="U38" s="35">
        <v>28</v>
      </c>
      <c r="V38" s="35">
        <v>25</v>
      </c>
      <c r="W38" s="35">
        <v>34</v>
      </c>
      <c r="X38" s="35">
        <v>28</v>
      </c>
      <c r="Y38" s="35">
        <v>25</v>
      </c>
      <c r="Z38" s="35">
        <v>20</v>
      </c>
      <c r="AA38" s="35">
        <v>20</v>
      </c>
      <c r="AB38" s="35">
        <v>15</v>
      </c>
      <c r="AC38" s="35">
        <v>15</v>
      </c>
      <c r="AD38" s="35">
        <v>15</v>
      </c>
      <c r="AE38" s="35">
        <v>12</v>
      </c>
      <c r="AF38" s="35">
        <v>15</v>
      </c>
      <c r="AG38" s="35">
        <v>15</v>
      </c>
      <c r="AH38" s="35">
        <v>15</v>
      </c>
      <c r="AI38" s="35">
        <v>18</v>
      </c>
      <c r="AJ38" s="35">
        <v>15</v>
      </c>
      <c r="AK38" s="35">
        <v>15</v>
      </c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2">
        <f t="shared" si="8"/>
        <v>609</v>
      </c>
      <c r="BA38" s="4"/>
      <c r="BB38" s="2"/>
    </row>
    <row r="39" spans="1:54" x14ac:dyDescent="0.2">
      <c r="A39" s="25">
        <v>21</v>
      </c>
      <c r="B39" s="22" t="s">
        <v>217</v>
      </c>
      <c r="C39" s="14"/>
      <c r="D39" s="13" t="s">
        <v>45</v>
      </c>
      <c r="E39" s="10"/>
      <c r="F39" s="10"/>
      <c r="G39" s="10">
        <v>10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10</v>
      </c>
      <c r="U39" s="35">
        <v>0</v>
      </c>
      <c r="V39" s="35">
        <v>5</v>
      </c>
      <c r="W39" s="35">
        <v>0</v>
      </c>
      <c r="X39" s="35">
        <v>0</v>
      </c>
      <c r="Y39" s="35">
        <v>0</v>
      </c>
      <c r="Z39" s="35">
        <v>0</v>
      </c>
      <c r="AA39" s="35">
        <v>60</v>
      </c>
      <c r="AB39" s="35">
        <v>60</v>
      </c>
      <c r="AC39" s="35">
        <v>0</v>
      </c>
      <c r="AD39" s="35">
        <v>0</v>
      </c>
      <c r="AE39" s="35">
        <v>0</v>
      </c>
      <c r="AF39" s="35">
        <v>0</v>
      </c>
      <c r="AG39" s="35">
        <v>0</v>
      </c>
      <c r="AH39" s="35">
        <v>0</v>
      </c>
      <c r="AI39" s="35">
        <v>0</v>
      </c>
      <c r="AJ39" s="35">
        <v>0</v>
      </c>
      <c r="AK39" s="35">
        <v>0</v>
      </c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2">
        <f t="shared" si="8"/>
        <v>145</v>
      </c>
      <c r="BA39" s="4"/>
      <c r="BB39" s="2"/>
    </row>
    <row r="40" spans="1:54" x14ac:dyDescent="0.2">
      <c r="A40" s="25">
        <v>22</v>
      </c>
      <c r="B40" s="22" t="s">
        <v>218</v>
      </c>
      <c r="C40" s="14"/>
      <c r="D40" s="13" t="s">
        <v>45</v>
      </c>
      <c r="E40" s="10"/>
      <c r="F40" s="10"/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35">
        <v>0</v>
      </c>
      <c r="P40" s="35">
        <v>0</v>
      </c>
      <c r="Q40" s="35">
        <v>0</v>
      </c>
      <c r="R40" s="35">
        <v>0</v>
      </c>
      <c r="S40" s="35">
        <v>10</v>
      </c>
      <c r="T40" s="35">
        <v>0</v>
      </c>
      <c r="U40" s="35">
        <v>0</v>
      </c>
      <c r="V40" s="35">
        <v>0</v>
      </c>
      <c r="W40" s="35">
        <v>0</v>
      </c>
      <c r="X40" s="35">
        <v>0</v>
      </c>
      <c r="Y40" s="35">
        <v>0</v>
      </c>
      <c r="Z40" s="35">
        <v>0</v>
      </c>
      <c r="AA40" s="35">
        <v>0</v>
      </c>
      <c r="AB40" s="35">
        <v>0</v>
      </c>
      <c r="AC40" s="35">
        <v>0</v>
      </c>
      <c r="AD40" s="35">
        <v>0</v>
      </c>
      <c r="AE40" s="35">
        <v>0</v>
      </c>
      <c r="AF40" s="35">
        <v>0</v>
      </c>
      <c r="AG40" s="35">
        <v>0</v>
      </c>
      <c r="AH40" s="35">
        <v>0</v>
      </c>
      <c r="AI40" s="35">
        <v>0</v>
      </c>
      <c r="AJ40" s="35">
        <v>0</v>
      </c>
      <c r="AK40" s="35">
        <v>0</v>
      </c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2">
        <f t="shared" si="8"/>
        <v>10</v>
      </c>
      <c r="BA40" s="4"/>
      <c r="BB40" s="2"/>
    </row>
    <row r="41" spans="1:54" x14ac:dyDescent="0.2">
      <c r="A41" s="25">
        <v>23</v>
      </c>
      <c r="B41" s="22" t="s">
        <v>219</v>
      </c>
      <c r="C41" s="14"/>
      <c r="D41" s="13" t="s">
        <v>45</v>
      </c>
      <c r="E41" s="10"/>
      <c r="F41" s="10"/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50</v>
      </c>
      <c r="N41" s="10">
        <v>50</v>
      </c>
      <c r="O41" s="35">
        <v>20</v>
      </c>
      <c r="P41" s="35">
        <v>50</v>
      </c>
      <c r="Q41" s="35">
        <v>20</v>
      </c>
      <c r="R41" s="35">
        <v>50</v>
      </c>
      <c r="S41" s="35">
        <v>20</v>
      </c>
      <c r="T41" s="35">
        <v>20</v>
      </c>
      <c r="U41" s="35">
        <v>20</v>
      </c>
      <c r="V41" s="35">
        <v>50</v>
      </c>
      <c r="W41" s="35">
        <v>0</v>
      </c>
      <c r="X41" s="35">
        <v>0</v>
      </c>
      <c r="Y41" s="35">
        <v>100</v>
      </c>
      <c r="Z41" s="35">
        <v>20</v>
      </c>
      <c r="AA41" s="35">
        <v>50</v>
      </c>
      <c r="AB41" s="35">
        <v>50</v>
      </c>
      <c r="AC41" s="35">
        <v>20</v>
      </c>
      <c r="AD41" s="35">
        <v>120</v>
      </c>
      <c r="AE41" s="35">
        <v>120</v>
      </c>
      <c r="AF41" s="35">
        <v>80</v>
      </c>
      <c r="AG41" s="35">
        <v>100</v>
      </c>
      <c r="AH41" s="35">
        <v>50</v>
      </c>
      <c r="AI41" s="35">
        <v>100</v>
      </c>
      <c r="AJ41" s="35">
        <v>50</v>
      </c>
      <c r="AK41" s="35">
        <v>0</v>
      </c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2">
        <f t="shared" si="8"/>
        <v>1210</v>
      </c>
      <c r="BA41" s="4"/>
      <c r="BB41" s="2"/>
    </row>
    <row r="42" spans="1:54" x14ac:dyDescent="0.2">
      <c r="A42" s="25">
        <v>24</v>
      </c>
      <c r="B42" s="22" t="s">
        <v>216</v>
      </c>
      <c r="C42" s="14"/>
      <c r="D42" s="13" t="s">
        <v>45</v>
      </c>
      <c r="E42" s="10"/>
      <c r="F42" s="10"/>
      <c r="G42" s="10">
        <v>10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35">
        <v>0</v>
      </c>
      <c r="P42" s="35">
        <v>0</v>
      </c>
      <c r="Q42" s="35">
        <v>0</v>
      </c>
      <c r="R42" s="35">
        <v>10</v>
      </c>
      <c r="S42" s="35">
        <v>5</v>
      </c>
      <c r="T42" s="35">
        <v>0</v>
      </c>
      <c r="U42" s="35">
        <v>10</v>
      </c>
      <c r="V42" s="35">
        <v>10</v>
      </c>
      <c r="W42" s="35">
        <v>0</v>
      </c>
      <c r="X42" s="35">
        <v>0</v>
      </c>
      <c r="Y42" s="35">
        <v>0</v>
      </c>
      <c r="Z42" s="35">
        <v>0</v>
      </c>
      <c r="AA42" s="35">
        <v>100</v>
      </c>
      <c r="AB42" s="35">
        <v>50</v>
      </c>
      <c r="AC42" s="35">
        <v>0</v>
      </c>
      <c r="AD42" s="35">
        <v>0</v>
      </c>
      <c r="AE42" s="35">
        <v>0</v>
      </c>
      <c r="AF42" s="35">
        <v>0</v>
      </c>
      <c r="AG42" s="35">
        <v>10</v>
      </c>
      <c r="AH42" s="35">
        <v>0</v>
      </c>
      <c r="AI42" s="35">
        <v>10</v>
      </c>
      <c r="AJ42" s="35">
        <v>0</v>
      </c>
      <c r="AK42" s="35">
        <v>0</v>
      </c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2">
        <f t="shared" si="8"/>
        <v>215</v>
      </c>
      <c r="BA42" s="4"/>
      <c r="BB42" s="2"/>
    </row>
    <row r="43" spans="1:54" x14ac:dyDescent="0.2">
      <c r="A43" s="25">
        <v>25</v>
      </c>
      <c r="B43" s="22" t="s">
        <v>220</v>
      </c>
      <c r="C43" s="14"/>
      <c r="D43" s="13" t="s">
        <v>45</v>
      </c>
      <c r="E43" s="10"/>
      <c r="F43" s="10"/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  <c r="U43" s="35">
        <v>0</v>
      </c>
      <c r="V43" s="35">
        <v>0</v>
      </c>
      <c r="W43" s="35">
        <v>0</v>
      </c>
      <c r="X43" s="35">
        <v>0</v>
      </c>
      <c r="Y43" s="35">
        <v>0</v>
      </c>
      <c r="Z43" s="35">
        <v>0</v>
      </c>
      <c r="AA43" s="35">
        <v>40</v>
      </c>
      <c r="AB43" s="35">
        <v>40</v>
      </c>
      <c r="AC43" s="35">
        <v>0</v>
      </c>
      <c r="AD43" s="35">
        <v>60</v>
      </c>
      <c r="AE43" s="35">
        <v>0</v>
      </c>
      <c r="AF43" s="35">
        <v>0</v>
      </c>
      <c r="AG43" s="35">
        <v>0</v>
      </c>
      <c r="AH43" s="35">
        <v>0</v>
      </c>
      <c r="AI43" s="35">
        <v>0</v>
      </c>
      <c r="AJ43" s="35">
        <v>0</v>
      </c>
      <c r="AK43" s="35">
        <v>0</v>
      </c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2">
        <f t="shared" si="8"/>
        <v>140</v>
      </c>
      <c r="BA43" s="4"/>
      <c r="BB43" s="2"/>
    </row>
    <row r="44" spans="1:54" x14ac:dyDescent="0.2">
      <c r="A44" s="214"/>
      <c r="B44" s="215"/>
      <c r="C44" s="215"/>
      <c r="D44" s="12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216"/>
      <c r="BA44" s="4"/>
      <c r="BB44" s="2"/>
    </row>
    <row r="45" spans="1:54" x14ac:dyDescent="0.2">
      <c r="A45" s="25" t="s">
        <v>46</v>
      </c>
      <c r="B45" s="28" t="s">
        <v>49</v>
      </c>
      <c r="C45" s="29"/>
      <c r="D45" s="30" t="s">
        <v>0</v>
      </c>
      <c r="E45" s="33">
        <v>0</v>
      </c>
      <c r="F45" s="33">
        <v>0</v>
      </c>
      <c r="G45" s="33">
        <v>18</v>
      </c>
      <c r="H45" s="33">
        <v>82</v>
      </c>
      <c r="I45" s="33">
        <v>91</v>
      </c>
      <c r="J45" s="33">
        <v>77</v>
      </c>
      <c r="K45" s="33">
        <v>62</v>
      </c>
      <c r="L45" s="33">
        <v>101</v>
      </c>
      <c r="M45" s="33">
        <v>63</v>
      </c>
      <c r="N45" s="33">
        <v>45</v>
      </c>
      <c r="O45" s="36">
        <v>57</v>
      </c>
      <c r="P45" s="36">
        <v>87</v>
      </c>
      <c r="Q45" s="36">
        <v>70</v>
      </c>
      <c r="R45" s="36">
        <v>27</v>
      </c>
      <c r="S45" s="36">
        <v>107</v>
      </c>
      <c r="T45" s="36">
        <v>81</v>
      </c>
      <c r="U45" s="36">
        <v>70</v>
      </c>
      <c r="V45" s="36">
        <v>68</v>
      </c>
      <c r="W45" s="36">
        <v>71</v>
      </c>
      <c r="X45" s="36">
        <v>73</v>
      </c>
      <c r="Y45" s="36">
        <v>72</v>
      </c>
      <c r="Z45" s="36">
        <v>70</v>
      </c>
      <c r="AA45" s="36">
        <v>60</v>
      </c>
      <c r="AB45" s="36">
        <v>63</v>
      </c>
      <c r="AC45" s="36">
        <v>85</v>
      </c>
      <c r="AD45" s="36">
        <v>86</v>
      </c>
      <c r="AE45" s="36">
        <v>87</v>
      </c>
      <c r="AF45" s="36">
        <v>96</v>
      </c>
      <c r="AG45" s="36">
        <v>85</v>
      </c>
      <c r="AH45" s="36">
        <v>87</v>
      </c>
      <c r="AI45" s="36">
        <v>69</v>
      </c>
      <c r="AJ45" s="36">
        <v>78</v>
      </c>
      <c r="AK45" s="36">
        <v>90</v>
      </c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2">
        <f t="shared" si="8"/>
        <v>2278</v>
      </c>
      <c r="BA45" s="3"/>
      <c r="BB45" s="2"/>
    </row>
    <row r="46" spans="1:54" x14ac:dyDescent="0.2">
      <c r="A46" s="25" t="s">
        <v>47</v>
      </c>
      <c r="B46" s="28" t="s">
        <v>215</v>
      </c>
      <c r="C46" s="29"/>
      <c r="D46" s="30" t="s">
        <v>0</v>
      </c>
      <c r="E46" s="33">
        <f>E45*0.935</f>
        <v>0</v>
      </c>
      <c r="F46" s="33">
        <f t="shared" ref="F46" si="9">F45*0.935</f>
        <v>0</v>
      </c>
      <c r="G46" s="177">
        <v>8.1460000000000008</v>
      </c>
      <c r="H46" s="177">
        <v>72.504999999999995</v>
      </c>
      <c r="I46" s="177">
        <v>71.034000000000006</v>
      </c>
      <c r="J46" s="177">
        <v>75.245000000000005</v>
      </c>
      <c r="K46" s="177">
        <v>60.286000000000001</v>
      </c>
      <c r="L46" s="177">
        <v>79.64</v>
      </c>
      <c r="M46" s="177">
        <v>71.787000000000006</v>
      </c>
      <c r="N46" s="177">
        <v>38.231000000000002</v>
      </c>
      <c r="O46" s="177">
        <v>53.976999999999997</v>
      </c>
      <c r="P46" s="177">
        <v>75.105999999999995</v>
      </c>
      <c r="Q46" s="177">
        <v>67.281999999999996</v>
      </c>
      <c r="R46" s="177">
        <v>30.61</v>
      </c>
      <c r="S46" s="177">
        <v>94.605999999999995</v>
      </c>
      <c r="T46" s="177">
        <v>79.238</v>
      </c>
      <c r="U46" s="177">
        <v>60.734999999999999</v>
      </c>
      <c r="V46" s="177">
        <v>54.886000000000003</v>
      </c>
      <c r="W46" s="177">
        <v>58.61</v>
      </c>
      <c r="X46" s="177">
        <v>75.013999999999996</v>
      </c>
      <c r="Y46" s="177">
        <v>66.745999999999995</v>
      </c>
      <c r="Z46" s="177">
        <v>65.546000000000006</v>
      </c>
      <c r="AA46" s="177">
        <v>51.567</v>
      </c>
      <c r="AB46" s="177">
        <v>54.834000000000003</v>
      </c>
      <c r="AC46" s="177">
        <v>81.902000000000001</v>
      </c>
      <c r="AD46" s="177">
        <v>86.739000000000004</v>
      </c>
      <c r="AE46" s="177">
        <v>76.305999999999997</v>
      </c>
      <c r="AF46" s="177">
        <v>89.51</v>
      </c>
      <c r="AG46" s="177">
        <v>78.878</v>
      </c>
      <c r="AH46" s="177">
        <v>83.409000000000006</v>
      </c>
      <c r="AI46" s="177">
        <v>65.683999999999997</v>
      </c>
      <c r="AJ46" s="177">
        <v>73.010000000000005</v>
      </c>
      <c r="AK46" s="177">
        <v>109.184</v>
      </c>
      <c r="AL46" s="33">
        <f t="shared" ref="AL46" si="10">AL45*0.94</f>
        <v>0</v>
      </c>
      <c r="AM46" s="33">
        <f t="shared" ref="AM46" si="11">AM45*0.94</f>
        <v>0</v>
      </c>
      <c r="AN46" s="33">
        <f t="shared" ref="AN46" si="12">AN45*0.94</f>
        <v>0</v>
      </c>
      <c r="AO46" s="33">
        <f t="shared" ref="AO46" si="13">AO45*0.94</f>
        <v>0</v>
      </c>
      <c r="AP46" s="33">
        <f t="shared" ref="AP46" si="14">AP45*0.94</f>
        <v>0</v>
      </c>
      <c r="AQ46" s="33">
        <f t="shared" ref="AQ46" si="15">AQ45*0.94</f>
        <v>0</v>
      </c>
      <c r="AR46" s="33">
        <f t="shared" ref="AR46" si="16">AR45*0.94</f>
        <v>0</v>
      </c>
      <c r="AS46" s="33">
        <f t="shared" ref="AS46" si="17">AS45*0.94</f>
        <v>0</v>
      </c>
      <c r="AT46" s="33">
        <f t="shared" ref="AT46:AV46" si="18">AT45*0.94</f>
        <v>0</v>
      </c>
      <c r="AU46" s="33">
        <f t="shared" si="18"/>
        <v>0</v>
      </c>
      <c r="AV46" s="33">
        <f t="shared" si="18"/>
        <v>0</v>
      </c>
      <c r="AW46" s="36">
        <v>0</v>
      </c>
      <c r="AX46" s="36">
        <v>0</v>
      </c>
      <c r="AY46" s="32">
        <f t="shared" si="8"/>
        <v>2110.2530000000002</v>
      </c>
      <c r="BA46" s="3"/>
      <c r="BB46" s="2"/>
    </row>
    <row r="47" spans="1:54" hidden="1" x14ac:dyDescent="0.2">
      <c r="A47" s="41"/>
      <c r="B47" s="42"/>
      <c r="C47" s="223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5"/>
      <c r="BA47" s="3"/>
      <c r="BB47" s="2"/>
    </row>
    <row r="48" spans="1:54" ht="23.25" hidden="1" customHeight="1" x14ac:dyDescent="0.25">
      <c r="A48" s="43" t="s">
        <v>48</v>
      </c>
      <c r="B48" s="44" t="s">
        <v>199</v>
      </c>
      <c r="C48" s="226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  <c r="AB48" s="227"/>
      <c r="AC48" s="227"/>
      <c r="AD48" s="227"/>
      <c r="AE48" s="227"/>
      <c r="AF48" s="227"/>
      <c r="AG48" s="227"/>
      <c r="AH48" s="227"/>
      <c r="AI48" s="227"/>
      <c r="AJ48" s="227"/>
      <c r="AK48" s="227"/>
      <c r="AL48" s="227"/>
      <c r="AM48" s="227"/>
      <c r="AN48" s="227"/>
      <c r="AO48" s="227"/>
      <c r="AP48" s="227"/>
      <c r="AQ48" s="227"/>
      <c r="AR48" s="227"/>
      <c r="AS48" s="227"/>
      <c r="AT48" s="227"/>
      <c r="AU48" s="227"/>
      <c r="AV48" s="227"/>
      <c r="AW48" s="227"/>
      <c r="AX48" s="227"/>
      <c r="AY48" s="228"/>
    </row>
    <row r="49" spans="1:54" hidden="1" x14ac:dyDescent="0.2">
      <c r="A49" s="43">
        <v>1</v>
      </c>
      <c r="B49" s="42" t="s">
        <v>51</v>
      </c>
      <c r="C49" s="45"/>
      <c r="D49" s="46" t="s">
        <v>0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7">
        <f>SUM(E49:M49)</f>
        <v>0</v>
      </c>
      <c r="BA49" s="3"/>
      <c r="BB49" s="2"/>
    </row>
    <row r="50" spans="1:54" ht="15.75" hidden="1" customHeight="1" x14ac:dyDescent="0.2">
      <c r="A50" s="43">
        <v>2</v>
      </c>
      <c r="B50" s="42" t="s">
        <v>52</v>
      </c>
      <c r="C50" s="45"/>
      <c r="D50" s="46" t="s">
        <v>0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7">
        <f>SUM(E50:M50)</f>
        <v>0</v>
      </c>
      <c r="BA50" s="6"/>
      <c r="BB50" s="2"/>
    </row>
    <row r="51" spans="1:54" ht="17.25" hidden="1" customHeight="1" x14ac:dyDescent="0.2">
      <c r="A51" s="43">
        <v>3</v>
      </c>
      <c r="B51" s="42" t="s">
        <v>53</v>
      </c>
      <c r="C51" s="45"/>
      <c r="D51" s="46" t="s">
        <v>54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7">
        <f>SUM(E51:M51)</f>
        <v>0</v>
      </c>
      <c r="BB51" s="7"/>
    </row>
    <row r="52" spans="1:54" ht="19.5" hidden="1" customHeight="1" x14ac:dyDescent="0.2">
      <c r="A52" s="41">
        <v>4</v>
      </c>
      <c r="B52" s="48" t="s">
        <v>55</v>
      </c>
      <c r="C52" s="49"/>
      <c r="D52" s="50" t="s">
        <v>2</v>
      </c>
      <c r="E52" s="51"/>
      <c r="F52" s="51"/>
      <c r="G52" s="51"/>
      <c r="H52" s="51"/>
      <c r="I52" s="51" t="e">
        <f>#REF!</f>
        <v>#REF!</v>
      </c>
      <c r="J52" s="51" t="e">
        <f>#REF!</f>
        <v>#REF!</v>
      </c>
      <c r="K52" s="51" t="e">
        <f>#REF!</f>
        <v>#REF!</v>
      </c>
      <c r="L52" s="51" t="e">
        <f>#REF!</f>
        <v>#REF!</v>
      </c>
      <c r="M52" s="51" t="e">
        <f>#REF!</f>
        <v>#REF!</v>
      </c>
      <c r="N52" s="51" t="e">
        <f>#REF!</f>
        <v>#REF!</v>
      </c>
      <c r="O52" s="52" t="e">
        <f>#REF!</f>
        <v>#REF!</v>
      </c>
      <c r="P52" s="52" t="e">
        <f>#REF!</f>
        <v>#REF!</v>
      </c>
      <c r="Q52" s="52" t="e">
        <f>#REF!</f>
        <v>#REF!</v>
      </c>
      <c r="R52" s="52" t="e">
        <f>#REF!</f>
        <v>#REF!</v>
      </c>
      <c r="S52" s="52" t="e">
        <f>#REF!</f>
        <v>#REF!</v>
      </c>
      <c r="T52" s="52" t="e">
        <f>#REF!</f>
        <v>#REF!</v>
      </c>
      <c r="U52" s="52" t="e">
        <f>#REF!</f>
        <v>#REF!</v>
      </c>
      <c r="V52" s="52" t="e">
        <f>#REF!</f>
        <v>#REF!</v>
      </c>
      <c r="W52" s="52" t="e">
        <f>#REF!</f>
        <v>#REF!</v>
      </c>
      <c r="X52" s="52" t="e">
        <f>#REF!</f>
        <v>#REF!</v>
      </c>
      <c r="Y52" s="52" t="e">
        <f>#REF!</f>
        <v>#REF!</v>
      </c>
      <c r="Z52" s="52" t="e">
        <f>#REF!</f>
        <v>#REF!</v>
      </c>
      <c r="AA52" s="52" t="e">
        <f>#REF!</f>
        <v>#REF!</v>
      </c>
      <c r="AB52" s="52" t="e">
        <f>#REF!</f>
        <v>#REF!</v>
      </c>
      <c r="AC52" s="52" t="e">
        <f>#REF!</f>
        <v>#REF!</v>
      </c>
      <c r="AD52" s="52" t="e">
        <f>#REF!</f>
        <v>#REF!</v>
      </c>
      <c r="AE52" s="52" t="e">
        <f>#REF!</f>
        <v>#REF!</v>
      </c>
      <c r="AF52" s="52" t="e">
        <f>#REF!</f>
        <v>#REF!</v>
      </c>
      <c r="AG52" s="52" t="e">
        <f>#REF!</f>
        <v>#REF!</v>
      </c>
      <c r="AH52" s="52" t="e">
        <f>#REF!</f>
        <v>#REF!</v>
      </c>
      <c r="AI52" s="52" t="e">
        <f>#REF!</f>
        <v>#REF!</v>
      </c>
      <c r="AJ52" s="52" t="e">
        <f>#REF!</f>
        <v>#REF!</v>
      </c>
      <c r="AK52" s="52" t="e">
        <f>#REF!</f>
        <v>#REF!</v>
      </c>
      <c r="AL52" s="52" t="e">
        <f>#REF!</f>
        <v>#REF!</v>
      </c>
      <c r="AM52" s="52" t="e">
        <f>#REF!</f>
        <v>#REF!</v>
      </c>
      <c r="AN52" s="52">
        <v>2</v>
      </c>
      <c r="AO52" s="52">
        <v>2</v>
      </c>
      <c r="AP52" s="52">
        <v>2</v>
      </c>
      <c r="AQ52" s="52">
        <v>2</v>
      </c>
      <c r="AR52" s="52">
        <v>2</v>
      </c>
      <c r="AS52" s="52">
        <v>2</v>
      </c>
      <c r="AT52" s="52">
        <v>2</v>
      </c>
      <c r="AU52" s="52">
        <v>2</v>
      </c>
      <c r="AV52" s="52">
        <v>2</v>
      </c>
      <c r="AW52" s="52"/>
      <c r="AX52" s="52"/>
      <c r="AY52" s="47" t="e">
        <f>SUM(I52:AW52)</f>
        <v>#REF!</v>
      </c>
      <c r="BB52" s="7"/>
    </row>
    <row r="53" spans="1:54" ht="23.25" hidden="1" customHeight="1" x14ac:dyDescent="0.2">
      <c r="A53" s="43">
        <v>5</v>
      </c>
      <c r="B53" s="42" t="s">
        <v>57</v>
      </c>
      <c r="C53" s="45"/>
      <c r="D53" s="42" t="s">
        <v>58</v>
      </c>
      <c r="E53" s="53"/>
      <c r="F53" s="53"/>
      <c r="G53" s="53"/>
      <c r="H53" s="53"/>
      <c r="I53" s="53">
        <f t="shared" ref="I53:AV53" si="19">I16/I46</f>
        <v>1.1639778134414505</v>
      </c>
      <c r="J53" s="53">
        <f t="shared" si="19"/>
        <v>0.95857532061931017</v>
      </c>
      <c r="K53" s="53">
        <f t="shared" si="19"/>
        <v>1.0503931260989283</v>
      </c>
      <c r="L53" s="53">
        <f t="shared" si="19"/>
        <v>1.2606479156202912</v>
      </c>
      <c r="M53" s="53">
        <f t="shared" si="19"/>
        <v>0.9552425926699819</v>
      </c>
      <c r="N53" s="53">
        <f t="shared" si="19"/>
        <v>1.1471842222280348</v>
      </c>
      <c r="O53" s="53">
        <f t="shared" si="19"/>
        <v>1.1367434277562667</v>
      </c>
      <c r="P53" s="53">
        <f t="shared" si="19"/>
        <v>1.0665992064548773</v>
      </c>
      <c r="Q53" s="53">
        <f t="shared" si="19"/>
        <v>1.0292500222942245</v>
      </c>
      <c r="R53" s="53">
        <f t="shared" si="19"/>
        <v>0.8738974191440706</v>
      </c>
      <c r="S53" s="53">
        <f t="shared" si="19"/>
        <v>1.0220810519417374</v>
      </c>
      <c r="T53" s="53">
        <f t="shared" si="19"/>
        <v>0.99642848128423234</v>
      </c>
      <c r="U53" s="53">
        <f t="shared" si="19"/>
        <v>1.1555939738206966</v>
      </c>
      <c r="V53" s="53">
        <f t="shared" si="19"/>
        <v>1.1826330940494842</v>
      </c>
      <c r="W53" s="53">
        <f t="shared" si="19"/>
        <v>1.1669339703122334</v>
      </c>
      <c r="X53" s="53">
        <f t="shared" si="19"/>
        <v>0.88824752712826949</v>
      </c>
      <c r="Y53" s="53">
        <f t="shared" si="19"/>
        <v>0.96744374194708294</v>
      </c>
      <c r="Z53" s="53">
        <f t="shared" si="19"/>
        <v>1.0151954352668353</v>
      </c>
      <c r="AA53" s="53">
        <f t="shared" si="19"/>
        <v>0.9966063567785598</v>
      </c>
      <c r="AB53" s="53">
        <f t="shared" si="19"/>
        <v>1.150910019331072</v>
      </c>
      <c r="AC53" s="53">
        <f t="shared" si="19"/>
        <v>1.0054699518937267</v>
      </c>
      <c r="AD53" s="53">
        <f t="shared" si="19"/>
        <v>0.96946010445128483</v>
      </c>
      <c r="AE53" s="53">
        <f t="shared" si="19"/>
        <v>1.1480093308520956</v>
      </c>
      <c r="AF53" s="53">
        <f t="shared" si="19"/>
        <v>1.096067478494023</v>
      </c>
      <c r="AG53" s="53">
        <f t="shared" si="19"/>
        <v>1.1540226679175438</v>
      </c>
      <c r="AH53" s="53">
        <f t="shared" si="19"/>
        <v>1.0700404033137911</v>
      </c>
      <c r="AI53" s="53">
        <f t="shared" si="19"/>
        <v>1.0643992448693746</v>
      </c>
      <c r="AJ53" s="53">
        <f t="shared" si="19"/>
        <v>1.0056567593480346</v>
      </c>
      <c r="AK53" s="53">
        <f t="shared" si="19"/>
        <v>0.78874194021101995</v>
      </c>
      <c r="AL53" s="53" t="e">
        <f t="shared" si="19"/>
        <v>#DIV/0!</v>
      </c>
      <c r="AM53" s="53" t="e">
        <f t="shared" si="19"/>
        <v>#DIV/0!</v>
      </c>
      <c r="AN53" s="53" t="e">
        <f t="shared" si="19"/>
        <v>#DIV/0!</v>
      </c>
      <c r="AO53" s="53" t="e">
        <f t="shared" si="19"/>
        <v>#DIV/0!</v>
      </c>
      <c r="AP53" s="53" t="e">
        <f t="shared" si="19"/>
        <v>#DIV/0!</v>
      </c>
      <c r="AQ53" s="53" t="e">
        <f t="shared" si="19"/>
        <v>#DIV/0!</v>
      </c>
      <c r="AR53" s="53" t="e">
        <f t="shared" si="19"/>
        <v>#DIV/0!</v>
      </c>
      <c r="AS53" s="53" t="e">
        <f t="shared" si="19"/>
        <v>#DIV/0!</v>
      </c>
      <c r="AT53" s="53" t="e">
        <f t="shared" si="19"/>
        <v>#DIV/0!</v>
      </c>
      <c r="AU53" s="53" t="e">
        <f t="shared" si="19"/>
        <v>#DIV/0!</v>
      </c>
      <c r="AV53" s="53" t="e">
        <f t="shared" si="19"/>
        <v>#DIV/0!</v>
      </c>
      <c r="AW53" s="102"/>
      <c r="AX53" s="102"/>
      <c r="AY53" s="54" t="e">
        <f xml:space="preserve"> AVERAGE(E53:AW53)</f>
        <v>#DIV/0!</v>
      </c>
    </row>
    <row r="54" spans="1:54" ht="23.25" hidden="1" customHeight="1" x14ac:dyDescent="0.2">
      <c r="A54" s="43"/>
      <c r="B54" s="42"/>
      <c r="C54" s="229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0"/>
      <c r="AF54" s="230"/>
      <c r="AG54" s="230"/>
      <c r="AH54" s="230"/>
      <c r="AI54" s="230"/>
      <c r="AJ54" s="230"/>
      <c r="AK54" s="230"/>
      <c r="AL54" s="230"/>
      <c r="AM54" s="230"/>
      <c r="AN54" s="230"/>
      <c r="AO54" s="230"/>
      <c r="AP54" s="230"/>
      <c r="AQ54" s="230"/>
      <c r="AR54" s="230"/>
      <c r="AS54" s="230"/>
      <c r="AT54" s="230"/>
      <c r="AU54" s="230"/>
      <c r="AV54" s="230"/>
      <c r="AW54" s="230"/>
      <c r="AX54" s="230"/>
      <c r="AY54" s="231"/>
    </row>
    <row r="55" spans="1:54" hidden="1" x14ac:dyDescent="0.2">
      <c r="A55" s="43" t="s">
        <v>56</v>
      </c>
      <c r="B55" s="42" t="s">
        <v>60</v>
      </c>
      <c r="C55" s="45"/>
      <c r="D55" s="46" t="s">
        <v>61</v>
      </c>
      <c r="E55" s="51" t="e">
        <f>E49/E46</f>
        <v>#DIV/0!</v>
      </c>
      <c r="F55" s="51" t="e">
        <f>F49/F46</f>
        <v>#DIV/0!</v>
      </c>
      <c r="G55" s="51">
        <f>G49/G46</f>
        <v>0</v>
      </c>
      <c r="H55" s="51"/>
      <c r="I55" s="51">
        <f t="shared" ref="I55:R55" si="20">I49/I46</f>
        <v>0</v>
      </c>
      <c r="J55" s="51">
        <f t="shared" si="20"/>
        <v>0</v>
      </c>
      <c r="K55" s="51">
        <f t="shared" si="20"/>
        <v>0</v>
      </c>
      <c r="L55" s="51">
        <f t="shared" si="20"/>
        <v>0</v>
      </c>
      <c r="M55" s="51">
        <f t="shared" si="20"/>
        <v>0</v>
      </c>
      <c r="N55" s="51">
        <f t="shared" si="20"/>
        <v>0</v>
      </c>
      <c r="O55" s="51">
        <f t="shared" si="20"/>
        <v>0</v>
      </c>
      <c r="P55" s="51">
        <f t="shared" si="20"/>
        <v>0</v>
      </c>
      <c r="Q55" s="51">
        <f t="shared" si="20"/>
        <v>0</v>
      </c>
      <c r="R55" s="51">
        <f t="shared" si="20"/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2">
        <v>0</v>
      </c>
      <c r="AG55" s="52">
        <v>0</v>
      </c>
      <c r="AH55" s="52">
        <v>0</v>
      </c>
      <c r="AI55" s="52">
        <v>0</v>
      </c>
      <c r="AJ55" s="52">
        <v>0</v>
      </c>
      <c r="AK55" s="52">
        <v>0</v>
      </c>
      <c r="AL55" s="52">
        <v>0</v>
      </c>
      <c r="AM55" s="52">
        <v>0</v>
      </c>
      <c r="AN55" s="52">
        <v>0</v>
      </c>
      <c r="AO55" s="52">
        <v>0</v>
      </c>
      <c r="AP55" s="52">
        <v>0</v>
      </c>
      <c r="AQ55" s="52">
        <v>0</v>
      </c>
      <c r="AR55" s="52">
        <v>0</v>
      </c>
      <c r="AS55" s="52">
        <v>0</v>
      </c>
      <c r="AT55" s="52">
        <v>0</v>
      </c>
      <c r="AU55" s="52">
        <v>0</v>
      </c>
      <c r="AV55" s="52">
        <v>0</v>
      </c>
      <c r="AW55" s="52"/>
      <c r="AX55" s="52"/>
      <c r="AY55" s="47">
        <f>AY49/AY46</f>
        <v>0</v>
      </c>
      <c r="BB55" s="7"/>
    </row>
    <row r="56" spans="1:54" hidden="1" x14ac:dyDescent="0.2">
      <c r="A56" s="43" t="s">
        <v>59</v>
      </c>
      <c r="B56" s="42" t="s">
        <v>63</v>
      </c>
      <c r="C56" s="45"/>
      <c r="D56" s="46" t="s">
        <v>64</v>
      </c>
      <c r="E56" s="39" t="e">
        <f>E50*1000/E46</f>
        <v>#DIV/0!</v>
      </c>
      <c r="F56" s="39" t="e">
        <f>F50*1000/F46</f>
        <v>#DIV/0!</v>
      </c>
      <c r="G56" s="39">
        <f>G50*1000/G46</f>
        <v>0</v>
      </c>
      <c r="H56" s="39"/>
      <c r="I56" s="39">
        <f t="shared" ref="I56:R56" si="21">I50*1000/I46</f>
        <v>0</v>
      </c>
      <c r="J56" s="39">
        <f t="shared" si="21"/>
        <v>0</v>
      </c>
      <c r="K56" s="39">
        <f t="shared" si="21"/>
        <v>0</v>
      </c>
      <c r="L56" s="39">
        <f t="shared" si="21"/>
        <v>0</v>
      </c>
      <c r="M56" s="39">
        <f t="shared" si="21"/>
        <v>0</v>
      </c>
      <c r="N56" s="39">
        <f t="shared" si="21"/>
        <v>0</v>
      </c>
      <c r="O56" s="39">
        <f t="shared" si="21"/>
        <v>0</v>
      </c>
      <c r="P56" s="39">
        <f t="shared" si="21"/>
        <v>0</v>
      </c>
      <c r="Q56" s="39">
        <f t="shared" si="21"/>
        <v>0</v>
      </c>
      <c r="R56" s="39">
        <f t="shared" si="21"/>
        <v>0</v>
      </c>
      <c r="S56" s="40">
        <v>0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0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0</v>
      </c>
      <c r="AV56" s="40">
        <v>0</v>
      </c>
      <c r="AW56" s="40"/>
      <c r="AX56" s="40"/>
      <c r="AY56" s="47">
        <f>AY50*1000/AY46</f>
        <v>0</v>
      </c>
      <c r="BB56" s="7"/>
    </row>
    <row r="57" spans="1:54" hidden="1" x14ac:dyDescent="0.2">
      <c r="A57" s="43" t="s">
        <v>62</v>
      </c>
      <c r="B57" s="42" t="s">
        <v>67</v>
      </c>
      <c r="C57" s="45"/>
      <c r="D57" s="46" t="s">
        <v>68</v>
      </c>
      <c r="E57" s="51" t="e">
        <f>E51/E46</f>
        <v>#DIV/0!</v>
      </c>
      <c r="F57" s="51" t="e">
        <f>F51/F46</f>
        <v>#DIV/0!</v>
      </c>
      <c r="G57" s="51">
        <f>G51/G46</f>
        <v>0</v>
      </c>
      <c r="H57" s="51"/>
      <c r="I57" s="51">
        <f t="shared" ref="I57:R57" si="22">I51/I46</f>
        <v>0</v>
      </c>
      <c r="J57" s="51">
        <f t="shared" si="22"/>
        <v>0</v>
      </c>
      <c r="K57" s="51">
        <f t="shared" si="22"/>
        <v>0</v>
      </c>
      <c r="L57" s="51">
        <f t="shared" si="22"/>
        <v>0</v>
      </c>
      <c r="M57" s="51">
        <f t="shared" si="22"/>
        <v>0</v>
      </c>
      <c r="N57" s="51">
        <f t="shared" si="22"/>
        <v>0</v>
      </c>
      <c r="O57" s="51">
        <f t="shared" si="22"/>
        <v>0</v>
      </c>
      <c r="P57" s="51">
        <f t="shared" si="22"/>
        <v>0</v>
      </c>
      <c r="Q57" s="51">
        <f t="shared" si="22"/>
        <v>0</v>
      </c>
      <c r="R57" s="51">
        <f t="shared" si="22"/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Z57" s="52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2">
        <v>0</v>
      </c>
      <c r="AG57" s="52">
        <v>0</v>
      </c>
      <c r="AH57" s="52">
        <v>0</v>
      </c>
      <c r="AI57" s="52">
        <v>0</v>
      </c>
      <c r="AJ57" s="52">
        <v>0</v>
      </c>
      <c r="AK57" s="52">
        <v>0</v>
      </c>
      <c r="AL57" s="52">
        <v>0</v>
      </c>
      <c r="AM57" s="52">
        <v>0</v>
      </c>
      <c r="AN57" s="52">
        <v>0</v>
      </c>
      <c r="AO57" s="52">
        <v>0</v>
      </c>
      <c r="AP57" s="52">
        <v>0</v>
      </c>
      <c r="AQ57" s="52">
        <v>0</v>
      </c>
      <c r="AR57" s="52">
        <v>0</v>
      </c>
      <c r="AS57" s="52">
        <v>0</v>
      </c>
      <c r="AT57" s="52">
        <v>0</v>
      </c>
      <c r="AU57" s="52">
        <v>0</v>
      </c>
      <c r="AV57" s="52">
        <v>0</v>
      </c>
      <c r="AW57" s="52"/>
      <c r="AX57" s="52"/>
      <c r="AY57" s="47">
        <f>AY51/AY46</f>
        <v>0</v>
      </c>
      <c r="BB57" s="7"/>
    </row>
    <row r="58" spans="1:54" hidden="1" x14ac:dyDescent="0.2">
      <c r="A58" s="43" t="s">
        <v>65</v>
      </c>
      <c r="B58" s="42" t="s">
        <v>70</v>
      </c>
      <c r="C58" s="45"/>
      <c r="D58" s="46" t="s">
        <v>71</v>
      </c>
      <c r="E58" s="56"/>
      <c r="F58" s="56"/>
      <c r="G58" s="56"/>
      <c r="H58" s="56"/>
      <c r="I58" s="56">
        <v>0</v>
      </c>
      <c r="J58" s="56">
        <v>0</v>
      </c>
      <c r="K58" s="56"/>
      <c r="L58" s="56"/>
      <c r="M58" s="56"/>
      <c r="N58" s="56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8" t="e">
        <f>+#REF!</f>
        <v>#REF!</v>
      </c>
      <c r="AZ58" s="7"/>
    </row>
    <row r="59" spans="1:54" hidden="1" x14ac:dyDescent="0.2">
      <c r="A59" s="43" t="s">
        <v>50</v>
      </c>
      <c r="B59" s="42" t="s">
        <v>74</v>
      </c>
      <c r="C59" s="45"/>
      <c r="D59" s="46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59" t="s">
        <v>75</v>
      </c>
      <c r="AZ59" s="7"/>
    </row>
    <row r="60" spans="1:54" hidden="1" x14ac:dyDescent="0.2">
      <c r="A60" s="43" t="s">
        <v>56</v>
      </c>
      <c r="B60" s="42" t="s">
        <v>76</v>
      </c>
      <c r="C60" s="45"/>
      <c r="D60" s="46" t="s">
        <v>42</v>
      </c>
      <c r="E60" s="39" t="e">
        <f>E46*100/#REF!</f>
        <v>#REF!</v>
      </c>
      <c r="F60" s="39" t="e">
        <f>F46*100/#REF!</f>
        <v>#REF!</v>
      </c>
      <c r="G60" s="39" t="e">
        <f>G46*100/#REF!</f>
        <v>#REF!</v>
      </c>
      <c r="H60" s="39" t="e">
        <f>H46*100/#REF!</f>
        <v>#REF!</v>
      </c>
      <c r="I60" s="39" t="e">
        <f>I46*100/#REF!</f>
        <v>#REF!</v>
      </c>
      <c r="J60" s="39" t="e">
        <f>J46*100/#REF!</f>
        <v>#REF!</v>
      </c>
      <c r="K60" s="39" t="e">
        <f>K46*100/#REF!</f>
        <v>#REF!</v>
      </c>
      <c r="L60" s="39" t="e">
        <f>L46*100/#REF!</f>
        <v>#REF!</v>
      </c>
      <c r="M60" s="39" t="e">
        <f>M46*100/#REF!</f>
        <v>#REF!</v>
      </c>
      <c r="N60" s="39" t="e">
        <f>N46*100/#REF!</f>
        <v>#REF!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59" t="s">
        <v>77</v>
      </c>
      <c r="AZ60" s="7"/>
    </row>
    <row r="61" spans="1:54" hidden="1" x14ac:dyDescent="0.2">
      <c r="A61" s="43" t="s">
        <v>59</v>
      </c>
      <c r="B61" s="42" t="s">
        <v>78</v>
      </c>
      <c r="C61" s="45"/>
      <c r="D61" s="46" t="s">
        <v>79</v>
      </c>
      <c r="E61" s="39" t="e">
        <f>#REF!*E55</f>
        <v>#REF!</v>
      </c>
      <c r="F61" s="56" t="e">
        <f>#REF!*F55</f>
        <v>#REF!</v>
      </c>
      <c r="G61" s="56" t="e">
        <f>#REF!*G55</f>
        <v>#REF!</v>
      </c>
      <c r="H61" s="56" t="e">
        <f>#REF!*H55</f>
        <v>#REF!</v>
      </c>
      <c r="I61" s="56" t="e">
        <f>#REF!*I55</f>
        <v>#REF!</v>
      </c>
      <c r="J61" s="56" t="e">
        <f>#REF!*J55</f>
        <v>#REF!</v>
      </c>
      <c r="K61" s="56" t="e">
        <f>#REF!*K55</f>
        <v>#REF!</v>
      </c>
      <c r="L61" s="56" t="e">
        <f>#REF!*L55</f>
        <v>#REF!</v>
      </c>
      <c r="M61" s="56" t="e">
        <f>#REF!*M55</f>
        <v>#REF!</v>
      </c>
      <c r="N61" s="56" t="e">
        <f>#REF!*N55</f>
        <v>#REF!</v>
      </c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60" t="e">
        <f>AY55*#REF!</f>
        <v>#REF!</v>
      </c>
      <c r="AZ61" s="7"/>
    </row>
    <row r="62" spans="1:54" hidden="1" x14ac:dyDescent="0.2">
      <c r="A62" s="43" t="s">
        <v>62</v>
      </c>
      <c r="B62" s="42" t="s">
        <v>80</v>
      </c>
      <c r="C62" s="45"/>
      <c r="D62" s="46" t="s">
        <v>79</v>
      </c>
      <c r="E62" s="39" t="e">
        <f>#REF!*E56</f>
        <v>#REF!</v>
      </c>
      <c r="F62" s="56" t="e">
        <f>#REF!*F56</f>
        <v>#REF!</v>
      </c>
      <c r="G62" s="56" t="e">
        <f>#REF!*G56</f>
        <v>#REF!</v>
      </c>
      <c r="H62" s="56" t="e">
        <f>#REF!*H56</f>
        <v>#REF!</v>
      </c>
      <c r="I62" s="56" t="e">
        <f>#REF!*I56</f>
        <v>#REF!</v>
      </c>
      <c r="J62" s="56" t="e">
        <f>#REF!*J56</f>
        <v>#REF!</v>
      </c>
      <c r="K62" s="56" t="e">
        <f>#REF!*K56</f>
        <v>#REF!</v>
      </c>
      <c r="L62" s="56" t="e">
        <f>#REF!*L56</f>
        <v>#REF!</v>
      </c>
      <c r="M62" s="56" t="e">
        <f>#REF!*M56</f>
        <v>#REF!</v>
      </c>
      <c r="N62" s="56" t="e">
        <f>#REF!*N56</f>
        <v>#REF!</v>
      </c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60" t="e">
        <f>AY56*#REF!</f>
        <v>#REF!</v>
      </c>
      <c r="AZ62" s="7"/>
    </row>
    <row r="63" spans="1:54" hidden="1" x14ac:dyDescent="0.2">
      <c r="A63" s="43" t="s">
        <v>65</v>
      </c>
      <c r="B63" s="42" t="s">
        <v>81</v>
      </c>
      <c r="C63" s="45"/>
      <c r="D63" s="46" t="s">
        <v>79</v>
      </c>
      <c r="E63" s="39" t="e">
        <f>#REF!*E57</f>
        <v>#REF!</v>
      </c>
      <c r="F63" s="56" t="e">
        <f>#REF!*F57</f>
        <v>#REF!</v>
      </c>
      <c r="G63" s="56" t="e">
        <f>#REF!*G57</f>
        <v>#REF!</v>
      </c>
      <c r="H63" s="56" t="e">
        <f>#REF!*H57</f>
        <v>#REF!</v>
      </c>
      <c r="I63" s="56" t="e">
        <f>#REF!*I57</f>
        <v>#REF!</v>
      </c>
      <c r="J63" s="56" t="e">
        <f>#REF!*J57</f>
        <v>#REF!</v>
      </c>
      <c r="K63" s="56" t="e">
        <f>#REF!*K57</f>
        <v>#REF!</v>
      </c>
      <c r="L63" s="56" t="e">
        <f>#REF!*L57</f>
        <v>#REF!</v>
      </c>
      <c r="M63" s="56" t="e">
        <f>#REF!*M57</f>
        <v>#REF!</v>
      </c>
      <c r="N63" s="56" t="e">
        <f>#REF!*N57</f>
        <v>#REF!</v>
      </c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60" t="e">
        <f>AY57*#REF!</f>
        <v>#REF!</v>
      </c>
      <c r="AZ63" s="7"/>
    </row>
    <row r="64" spans="1:54" hidden="1" x14ac:dyDescent="0.2">
      <c r="A64" s="43" t="s">
        <v>66</v>
      </c>
      <c r="B64" s="42" t="s">
        <v>82</v>
      </c>
      <c r="C64" s="45"/>
      <c r="D64" s="46" t="s">
        <v>79</v>
      </c>
      <c r="E64" s="39" t="e">
        <f>#REF!*E58</f>
        <v>#REF!</v>
      </c>
      <c r="F64" s="56" t="e">
        <f>#REF!*F58</f>
        <v>#REF!</v>
      </c>
      <c r="G64" s="56" t="e">
        <f>#REF!*G58</f>
        <v>#REF!</v>
      </c>
      <c r="H64" s="56" t="e">
        <f>#REF!*H58</f>
        <v>#REF!</v>
      </c>
      <c r="I64" s="56" t="e">
        <f>#REF!*I58</f>
        <v>#REF!</v>
      </c>
      <c r="J64" s="56" t="e">
        <f>#REF!*J58</f>
        <v>#REF!</v>
      </c>
      <c r="K64" s="56" t="e">
        <f>#REF!*K58</f>
        <v>#REF!</v>
      </c>
      <c r="L64" s="56" t="e">
        <f>#REF!*L58</f>
        <v>#REF!</v>
      </c>
      <c r="M64" s="56" t="e">
        <f>#REF!*M58</f>
        <v>#REF!</v>
      </c>
      <c r="N64" s="56" t="e">
        <f>#REF!*N58</f>
        <v>#REF!</v>
      </c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60" t="e">
        <f>AY58*#REF!</f>
        <v>#REF!</v>
      </c>
      <c r="AZ64" s="7"/>
    </row>
    <row r="65" spans="1:52" hidden="1" x14ac:dyDescent="0.2">
      <c r="A65" s="43" t="s">
        <v>69</v>
      </c>
      <c r="B65" s="42" t="s">
        <v>83</v>
      </c>
      <c r="C65" s="45"/>
      <c r="D65" s="46" t="s">
        <v>79</v>
      </c>
      <c r="E65" s="39" t="e">
        <f>#REF!/E46</f>
        <v>#REF!</v>
      </c>
      <c r="F65" s="56" t="e">
        <f>#REF!/F46</f>
        <v>#REF!</v>
      </c>
      <c r="G65" s="56" t="e">
        <f>#REF!/G46</f>
        <v>#REF!</v>
      </c>
      <c r="H65" s="56" t="e">
        <f>#REF!/H46</f>
        <v>#REF!</v>
      </c>
      <c r="I65" s="56" t="e">
        <f>#REF!/I46</f>
        <v>#REF!</v>
      </c>
      <c r="J65" s="56" t="e">
        <f>#REF!/J46</f>
        <v>#REF!</v>
      </c>
      <c r="K65" s="56" t="e">
        <f>#REF!/K46</f>
        <v>#REF!</v>
      </c>
      <c r="L65" s="56" t="e">
        <f>#REF!/L46</f>
        <v>#REF!</v>
      </c>
      <c r="M65" s="56" t="e">
        <f>#REF!/M46</f>
        <v>#REF!</v>
      </c>
      <c r="N65" s="56" t="e">
        <f>#REF!/N46</f>
        <v>#REF!</v>
      </c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60" t="e">
        <f>#REF!/AY46</f>
        <v>#REF!</v>
      </c>
      <c r="AZ65" s="7"/>
    </row>
    <row r="66" spans="1:52" hidden="1" x14ac:dyDescent="0.2">
      <c r="A66" s="43" t="s">
        <v>72</v>
      </c>
      <c r="B66" s="42" t="s">
        <v>84</v>
      </c>
      <c r="C66" s="45"/>
      <c r="D66" s="46" t="s">
        <v>79</v>
      </c>
      <c r="E66" s="56">
        <v>291</v>
      </c>
      <c r="F66" s="56">
        <v>291</v>
      </c>
      <c r="G66" s="56">
        <v>291</v>
      </c>
      <c r="H66" s="56">
        <v>291</v>
      </c>
      <c r="I66" s="56">
        <v>291</v>
      </c>
      <c r="J66" s="56">
        <v>291</v>
      </c>
      <c r="K66" s="56">
        <v>291</v>
      </c>
      <c r="L66" s="56">
        <v>291</v>
      </c>
      <c r="M66" s="56">
        <v>291</v>
      </c>
      <c r="N66" s="56">
        <v>291</v>
      </c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60">
        <f>AVERAGE(E66:M66)</f>
        <v>291</v>
      </c>
      <c r="AZ66" s="7"/>
    </row>
    <row r="67" spans="1:52" ht="20.25" hidden="1" customHeight="1" x14ac:dyDescent="0.2">
      <c r="A67" s="43"/>
      <c r="B67" s="42"/>
      <c r="C67" s="45"/>
      <c r="D67" s="229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  <c r="Z67" s="230"/>
      <c r="AA67" s="230"/>
      <c r="AB67" s="230"/>
      <c r="AC67" s="230"/>
      <c r="AD67" s="230"/>
      <c r="AE67" s="230"/>
      <c r="AF67" s="230"/>
      <c r="AG67" s="230"/>
      <c r="AH67" s="230"/>
      <c r="AI67" s="230"/>
      <c r="AJ67" s="230"/>
      <c r="AK67" s="230"/>
      <c r="AL67" s="230"/>
      <c r="AM67" s="230"/>
      <c r="AN67" s="230"/>
      <c r="AO67" s="230"/>
      <c r="AP67" s="230"/>
      <c r="AQ67" s="230"/>
      <c r="AR67" s="230"/>
      <c r="AS67" s="230"/>
      <c r="AT67" s="230"/>
      <c r="AU67" s="230"/>
      <c r="AV67" s="230"/>
      <c r="AW67" s="230"/>
      <c r="AX67" s="230"/>
      <c r="AY67" s="231"/>
      <c r="AZ67" s="7"/>
    </row>
    <row r="68" spans="1:52" hidden="1" x14ac:dyDescent="0.2">
      <c r="A68" s="43" t="s">
        <v>66</v>
      </c>
      <c r="B68" s="42" t="s">
        <v>85</v>
      </c>
      <c r="C68" s="45"/>
      <c r="D68" s="46"/>
      <c r="E68" s="61"/>
      <c r="F68" s="62"/>
      <c r="G68" s="62"/>
      <c r="H68" s="62"/>
      <c r="I68" s="63"/>
      <c r="J68" s="63"/>
      <c r="K68" s="63"/>
      <c r="L68" s="63"/>
      <c r="M68" s="63"/>
      <c r="N68" s="63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47" t="s">
        <v>86</v>
      </c>
      <c r="AZ68" s="7"/>
    </row>
    <row r="69" spans="1:52" hidden="1" x14ac:dyDescent="0.2">
      <c r="A69" s="43"/>
      <c r="B69" s="65" t="s">
        <v>87</v>
      </c>
      <c r="C69" s="66"/>
      <c r="D69" s="46"/>
      <c r="E69" s="61"/>
      <c r="F69" s="62"/>
      <c r="G69" s="62"/>
      <c r="H69" s="67"/>
      <c r="I69" s="217"/>
      <c r="J69" s="218"/>
      <c r="K69" s="218"/>
      <c r="L69" s="218"/>
      <c r="M69" s="219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9" t="s">
        <v>87</v>
      </c>
      <c r="AZ69" s="7"/>
    </row>
    <row r="70" spans="1:52" hidden="1" x14ac:dyDescent="0.2">
      <c r="A70" s="70" t="s">
        <v>56</v>
      </c>
      <c r="B70" s="42" t="s">
        <v>89</v>
      </c>
      <c r="C70" s="45"/>
      <c r="D70" s="46" t="s">
        <v>0</v>
      </c>
      <c r="E70" s="39"/>
      <c r="F70" s="39"/>
      <c r="G70" s="39"/>
      <c r="H70" s="39"/>
      <c r="I70" s="71">
        <v>1.6</v>
      </c>
      <c r="J70" s="71">
        <v>3.5</v>
      </c>
      <c r="K70" s="71">
        <v>12</v>
      </c>
      <c r="L70" s="71">
        <v>26.5</v>
      </c>
      <c r="M70" s="71">
        <v>12</v>
      </c>
      <c r="N70" s="71">
        <v>17.5</v>
      </c>
      <c r="O70" s="72">
        <v>26</v>
      </c>
      <c r="P70" s="72">
        <v>2.5</v>
      </c>
      <c r="Q70" s="72">
        <v>0</v>
      </c>
      <c r="R70" s="72">
        <v>0</v>
      </c>
      <c r="S70" s="72">
        <v>23.5</v>
      </c>
      <c r="T70" s="72">
        <v>2.5</v>
      </c>
      <c r="U70" s="72">
        <v>2.5</v>
      </c>
      <c r="V70" s="72">
        <v>2.5</v>
      </c>
      <c r="W70" s="72">
        <v>2.5</v>
      </c>
      <c r="X70" s="72">
        <v>2.5</v>
      </c>
      <c r="Y70" s="72">
        <v>2.5</v>
      </c>
      <c r="Z70" s="72">
        <v>2.5</v>
      </c>
      <c r="AA70" s="72">
        <v>2.5</v>
      </c>
      <c r="AB70" s="72">
        <v>2.5</v>
      </c>
      <c r="AC70" s="72">
        <v>2.5</v>
      </c>
      <c r="AD70" s="72">
        <v>2.5</v>
      </c>
      <c r="AE70" s="72">
        <v>2.5</v>
      </c>
      <c r="AF70" s="72">
        <v>2.5</v>
      </c>
      <c r="AG70" s="72">
        <v>2.5</v>
      </c>
      <c r="AH70" s="72">
        <v>2.5</v>
      </c>
      <c r="AI70" s="72">
        <v>2.5</v>
      </c>
      <c r="AJ70" s="72">
        <v>2.5</v>
      </c>
      <c r="AK70" s="72">
        <v>2.5</v>
      </c>
      <c r="AL70" s="72">
        <v>2.5</v>
      </c>
      <c r="AM70" s="72">
        <v>2.5</v>
      </c>
      <c r="AN70" s="72">
        <v>2.5</v>
      </c>
      <c r="AO70" s="72">
        <v>2.5</v>
      </c>
      <c r="AP70" s="72">
        <v>2.5</v>
      </c>
      <c r="AQ70" s="72">
        <v>2.5</v>
      </c>
      <c r="AR70" s="72">
        <v>2.5</v>
      </c>
      <c r="AS70" s="72">
        <v>2.5</v>
      </c>
      <c r="AT70" s="72">
        <v>2.5</v>
      </c>
      <c r="AU70" s="72">
        <v>2.5</v>
      </c>
      <c r="AV70" s="72">
        <v>2.5</v>
      </c>
      <c r="AW70" s="72"/>
      <c r="AX70" s="72"/>
      <c r="AY70" s="47">
        <f>SUM(I70:AW70)</f>
        <v>197.6</v>
      </c>
      <c r="AZ70" s="7"/>
    </row>
    <row r="71" spans="1:52" hidden="1" x14ac:dyDescent="0.2">
      <c r="A71" s="70" t="s">
        <v>59</v>
      </c>
      <c r="B71" s="42" t="s">
        <v>90</v>
      </c>
      <c r="C71" s="45"/>
      <c r="D71" s="46" t="s">
        <v>0</v>
      </c>
      <c r="E71" s="39"/>
      <c r="F71" s="39"/>
      <c r="G71" s="39"/>
      <c r="H71" s="39"/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40">
        <v>0</v>
      </c>
      <c r="P71" s="40">
        <v>0</v>
      </c>
      <c r="Q71" s="40">
        <v>15</v>
      </c>
      <c r="R71" s="40">
        <v>0</v>
      </c>
      <c r="S71" s="40">
        <v>0</v>
      </c>
      <c r="T71" s="40">
        <v>12.5</v>
      </c>
      <c r="U71" s="40">
        <v>12.5</v>
      </c>
      <c r="V71" s="40">
        <v>12.5</v>
      </c>
      <c r="W71" s="40">
        <v>12.5</v>
      </c>
      <c r="X71" s="40">
        <v>12.5</v>
      </c>
      <c r="Y71" s="40">
        <v>12.5</v>
      </c>
      <c r="Z71" s="40">
        <v>12.5</v>
      </c>
      <c r="AA71" s="40">
        <v>12.5</v>
      </c>
      <c r="AB71" s="40">
        <v>12.5</v>
      </c>
      <c r="AC71" s="40">
        <v>12.5</v>
      </c>
      <c r="AD71" s="40">
        <v>12.5</v>
      </c>
      <c r="AE71" s="40">
        <v>12.5</v>
      </c>
      <c r="AF71" s="40">
        <v>12.5</v>
      </c>
      <c r="AG71" s="40">
        <v>12.5</v>
      </c>
      <c r="AH71" s="40">
        <v>12.5</v>
      </c>
      <c r="AI71" s="40">
        <v>12.5</v>
      </c>
      <c r="AJ71" s="40">
        <v>12.5</v>
      </c>
      <c r="AK71" s="40">
        <v>12.5</v>
      </c>
      <c r="AL71" s="40">
        <v>12.5</v>
      </c>
      <c r="AM71" s="40">
        <v>12.5</v>
      </c>
      <c r="AN71" s="40">
        <v>12.5</v>
      </c>
      <c r="AO71" s="40">
        <v>12.5</v>
      </c>
      <c r="AP71" s="40">
        <v>12.5</v>
      </c>
      <c r="AQ71" s="40">
        <v>12.5</v>
      </c>
      <c r="AR71" s="40">
        <v>12.5</v>
      </c>
      <c r="AS71" s="40">
        <v>12.5</v>
      </c>
      <c r="AT71" s="40">
        <v>12.5</v>
      </c>
      <c r="AU71" s="40">
        <v>12.5</v>
      </c>
      <c r="AV71" s="40">
        <v>12.5</v>
      </c>
      <c r="AW71" s="40"/>
      <c r="AX71" s="40"/>
      <c r="AY71" s="47">
        <f>SUM(I71:AW71)</f>
        <v>377.5</v>
      </c>
      <c r="AZ71" s="7"/>
    </row>
    <row r="72" spans="1:52" hidden="1" x14ac:dyDescent="0.2">
      <c r="A72" s="70" t="s">
        <v>62</v>
      </c>
      <c r="B72" s="42" t="s">
        <v>91</v>
      </c>
      <c r="C72" s="45"/>
      <c r="D72" s="46" t="s">
        <v>0</v>
      </c>
      <c r="E72" s="39"/>
      <c r="F72" s="39"/>
      <c r="G72" s="39"/>
      <c r="H72" s="39"/>
      <c r="I72" s="39">
        <v>0</v>
      </c>
      <c r="J72" s="39">
        <v>0</v>
      </c>
      <c r="K72" s="39">
        <v>0</v>
      </c>
      <c r="L72" s="39">
        <v>0</v>
      </c>
      <c r="M72" s="39">
        <v>0</v>
      </c>
      <c r="N72" s="39">
        <v>0</v>
      </c>
      <c r="O72" s="40">
        <v>0</v>
      </c>
      <c r="P72" s="40">
        <v>32.5</v>
      </c>
      <c r="Q72" s="40">
        <v>5.5</v>
      </c>
      <c r="R72" s="40">
        <v>32.5</v>
      </c>
      <c r="S72" s="40">
        <v>23.5</v>
      </c>
      <c r="T72" s="40">
        <v>38</v>
      </c>
      <c r="U72" s="40">
        <v>38</v>
      </c>
      <c r="V72" s="40">
        <v>38</v>
      </c>
      <c r="W72" s="40">
        <v>38</v>
      </c>
      <c r="X72" s="40">
        <v>38</v>
      </c>
      <c r="Y72" s="40">
        <v>38</v>
      </c>
      <c r="Z72" s="40">
        <v>38</v>
      </c>
      <c r="AA72" s="40">
        <v>38</v>
      </c>
      <c r="AB72" s="40">
        <v>38</v>
      </c>
      <c r="AC72" s="40">
        <v>38</v>
      </c>
      <c r="AD72" s="40">
        <v>38</v>
      </c>
      <c r="AE72" s="40">
        <v>38</v>
      </c>
      <c r="AF72" s="40">
        <v>38</v>
      </c>
      <c r="AG72" s="40">
        <v>38</v>
      </c>
      <c r="AH72" s="40">
        <v>38</v>
      </c>
      <c r="AI72" s="40">
        <v>38</v>
      </c>
      <c r="AJ72" s="40">
        <v>38</v>
      </c>
      <c r="AK72" s="40">
        <v>38</v>
      </c>
      <c r="AL72" s="40">
        <v>38</v>
      </c>
      <c r="AM72" s="40">
        <v>38</v>
      </c>
      <c r="AN72" s="40">
        <v>38</v>
      </c>
      <c r="AO72" s="40">
        <v>38</v>
      </c>
      <c r="AP72" s="40">
        <v>38</v>
      </c>
      <c r="AQ72" s="40">
        <v>38</v>
      </c>
      <c r="AR72" s="40">
        <v>38</v>
      </c>
      <c r="AS72" s="40">
        <v>38</v>
      </c>
      <c r="AT72" s="40">
        <v>38</v>
      </c>
      <c r="AU72" s="40">
        <v>38</v>
      </c>
      <c r="AV72" s="40">
        <v>38</v>
      </c>
      <c r="AW72" s="40"/>
      <c r="AX72" s="40"/>
      <c r="AY72" s="47">
        <f>SUM(I72:AW72)</f>
        <v>1196</v>
      </c>
      <c r="AZ72" s="7"/>
    </row>
    <row r="73" spans="1:52" hidden="1" x14ac:dyDescent="0.2">
      <c r="A73" s="70" t="s">
        <v>65</v>
      </c>
      <c r="B73" s="42" t="s">
        <v>92</v>
      </c>
      <c r="C73" s="45"/>
      <c r="D73" s="46" t="s">
        <v>0</v>
      </c>
      <c r="E73" s="39"/>
      <c r="F73" s="39"/>
      <c r="G73" s="39"/>
      <c r="H73" s="39"/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40">
        <v>0</v>
      </c>
      <c r="P73" s="40">
        <v>0</v>
      </c>
      <c r="Q73" s="40">
        <v>0</v>
      </c>
      <c r="R73" s="40">
        <v>0</v>
      </c>
      <c r="S73" s="40">
        <v>0</v>
      </c>
      <c r="T73" s="40">
        <v>0</v>
      </c>
      <c r="U73" s="40">
        <v>0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  <c r="AA73" s="40">
        <v>0</v>
      </c>
      <c r="AB73" s="40">
        <v>0</v>
      </c>
      <c r="AC73" s="40">
        <v>0</v>
      </c>
      <c r="AD73" s="40">
        <v>0</v>
      </c>
      <c r="AE73" s="40">
        <v>0</v>
      </c>
      <c r="AF73" s="40">
        <v>0</v>
      </c>
      <c r="AG73" s="40">
        <v>0</v>
      </c>
      <c r="AH73" s="40">
        <v>0</v>
      </c>
      <c r="AI73" s="40">
        <v>0</v>
      </c>
      <c r="AJ73" s="40">
        <v>0</v>
      </c>
      <c r="AK73" s="40">
        <v>0</v>
      </c>
      <c r="AL73" s="40">
        <v>0</v>
      </c>
      <c r="AM73" s="40">
        <v>0</v>
      </c>
      <c r="AN73" s="40">
        <v>0</v>
      </c>
      <c r="AO73" s="40">
        <v>0</v>
      </c>
      <c r="AP73" s="40">
        <v>0</v>
      </c>
      <c r="AQ73" s="40">
        <v>0</v>
      </c>
      <c r="AR73" s="40">
        <v>0</v>
      </c>
      <c r="AS73" s="40">
        <v>0</v>
      </c>
      <c r="AT73" s="40">
        <v>0</v>
      </c>
      <c r="AU73" s="40">
        <v>0</v>
      </c>
      <c r="AV73" s="40">
        <v>0</v>
      </c>
      <c r="AW73" s="40"/>
      <c r="AX73" s="40"/>
      <c r="AY73" s="47">
        <f>SUM(I73:AW73)</f>
        <v>0</v>
      </c>
      <c r="AZ73" s="7"/>
    </row>
    <row r="74" spans="1:52" hidden="1" x14ac:dyDescent="0.2">
      <c r="A74" s="73"/>
      <c r="B74" s="42" t="s">
        <v>94</v>
      </c>
      <c r="C74" s="45"/>
      <c r="D74" s="46" t="s">
        <v>0</v>
      </c>
      <c r="E74" s="74">
        <f t="shared" ref="E74:AY74" si="23">SUM(E70:E73)</f>
        <v>0</v>
      </c>
      <c r="F74" s="74">
        <f t="shared" si="23"/>
        <v>0</v>
      </c>
      <c r="G74" s="74">
        <f t="shared" si="23"/>
        <v>0</v>
      </c>
      <c r="H74" s="74">
        <f t="shared" si="23"/>
        <v>0</v>
      </c>
      <c r="I74" s="74">
        <f t="shared" si="23"/>
        <v>1.6</v>
      </c>
      <c r="J74" s="74">
        <f t="shared" si="23"/>
        <v>3.5</v>
      </c>
      <c r="K74" s="74">
        <f t="shared" si="23"/>
        <v>12</v>
      </c>
      <c r="L74" s="74">
        <f t="shared" ref="L74" si="24">SUM(L70:L73)</f>
        <v>26.5</v>
      </c>
      <c r="M74" s="74">
        <f t="shared" si="23"/>
        <v>12</v>
      </c>
      <c r="N74" s="74">
        <f t="shared" ref="N74:T74" si="25">SUM(N70:N73)</f>
        <v>17.5</v>
      </c>
      <c r="O74" s="74">
        <f t="shared" si="25"/>
        <v>26</v>
      </c>
      <c r="P74" s="74">
        <f t="shared" si="25"/>
        <v>35</v>
      </c>
      <c r="Q74" s="74">
        <f t="shared" ref="Q74" si="26">SUM(Q70:Q73)</f>
        <v>20.5</v>
      </c>
      <c r="R74" s="74">
        <f t="shared" si="25"/>
        <v>32.5</v>
      </c>
      <c r="S74" s="74">
        <f t="shared" si="25"/>
        <v>47</v>
      </c>
      <c r="T74" s="74">
        <f t="shared" si="25"/>
        <v>53</v>
      </c>
      <c r="U74" s="74">
        <f t="shared" ref="U74:V74" si="27">SUM(U70:U73)</f>
        <v>53</v>
      </c>
      <c r="V74" s="74">
        <f t="shared" si="27"/>
        <v>53</v>
      </c>
      <c r="W74" s="74">
        <f t="shared" ref="W74" si="28">SUM(W70:W73)</f>
        <v>53</v>
      </c>
      <c r="X74" s="74">
        <f t="shared" ref="X74" si="29">SUM(X70:X73)</f>
        <v>53</v>
      </c>
      <c r="Y74" s="74">
        <f t="shared" ref="Y74" si="30">SUM(Y70:Y73)</f>
        <v>53</v>
      </c>
      <c r="Z74" s="74">
        <f t="shared" ref="Z74" si="31">SUM(Z70:Z73)</f>
        <v>53</v>
      </c>
      <c r="AA74" s="74">
        <f t="shared" ref="AA74" si="32">SUM(AA70:AA73)</f>
        <v>53</v>
      </c>
      <c r="AB74" s="74">
        <f t="shared" ref="AB74" si="33">SUM(AB70:AB73)</f>
        <v>53</v>
      </c>
      <c r="AC74" s="74">
        <f t="shared" ref="AC74" si="34">SUM(AC70:AC73)</f>
        <v>53</v>
      </c>
      <c r="AD74" s="74">
        <f t="shared" ref="AD74" si="35">SUM(AD70:AD73)</f>
        <v>53</v>
      </c>
      <c r="AE74" s="74">
        <f t="shared" ref="AE74" si="36">SUM(AE70:AE73)</f>
        <v>53</v>
      </c>
      <c r="AF74" s="74">
        <f t="shared" ref="AF74:AJ74" si="37">SUM(AF70:AF73)</f>
        <v>53</v>
      </c>
      <c r="AG74" s="74">
        <f t="shared" si="37"/>
        <v>53</v>
      </c>
      <c r="AH74" s="74">
        <f t="shared" si="37"/>
        <v>53</v>
      </c>
      <c r="AI74" s="74">
        <f t="shared" si="37"/>
        <v>53</v>
      </c>
      <c r="AJ74" s="74">
        <f t="shared" si="37"/>
        <v>53</v>
      </c>
      <c r="AK74" s="74">
        <f t="shared" ref="AK74" si="38">SUM(AK70:AK73)</f>
        <v>53</v>
      </c>
      <c r="AL74" s="74">
        <f t="shared" ref="AL74" si="39">SUM(AL70:AL73)</f>
        <v>53</v>
      </c>
      <c r="AM74" s="74">
        <f t="shared" ref="AM74" si="40">SUM(AM70:AM73)</f>
        <v>53</v>
      </c>
      <c r="AN74" s="74">
        <f t="shared" ref="AN74" si="41">SUM(AN70:AN73)</f>
        <v>53</v>
      </c>
      <c r="AO74" s="74">
        <f t="shared" ref="AO74" si="42">SUM(AO70:AO73)</f>
        <v>53</v>
      </c>
      <c r="AP74" s="74">
        <f t="shared" ref="AP74" si="43">SUM(AP70:AP73)</f>
        <v>53</v>
      </c>
      <c r="AQ74" s="74">
        <f t="shared" ref="AQ74" si="44">SUM(AQ70:AQ73)</f>
        <v>53</v>
      </c>
      <c r="AR74" s="74">
        <f t="shared" ref="AR74" si="45">SUM(AR70:AR73)</f>
        <v>53</v>
      </c>
      <c r="AS74" s="74">
        <f t="shared" ref="AS74" si="46">SUM(AS70:AS73)</f>
        <v>53</v>
      </c>
      <c r="AT74" s="74">
        <f t="shared" ref="AT74:AV74" si="47">SUM(AT70:AT73)</f>
        <v>53</v>
      </c>
      <c r="AU74" s="74">
        <f t="shared" si="47"/>
        <v>53</v>
      </c>
      <c r="AV74" s="74">
        <f t="shared" si="47"/>
        <v>53</v>
      </c>
      <c r="AW74" s="76"/>
      <c r="AX74" s="76"/>
      <c r="AY74" s="59">
        <f t="shared" si="23"/>
        <v>1771.1</v>
      </c>
      <c r="AZ74" s="7"/>
    </row>
    <row r="75" spans="1:52" hidden="1" x14ac:dyDescent="0.2">
      <c r="A75" s="73"/>
      <c r="B75" s="65" t="s">
        <v>88</v>
      </c>
      <c r="C75" s="66"/>
      <c r="D75" s="62"/>
      <c r="E75" s="62"/>
      <c r="F75" s="62"/>
      <c r="G75" s="62"/>
      <c r="H75" s="62"/>
      <c r="I75" s="217"/>
      <c r="J75" s="218"/>
      <c r="K75" s="218"/>
      <c r="L75" s="218"/>
      <c r="M75" s="219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75" t="s">
        <v>88</v>
      </c>
      <c r="AZ75" s="7"/>
    </row>
    <row r="76" spans="1:52" hidden="1" x14ac:dyDescent="0.2">
      <c r="A76" s="70" t="s">
        <v>56</v>
      </c>
      <c r="B76" s="42" t="s">
        <v>89</v>
      </c>
      <c r="C76" s="45"/>
      <c r="D76" s="46" t="s">
        <v>0</v>
      </c>
      <c r="E76" s="39"/>
      <c r="F76" s="39"/>
      <c r="G76" s="39"/>
      <c r="H76" s="39"/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0">
        <v>0</v>
      </c>
      <c r="AJ76" s="40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/>
      <c r="AX76" s="40"/>
      <c r="AY76" s="47">
        <f>SUM(E76:M76)</f>
        <v>0</v>
      </c>
      <c r="AZ76" s="7"/>
    </row>
    <row r="77" spans="1:52" hidden="1" x14ac:dyDescent="0.2">
      <c r="A77" s="70" t="s">
        <v>59</v>
      </c>
      <c r="B77" s="42" t="s">
        <v>90</v>
      </c>
      <c r="C77" s="45"/>
      <c r="D77" s="46" t="s">
        <v>0</v>
      </c>
      <c r="E77" s="39"/>
      <c r="F77" s="39"/>
      <c r="G77" s="39"/>
      <c r="H77" s="39"/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40">
        <v>0</v>
      </c>
      <c r="P77" s="40">
        <v>0</v>
      </c>
      <c r="Q77" s="40">
        <v>0</v>
      </c>
      <c r="R77" s="40">
        <v>0</v>
      </c>
      <c r="S77" s="40">
        <v>0</v>
      </c>
      <c r="T77" s="40">
        <v>0</v>
      </c>
      <c r="U77" s="40">
        <v>0</v>
      </c>
      <c r="V77" s="40">
        <v>0</v>
      </c>
      <c r="W77" s="40">
        <v>0</v>
      </c>
      <c r="X77" s="40">
        <v>0</v>
      </c>
      <c r="Y77" s="40">
        <v>0</v>
      </c>
      <c r="Z77" s="40">
        <v>0</v>
      </c>
      <c r="AA77" s="40">
        <v>0</v>
      </c>
      <c r="AB77" s="40">
        <v>0</v>
      </c>
      <c r="AC77" s="40">
        <v>0</v>
      </c>
      <c r="AD77" s="40">
        <v>0</v>
      </c>
      <c r="AE77" s="40">
        <v>0</v>
      </c>
      <c r="AF77" s="40">
        <v>0</v>
      </c>
      <c r="AG77" s="40">
        <v>0</v>
      </c>
      <c r="AH77" s="40">
        <v>0</v>
      </c>
      <c r="AI77" s="40">
        <v>0</v>
      </c>
      <c r="AJ77" s="40">
        <v>0</v>
      </c>
      <c r="AK77" s="40">
        <v>0</v>
      </c>
      <c r="AL77" s="40">
        <v>0</v>
      </c>
      <c r="AM77" s="40">
        <v>0</v>
      </c>
      <c r="AN77" s="40">
        <v>0</v>
      </c>
      <c r="AO77" s="40">
        <v>0</v>
      </c>
      <c r="AP77" s="40">
        <v>0</v>
      </c>
      <c r="AQ77" s="40">
        <v>0</v>
      </c>
      <c r="AR77" s="40">
        <v>0</v>
      </c>
      <c r="AS77" s="40">
        <v>0</v>
      </c>
      <c r="AT77" s="40">
        <v>0</v>
      </c>
      <c r="AU77" s="40">
        <v>0</v>
      </c>
      <c r="AV77" s="40">
        <v>0</v>
      </c>
      <c r="AW77" s="40"/>
      <c r="AX77" s="40"/>
      <c r="AY77" s="47">
        <f>SUM(E77:M77)</f>
        <v>0</v>
      </c>
      <c r="AZ77" s="7"/>
    </row>
    <row r="78" spans="1:52" hidden="1" x14ac:dyDescent="0.2">
      <c r="A78" s="70" t="s">
        <v>62</v>
      </c>
      <c r="B78" s="42" t="s">
        <v>91</v>
      </c>
      <c r="C78" s="45"/>
      <c r="D78" s="46" t="s">
        <v>0</v>
      </c>
      <c r="E78" s="39"/>
      <c r="F78" s="39"/>
      <c r="G78" s="39"/>
      <c r="H78" s="39"/>
      <c r="I78" s="39">
        <v>0</v>
      </c>
      <c r="J78" s="39">
        <v>0</v>
      </c>
      <c r="K78" s="39">
        <v>0</v>
      </c>
      <c r="L78" s="39">
        <v>0</v>
      </c>
      <c r="M78" s="39">
        <v>0</v>
      </c>
      <c r="N78" s="39">
        <v>0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T78" s="40">
        <v>0</v>
      </c>
      <c r="U78" s="40">
        <v>0</v>
      </c>
      <c r="V78" s="40">
        <v>0</v>
      </c>
      <c r="W78" s="40">
        <v>0</v>
      </c>
      <c r="X78" s="40">
        <v>0</v>
      </c>
      <c r="Y78" s="40">
        <v>0</v>
      </c>
      <c r="Z78" s="40">
        <v>0</v>
      </c>
      <c r="AA78" s="40">
        <v>0</v>
      </c>
      <c r="AB78" s="40">
        <v>0</v>
      </c>
      <c r="AC78" s="40">
        <v>0</v>
      </c>
      <c r="AD78" s="40">
        <v>0</v>
      </c>
      <c r="AE78" s="40">
        <v>0</v>
      </c>
      <c r="AF78" s="40">
        <v>0</v>
      </c>
      <c r="AG78" s="40">
        <v>0</v>
      </c>
      <c r="AH78" s="40">
        <v>0</v>
      </c>
      <c r="AI78" s="40">
        <v>0</v>
      </c>
      <c r="AJ78" s="40">
        <v>0</v>
      </c>
      <c r="AK78" s="40">
        <v>0</v>
      </c>
      <c r="AL78" s="40">
        <v>0</v>
      </c>
      <c r="AM78" s="40">
        <v>0</v>
      </c>
      <c r="AN78" s="40">
        <v>0</v>
      </c>
      <c r="AO78" s="40">
        <v>0</v>
      </c>
      <c r="AP78" s="40">
        <v>0</v>
      </c>
      <c r="AQ78" s="40">
        <v>0</v>
      </c>
      <c r="AR78" s="40">
        <v>0</v>
      </c>
      <c r="AS78" s="40">
        <v>0</v>
      </c>
      <c r="AT78" s="40">
        <v>0</v>
      </c>
      <c r="AU78" s="40">
        <v>0</v>
      </c>
      <c r="AV78" s="40">
        <v>0</v>
      </c>
      <c r="AW78" s="40"/>
      <c r="AX78" s="40"/>
      <c r="AY78" s="47">
        <f>SUM(E78:M78)</f>
        <v>0</v>
      </c>
      <c r="AZ78" s="7"/>
    </row>
    <row r="79" spans="1:52" hidden="1" x14ac:dyDescent="0.2">
      <c r="A79" s="70" t="s">
        <v>65</v>
      </c>
      <c r="B79" s="42" t="s">
        <v>92</v>
      </c>
      <c r="C79" s="45"/>
      <c r="D79" s="46" t="s">
        <v>0</v>
      </c>
      <c r="E79" s="39"/>
      <c r="F79" s="39"/>
      <c r="G79" s="39"/>
      <c r="H79" s="39"/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40">
        <v>0</v>
      </c>
      <c r="P79" s="40">
        <v>0</v>
      </c>
      <c r="Q79" s="40">
        <v>0</v>
      </c>
      <c r="R79" s="40">
        <v>0</v>
      </c>
      <c r="S79" s="40">
        <v>0</v>
      </c>
      <c r="T79" s="40">
        <v>0</v>
      </c>
      <c r="U79" s="40">
        <v>0</v>
      </c>
      <c r="V79" s="40">
        <v>0</v>
      </c>
      <c r="W79" s="40">
        <v>0</v>
      </c>
      <c r="X79" s="40">
        <v>0</v>
      </c>
      <c r="Y79" s="40">
        <v>0</v>
      </c>
      <c r="Z79" s="40">
        <v>0</v>
      </c>
      <c r="AA79" s="40">
        <v>0</v>
      </c>
      <c r="AB79" s="40">
        <v>0</v>
      </c>
      <c r="AC79" s="40">
        <v>0</v>
      </c>
      <c r="AD79" s="40">
        <v>0</v>
      </c>
      <c r="AE79" s="40">
        <v>0</v>
      </c>
      <c r="AF79" s="40">
        <v>0</v>
      </c>
      <c r="AG79" s="40">
        <v>0</v>
      </c>
      <c r="AH79" s="40">
        <v>0</v>
      </c>
      <c r="AI79" s="40">
        <v>0</v>
      </c>
      <c r="AJ79" s="40">
        <v>0</v>
      </c>
      <c r="AK79" s="40">
        <v>0</v>
      </c>
      <c r="AL79" s="40">
        <v>0</v>
      </c>
      <c r="AM79" s="40">
        <v>0</v>
      </c>
      <c r="AN79" s="40">
        <v>0</v>
      </c>
      <c r="AO79" s="40">
        <v>0</v>
      </c>
      <c r="AP79" s="40">
        <v>0</v>
      </c>
      <c r="AQ79" s="40">
        <v>0</v>
      </c>
      <c r="AR79" s="40">
        <v>0</v>
      </c>
      <c r="AS79" s="40">
        <v>0</v>
      </c>
      <c r="AT79" s="40">
        <v>0</v>
      </c>
      <c r="AU79" s="40">
        <v>0</v>
      </c>
      <c r="AV79" s="40">
        <v>0</v>
      </c>
      <c r="AW79" s="40"/>
      <c r="AX79" s="40"/>
      <c r="AY79" s="47">
        <f>SUM(E79:M79)</f>
        <v>0</v>
      </c>
      <c r="AZ79" s="7"/>
    </row>
    <row r="80" spans="1:52" hidden="1" x14ac:dyDescent="0.2">
      <c r="A80" s="70" t="s">
        <v>66</v>
      </c>
      <c r="B80" s="42" t="s">
        <v>178</v>
      </c>
      <c r="C80" s="45"/>
      <c r="D80" s="46" t="s">
        <v>0</v>
      </c>
      <c r="E80" s="39"/>
      <c r="F80" s="39"/>
      <c r="G80" s="39"/>
      <c r="H80" s="39"/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T80" s="40">
        <v>0</v>
      </c>
      <c r="U80" s="40">
        <v>0</v>
      </c>
      <c r="V80" s="40">
        <v>0</v>
      </c>
      <c r="W80" s="40">
        <v>0</v>
      </c>
      <c r="X80" s="40">
        <v>0</v>
      </c>
      <c r="Y80" s="40">
        <v>0</v>
      </c>
      <c r="Z80" s="40">
        <v>0</v>
      </c>
      <c r="AA80" s="40">
        <v>0</v>
      </c>
      <c r="AB80" s="40">
        <v>0</v>
      </c>
      <c r="AC80" s="40">
        <v>0</v>
      </c>
      <c r="AD80" s="40">
        <v>0</v>
      </c>
      <c r="AE80" s="40">
        <v>0</v>
      </c>
      <c r="AF80" s="40">
        <v>0</v>
      </c>
      <c r="AG80" s="40">
        <v>0</v>
      </c>
      <c r="AH80" s="40">
        <v>0</v>
      </c>
      <c r="AI80" s="40">
        <v>0</v>
      </c>
      <c r="AJ80" s="40">
        <v>0</v>
      </c>
      <c r="AK80" s="40">
        <v>0</v>
      </c>
      <c r="AL80" s="40">
        <v>0</v>
      </c>
      <c r="AM80" s="40">
        <v>0</v>
      </c>
      <c r="AN80" s="40">
        <v>0</v>
      </c>
      <c r="AO80" s="40">
        <v>0</v>
      </c>
      <c r="AP80" s="40">
        <v>0</v>
      </c>
      <c r="AQ80" s="40">
        <v>0</v>
      </c>
      <c r="AR80" s="40">
        <v>0</v>
      </c>
      <c r="AS80" s="40">
        <v>0</v>
      </c>
      <c r="AT80" s="40">
        <v>0</v>
      </c>
      <c r="AU80" s="40">
        <v>0</v>
      </c>
      <c r="AV80" s="40">
        <v>0</v>
      </c>
      <c r="AW80" s="40"/>
      <c r="AX80" s="40"/>
      <c r="AY80" s="47">
        <f>SUM(E80:M80)</f>
        <v>0</v>
      </c>
      <c r="AZ80" s="7"/>
    </row>
    <row r="81" spans="1:51" hidden="1" x14ac:dyDescent="0.2">
      <c r="A81" s="73"/>
      <c r="B81" s="42" t="s">
        <v>94</v>
      </c>
      <c r="C81" s="45"/>
      <c r="D81" s="46" t="s">
        <v>0</v>
      </c>
      <c r="E81" s="74">
        <f t="shared" ref="E81:AY81" si="48">SUM(E76:E80)</f>
        <v>0</v>
      </c>
      <c r="F81" s="74">
        <f t="shared" si="48"/>
        <v>0</v>
      </c>
      <c r="G81" s="74">
        <f t="shared" si="48"/>
        <v>0</v>
      </c>
      <c r="H81" s="74">
        <f t="shared" si="48"/>
        <v>0</v>
      </c>
      <c r="I81" s="74">
        <f t="shared" si="48"/>
        <v>0</v>
      </c>
      <c r="J81" s="74">
        <f t="shared" si="48"/>
        <v>0</v>
      </c>
      <c r="K81" s="74">
        <f t="shared" si="48"/>
        <v>0</v>
      </c>
      <c r="L81" s="74">
        <f t="shared" ref="L81" si="49">SUM(L76:L80)</f>
        <v>0</v>
      </c>
      <c r="M81" s="74">
        <f t="shared" si="48"/>
        <v>0</v>
      </c>
      <c r="N81" s="74">
        <f t="shared" ref="N81:O81" si="50">SUM(N76:N80)</f>
        <v>0</v>
      </c>
      <c r="O81" s="74">
        <f t="shared" si="50"/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6">
        <v>0</v>
      </c>
      <c r="AG81" s="76">
        <v>0</v>
      </c>
      <c r="AH81" s="76">
        <v>0</v>
      </c>
      <c r="AI81" s="76">
        <v>0</v>
      </c>
      <c r="AJ81" s="76">
        <v>0</v>
      </c>
      <c r="AK81" s="76">
        <v>0</v>
      </c>
      <c r="AL81" s="76">
        <v>0</v>
      </c>
      <c r="AM81" s="76">
        <v>0</v>
      </c>
      <c r="AN81" s="76">
        <v>0</v>
      </c>
      <c r="AO81" s="76">
        <v>0</v>
      </c>
      <c r="AP81" s="76">
        <v>0</v>
      </c>
      <c r="AQ81" s="76">
        <v>0</v>
      </c>
      <c r="AR81" s="76">
        <v>0</v>
      </c>
      <c r="AS81" s="76">
        <v>0</v>
      </c>
      <c r="AT81" s="76">
        <v>0</v>
      </c>
      <c r="AU81" s="76">
        <v>0</v>
      </c>
      <c r="AV81" s="76">
        <v>0</v>
      </c>
      <c r="AW81" s="76"/>
      <c r="AX81" s="76"/>
      <c r="AY81" s="47">
        <f t="shared" si="48"/>
        <v>0</v>
      </c>
    </row>
    <row r="82" spans="1:51" hidden="1" x14ac:dyDescent="0.2">
      <c r="A82" s="73"/>
      <c r="B82" s="42" t="s">
        <v>95</v>
      </c>
      <c r="C82" s="45"/>
      <c r="D82" s="46" t="s">
        <v>0</v>
      </c>
      <c r="E82" s="74">
        <f t="shared" ref="E82:AY82" si="51">E74+E81</f>
        <v>0</v>
      </c>
      <c r="F82" s="74">
        <f t="shared" si="51"/>
        <v>0</v>
      </c>
      <c r="G82" s="74">
        <f t="shared" si="51"/>
        <v>0</v>
      </c>
      <c r="H82" s="74">
        <f t="shared" si="51"/>
        <v>0</v>
      </c>
      <c r="I82" s="74">
        <f t="shared" si="51"/>
        <v>1.6</v>
      </c>
      <c r="J82" s="74">
        <f t="shared" si="51"/>
        <v>3.5</v>
      </c>
      <c r="K82" s="74">
        <f t="shared" si="51"/>
        <v>12</v>
      </c>
      <c r="L82" s="74">
        <f t="shared" ref="L82" si="52">L74+L81</f>
        <v>26.5</v>
      </c>
      <c r="M82" s="74">
        <f t="shared" si="51"/>
        <v>12</v>
      </c>
      <c r="N82" s="74">
        <f t="shared" ref="N82:T82" si="53">N74+N81</f>
        <v>17.5</v>
      </c>
      <c r="O82" s="74">
        <f t="shared" si="53"/>
        <v>26</v>
      </c>
      <c r="P82" s="74">
        <f t="shared" si="53"/>
        <v>35</v>
      </c>
      <c r="Q82" s="74">
        <f t="shared" ref="Q82" si="54">Q74+Q81</f>
        <v>20.5</v>
      </c>
      <c r="R82" s="74">
        <f t="shared" si="53"/>
        <v>32.5</v>
      </c>
      <c r="S82" s="74">
        <f t="shared" si="53"/>
        <v>47</v>
      </c>
      <c r="T82" s="74">
        <f t="shared" si="53"/>
        <v>53</v>
      </c>
      <c r="U82" s="74">
        <f t="shared" ref="U82:V82" si="55">U74+U81</f>
        <v>53</v>
      </c>
      <c r="V82" s="74">
        <f t="shared" si="55"/>
        <v>53</v>
      </c>
      <c r="W82" s="74">
        <f t="shared" ref="W82" si="56">W74+W81</f>
        <v>53</v>
      </c>
      <c r="X82" s="74">
        <f t="shared" ref="X82" si="57">X74+X81</f>
        <v>53</v>
      </c>
      <c r="Y82" s="74">
        <f t="shared" ref="Y82" si="58">Y74+Y81</f>
        <v>53</v>
      </c>
      <c r="Z82" s="74">
        <f t="shared" ref="Z82" si="59">Z74+Z81</f>
        <v>53</v>
      </c>
      <c r="AA82" s="74">
        <f t="shared" ref="AA82" si="60">AA74+AA81</f>
        <v>53</v>
      </c>
      <c r="AB82" s="74">
        <f t="shared" ref="AB82" si="61">AB74+AB81</f>
        <v>53</v>
      </c>
      <c r="AC82" s="74">
        <f t="shared" ref="AC82" si="62">AC74+AC81</f>
        <v>53</v>
      </c>
      <c r="AD82" s="74">
        <f t="shared" ref="AD82" si="63">AD74+AD81</f>
        <v>53</v>
      </c>
      <c r="AE82" s="74">
        <f t="shared" ref="AE82" si="64">AE74+AE81</f>
        <v>53</v>
      </c>
      <c r="AF82" s="74">
        <f t="shared" ref="AF82:AJ82" si="65">AF74+AF81</f>
        <v>53</v>
      </c>
      <c r="AG82" s="74">
        <f t="shared" si="65"/>
        <v>53</v>
      </c>
      <c r="AH82" s="74">
        <f t="shared" si="65"/>
        <v>53</v>
      </c>
      <c r="AI82" s="74">
        <f t="shared" si="65"/>
        <v>53</v>
      </c>
      <c r="AJ82" s="74">
        <f t="shared" si="65"/>
        <v>53</v>
      </c>
      <c r="AK82" s="74">
        <f t="shared" ref="AK82" si="66">AK74+AK81</f>
        <v>53</v>
      </c>
      <c r="AL82" s="74">
        <f t="shared" ref="AL82" si="67">AL74+AL81</f>
        <v>53</v>
      </c>
      <c r="AM82" s="74">
        <f t="shared" ref="AM82" si="68">AM74+AM81</f>
        <v>53</v>
      </c>
      <c r="AN82" s="74">
        <f t="shared" ref="AN82" si="69">AN74+AN81</f>
        <v>53</v>
      </c>
      <c r="AO82" s="74">
        <f t="shared" ref="AO82" si="70">AO74+AO81</f>
        <v>53</v>
      </c>
      <c r="AP82" s="74">
        <f t="shared" ref="AP82" si="71">AP74+AP81</f>
        <v>53</v>
      </c>
      <c r="AQ82" s="74">
        <f t="shared" ref="AQ82" si="72">AQ74+AQ81</f>
        <v>53</v>
      </c>
      <c r="AR82" s="74">
        <f t="shared" ref="AR82" si="73">AR74+AR81</f>
        <v>53</v>
      </c>
      <c r="AS82" s="74">
        <f t="shared" ref="AS82" si="74">AS74+AS81</f>
        <v>53</v>
      </c>
      <c r="AT82" s="74">
        <f t="shared" ref="AT82:AV82" si="75">AT74+AT81</f>
        <v>53</v>
      </c>
      <c r="AU82" s="74">
        <f t="shared" si="75"/>
        <v>53</v>
      </c>
      <c r="AV82" s="74">
        <f t="shared" si="75"/>
        <v>53</v>
      </c>
      <c r="AW82" s="76"/>
      <c r="AX82" s="76"/>
      <c r="AY82" s="47">
        <f t="shared" si="51"/>
        <v>1771.1</v>
      </c>
    </row>
    <row r="83" spans="1:51" ht="21" hidden="1" thickBot="1" x14ac:dyDescent="0.25">
      <c r="A83" s="77"/>
      <c r="B83" s="78" t="s">
        <v>3</v>
      </c>
      <c r="C83" s="79"/>
      <c r="D83" s="80" t="s">
        <v>96</v>
      </c>
      <c r="E83" s="81">
        <f>E87</f>
        <v>0</v>
      </c>
      <c r="F83" s="81">
        <f t="shared" ref="F83:M83" si="76">F87</f>
        <v>0</v>
      </c>
      <c r="G83" s="81">
        <v>12.5</v>
      </c>
      <c r="H83" s="81">
        <f t="shared" si="76"/>
        <v>0</v>
      </c>
      <c r="I83" s="81">
        <f t="shared" si="76"/>
        <v>26</v>
      </c>
      <c r="J83" s="81">
        <f t="shared" si="76"/>
        <v>17</v>
      </c>
      <c r="K83" s="81">
        <f t="shared" si="76"/>
        <v>17</v>
      </c>
      <c r="L83" s="81">
        <f t="shared" ref="L83" si="77">L87</f>
        <v>17</v>
      </c>
      <c r="M83" s="81">
        <f t="shared" si="76"/>
        <v>17</v>
      </c>
      <c r="N83" s="81">
        <f t="shared" ref="N83:R83" si="78">N87</f>
        <v>15</v>
      </c>
      <c r="O83" s="81">
        <f t="shared" si="78"/>
        <v>15</v>
      </c>
      <c r="P83" s="81">
        <f t="shared" si="78"/>
        <v>15</v>
      </c>
      <c r="Q83" s="81">
        <f t="shared" si="78"/>
        <v>13.2</v>
      </c>
      <c r="R83" s="81" t="e">
        <f t="shared" si="78"/>
        <v>#REF!</v>
      </c>
      <c r="S83" s="81" t="e">
        <f t="shared" ref="S83:T83" si="79">S87</f>
        <v>#REF!</v>
      </c>
      <c r="T83" s="81" t="e">
        <f t="shared" si="79"/>
        <v>#REF!</v>
      </c>
      <c r="U83" s="81" t="e">
        <f t="shared" ref="U83:V83" si="80">U87</f>
        <v>#REF!</v>
      </c>
      <c r="V83" s="81" t="e">
        <f t="shared" si="80"/>
        <v>#REF!</v>
      </c>
      <c r="W83" s="81" t="e">
        <f t="shared" ref="W83" si="81">W87</f>
        <v>#REF!</v>
      </c>
      <c r="X83" s="81" t="e">
        <f t="shared" ref="X83" si="82">X87</f>
        <v>#REF!</v>
      </c>
      <c r="Y83" s="81" t="e">
        <f t="shared" ref="Y83" si="83">Y87</f>
        <v>#REF!</v>
      </c>
      <c r="Z83" s="81" t="e">
        <f t="shared" ref="Z83" si="84">Z87</f>
        <v>#REF!</v>
      </c>
      <c r="AA83" s="81" t="e">
        <f t="shared" ref="AA83" si="85">AA87</f>
        <v>#REF!</v>
      </c>
      <c r="AB83" s="81" t="e">
        <f t="shared" ref="AB83" si="86">AB87</f>
        <v>#REF!</v>
      </c>
      <c r="AC83" s="81" t="e">
        <f t="shared" ref="AC83" si="87">AC87</f>
        <v>#REF!</v>
      </c>
      <c r="AD83" s="81" t="e">
        <f t="shared" ref="AD83" si="88">AD87</f>
        <v>#REF!</v>
      </c>
      <c r="AE83" s="81" t="e">
        <f t="shared" ref="AE83" si="89">AE87</f>
        <v>#REF!</v>
      </c>
      <c r="AF83" s="81" t="e">
        <f t="shared" ref="AF83:AJ83" si="90">AF87</f>
        <v>#REF!</v>
      </c>
      <c r="AG83" s="81" t="e">
        <f t="shared" si="90"/>
        <v>#REF!</v>
      </c>
      <c r="AH83" s="81" t="e">
        <f t="shared" si="90"/>
        <v>#REF!</v>
      </c>
      <c r="AI83" s="81" t="e">
        <f t="shared" si="90"/>
        <v>#REF!</v>
      </c>
      <c r="AJ83" s="81" t="e">
        <f t="shared" si="90"/>
        <v>#REF!</v>
      </c>
      <c r="AK83" s="81" t="e">
        <f t="shared" ref="AK83" si="91">AK87</f>
        <v>#REF!</v>
      </c>
      <c r="AL83" s="81" t="e">
        <f t="shared" ref="AL83" si="92">AL87</f>
        <v>#REF!</v>
      </c>
      <c r="AM83" s="81" t="e">
        <f t="shared" ref="AM83" si="93">AM87</f>
        <v>#REF!</v>
      </c>
      <c r="AN83" s="81" t="e">
        <f t="shared" ref="AN83" si="94">AN87</f>
        <v>#REF!</v>
      </c>
      <c r="AO83" s="81" t="e">
        <f t="shared" ref="AO83" si="95">AO87</f>
        <v>#REF!</v>
      </c>
      <c r="AP83" s="81" t="e">
        <f t="shared" ref="AP83" si="96">AP87</f>
        <v>#REF!</v>
      </c>
      <c r="AQ83" s="81" t="e">
        <f t="shared" ref="AQ83" si="97">AQ87</f>
        <v>#REF!</v>
      </c>
      <c r="AR83" s="81" t="e">
        <f t="shared" ref="AR83" si="98">AR87</f>
        <v>#REF!</v>
      </c>
      <c r="AS83" s="81" t="e">
        <f t="shared" ref="AS83" si="99">AS87</f>
        <v>#REF!</v>
      </c>
      <c r="AT83" s="81" t="e">
        <f t="shared" ref="AT83:AV83" si="100">AT87</f>
        <v>#REF!</v>
      </c>
      <c r="AU83" s="81" t="e">
        <f t="shared" si="100"/>
        <v>#REF!</v>
      </c>
      <c r="AV83" s="81" t="e">
        <f t="shared" si="100"/>
        <v>#REF!</v>
      </c>
      <c r="AW83" s="86"/>
      <c r="AX83" s="86"/>
      <c r="AY83" s="82">
        <f>+AY87</f>
        <v>16.911111111111111</v>
      </c>
    </row>
    <row r="84" spans="1:51" ht="21" hidden="1" thickBot="1" x14ac:dyDescent="0.25">
      <c r="A84" s="83"/>
      <c r="B84" s="84"/>
      <c r="C84" s="85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6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7"/>
    </row>
    <row r="85" spans="1:51" hidden="1" x14ac:dyDescent="0.2">
      <c r="A85" s="88" t="s">
        <v>97</v>
      </c>
      <c r="B85" s="89" t="s">
        <v>98</v>
      </c>
      <c r="C85" s="89"/>
      <c r="D85" s="90"/>
      <c r="E85" s="90"/>
      <c r="F85" s="91" t="s">
        <v>177</v>
      </c>
      <c r="G85" s="90"/>
      <c r="H85" s="90"/>
      <c r="I85" s="90"/>
      <c r="J85" s="90"/>
      <c r="K85" s="90"/>
      <c r="L85" s="90"/>
      <c r="M85" s="90"/>
      <c r="N85" s="90"/>
      <c r="O85" s="92"/>
      <c r="P85" s="92"/>
      <c r="Q85" s="92"/>
      <c r="R85" s="92"/>
      <c r="S85" s="92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  <c r="AQ85" s="93"/>
      <c r="AR85" s="93"/>
      <c r="AS85" s="93"/>
      <c r="AT85" s="93"/>
      <c r="AU85" s="93"/>
      <c r="AV85" s="93"/>
      <c r="AW85" s="103"/>
      <c r="AX85" s="103"/>
      <c r="AY85" s="84"/>
    </row>
    <row r="86" spans="1:51" hidden="1" x14ac:dyDescent="0.2">
      <c r="A86" s="43"/>
      <c r="B86" s="62"/>
      <c r="C86" s="94"/>
      <c r="D86" s="46" t="s">
        <v>41</v>
      </c>
      <c r="E86" s="46">
        <v>1</v>
      </c>
      <c r="F86" s="46">
        <v>2</v>
      </c>
      <c r="G86" s="46">
        <v>3</v>
      </c>
      <c r="H86" s="46">
        <v>4</v>
      </c>
      <c r="I86" s="46">
        <v>5</v>
      </c>
      <c r="J86" s="46">
        <v>6</v>
      </c>
      <c r="K86" s="46">
        <v>7</v>
      </c>
      <c r="L86" s="46">
        <v>8</v>
      </c>
      <c r="M86" s="46">
        <v>9</v>
      </c>
      <c r="N86" s="46">
        <v>10</v>
      </c>
      <c r="O86" s="55">
        <v>11</v>
      </c>
      <c r="P86" s="55">
        <v>12</v>
      </c>
      <c r="Q86" s="55">
        <v>13</v>
      </c>
      <c r="R86" s="55">
        <v>14</v>
      </c>
      <c r="S86" s="55">
        <v>15</v>
      </c>
      <c r="T86" s="55">
        <v>16</v>
      </c>
      <c r="U86" s="55">
        <v>16</v>
      </c>
      <c r="V86" s="55">
        <v>16</v>
      </c>
      <c r="W86" s="55">
        <v>16</v>
      </c>
      <c r="X86" s="55">
        <v>16</v>
      </c>
      <c r="Y86" s="55">
        <v>16</v>
      </c>
      <c r="Z86" s="55">
        <v>16</v>
      </c>
      <c r="AA86" s="55">
        <v>16</v>
      </c>
      <c r="AB86" s="55">
        <v>16</v>
      </c>
      <c r="AC86" s="55">
        <v>16</v>
      </c>
      <c r="AD86" s="55">
        <v>16</v>
      </c>
      <c r="AE86" s="55">
        <v>16</v>
      </c>
      <c r="AF86" s="55">
        <v>16</v>
      </c>
      <c r="AG86" s="55">
        <v>16</v>
      </c>
      <c r="AH86" s="55">
        <v>16</v>
      </c>
      <c r="AI86" s="55">
        <v>16</v>
      </c>
      <c r="AJ86" s="55">
        <v>16</v>
      </c>
      <c r="AK86" s="55">
        <v>16</v>
      </c>
      <c r="AL86" s="55">
        <v>16</v>
      </c>
      <c r="AM86" s="55">
        <v>16</v>
      </c>
      <c r="AN86" s="55">
        <v>16</v>
      </c>
      <c r="AO86" s="55">
        <v>16</v>
      </c>
      <c r="AP86" s="55">
        <v>16</v>
      </c>
      <c r="AQ86" s="55">
        <v>16</v>
      </c>
      <c r="AR86" s="55">
        <v>16</v>
      </c>
      <c r="AS86" s="55">
        <v>16</v>
      </c>
      <c r="AT86" s="55">
        <v>16</v>
      </c>
      <c r="AU86" s="55">
        <v>16</v>
      </c>
      <c r="AV86" s="55">
        <v>16</v>
      </c>
      <c r="AW86" s="55"/>
      <c r="AX86" s="55"/>
      <c r="AY86" s="95" t="s">
        <v>94</v>
      </c>
    </row>
    <row r="87" spans="1:51" hidden="1" x14ac:dyDescent="0.2">
      <c r="A87" s="70" t="s">
        <v>56</v>
      </c>
      <c r="B87" s="62" t="s">
        <v>99</v>
      </c>
      <c r="C87" s="94"/>
      <c r="D87" s="96" t="s">
        <v>96</v>
      </c>
      <c r="E87" s="51"/>
      <c r="F87" s="51"/>
      <c r="G87" s="51"/>
      <c r="H87" s="51"/>
      <c r="I87" s="51">
        <v>26</v>
      </c>
      <c r="J87" s="51">
        <v>17</v>
      </c>
      <c r="K87" s="51">
        <v>17</v>
      </c>
      <c r="L87" s="51">
        <v>17</v>
      </c>
      <c r="M87" s="51">
        <v>17</v>
      </c>
      <c r="N87" s="51">
        <v>15</v>
      </c>
      <c r="O87" s="52">
        <v>15</v>
      </c>
      <c r="P87" s="52">
        <v>15</v>
      </c>
      <c r="Q87" s="52">
        <v>13.2</v>
      </c>
      <c r="R87" s="52" t="e">
        <f>#REF!</f>
        <v>#REF!</v>
      </c>
      <c r="S87" s="52" t="e">
        <f>#REF!</f>
        <v>#REF!</v>
      </c>
      <c r="T87" s="52" t="e">
        <f>#REF!</f>
        <v>#REF!</v>
      </c>
      <c r="U87" s="52" t="e">
        <f>#REF!</f>
        <v>#REF!</v>
      </c>
      <c r="V87" s="52" t="e">
        <f>#REF!</f>
        <v>#REF!</v>
      </c>
      <c r="W87" s="52" t="e">
        <f>#REF!</f>
        <v>#REF!</v>
      </c>
      <c r="X87" s="52" t="e">
        <f>#REF!</f>
        <v>#REF!</v>
      </c>
      <c r="Y87" s="52" t="e">
        <f>#REF!</f>
        <v>#REF!</v>
      </c>
      <c r="Z87" s="52" t="e">
        <f>#REF!</f>
        <v>#REF!</v>
      </c>
      <c r="AA87" s="52" t="e">
        <f>#REF!</f>
        <v>#REF!</v>
      </c>
      <c r="AB87" s="52" t="e">
        <f>#REF!</f>
        <v>#REF!</v>
      </c>
      <c r="AC87" s="52" t="e">
        <f>#REF!</f>
        <v>#REF!</v>
      </c>
      <c r="AD87" s="52" t="e">
        <f>#REF!</f>
        <v>#REF!</v>
      </c>
      <c r="AE87" s="52" t="e">
        <f>#REF!</f>
        <v>#REF!</v>
      </c>
      <c r="AF87" s="52" t="e">
        <f>#REF!</f>
        <v>#REF!</v>
      </c>
      <c r="AG87" s="52" t="e">
        <f>#REF!</f>
        <v>#REF!</v>
      </c>
      <c r="AH87" s="52" t="e">
        <f>#REF!</f>
        <v>#REF!</v>
      </c>
      <c r="AI87" s="52" t="e">
        <f>#REF!</f>
        <v>#REF!</v>
      </c>
      <c r="AJ87" s="52" t="e">
        <f>#REF!</f>
        <v>#REF!</v>
      </c>
      <c r="AK87" s="52" t="e">
        <f>#REF!</f>
        <v>#REF!</v>
      </c>
      <c r="AL87" s="52" t="e">
        <f>#REF!</f>
        <v>#REF!</v>
      </c>
      <c r="AM87" s="52" t="e">
        <f>#REF!</f>
        <v>#REF!</v>
      </c>
      <c r="AN87" s="52" t="e">
        <f>#REF!</f>
        <v>#REF!</v>
      </c>
      <c r="AO87" s="52" t="e">
        <f>#REF!</f>
        <v>#REF!</v>
      </c>
      <c r="AP87" s="52" t="e">
        <f>#REF!</f>
        <v>#REF!</v>
      </c>
      <c r="AQ87" s="52" t="e">
        <f>#REF!</f>
        <v>#REF!</v>
      </c>
      <c r="AR87" s="52" t="e">
        <f>#REF!</f>
        <v>#REF!</v>
      </c>
      <c r="AS87" s="52" t="e">
        <f>#REF!</f>
        <v>#REF!</v>
      </c>
      <c r="AT87" s="52" t="e">
        <f>#REF!</f>
        <v>#REF!</v>
      </c>
      <c r="AU87" s="52" t="e">
        <f>#REF!</f>
        <v>#REF!</v>
      </c>
      <c r="AV87" s="52" t="e">
        <f>#REF!</f>
        <v>#REF!</v>
      </c>
      <c r="AW87" s="52"/>
      <c r="AX87" s="52"/>
      <c r="AY87" s="97">
        <f>AVERAGE(E87:Q87)</f>
        <v>16.911111111111111</v>
      </c>
    </row>
    <row r="88" spans="1:51" hidden="1" x14ac:dyDescent="0.2">
      <c r="A88" s="70" t="s">
        <v>59</v>
      </c>
      <c r="B88" s="62" t="s">
        <v>100</v>
      </c>
      <c r="C88" s="94"/>
      <c r="D88" s="96" t="s">
        <v>4</v>
      </c>
      <c r="E88" s="51"/>
      <c r="F88" s="51"/>
      <c r="G88" s="51"/>
      <c r="H88" s="51"/>
      <c r="I88" s="51">
        <v>2.85</v>
      </c>
      <c r="J88" s="51">
        <v>2.85</v>
      </c>
      <c r="K88" s="51">
        <v>2.85</v>
      </c>
      <c r="L88" s="51">
        <v>2.85</v>
      </c>
      <c r="M88" s="51">
        <v>2.85</v>
      </c>
      <c r="N88" s="51">
        <v>2.85</v>
      </c>
      <c r="O88" s="52">
        <v>2.85</v>
      </c>
      <c r="P88" s="52">
        <v>2.85</v>
      </c>
      <c r="Q88" s="52">
        <v>2.85</v>
      </c>
      <c r="R88" s="52">
        <v>2.85</v>
      </c>
      <c r="S88" s="52">
        <v>2.85</v>
      </c>
      <c r="T88" s="52">
        <v>2.85</v>
      </c>
      <c r="U88" s="52">
        <v>2.85</v>
      </c>
      <c r="V88" s="52">
        <v>2.85</v>
      </c>
      <c r="W88" s="52">
        <v>2.85</v>
      </c>
      <c r="X88" s="52">
        <v>2.85</v>
      </c>
      <c r="Y88" s="52">
        <v>2.85</v>
      </c>
      <c r="Z88" s="52">
        <v>2.85</v>
      </c>
      <c r="AA88" s="52">
        <v>2.85</v>
      </c>
      <c r="AB88" s="52">
        <v>2.85</v>
      </c>
      <c r="AC88" s="52">
        <v>2.85</v>
      </c>
      <c r="AD88" s="52">
        <v>2.85</v>
      </c>
      <c r="AE88" s="52">
        <v>2.85</v>
      </c>
      <c r="AF88" s="52">
        <v>2.85</v>
      </c>
      <c r="AG88" s="52">
        <v>2.85</v>
      </c>
      <c r="AH88" s="52">
        <v>2.85</v>
      </c>
      <c r="AI88" s="52">
        <v>2.85</v>
      </c>
      <c r="AJ88" s="52">
        <v>2.85</v>
      </c>
      <c r="AK88" s="52">
        <v>2.85</v>
      </c>
      <c r="AL88" s="52">
        <v>2.85</v>
      </c>
      <c r="AM88" s="52">
        <v>2.85</v>
      </c>
      <c r="AN88" s="52">
        <v>2.85</v>
      </c>
      <c r="AO88" s="52">
        <v>2.85</v>
      </c>
      <c r="AP88" s="52">
        <v>2.85</v>
      </c>
      <c r="AQ88" s="52">
        <v>2.85</v>
      </c>
      <c r="AR88" s="52">
        <v>2.85</v>
      </c>
      <c r="AS88" s="52">
        <v>2.85</v>
      </c>
      <c r="AT88" s="52">
        <v>2.85</v>
      </c>
      <c r="AU88" s="52">
        <v>2.85</v>
      </c>
      <c r="AV88" s="52">
        <v>2.85</v>
      </c>
      <c r="AW88" s="52"/>
      <c r="AX88" s="52"/>
      <c r="AY88" s="97">
        <f>AVERAGE(E88:M88)</f>
        <v>2.85</v>
      </c>
    </row>
    <row r="89" spans="1:51" hidden="1" x14ac:dyDescent="0.2">
      <c r="A89" s="70" t="s">
        <v>62</v>
      </c>
      <c r="B89" s="62" t="s">
        <v>101</v>
      </c>
      <c r="C89" s="94"/>
      <c r="D89" s="96" t="s">
        <v>102</v>
      </c>
      <c r="E89" s="39"/>
      <c r="F89" s="39"/>
      <c r="G89" s="39"/>
      <c r="H89" s="39"/>
      <c r="I89" s="39" t="e">
        <f>#REF!</f>
        <v>#REF!</v>
      </c>
      <c r="J89" s="39" t="e">
        <f>#REF!</f>
        <v>#REF!</v>
      </c>
      <c r="K89" s="39" t="e">
        <f>#REF!</f>
        <v>#REF!</v>
      </c>
      <c r="L89" s="39" t="e">
        <f>#REF!</f>
        <v>#REF!</v>
      </c>
      <c r="M89" s="39" t="e">
        <f>#REF!</f>
        <v>#REF!</v>
      </c>
      <c r="N89" s="39" t="e">
        <f>#REF!</f>
        <v>#REF!</v>
      </c>
      <c r="O89" s="39" t="e">
        <f>#REF!</f>
        <v>#REF!</v>
      </c>
      <c r="P89" s="40" t="e">
        <f>#REF!</f>
        <v>#REF!</v>
      </c>
      <c r="Q89" s="40" t="e">
        <f>#REF!</f>
        <v>#REF!</v>
      </c>
      <c r="R89" s="40" t="e">
        <f>#REF!</f>
        <v>#REF!</v>
      </c>
      <c r="S89" s="40" t="e">
        <f>#REF!</f>
        <v>#REF!</v>
      </c>
      <c r="T89" s="40" t="e">
        <f>#REF!</f>
        <v>#REF!</v>
      </c>
      <c r="U89" s="40" t="e">
        <f>#REF!</f>
        <v>#REF!</v>
      </c>
      <c r="V89" s="40" t="e">
        <f>#REF!</f>
        <v>#REF!</v>
      </c>
      <c r="W89" s="40" t="e">
        <f>#REF!</f>
        <v>#REF!</v>
      </c>
      <c r="X89" s="40" t="e">
        <f>#REF!</f>
        <v>#REF!</v>
      </c>
      <c r="Y89" s="40" t="e">
        <f>#REF!</f>
        <v>#REF!</v>
      </c>
      <c r="Z89" s="40" t="e">
        <f>#REF!</f>
        <v>#REF!</v>
      </c>
      <c r="AA89" s="40" t="e">
        <f>#REF!</f>
        <v>#REF!</v>
      </c>
      <c r="AB89" s="40" t="e">
        <f>#REF!</f>
        <v>#REF!</v>
      </c>
      <c r="AC89" s="40" t="e">
        <f>#REF!</f>
        <v>#REF!</v>
      </c>
      <c r="AD89" s="40" t="e">
        <f>#REF!</f>
        <v>#REF!</v>
      </c>
      <c r="AE89" s="40" t="e">
        <f>#REF!</f>
        <v>#REF!</v>
      </c>
      <c r="AF89" s="40" t="e">
        <f>#REF!</f>
        <v>#REF!</v>
      </c>
      <c r="AG89" s="40" t="e">
        <f>#REF!</f>
        <v>#REF!</v>
      </c>
      <c r="AH89" s="40" t="e">
        <f>#REF!</f>
        <v>#REF!</v>
      </c>
      <c r="AI89" s="40" t="e">
        <f>#REF!</f>
        <v>#REF!</v>
      </c>
      <c r="AJ89" s="40" t="e">
        <f>#REF!</f>
        <v>#REF!</v>
      </c>
      <c r="AK89" s="40" t="e">
        <f>#REF!</f>
        <v>#REF!</v>
      </c>
      <c r="AL89" s="40" t="e">
        <f>#REF!</f>
        <v>#REF!</v>
      </c>
      <c r="AM89" s="40" t="e">
        <f>#REF!</f>
        <v>#REF!</v>
      </c>
      <c r="AN89" s="40" t="e">
        <f>#REF!</f>
        <v>#REF!</v>
      </c>
      <c r="AO89" s="40" t="e">
        <f>#REF!</f>
        <v>#REF!</v>
      </c>
      <c r="AP89" s="40" t="e">
        <f>#REF!</f>
        <v>#REF!</v>
      </c>
      <c r="AQ89" s="40" t="e">
        <f>#REF!</f>
        <v>#REF!</v>
      </c>
      <c r="AR89" s="40" t="e">
        <f>#REF!</f>
        <v>#REF!</v>
      </c>
      <c r="AS89" s="40" t="e">
        <f>#REF!</f>
        <v>#REF!</v>
      </c>
      <c r="AT89" s="40" t="e">
        <f>#REF!</f>
        <v>#REF!</v>
      </c>
      <c r="AU89" s="40" t="e">
        <f>#REF!</f>
        <v>#REF!</v>
      </c>
      <c r="AV89" s="40" t="e">
        <f>#REF!</f>
        <v>#REF!</v>
      </c>
      <c r="AW89" s="40"/>
      <c r="AX89" s="40"/>
      <c r="AY89" s="97" t="e">
        <f>AVERAGE(E89:Q89)</f>
        <v>#REF!</v>
      </c>
    </row>
    <row r="90" spans="1:51" hidden="1" x14ac:dyDescent="0.2">
      <c r="A90" s="70" t="s">
        <v>65</v>
      </c>
      <c r="B90" s="62" t="s">
        <v>103</v>
      </c>
      <c r="C90" s="94"/>
      <c r="D90" s="96" t="s">
        <v>0</v>
      </c>
      <c r="E90" s="51"/>
      <c r="F90" s="51"/>
      <c r="G90" s="51"/>
      <c r="H90" s="51"/>
      <c r="I90" s="51">
        <f t="shared" ref="I90:R90" si="101">+I82</f>
        <v>1.6</v>
      </c>
      <c r="J90" s="51">
        <f t="shared" si="101"/>
        <v>3.5</v>
      </c>
      <c r="K90" s="51">
        <f t="shared" si="101"/>
        <v>12</v>
      </c>
      <c r="L90" s="51">
        <f t="shared" ref="L90" si="102">+L82</f>
        <v>26.5</v>
      </c>
      <c r="M90" s="51">
        <f t="shared" si="101"/>
        <v>12</v>
      </c>
      <c r="N90" s="51">
        <f t="shared" si="101"/>
        <v>17.5</v>
      </c>
      <c r="O90" s="51">
        <f t="shared" si="101"/>
        <v>26</v>
      </c>
      <c r="P90" s="51">
        <f t="shared" si="101"/>
        <v>35</v>
      </c>
      <c r="Q90" s="51">
        <f t="shared" si="101"/>
        <v>20.5</v>
      </c>
      <c r="R90" s="51">
        <f t="shared" si="101"/>
        <v>32.5</v>
      </c>
      <c r="S90" s="51">
        <f t="shared" ref="S90:T90" si="103">+S82</f>
        <v>47</v>
      </c>
      <c r="T90" s="51">
        <f t="shared" si="103"/>
        <v>53</v>
      </c>
      <c r="U90" s="51">
        <f t="shared" ref="U90:V90" si="104">+U82</f>
        <v>53</v>
      </c>
      <c r="V90" s="51">
        <f t="shared" si="104"/>
        <v>53</v>
      </c>
      <c r="W90" s="51">
        <f t="shared" ref="W90" si="105">+W82</f>
        <v>53</v>
      </c>
      <c r="X90" s="51">
        <f t="shared" ref="X90" si="106">+X82</f>
        <v>53</v>
      </c>
      <c r="Y90" s="51">
        <f t="shared" ref="Y90" si="107">+Y82</f>
        <v>53</v>
      </c>
      <c r="Z90" s="51">
        <f t="shared" ref="Z90" si="108">+Z82</f>
        <v>53</v>
      </c>
      <c r="AA90" s="51">
        <f t="shared" ref="AA90" si="109">+AA82</f>
        <v>53</v>
      </c>
      <c r="AB90" s="51">
        <f t="shared" ref="AB90" si="110">+AB82</f>
        <v>53</v>
      </c>
      <c r="AC90" s="51">
        <f t="shared" ref="AC90" si="111">+AC82</f>
        <v>53</v>
      </c>
      <c r="AD90" s="51">
        <f t="shared" ref="AD90" si="112">+AD82</f>
        <v>53</v>
      </c>
      <c r="AE90" s="51">
        <f t="shared" ref="AE90" si="113">+AE82</f>
        <v>53</v>
      </c>
      <c r="AF90" s="51">
        <f t="shared" ref="AF90:AJ90" si="114">+AF82</f>
        <v>53</v>
      </c>
      <c r="AG90" s="51">
        <f t="shared" si="114"/>
        <v>53</v>
      </c>
      <c r="AH90" s="51">
        <f t="shared" si="114"/>
        <v>53</v>
      </c>
      <c r="AI90" s="51">
        <f t="shared" si="114"/>
        <v>53</v>
      </c>
      <c r="AJ90" s="51">
        <f t="shared" si="114"/>
        <v>53</v>
      </c>
      <c r="AK90" s="51">
        <f t="shared" ref="AK90" si="115">+AK82</f>
        <v>53</v>
      </c>
      <c r="AL90" s="51">
        <f t="shared" ref="AL90" si="116">+AL82</f>
        <v>53</v>
      </c>
      <c r="AM90" s="51">
        <f t="shared" ref="AM90" si="117">+AM82</f>
        <v>53</v>
      </c>
      <c r="AN90" s="51">
        <f t="shared" ref="AN90" si="118">+AN82</f>
        <v>53</v>
      </c>
      <c r="AO90" s="51">
        <f t="shared" ref="AO90" si="119">+AO82</f>
        <v>53</v>
      </c>
      <c r="AP90" s="51">
        <f t="shared" ref="AP90" si="120">+AP82</f>
        <v>53</v>
      </c>
      <c r="AQ90" s="51">
        <f t="shared" ref="AQ90" si="121">+AQ82</f>
        <v>53</v>
      </c>
      <c r="AR90" s="51">
        <f t="shared" ref="AR90" si="122">+AR82</f>
        <v>53</v>
      </c>
      <c r="AS90" s="51">
        <f t="shared" ref="AS90" si="123">+AS82</f>
        <v>53</v>
      </c>
      <c r="AT90" s="51">
        <f t="shared" ref="AT90:AV90" si="124">+AT82</f>
        <v>53</v>
      </c>
      <c r="AU90" s="51">
        <f t="shared" si="124"/>
        <v>53</v>
      </c>
      <c r="AV90" s="51">
        <f t="shared" si="124"/>
        <v>53</v>
      </c>
      <c r="AW90" s="52"/>
      <c r="AX90" s="52"/>
      <c r="AY90" s="97">
        <f>SUM(E90:Q90)</f>
        <v>154.6</v>
      </c>
    </row>
    <row r="91" spans="1:51" hidden="1" x14ac:dyDescent="0.2">
      <c r="A91" s="70" t="s">
        <v>66</v>
      </c>
      <c r="B91" s="62" t="s">
        <v>104</v>
      </c>
      <c r="C91" s="94"/>
      <c r="D91" s="96" t="s">
        <v>105</v>
      </c>
      <c r="E91" s="39">
        <v>24</v>
      </c>
      <c r="F91" s="39">
        <v>24</v>
      </c>
      <c r="G91" s="39">
        <v>24</v>
      </c>
      <c r="H91" s="39"/>
      <c r="I91" s="39">
        <v>24</v>
      </c>
      <c r="J91" s="39">
        <v>24</v>
      </c>
      <c r="K91" s="39">
        <v>24</v>
      </c>
      <c r="L91" s="39">
        <v>24</v>
      </c>
      <c r="M91" s="39">
        <v>24</v>
      </c>
      <c r="N91" s="39">
        <v>24</v>
      </c>
      <c r="O91" s="39">
        <v>24</v>
      </c>
      <c r="P91" s="39">
        <v>24</v>
      </c>
      <c r="Q91" s="39">
        <v>24</v>
      </c>
      <c r="R91" s="39">
        <v>24</v>
      </c>
      <c r="S91" s="39">
        <v>24</v>
      </c>
      <c r="T91" s="39">
        <v>24</v>
      </c>
      <c r="U91" s="39">
        <v>24</v>
      </c>
      <c r="V91" s="39">
        <v>24</v>
      </c>
      <c r="W91" s="39">
        <v>24</v>
      </c>
      <c r="X91" s="39">
        <v>24</v>
      </c>
      <c r="Y91" s="39">
        <v>24</v>
      </c>
      <c r="Z91" s="39">
        <v>24</v>
      </c>
      <c r="AA91" s="39">
        <v>24</v>
      </c>
      <c r="AB91" s="39">
        <v>24</v>
      </c>
      <c r="AC91" s="39">
        <v>24</v>
      </c>
      <c r="AD91" s="39">
        <v>24</v>
      </c>
      <c r="AE91" s="39">
        <v>24</v>
      </c>
      <c r="AF91" s="39">
        <v>24</v>
      </c>
      <c r="AG91" s="39">
        <v>24</v>
      </c>
      <c r="AH91" s="39">
        <v>24</v>
      </c>
      <c r="AI91" s="39">
        <v>24</v>
      </c>
      <c r="AJ91" s="39">
        <v>24</v>
      </c>
      <c r="AK91" s="39">
        <v>24</v>
      </c>
      <c r="AL91" s="39">
        <v>24</v>
      </c>
      <c r="AM91" s="39">
        <v>24</v>
      </c>
      <c r="AN91" s="39">
        <v>24</v>
      </c>
      <c r="AO91" s="39">
        <v>24</v>
      </c>
      <c r="AP91" s="39">
        <v>24</v>
      </c>
      <c r="AQ91" s="39">
        <v>24</v>
      </c>
      <c r="AR91" s="39">
        <v>24</v>
      </c>
      <c r="AS91" s="39">
        <v>24</v>
      </c>
      <c r="AT91" s="39">
        <v>24</v>
      </c>
      <c r="AU91" s="39">
        <v>24</v>
      </c>
      <c r="AV91" s="39">
        <v>24</v>
      </c>
      <c r="AW91" s="40"/>
      <c r="AX91" s="40"/>
      <c r="AY91" s="97">
        <f>SUM(E91:Q91)</f>
        <v>288</v>
      </c>
    </row>
    <row r="92" spans="1:51" hidden="1" x14ac:dyDescent="0.2">
      <c r="A92" s="70" t="s">
        <v>69</v>
      </c>
      <c r="B92" s="62" t="s">
        <v>106</v>
      </c>
      <c r="C92" s="94"/>
      <c r="D92" s="96" t="s">
        <v>105</v>
      </c>
      <c r="E92" s="51">
        <f t="shared" ref="E92:M92" si="125">E52</f>
        <v>0</v>
      </c>
      <c r="F92" s="39">
        <f t="shared" si="125"/>
        <v>0</v>
      </c>
      <c r="G92" s="39">
        <f t="shared" si="125"/>
        <v>0</v>
      </c>
      <c r="H92" s="39"/>
      <c r="I92" s="51" t="e">
        <f t="shared" si="125"/>
        <v>#REF!</v>
      </c>
      <c r="J92" s="51" t="e">
        <f t="shared" si="125"/>
        <v>#REF!</v>
      </c>
      <c r="K92" s="51" t="e">
        <f t="shared" si="125"/>
        <v>#REF!</v>
      </c>
      <c r="L92" s="51" t="e">
        <f t="shared" ref="L92" si="126">L52</f>
        <v>#REF!</v>
      </c>
      <c r="M92" s="51" t="e">
        <f t="shared" si="125"/>
        <v>#REF!</v>
      </c>
      <c r="N92" s="51" t="e">
        <f t="shared" ref="N92:R92" si="127">N52</f>
        <v>#REF!</v>
      </c>
      <c r="O92" s="51" t="e">
        <f t="shared" si="127"/>
        <v>#REF!</v>
      </c>
      <c r="P92" s="51" t="e">
        <f t="shared" si="127"/>
        <v>#REF!</v>
      </c>
      <c r="Q92" s="51" t="e">
        <f t="shared" si="127"/>
        <v>#REF!</v>
      </c>
      <c r="R92" s="51" t="e">
        <f t="shared" si="127"/>
        <v>#REF!</v>
      </c>
      <c r="S92" s="51" t="e">
        <f t="shared" ref="S92:T92" si="128">S52</f>
        <v>#REF!</v>
      </c>
      <c r="T92" s="51" t="e">
        <f t="shared" si="128"/>
        <v>#REF!</v>
      </c>
      <c r="U92" s="51" t="e">
        <f t="shared" ref="U92:V92" si="129">U52</f>
        <v>#REF!</v>
      </c>
      <c r="V92" s="51" t="e">
        <f t="shared" si="129"/>
        <v>#REF!</v>
      </c>
      <c r="W92" s="51" t="e">
        <f t="shared" ref="W92" si="130">W52</f>
        <v>#REF!</v>
      </c>
      <c r="X92" s="51" t="e">
        <f t="shared" ref="X92" si="131">X52</f>
        <v>#REF!</v>
      </c>
      <c r="Y92" s="51" t="e">
        <f t="shared" ref="Y92" si="132">Y52</f>
        <v>#REF!</v>
      </c>
      <c r="Z92" s="51" t="e">
        <f t="shared" ref="Z92" si="133">Z52</f>
        <v>#REF!</v>
      </c>
      <c r="AA92" s="51" t="e">
        <f t="shared" ref="AA92" si="134">AA52</f>
        <v>#REF!</v>
      </c>
      <c r="AB92" s="51" t="e">
        <f t="shared" ref="AB92" si="135">AB52</f>
        <v>#REF!</v>
      </c>
      <c r="AC92" s="51" t="e">
        <f t="shared" ref="AC92" si="136">AC52</f>
        <v>#REF!</v>
      </c>
      <c r="AD92" s="51" t="e">
        <f t="shared" ref="AD92" si="137">AD52</f>
        <v>#REF!</v>
      </c>
      <c r="AE92" s="51" t="e">
        <f t="shared" ref="AE92" si="138">AE52</f>
        <v>#REF!</v>
      </c>
      <c r="AF92" s="51" t="e">
        <f t="shared" ref="AF92:AJ92" si="139">AF52</f>
        <v>#REF!</v>
      </c>
      <c r="AG92" s="51" t="e">
        <f t="shared" si="139"/>
        <v>#REF!</v>
      </c>
      <c r="AH92" s="51" t="e">
        <f t="shared" si="139"/>
        <v>#REF!</v>
      </c>
      <c r="AI92" s="51" t="e">
        <f t="shared" si="139"/>
        <v>#REF!</v>
      </c>
      <c r="AJ92" s="51" t="e">
        <f t="shared" si="139"/>
        <v>#REF!</v>
      </c>
      <c r="AK92" s="51" t="e">
        <f t="shared" ref="AK92" si="140">AK52</f>
        <v>#REF!</v>
      </c>
      <c r="AL92" s="51" t="e">
        <f t="shared" ref="AL92" si="141">AL52</f>
        <v>#REF!</v>
      </c>
      <c r="AM92" s="51" t="e">
        <f t="shared" ref="AM92" si="142">AM52</f>
        <v>#REF!</v>
      </c>
      <c r="AN92" s="51">
        <f t="shared" ref="AN92" si="143">AN52</f>
        <v>2</v>
      </c>
      <c r="AO92" s="51">
        <f t="shared" ref="AO92" si="144">AO52</f>
        <v>2</v>
      </c>
      <c r="AP92" s="51">
        <f t="shared" ref="AP92" si="145">AP52</f>
        <v>2</v>
      </c>
      <c r="AQ92" s="51">
        <f t="shared" ref="AQ92" si="146">AQ52</f>
        <v>2</v>
      </c>
      <c r="AR92" s="51">
        <f t="shared" ref="AR92" si="147">AR52</f>
        <v>2</v>
      </c>
      <c r="AS92" s="51">
        <f t="shared" ref="AS92" si="148">AS52</f>
        <v>2</v>
      </c>
      <c r="AT92" s="51">
        <f t="shared" ref="AT92:AV92" si="149">AT52</f>
        <v>2</v>
      </c>
      <c r="AU92" s="51">
        <f t="shared" si="149"/>
        <v>2</v>
      </c>
      <c r="AV92" s="51">
        <f t="shared" si="149"/>
        <v>2</v>
      </c>
      <c r="AW92" s="52"/>
      <c r="AX92" s="52"/>
      <c r="AY92" s="97" t="e">
        <f>SUM(E92:Q92)</f>
        <v>#REF!</v>
      </c>
    </row>
    <row r="93" spans="1:51" hidden="1" x14ac:dyDescent="0.2">
      <c r="A93" s="70" t="s">
        <v>72</v>
      </c>
      <c r="B93" s="62" t="s">
        <v>107</v>
      </c>
      <c r="C93" s="94"/>
      <c r="D93" s="96" t="s">
        <v>105</v>
      </c>
      <c r="E93" s="39">
        <v>0</v>
      </c>
      <c r="F93" s="39">
        <v>0</v>
      </c>
      <c r="G93" s="39">
        <v>0</v>
      </c>
      <c r="H93" s="39"/>
      <c r="I93" s="39">
        <v>0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40">
        <v>0</v>
      </c>
      <c r="Q93" s="40">
        <v>0</v>
      </c>
      <c r="R93" s="40">
        <v>0</v>
      </c>
      <c r="S93" s="40">
        <v>0</v>
      </c>
      <c r="T93" s="40">
        <v>0</v>
      </c>
      <c r="U93" s="40">
        <v>0</v>
      </c>
      <c r="V93" s="40">
        <v>0</v>
      </c>
      <c r="W93" s="40">
        <v>0</v>
      </c>
      <c r="X93" s="40">
        <v>0</v>
      </c>
      <c r="Y93" s="40">
        <v>0</v>
      </c>
      <c r="Z93" s="40">
        <v>0</v>
      </c>
      <c r="AA93" s="40">
        <v>0</v>
      </c>
      <c r="AB93" s="40">
        <v>0</v>
      </c>
      <c r="AC93" s="40">
        <v>0</v>
      </c>
      <c r="AD93" s="40">
        <v>0</v>
      </c>
      <c r="AE93" s="40">
        <v>0</v>
      </c>
      <c r="AF93" s="40">
        <v>0</v>
      </c>
      <c r="AG93" s="40">
        <v>0</v>
      </c>
      <c r="AH93" s="40">
        <v>0</v>
      </c>
      <c r="AI93" s="40">
        <v>0</v>
      </c>
      <c r="AJ93" s="40">
        <v>0</v>
      </c>
      <c r="AK93" s="40">
        <v>0</v>
      </c>
      <c r="AL93" s="40">
        <v>0</v>
      </c>
      <c r="AM93" s="40">
        <v>0</v>
      </c>
      <c r="AN93" s="40">
        <v>0</v>
      </c>
      <c r="AO93" s="40">
        <v>0</v>
      </c>
      <c r="AP93" s="40">
        <v>0</v>
      </c>
      <c r="AQ93" s="40">
        <v>0</v>
      </c>
      <c r="AR93" s="40">
        <v>0</v>
      </c>
      <c r="AS93" s="40">
        <v>0</v>
      </c>
      <c r="AT93" s="40">
        <v>0</v>
      </c>
      <c r="AU93" s="40">
        <v>0</v>
      </c>
      <c r="AV93" s="40">
        <v>0</v>
      </c>
      <c r="AW93" s="40"/>
      <c r="AX93" s="40"/>
      <c r="AY93" s="97">
        <f>SUM(E93:Q93)</f>
        <v>0</v>
      </c>
    </row>
    <row r="94" spans="1:51" hidden="1" x14ac:dyDescent="0.2">
      <c r="A94" s="70"/>
      <c r="B94" s="62"/>
      <c r="C94" s="94"/>
      <c r="D94" s="96"/>
      <c r="E94" s="51"/>
      <c r="F94" s="96"/>
      <c r="G94" s="51"/>
      <c r="H94" s="62"/>
      <c r="I94" s="62"/>
      <c r="J94" s="62"/>
      <c r="K94" s="62"/>
      <c r="L94" s="62"/>
      <c r="M94" s="62"/>
      <c r="N94" s="62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97"/>
    </row>
    <row r="95" spans="1:51" hidden="1" x14ac:dyDescent="0.2">
      <c r="A95" s="70" t="s">
        <v>73</v>
      </c>
      <c r="B95" s="62" t="s">
        <v>108</v>
      </c>
      <c r="C95" s="94"/>
      <c r="D95" s="96" t="s">
        <v>109</v>
      </c>
      <c r="E95" s="39">
        <f>E87*E88*E89*60/1000000</f>
        <v>0</v>
      </c>
      <c r="F95" s="39">
        <f>F87*F88*F89*60/1000000</f>
        <v>0</v>
      </c>
      <c r="G95" s="39">
        <f>G87*G88*G89*60/1000000</f>
        <v>0</v>
      </c>
      <c r="H95" s="39"/>
      <c r="I95" s="39" t="e">
        <f>I87*I88*I89*60/1000000</f>
        <v>#REF!</v>
      </c>
      <c r="J95" s="39" t="e">
        <f t="shared" ref="J95:M95" si="150">J87*J88*J89*60/1000000</f>
        <v>#REF!</v>
      </c>
      <c r="K95" s="39" t="e">
        <f t="shared" si="150"/>
        <v>#REF!</v>
      </c>
      <c r="L95" s="39" t="e">
        <f t="shared" si="150"/>
        <v>#REF!</v>
      </c>
      <c r="M95" s="39" t="e">
        <f t="shared" si="150"/>
        <v>#REF!</v>
      </c>
      <c r="N95" s="39" t="e">
        <f t="shared" ref="N95:P95" si="151">N87*N88*N89*60/1000000</f>
        <v>#REF!</v>
      </c>
      <c r="O95" s="39" t="e">
        <f t="shared" si="151"/>
        <v>#REF!</v>
      </c>
      <c r="P95" s="39" t="e">
        <f t="shared" si="151"/>
        <v>#REF!</v>
      </c>
      <c r="Q95" s="39" t="e">
        <f t="shared" ref="Q95:R95" si="152">Q87*Q88*Q89*60/1000000</f>
        <v>#REF!</v>
      </c>
      <c r="R95" s="39" t="e">
        <f t="shared" si="152"/>
        <v>#REF!</v>
      </c>
      <c r="S95" s="39" t="e">
        <f t="shared" ref="S95:T95" si="153">S87*S88*S89*60/1000000</f>
        <v>#REF!</v>
      </c>
      <c r="T95" s="39" t="e">
        <f t="shared" si="153"/>
        <v>#REF!</v>
      </c>
      <c r="U95" s="39" t="e">
        <f t="shared" ref="U95:V95" si="154">U87*U88*U89*60/1000000</f>
        <v>#REF!</v>
      </c>
      <c r="V95" s="39" t="e">
        <f t="shared" si="154"/>
        <v>#REF!</v>
      </c>
      <c r="W95" s="39" t="e">
        <f t="shared" ref="W95" si="155">W87*W88*W89*60/1000000</f>
        <v>#REF!</v>
      </c>
      <c r="X95" s="39" t="e">
        <f t="shared" ref="X95" si="156">X87*X88*X89*60/1000000</f>
        <v>#REF!</v>
      </c>
      <c r="Y95" s="39" t="e">
        <f t="shared" ref="Y95" si="157">Y87*Y88*Y89*60/1000000</f>
        <v>#REF!</v>
      </c>
      <c r="Z95" s="39" t="e">
        <f t="shared" ref="Z95" si="158">Z87*Z88*Z89*60/1000000</f>
        <v>#REF!</v>
      </c>
      <c r="AA95" s="39" t="e">
        <f t="shared" ref="AA95" si="159">AA87*AA88*AA89*60/1000000</f>
        <v>#REF!</v>
      </c>
      <c r="AB95" s="39" t="e">
        <f t="shared" ref="AB95" si="160">AB87*AB88*AB89*60/1000000</f>
        <v>#REF!</v>
      </c>
      <c r="AC95" s="39" t="e">
        <f t="shared" ref="AC95" si="161">AC87*AC88*AC89*60/1000000</f>
        <v>#REF!</v>
      </c>
      <c r="AD95" s="39" t="e">
        <f t="shared" ref="AD95" si="162">AD87*AD88*AD89*60/1000000</f>
        <v>#REF!</v>
      </c>
      <c r="AE95" s="39" t="e">
        <f t="shared" ref="AE95" si="163">AE87*AE88*AE89*60/1000000</f>
        <v>#REF!</v>
      </c>
      <c r="AF95" s="39" t="e">
        <f t="shared" ref="AF95:AJ95" si="164">AF87*AF88*AF89*60/1000000</f>
        <v>#REF!</v>
      </c>
      <c r="AG95" s="39" t="e">
        <f t="shared" si="164"/>
        <v>#REF!</v>
      </c>
      <c r="AH95" s="39" t="e">
        <f t="shared" si="164"/>
        <v>#REF!</v>
      </c>
      <c r="AI95" s="39" t="e">
        <f t="shared" si="164"/>
        <v>#REF!</v>
      </c>
      <c r="AJ95" s="39" t="e">
        <f t="shared" si="164"/>
        <v>#REF!</v>
      </c>
      <c r="AK95" s="39" t="e">
        <f t="shared" ref="AK95" si="165">AK87*AK88*AK89*60/1000000</f>
        <v>#REF!</v>
      </c>
      <c r="AL95" s="39" t="e">
        <f t="shared" ref="AL95" si="166">AL87*AL88*AL89*60/1000000</f>
        <v>#REF!</v>
      </c>
      <c r="AM95" s="39" t="e">
        <f t="shared" ref="AM95" si="167">AM87*AM88*AM89*60/1000000</f>
        <v>#REF!</v>
      </c>
      <c r="AN95" s="39" t="e">
        <f t="shared" ref="AN95" si="168">AN87*AN88*AN89*60/1000000</f>
        <v>#REF!</v>
      </c>
      <c r="AO95" s="39" t="e">
        <f t="shared" ref="AO95" si="169">AO87*AO88*AO89*60/1000000</f>
        <v>#REF!</v>
      </c>
      <c r="AP95" s="39" t="e">
        <f t="shared" ref="AP95" si="170">AP87*AP88*AP89*60/1000000</f>
        <v>#REF!</v>
      </c>
      <c r="AQ95" s="39" t="e">
        <f t="shared" ref="AQ95" si="171">AQ87*AQ88*AQ89*60/1000000</f>
        <v>#REF!</v>
      </c>
      <c r="AR95" s="39" t="e">
        <f t="shared" ref="AR95" si="172">AR87*AR88*AR89*60/1000000</f>
        <v>#REF!</v>
      </c>
      <c r="AS95" s="39" t="e">
        <f t="shared" ref="AS95" si="173">AS87*AS88*AS89*60/1000000</f>
        <v>#REF!</v>
      </c>
      <c r="AT95" s="39" t="e">
        <f t="shared" ref="AT95:AV95" si="174">AT87*AT88*AT89*60/1000000</f>
        <v>#REF!</v>
      </c>
      <c r="AU95" s="39" t="e">
        <f t="shared" si="174"/>
        <v>#REF!</v>
      </c>
      <c r="AV95" s="39" t="e">
        <f t="shared" si="174"/>
        <v>#REF!</v>
      </c>
      <c r="AW95" s="40"/>
      <c r="AX95" s="40"/>
      <c r="AY95" s="97" t="e">
        <f>AY87*AY88*AY89*60/1000000</f>
        <v>#REF!</v>
      </c>
    </row>
    <row r="96" spans="1:51" hidden="1" x14ac:dyDescent="0.2">
      <c r="A96" s="70" t="s">
        <v>93</v>
      </c>
      <c r="B96" s="62" t="s">
        <v>110</v>
      </c>
      <c r="C96" s="94"/>
      <c r="D96" s="96" t="s">
        <v>111</v>
      </c>
      <c r="E96" s="39" t="e">
        <f t="shared" ref="E96:AY96" si="175">1/E95</f>
        <v>#DIV/0!</v>
      </c>
      <c r="F96" s="39" t="e">
        <f t="shared" si="175"/>
        <v>#DIV/0!</v>
      </c>
      <c r="G96" s="39" t="e">
        <f t="shared" si="175"/>
        <v>#DIV/0!</v>
      </c>
      <c r="H96" s="39"/>
      <c r="I96" s="39" t="e">
        <f t="shared" si="175"/>
        <v>#REF!</v>
      </c>
      <c r="J96" s="39" t="e">
        <f t="shared" si="175"/>
        <v>#REF!</v>
      </c>
      <c r="K96" s="39" t="e">
        <f t="shared" si="175"/>
        <v>#REF!</v>
      </c>
      <c r="L96" s="39" t="e">
        <f t="shared" ref="L96" si="176">1/L95</f>
        <v>#REF!</v>
      </c>
      <c r="M96" s="39" t="e">
        <f t="shared" si="175"/>
        <v>#REF!</v>
      </c>
      <c r="N96" s="39" t="e">
        <f t="shared" ref="N96:P96" si="177">1/N95</f>
        <v>#REF!</v>
      </c>
      <c r="O96" s="39" t="e">
        <f t="shared" si="177"/>
        <v>#REF!</v>
      </c>
      <c r="P96" s="39" t="e">
        <f t="shared" si="177"/>
        <v>#REF!</v>
      </c>
      <c r="Q96" s="39" t="e">
        <f t="shared" ref="Q96:R96" si="178">1/Q95</f>
        <v>#REF!</v>
      </c>
      <c r="R96" s="39" t="e">
        <f t="shared" si="178"/>
        <v>#REF!</v>
      </c>
      <c r="S96" s="39" t="e">
        <f t="shared" ref="S96:T96" si="179">1/S95</f>
        <v>#REF!</v>
      </c>
      <c r="T96" s="39" t="e">
        <f t="shared" si="179"/>
        <v>#REF!</v>
      </c>
      <c r="U96" s="39" t="e">
        <f t="shared" ref="U96:V96" si="180">1/U95</f>
        <v>#REF!</v>
      </c>
      <c r="V96" s="39" t="e">
        <f t="shared" si="180"/>
        <v>#REF!</v>
      </c>
      <c r="W96" s="39" t="e">
        <f t="shared" ref="W96" si="181">1/W95</f>
        <v>#REF!</v>
      </c>
      <c r="X96" s="39" t="e">
        <f t="shared" ref="X96" si="182">1/X95</f>
        <v>#REF!</v>
      </c>
      <c r="Y96" s="39" t="e">
        <f t="shared" ref="Y96" si="183">1/Y95</f>
        <v>#REF!</v>
      </c>
      <c r="Z96" s="39" t="e">
        <f t="shared" ref="Z96" si="184">1/Z95</f>
        <v>#REF!</v>
      </c>
      <c r="AA96" s="39" t="e">
        <f t="shared" ref="AA96" si="185">1/AA95</f>
        <v>#REF!</v>
      </c>
      <c r="AB96" s="39" t="e">
        <f t="shared" ref="AB96" si="186">1/AB95</f>
        <v>#REF!</v>
      </c>
      <c r="AC96" s="39" t="e">
        <f t="shared" ref="AC96" si="187">1/AC95</f>
        <v>#REF!</v>
      </c>
      <c r="AD96" s="39" t="e">
        <f t="shared" ref="AD96" si="188">1/AD95</f>
        <v>#REF!</v>
      </c>
      <c r="AE96" s="39" t="e">
        <f t="shared" ref="AE96" si="189">1/AE95</f>
        <v>#REF!</v>
      </c>
      <c r="AF96" s="39" t="e">
        <f t="shared" ref="AF96:AJ96" si="190">1/AF95</f>
        <v>#REF!</v>
      </c>
      <c r="AG96" s="39" t="e">
        <f t="shared" si="190"/>
        <v>#REF!</v>
      </c>
      <c r="AH96" s="39" t="e">
        <f t="shared" si="190"/>
        <v>#REF!</v>
      </c>
      <c r="AI96" s="39" t="e">
        <f t="shared" si="190"/>
        <v>#REF!</v>
      </c>
      <c r="AJ96" s="39" t="e">
        <f t="shared" si="190"/>
        <v>#REF!</v>
      </c>
      <c r="AK96" s="39" t="e">
        <f t="shared" ref="AK96" si="191">1/AK95</f>
        <v>#REF!</v>
      </c>
      <c r="AL96" s="39" t="e">
        <f t="shared" ref="AL96" si="192">1/AL95</f>
        <v>#REF!</v>
      </c>
      <c r="AM96" s="39" t="e">
        <f t="shared" ref="AM96" si="193">1/AM95</f>
        <v>#REF!</v>
      </c>
      <c r="AN96" s="39" t="e">
        <f t="shared" ref="AN96" si="194">1/AN95</f>
        <v>#REF!</v>
      </c>
      <c r="AO96" s="39" t="e">
        <f t="shared" ref="AO96" si="195">1/AO95</f>
        <v>#REF!</v>
      </c>
      <c r="AP96" s="39" t="e">
        <f t="shared" ref="AP96" si="196">1/AP95</f>
        <v>#REF!</v>
      </c>
      <c r="AQ96" s="39" t="e">
        <f t="shared" ref="AQ96" si="197">1/AQ95</f>
        <v>#REF!</v>
      </c>
      <c r="AR96" s="39" t="e">
        <f t="shared" ref="AR96" si="198">1/AR95</f>
        <v>#REF!</v>
      </c>
      <c r="AS96" s="39" t="e">
        <f t="shared" ref="AS96" si="199">1/AS95</f>
        <v>#REF!</v>
      </c>
      <c r="AT96" s="39" t="e">
        <f t="shared" ref="AT96:AV96" si="200">1/AT95</f>
        <v>#REF!</v>
      </c>
      <c r="AU96" s="39" t="e">
        <f t="shared" si="200"/>
        <v>#REF!</v>
      </c>
      <c r="AV96" s="39" t="e">
        <f t="shared" si="200"/>
        <v>#REF!</v>
      </c>
      <c r="AW96" s="40"/>
      <c r="AX96" s="40"/>
      <c r="AY96" s="97" t="e">
        <f t="shared" si="175"/>
        <v>#REF!</v>
      </c>
    </row>
    <row r="97" spans="1:51" hidden="1" x14ac:dyDescent="0.2">
      <c r="A97" s="70" t="s">
        <v>112</v>
      </c>
      <c r="B97" s="62" t="s">
        <v>113</v>
      </c>
      <c r="C97" s="94"/>
      <c r="D97" s="96" t="s">
        <v>105</v>
      </c>
      <c r="E97" s="39">
        <f t="shared" ref="E97:AY97" si="201">E91-E93</f>
        <v>24</v>
      </c>
      <c r="F97" s="39">
        <f t="shared" si="201"/>
        <v>24</v>
      </c>
      <c r="G97" s="39">
        <f t="shared" si="201"/>
        <v>24</v>
      </c>
      <c r="H97" s="39"/>
      <c r="I97" s="39">
        <f t="shared" si="201"/>
        <v>24</v>
      </c>
      <c r="J97" s="39">
        <f t="shared" si="201"/>
        <v>24</v>
      </c>
      <c r="K97" s="39">
        <f t="shared" si="201"/>
        <v>24</v>
      </c>
      <c r="L97" s="39">
        <f t="shared" ref="L97" si="202">L91-L93</f>
        <v>24</v>
      </c>
      <c r="M97" s="39">
        <f t="shared" si="201"/>
        <v>24</v>
      </c>
      <c r="N97" s="39">
        <f t="shared" ref="N97:P97" si="203">N91-N93</f>
        <v>24</v>
      </c>
      <c r="O97" s="39">
        <f t="shared" si="203"/>
        <v>24</v>
      </c>
      <c r="P97" s="39">
        <f t="shared" si="203"/>
        <v>24</v>
      </c>
      <c r="Q97" s="39">
        <f t="shared" ref="Q97:R97" si="204">Q91-Q93</f>
        <v>24</v>
      </c>
      <c r="R97" s="39">
        <f t="shared" si="204"/>
        <v>24</v>
      </c>
      <c r="S97" s="39">
        <f t="shared" ref="S97:T97" si="205">S91-S93</f>
        <v>24</v>
      </c>
      <c r="T97" s="39">
        <f t="shared" si="205"/>
        <v>24</v>
      </c>
      <c r="U97" s="39">
        <f t="shared" ref="U97:V97" si="206">U91-U93</f>
        <v>24</v>
      </c>
      <c r="V97" s="39">
        <f t="shared" si="206"/>
        <v>24</v>
      </c>
      <c r="W97" s="39">
        <f t="shared" ref="W97" si="207">W91-W93</f>
        <v>24</v>
      </c>
      <c r="X97" s="39">
        <f t="shared" ref="X97" si="208">X91-X93</f>
        <v>24</v>
      </c>
      <c r="Y97" s="39">
        <f t="shared" ref="Y97" si="209">Y91-Y93</f>
        <v>24</v>
      </c>
      <c r="Z97" s="39">
        <f t="shared" ref="Z97" si="210">Z91-Z93</f>
        <v>24</v>
      </c>
      <c r="AA97" s="39">
        <f t="shared" ref="AA97" si="211">AA91-AA93</f>
        <v>24</v>
      </c>
      <c r="AB97" s="39">
        <f t="shared" ref="AB97" si="212">AB91-AB93</f>
        <v>24</v>
      </c>
      <c r="AC97" s="39">
        <f t="shared" ref="AC97" si="213">AC91-AC93</f>
        <v>24</v>
      </c>
      <c r="AD97" s="39">
        <f t="shared" ref="AD97" si="214">AD91-AD93</f>
        <v>24</v>
      </c>
      <c r="AE97" s="39">
        <f t="shared" ref="AE97" si="215">AE91-AE93</f>
        <v>24</v>
      </c>
      <c r="AF97" s="39">
        <f t="shared" ref="AF97:AJ97" si="216">AF91-AF93</f>
        <v>24</v>
      </c>
      <c r="AG97" s="39">
        <f t="shared" si="216"/>
        <v>24</v>
      </c>
      <c r="AH97" s="39">
        <f t="shared" si="216"/>
        <v>24</v>
      </c>
      <c r="AI97" s="39">
        <f t="shared" si="216"/>
        <v>24</v>
      </c>
      <c r="AJ97" s="39">
        <f t="shared" si="216"/>
        <v>24</v>
      </c>
      <c r="AK97" s="39">
        <f t="shared" ref="AK97" si="217">AK91-AK93</f>
        <v>24</v>
      </c>
      <c r="AL97" s="39">
        <f t="shared" ref="AL97" si="218">AL91-AL93</f>
        <v>24</v>
      </c>
      <c r="AM97" s="39">
        <f t="shared" ref="AM97" si="219">AM91-AM93</f>
        <v>24</v>
      </c>
      <c r="AN97" s="39">
        <f t="shared" ref="AN97" si="220">AN91-AN93</f>
        <v>24</v>
      </c>
      <c r="AO97" s="39">
        <f t="shared" ref="AO97" si="221">AO91-AO93</f>
        <v>24</v>
      </c>
      <c r="AP97" s="39">
        <f t="shared" ref="AP97" si="222">AP91-AP93</f>
        <v>24</v>
      </c>
      <c r="AQ97" s="39">
        <f t="shared" ref="AQ97" si="223">AQ91-AQ93</f>
        <v>24</v>
      </c>
      <c r="AR97" s="39">
        <f t="shared" ref="AR97" si="224">AR91-AR93</f>
        <v>24</v>
      </c>
      <c r="AS97" s="39">
        <f t="shared" ref="AS97" si="225">AS91-AS93</f>
        <v>24</v>
      </c>
      <c r="AT97" s="39">
        <f t="shared" ref="AT97:AV97" si="226">AT91-AT93</f>
        <v>24</v>
      </c>
      <c r="AU97" s="39">
        <f t="shared" si="226"/>
        <v>24</v>
      </c>
      <c r="AV97" s="39">
        <f t="shared" si="226"/>
        <v>24</v>
      </c>
      <c r="AW97" s="40"/>
      <c r="AX97" s="40"/>
      <c r="AY97" s="97">
        <f t="shared" si="201"/>
        <v>288</v>
      </c>
    </row>
    <row r="98" spans="1:51" hidden="1" x14ac:dyDescent="0.2">
      <c r="A98" s="70" t="s">
        <v>114</v>
      </c>
      <c r="B98" s="62" t="s">
        <v>115</v>
      </c>
      <c r="C98" s="94"/>
      <c r="D98" s="96" t="s">
        <v>105</v>
      </c>
      <c r="E98" s="39">
        <f t="shared" ref="E98:AY98" si="227">E91-E92</f>
        <v>24</v>
      </c>
      <c r="F98" s="39">
        <f t="shared" si="227"/>
        <v>24</v>
      </c>
      <c r="G98" s="39">
        <f t="shared" si="227"/>
        <v>24</v>
      </c>
      <c r="H98" s="39"/>
      <c r="I98" s="39" t="e">
        <f t="shared" si="227"/>
        <v>#REF!</v>
      </c>
      <c r="J98" s="39" t="e">
        <f t="shared" si="227"/>
        <v>#REF!</v>
      </c>
      <c r="K98" s="39" t="e">
        <f t="shared" si="227"/>
        <v>#REF!</v>
      </c>
      <c r="L98" s="39" t="e">
        <f t="shared" ref="L98" si="228">L91-L92</f>
        <v>#REF!</v>
      </c>
      <c r="M98" s="39" t="e">
        <f t="shared" si="227"/>
        <v>#REF!</v>
      </c>
      <c r="N98" s="39" t="e">
        <f t="shared" ref="N98:P98" si="229">N91-N92</f>
        <v>#REF!</v>
      </c>
      <c r="O98" s="39" t="e">
        <f t="shared" si="229"/>
        <v>#REF!</v>
      </c>
      <c r="P98" s="39" t="e">
        <f t="shared" si="229"/>
        <v>#REF!</v>
      </c>
      <c r="Q98" s="39" t="e">
        <f t="shared" ref="Q98:R98" si="230">Q91-Q92</f>
        <v>#REF!</v>
      </c>
      <c r="R98" s="39" t="e">
        <f t="shared" si="230"/>
        <v>#REF!</v>
      </c>
      <c r="S98" s="39" t="e">
        <f t="shared" ref="S98:T98" si="231">S91-S92</f>
        <v>#REF!</v>
      </c>
      <c r="T98" s="39" t="e">
        <f t="shared" si="231"/>
        <v>#REF!</v>
      </c>
      <c r="U98" s="39" t="e">
        <f t="shared" ref="U98:V98" si="232">U91-U92</f>
        <v>#REF!</v>
      </c>
      <c r="V98" s="39" t="e">
        <f t="shared" si="232"/>
        <v>#REF!</v>
      </c>
      <c r="W98" s="39" t="e">
        <f t="shared" ref="W98" si="233">W91-W92</f>
        <v>#REF!</v>
      </c>
      <c r="X98" s="39" t="e">
        <f t="shared" ref="X98" si="234">X91-X92</f>
        <v>#REF!</v>
      </c>
      <c r="Y98" s="39" t="e">
        <f t="shared" ref="Y98" si="235">Y91-Y92</f>
        <v>#REF!</v>
      </c>
      <c r="Z98" s="39" t="e">
        <f t="shared" ref="Z98" si="236">Z91-Z92</f>
        <v>#REF!</v>
      </c>
      <c r="AA98" s="39" t="e">
        <f t="shared" ref="AA98" si="237">AA91-AA92</f>
        <v>#REF!</v>
      </c>
      <c r="AB98" s="39" t="e">
        <f t="shared" ref="AB98" si="238">AB91-AB92</f>
        <v>#REF!</v>
      </c>
      <c r="AC98" s="39" t="e">
        <f t="shared" ref="AC98" si="239">AC91-AC92</f>
        <v>#REF!</v>
      </c>
      <c r="AD98" s="39" t="e">
        <f t="shared" ref="AD98" si="240">AD91-AD92</f>
        <v>#REF!</v>
      </c>
      <c r="AE98" s="39" t="e">
        <f t="shared" ref="AE98" si="241">AE91-AE92</f>
        <v>#REF!</v>
      </c>
      <c r="AF98" s="39" t="e">
        <f t="shared" ref="AF98:AJ98" si="242">AF91-AF92</f>
        <v>#REF!</v>
      </c>
      <c r="AG98" s="39" t="e">
        <f t="shared" si="242"/>
        <v>#REF!</v>
      </c>
      <c r="AH98" s="39" t="e">
        <f t="shared" si="242"/>
        <v>#REF!</v>
      </c>
      <c r="AI98" s="39" t="e">
        <f t="shared" si="242"/>
        <v>#REF!</v>
      </c>
      <c r="AJ98" s="39" t="e">
        <f t="shared" si="242"/>
        <v>#REF!</v>
      </c>
      <c r="AK98" s="39" t="e">
        <f t="shared" ref="AK98" si="243">AK91-AK92</f>
        <v>#REF!</v>
      </c>
      <c r="AL98" s="39" t="e">
        <f t="shared" ref="AL98" si="244">AL91-AL92</f>
        <v>#REF!</v>
      </c>
      <c r="AM98" s="39" t="e">
        <f t="shared" ref="AM98" si="245">AM91-AM92</f>
        <v>#REF!</v>
      </c>
      <c r="AN98" s="39">
        <f t="shared" ref="AN98" si="246">AN91-AN92</f>
        <v>22</v>
      </c>
      <c r="AO98" s="39">
        <f t="shared" ref="AO98" si="247">AO91-AO92</f>
        <v>22</v>
      </c>
      <c r="AP98" s="39">
        <f t="shared" ref="AP98" si="248">AP91-AP92</f>
        <v>22</v>
      </c>
      <c r="AQ98" s="39">
        <f t="shared" ref="AQ98" si="249">AQ91-AQ92</f>
        <v>22</v>
      </c>
      <c r="AR98" s="39">
        <f t="shared" ref="AR98" si="250">AR91-AR92</f>
        <v>22</v>
      </c>
      <c r="AS98" s="39">
        <f t="shared" ref="AS98" si="251">AS91-AS92</f>
        <v>22</v>
      </c>
      <c r="AT98" s="39">
        <f t="shared" ref="AT98:AV98" si="252">AT91-AT92</f>
        <v>22</v>
      </c>
      <c r="AU98" s="39">
        <f t="shared" si="252"/>
        <v>22</v>
      </c>
      <c r="AV98" s="39">
        <f t="shared" si="252"/>
        <v>22</v>
      </c>
      <c r="AW98" s="40"/>
      <c r="AX98" s="40"/>
      <c r="AY98" s="97" t="e">
        <f t="shared" si="227"/>
        <v>#REF!</v>
      </c>
    </row>
    <row r="99" spans="1:51" hidden="1" x14ac:dyDescent="0.2">
      <c r="A99" s="70" t="s">
        <v>116</v>
      </c>
      <c r="B99" s="62" t="s">
        <v>117</v>
      </c>
      <c r="C99" s="94"/>
      <c r="D99" s="96"/>
      <c r="E99" s="39">
        <f t="shared" ref="E99:AY99" si="253">E98/E97</f>
        <v>1</v>
      </c>
      <c r="F99" s="39">
        <f t="shared" si="253"/>
        <v>1</v>
      </c>
      <c r="G99" s="39">
        <f t="shared" si="253"/>
        <v>1</v>
      </c>
      <c r="H99" s="39"/>
      <c r="I99" s="39" t="e">
        <f t="shared" si="253"/>
        <v>#REF!</v>
      </c>
      <c r="J99" s="39" t="e">
        <f t="shared" si="253"/>
        <v>#REF!</v>
      </c>
      <c r="K99" s="39" t="e">
        <f t="shared" si="253"/>
        <v>#REF!</v>
      </c>
      <c r="L99" s="39" t="e">
        <f t="shared" ref="L99" si="254">L98/L97</f>
        <v>#REF!</v>
      </c>
      <c r="M99" s="39" t="e">
        <f t="shared" si="253"/>
        <v>#REF!</v>
      </c>
      <c r="N99" s="39" t="e">
        <f t="shared" ref="N99:P99" si="255">N98/N97</f>
        <v>#REF!</v>
      </c>
      <c r="O99" s="39" t="e">
        <f t="shared" si="255"/>
        <v>#REF!</v>
      </c>
      <c r="P99" s="39" t="e">
        <f t="shared" si="255"/>
        <v>#REF!</v>
      </c>
      <c r="Q99" s="39" t="e">
        <f t="shared" ref="Q99:R99" si="256">Q98/Q97</f>
        <v>#REF!</v>
      </c>
      <c r="R99" s="39" t="e">
        <f t="shared" si="256"/>
        <v>#REF!</v>
      </c>
      <c r="S99" s="39" t="e">
        <f t="shared" ref="S99:T99" si="257">S98/S97</f>
        <v>#REF!</v>
      </c>
      <c r="T99" s="39" t="e">
        <f t="shared" si="257"/>
        <v>#REF!</v>
      </c>
      <c r="U99" s="39" t="e">
        <f t="shared" ref="U99:V99" si="258">U98/U97</f>
        <v>#REF!</v>
      </c>
      <c r="V99" s="39" t="e">
        <f t="shared" si="258"/>
        <v>#REF!</v>
      </c>
      <c r="W99" s="39" t="e">
        <f t="shared" ref="W99" si="259">W98/W97</f>
        <v>#REF!</v>
      </c>
      <c r="X99" s="39" t="e">
        <f t="shared" ref="X99" si="260">X98/X97</f>
        <v>#REF!</v>
      </c>
      <c r="Y99" s="39" t="e">
        <f t="shared" ref="Y99" si="261">Y98/Y97</f>
        <v>#REF!</v>
      </c>
      <c r="Z99" s="39" t="e">
        <f t="shared" ref="Z99" si="262">Z98/Z97</f>
        <v>#REF!</v>
      </c>
      <c r="AA99" s="39" t="e">
        <f t="shared" ref="AA99" si="263">AA98/AA97</f>
        <v>#REF!</v>
      </c>
      <c r="AB99" s="39" t="e">
        <f t="shared" ref="AB99" si="264">AB98/AB97</f>
        <v>#REF!</v>
      </c>
      <c r="AC99" s="39" t="e">
        <f t="shared" ref="AC99" si="265">AC98/AC97</f>
        <v>#REF!</v>
      </c>
      <c r="AD99" s="39" t="e">
        <f t="shared" ref="AD99" si="266">AD98/AD97</f>
        <v>#REF!</v>
      </c>
      <c r="AE99" s="39" t="e">
        <f t="shared" ref="AE99" si="267">AE98/AE97</f>
        <v>#REF!</v>
      </c>
      <c r="AF99" s="39" t="e">
        <f t="shared" ref="AF99:AJ99" si="268">AF98/AF97</f>
        <v>#REF!</v>
      </c>
      <c r="AG99" s="39" t="e">
        <f t="shared" si="268"/>
        <v>#REF!</v>
      </c>
      <c r="AH99" s="39" t="e">
        <f t="shared" si="268"/>
        <v>#REF!</v>
      </c>
      <c r="AI99" s="39" t="e">
        <f t="shared" si="268"/>
        <v>#REF!</v>
      </c>
      <c r="AJ99" s="39" t="e">
        <f t="shared" si="268"/>
        <v>#REF!</v>
      </c>
      <c r="AK99" s="39" t="e">
        <f t="shared" ref="AK99" si="269">AK98/AK97</f>
        <v>#REF!</v>
      </c>
      <c r="AL99" s="39" t="e">
        <f t="shared" ref="AL99" si="270">AL98/AL97</f>
        <v>#REF!</v>
      </c>
      <c r="AM99" s="39" t="e">
        <f t="shared" ref="AM99" si="271">AM98/AM97</f>
        <v>#REF!</v>
      </c>
      <c r="AN99" s="39">
        <f t="shared" ref="AN99" si="272">AN98/AN97</f>
        <v>0.91666666666666663</v>
      </c>
      <c r="AO99" s="39">
        <f t="shared" ref="AO99" si="273">AO98/AO97</f>
        <v>0.91666666666666663</v>
      </c>
      <c r="AP99" s="39">
        <f t="shared" ref="AP99" si="274">AP98/AP97</f>
        <v>0.91666666666666663</v>
      </c>
      <c r="AQ99" s="39">
        <f t="shared" ref="AQ99" si="275">AQ98/AQ97</f>
        <v>0.91666666666666663</v>
      </c>
      <c r="AR99" s="39">
        <f t="shared" ref="AR99" si="276">AR98/AR97</f>
        <v>0.91666666666666663</v>
      </c>
      <c r="AS99" s="39">
        <f t="shared" ref="AS99" si="277">AS98/AS97</f>
        <v>0.91666666666666663</v>
      </c>
      <c r="AT99" s="39">
        <f t="shared" ref="AT99:AV99" si="278">AT98/AT97</f>
        <v>0.91666666666666663</v>
      </c>
      <c r="AU99" s="39">
        <f t="shared" si="278"/>
        <v>0.91666666666666663</v>
      </c>
      <c r="AV99" s="39">
        <f t="shared" si="278"/>
        <v>0.91666666666666663</v>
      </c>
      <c r="AW99" s="40"/>
      <c r="AX99" s="40"/>
      <c r="AY99" s="97" t="e">
        <f t="shared" si="253"/>
        <v>#REF!</v>
      </c>
    </row>
    <row r="100" spans="1:51" hidden="1" x14ac:dyDescent="0.2">
      <c r="A100" s="70" t="s">
        <v>4</v>
      </c>
      <c r="B100" s="62" t="s">
        <v>118</v>
      </c>
      <c r="C100" s="94"/>
      <c r="D100" s="96"/>
      <c r="E100" s="39" t="e">
        <f t="shared" ref="E100:AY100" si="279">E96*E90/E98</f>
        <v>#DIV/0!</v>
      </c>
      <c r="F100" s="39" t="e">
        <f t="shared" si="279"/>
        <v>#DIV/0!</v>
      </c>
      <c r="G100" s="39" t="e">
        <f t="shared" si="279"/>
        <v>#DIV/0!</v>
      </c>
      <c r="H100" s="39"/>
      <c r="I100" s="39" t="e">
        <f t="shared" si="279"/>
        <v>#REF!</v>
      </c>
      <c r="J100" s="39" t="e">
        <f t="shared" si="279"/>
        <v>#REF!</v>
      </c>
      <c r="K100" s="39" t="e">
        <f t="shared" si="279"/>
        <v>#REF!</v>
      </c>
      <c r="L100" s="39" t="e">
        <f t="shared" ref="L100" si="280">L96*L90/L98</f>
        <v>#REF!</v>
      </c>
      <c r="M100" s="39" t="e">
        <f t="shared" si="279"/>
        <v>#REF!</v>
      </c>
      <c r="N100" s="39" t="e">
        <f t="shared" ref="N100:P100" si="281">N96*N90/N98</f>
        <v>#REF!</v>
      </c>
      <c r="O100" s="39" t="e">
        <f t="shared" si="281"/>
        <v>#REF!</v>
      </c>
      <c r="P100" s="39" t="e">
        <f t="shared" si="281"/>
        <v>#REF!</v>
      </c>
      <c r="Q100" s="39" t="e">
        <f t="shared" ref="Q100:R100" si="282">Q96*Q90/Q98</f>
        <v>#REF!</v>
      </c>
      <c r="R100" s="39" t="e">
        <f t="shared" si="282"/>
        <v>#REF!</v>
      </c>
      <c r="S100" s="39" t="e">
        <f t="shared" ref="S100:T100" si="283">S96*S90/S98</f>
        <v>#REF!</v>
      </c>
      <c r="T100" s="39" t="e">
        <f t="shared" si="283"/>
        <v>#REF!</v>
      </c>
      <c r="U100" s="39" t="e">
        <f t="shared" ref="U100:V100" si="284">U96*U90/U98</f>
        <v>#REF!</v>
      </c>
      <c r="V100" s="39" t="e">
        <f t="shared" si="284"/>
        <v>#REF!</v>
      </c>
      <c r="W100" s="39" t="e">
        <f t="shared" ref="W100" si="285">W96*W90/W98</f>
        <v>#REF!</v>
      </c>
      <c r="X100" s="39" t="e">
        <f t="shared" ref="X100" si="286">X96*X90/X98</f>
        <v>#REF!</v>
      </c>
      <c r="Y100" s="39" t="e">
        <f t="shared" ref="Y100" si="287">Y96*Y90/Y98</f>
        <v>#REF!</v>
      </c>
      <c r="Z100" s="39" t="e">
        <f t="shared" ref="Z100" si="288">Z96*Z90/Z98</f>
        <v>#REF!</v>
      </c>
      <c r="AA100" s="39" t="e">
        <f t="shared" ref="AA100" si="289">AA96*AA90/AA98</f>
        <v>#REF!</v>
      </c>
      <c r="AB100" s="39" t="e">
        <f t="shared" ref="AB100" si="290">AB96*AB90/AB98</f>
        <v>#REF!</v>
      </c>
      <c r="AC100" s="39" t="e">
        <f t="shared" ref="AC100" si="291">AC96*AC90/AC98</f>
        <v>#REF!</v>
      </c>
      <c r="AD100" s="39" t="e">
        <f t="shared" ref="AD100" si="292">AD96*AD90/AD98</f>
        <v>#REF!</v>
      </c>
      <c r="AE100" s="39" t="e">
        <f t="shared" ref="AE100" si="293">AE96*AE90/AE98</f>
        <v>#REF!</v>
      </c>
      <c r="AF100" s="39" t="e">
        <f t="shared" ref="AF100:AJ100" si="294">AF96*AF90/AF98</f>
        <v>#REF!</v>
      </c>
      <c r="AG100" s="39" t="e">
        <f t="shared" si="294"/>
        <v>#REF!</v>
      </c>
      <c r="AH100" s="39" t="e">
        <f t="shared" si="294"/>
        <v>#REF!</v>
      </c>
      <c r="AI100" s="39" t="e">
        <f t="shared" si="294"/>
        <v>#REF!</v>
      </c>
      <c r="AJ100" s="39" t="e">
        <f t="shared" si="294"/>
        <v>#REF!</v>
      </c>
      <c r="AK100" s="39" t="e">
        <f t="shared" ref="AK100" si="295">AK96*AK90/AK98</f>
        <v>#REF!</v>
      </c>
      <c r="AL100" s="39" t="e">
        <f t="shared" ref="AL100" si="296">AL96*AL90/AL98</f>
        <v>#REF!</v>
      </c>
      <c r="AM100" s="39" t="e">
        <f t="shared" ref="AM100" si="297">AM96*AM90/AM98</f>
        <v>#REF!</v>
      </c>
      <c r="AN100" s="39" t="e">
        <f t="shared" ref="AN100" si="298">AN96*AN90/AN98</f>
        <v>#REF!</v>
      </c>
      <c r="AO100" s="39" t="e">
        <f t="shared" ref="AO100" si="299">AO96*AO90/AO98</f>
        <v>#REF!</v>
      </c>
      <c r="AP100" s="39" t="e">
        <f t="shared" ref="AP100" si="300">AP96*AP90/AP98</f>
        <v>#REF!</v>
      </c>
      <c r="AQ100" s="39" t="e">
        <f t="shared" ref="AQ100" si="301">AQ96*AQ90/AQ98</f>
        <v>#REF!</v>
      </c>
      <c r="AR100" s="39" t="e">
        <f t="shared" ref="AR100" si="302">AR96*AR90/AR98</f>
        <v>#REF!</v>
      </c>
      <c r="AS100" s="39" t="e">
        <f t="shared" ref="AS100" si="303">AS96*AS90/AS98</f>
        <v>#REF!</v>
      </c>
      <c r="AT100" s="39" t="e">
        <f t="shared" ref="AT100:AV100" si="304">AT96*AT90/AT98</f>
        <v>#REF!</v>
      </c>
      <c r="AU100" s="39" t="e">
        <f t="shared" si="304"/>
        <v>#REF!</v>
      </c>
      <c r="AV100" s="39" t="e">
        <f t="shared" si="304"/>
        <v>#REF!</v>
      </c>
      <c r="AW100" s="40"/>
      <c r="AX100" s="40"/>
      <c r="AY100" s="97" t="e">
        <f t="shared" si="279"/>
        <v>#REF!</v>
      </c>
    </row>
    <row r="101" spans="1:51" ht="21" hidden="1" thickBot="1" x14ac:dyDescent="0.25">
      <c r="A101" s="98"/>
      <c r="B101" s="78" t="s">
        <v>119</v>
      </c>
      <c r="C101" s="79"/>
      <c r="D101" s="80" t="s">
        <v>42</v>
      </c>
      <c r="E101" s="99" t="e">
        <f t="shared" ref="E101:AY101" si="305">E100*E99*100</f>
        <v>#DIV/0!</v>
      </c>
      <c r="F101" s="99" t="e">
        <f t="shared" si="305"/>
        <v>#DIV/0!</v>
      </c>
      <c r="G101" s="99" t="e">
        <f t="shared" si="305"/>
        <v>#DIV/0!</v>
      </c>
      <c r="H101" s="99">
        <f t="shared" si="305"/>
        <v>0</v>
      </c>
      <c r="I101" s="99" t="e">
        <f t="shared" si="305"/>
        <v>#REF!</v>
      </c>
      <c r="J101" s="99" t="e">
        <f t="shared" si="305"/>
        <v>#REF!</v>
      </c>
      <c r="K101" s="99" t="e">
        <f t="shared" si="305"/>
        <v>#REF!</v>
      </c>
      <c r="L101" s="99" t="e">
        <f t="shared" ref="L101" si="306">L100*L99*100</f>
        <v>#REF!</v>
      </c>
      <c r="M101" s="99" t="e">
        <f t="shared" si="305"/>
        <v>#REF!</v>
      </c>
      <c r="N101" s="99" t="e">
        <f t="shared" ref="N101:P101" si="307">N100*N99*100</f>
        <v>#REF!</v>
      </c>
      <c r="O101" s="99" t="e">
        <f t="shared" si="307"/>
        <v>#REF!</v>
      </c>
      <c r="P101" s="99" t="e">
        <f t="shared" si="307"/>
        <v>#REF!</v>
      </c>
      <c r="Q101" s="99" t="e">
        <f t="shared" ref="Q101:R101" si="308">Q100*Q99*100</f>
        <v>#REF!</v>
      </c>
      <c r="R101" s="99" t="e">
        <f t="shared" si="308"/>
        <v>#REF!</v>
      </c>
      <c r="S101" s="99" t="e">
        <f t="shared" ref="S101:T101" si="309">S100*S99*100</f>
        <v>#REF!</v>
      </c>
      <c r="T101" s="99" t="e">
        <f t="shared" si="309"/>
        <v>#REF!</v>
      </c>
      <c r="U101" s="99" t="e">
        <f t="shared" ref="U101:V101" si="310">U100*U99*100</f>
        <v>#REF!</v>
      </c>
      <c r="V101" s="99" t="e">
        <f t="shared" si="310"/>
        <v>#REF!</v>
      </c>
      <c r="W101" s="99" t="e">
        <f t="shared" ref="W101" si="311">W100*W99*100</f>
        <v>#REF!</v>
      </c>
      <c r="X101" s="99" t="e">
        <f t="shared" ref="X101" si="312">X100*X99*100</f>
        <v>#REF!</v>
      </c>
      <c r="Y101" s="99" t="e">
        <f t="shared" ref="Y101" si="313">Y100*Y99*100</f>
        <v>#REF!</v>
      </c>
      <c r="Z101" s="99" t="e">
        <f t="shared" ref="Z101" si="314">Z100*Z99*100</f>
        <v>#REF!</v>
      </c>
      <c r="AA101" s="99" t="e">
        <f t="shared" ref="AA101" si="315">AA100*AA99*100</f>
        <v>#REF!</v>
      </c>
      <c r="AB101" s="99" t="e">
        <f t="shared" ref="AB101" si="316">AB100*AB99*100</f>
        <v>#REF!</v>
      </c>
      <c r="AC101" s="99" t="e">
        <f t="shared" ref="AC101" si="317">AC100*AC99*100</f>
        <v>#REF!</v>
      </c>
      <c r="AD101" s="99" t="e">
        <f t="shared" ref="AD101" si="318">AD100*AD99*100</f>
        <v>#REF!</v>
      </c>
      <c r="AE101" s="99" t="e">
        <f t="shared" ref="AE101" si="319">AE100*AE99*100</f>
        <v>#REF!</v>
      </c>
      <c r="AF101" s="99" t="e">
        <f t="shared" ref="AF101:AJ101" si="320">AF100*AF99*100</f>
        <v>#REF!</v>
      </c>
      <c r="AG101" s="99" t="e">
        <f t="shared" si="320"/>
        <v>#REF!</v>
      </c>
      <c r="AH101" s="99" t="e">
        <f t="shared" si="320"/>
        <v>#REF!</v>
      </c>
      <c r="AI101" s="99" t="e">
        <f t="shared" si="320"/>
        <v>#REF!</v>
      </c>
      <c r="AJ101" s="99" t="e">
        <f t="shared" si="320"/>
        <v>#REF!</v>
      </c>
      <c r="AK101" s="99" t="e">
        <f t="shared" ref="AK101" si="321">AK100*AK99*100</f>
        <v>#REF!</v>
      </c>
      <c r="AL101" s="99" t="e">
        <f t="shared" ref="AL101" si="322">AL100*AL99*100</f>
        <v>#REF!</v>
      </c>
      <c r="AM101" s="99" t="e">
        <f t="shared" ref="AM101" si="323">AM100*AM99*100</f>
        <v>#REF!</v>
      </c>
      <c r="AN101" s="99" t="e">
        <f t="shared" ref="AN101" si="324">AN100*AN99*100</f>
        <v>#REF!</v>
      </c>
      <c r="AO101" s="99" t="e">
        <f t="shared" ref="AO101" si="325">AO100*AO99*100</f>
        <v>#REF!</v>
      </c>
      <c r="AP101" s="99" t="e">
        <f t="shared" ref="AP101" si="326">AP100*AP99*100</f>
        <v>#REF!</v>
      </c>
      <c r="AQ101" s="99" t="e">
        <f t="shared" ref="AQ101" si="327">AQ100*AQ99*100</f>
        <v>#REF!</v>
      </c>
      <c r="AR101" s="99" t="e">
        <f t="shared" ref="AR101" si="328">AR100*AR99*100</f>
        <v>#REF!</v>
      </c>
      <c r="AS101" s="99" t="e">
        <f t="shared" ref="AS101" si="329">AS100*AS99*100</f>
        <v>#REF!</v>
      </c>
      <c r="AT101" s="99" t="e">
        <f t="shared" ref="AT101:AV101" si="330">AT100*AT99*100</f>
        <v>#REF!</v>
      </c>
      <c r="AU101" s="99" t="e">
        <f t="shared" si="330"/>
        <v>#REF!</v>
      </c>
      <c r="AV101" s="99" t="e">
        <f t="shared" si="330"/>
        <v>#REF!</v>
      </c>
      <c r="AW101" s="104"/>
      <c r="AX101" s="104"/>
      <c r="AY101" s="82" t="e">
        <f t="shared" si="305"/>
        <v>#REF!</v>
      </c>
    </row>
    <row r="102" spans="1:51" x14ac:dyDescent="0.2">
      <c r="A102" s="84"/>
      <c r="B102" s="84"/>
      <c r="C102" s="85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00"/>
      <c r="AV102" s="100"/>
      <c r="AW102" s="100"/>
      <c r="AX102" s="100"/>
      <c r="AY102" s="84"/>
    </row>
    <row r="103" spans="1:51" x14ac:dyDescent="0.2">
      <c r="A103" s="84"/>
      <c r="B103" s="84"/>
      <c r="C103" s="85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  <c r="AS103" s="100"/>
      <c r="AT103" s="100"/>
      <c r="AU103" s="100"/>
      <c r="AV103" s="100"/>
      <c r="AW103" s="100"/>
      <c r="AX103" s="100"/>
      <c r="AY103" s="84"/>
    </row>
    <row r="104" spans="1:51" ht="26.25" customHeight="1" x14ac:dyDescent="0.2">
      <c r="A104" s="84"/>
      <c r="B104" s="84"/>
      <c r="C104" s="85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100"/>
    </row>
    <row r="105" spans="1:51" ht="26.25" customHeight="1" x14ac:dyDescent="0.2">
      <c r="A105" s="84"/>
      <c r="B105" s="84"/>
      <c r="C105" s="85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100"/>
    </row>
    <row r="106" spans="1:51" ht="26.25" customHeight="1" x14ac:dyDescent="0.2">
      <c r="A106" s="84"/>
      <c r="B106" s="84"/>
      <c r="C106" s="85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100"/>
    </row>
    <row r="107" spans="1:51" ht="26.25" customHeight="1" x14ac:dyDescent="0.2">
      <c r="A107" s="84"/>
      <c r="B107" s="84"/>
      <c r="C107" s="85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100"/>
    </row>
    <row r="108" spans="1:51" ht="22" customHeight="1" x14ac:dyDescent="0.2">
      <c r="A108" s="84"/>
      <c r="B108" s="62" t="s">
        <v>275</v>
      </c>
      <c r="C108" s="94"/>
      <c r="D108" s="62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100"/>
    </row>
    <row r="109" spans="1:51" x14ac:dyDescent="0.2">
      <c r="A109" s="84"/>
      <c r="B109" s="62" t="s">
        <v>51</v>
      </c>
      <c r="C109" s="94"/>
      <c r="D109" s="62" t="s">
        <v>0</v>
      </c>
      <c r="E109" s="62"/>
      <c r="F109" s="62"/>
      <c r="G109" s="62">
        <v>39.5</v>
      </c>
      <c r="H109" s="62">
        <v>119.6</v>
      </c>
      <c r="I109" s="62">
        <v>110.8</v>
      </c>
      <c r="J109" s="62">
        <v>83.8</v>
      </c>
      <c r="K109" s="62">
        <v>74.3</v>
      </c>
      <c r="L109" s="62">
        <v>94.1</v>
      </c>
      <c r="M109" s="62">
        <v>77.599999999999994</v>
      </c>
      <c r="N109" s="62">
        <v>50.9</v>
      </c>
      <c r="O109" s="62">
        <v>72.8</v>
      </c>
      <c r="P109" s="62">
        <v>92.4</v>
      </c>
      <c r="Q109" s="62">
        <v>78.5</v>
      </c>
      <c r="R109" s="62">
        <v>33.5</v>
      </c>
      <c r="S109" s="62">
        <v>96.9</v>
      </c>
      <c r="T109" s="62">
        <v>82.3</v>
      </c>
      <c r="U109" s="62">
        <v>80.400000000000006</v>
      </c>
      <c r="V109" s="62">
        <v>80.400000000000006</v>
      </c>
      <c r="W109" s="62">
        <v>71.5</v>
      </c>
      <c r="X109" s="62">
        <v>77.2</v>
      </c>
      <c r="Y109" s="62">
        <v>71.3</v>
      </c>
      <c r="Z109" s="62">
        <v>71.3</v>
      </c>
      <c r="AA109" s="62">
        <v>54.6</v>
      </c>
      <c r="AB109" s="62">
        <v>63.7</v>
      </c>
      <c r="AC109" s="62">
        <v>83</v>
      </c>
      <c r="AD109" s="213">
        <v>81.3</v>
      </c>
      <c r="AE109" s="62">
        <v>83.4</v>
      </c>
      <c r="AF109" s="62">
        <v>86.9</v>
      </c>
      <c r="AG109" s="62">
        <v>79.7</v>
      </c>
      <c r="AH109" s="62">
        <v>84.3</v>
      </c>
      <c r="AI109" s="62">
        <v>63.1</v>
      </c>
      <c r="AJ109" s="62">
        <v>68.599999999999994</v>
      </c>
      <c r="AK109" s="62">
        <v>74.3</v>
      </c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100"/>
    </row>
    <row r="110" spans="1:51" x14ac:dyDescent="0.2">
      <c r="A110" s="84"/>
      <c r="B110" s="62" t="s">
        <v>269</v>
      </c>
      <c r="C110" s="94"/>
      <c r="D110" s="62" t="s">
        <v>273</v>
      </c>
      <c r="E110" s="62"/>
      <c r="F110" s="62"/>
      <c r="G110" s="62">
        <v>1951.4</v>
      </c>
      <c r="H110" s="62">
        <v>6204.1</v>
      </c>
      <c r="I110" s="62">
        <v>5713.1</v>
      </c>
      <c r="J110" s="62">
        <v>5163.7</v>
      </c>
      <c r="K110" s="62">
        <v>4846.2</v>
      </c>
      <c r="L110" s="62">
        <v>7076.1</v>
      </c>
      <c r="M110" s="62">
        <v>4635.2</v>
      </c>
      <c r="N110" s="62">
        <v>3537.9</v>
      </c>
      <c r="O110" s="62">
        <v>4697.7</v>
      </c>
      <c r="P110" s="62">
        <v>6287.8</v>
      </c>
      <c r="Q110" s="62">
        <v>5048.8999999999996</v>
      </c>
      <c r="R110" s="62">
        <v>1764.8</v>
      </c>
      <c r="S110" s="62">
        <v>8540.5</v>
      </c>
      <c r="T110" s="62">
        <v>5841.6</v>
      </c>
      <c r="U110" s="62">
        <v>6236</v>
      </c>
      <c r="V110" s="62">
        <v>4993.2</v>
      </c>
      <c r="W110" s="62">
        <v>4940.3</v>
      </c>
      <c r="X110" s="62">
        <v>4833.8</v>
      </c>
      <c r="Y110" s="62">
        <v>5135.5</v>
      </c>
      <c r="Z110" s="62">
        <v>5072.8999999999996</v>
      </c>
      <c r="AA110" s="62">
        <v>4319.8999999999996</v>
      </c>
      <c r="AB110" s="62">
        <v>4874.8</v>
      </c>
      <c r="AC110" s="62">
        <v>7190.6</v>
      </c>
      <c r="AD110" s="213">
        <v>7587.2</v>
      </c>
      <c r="AE110" s="62">
        <v>6834.4</v>
      </c>
      <c r="AF110" s="62">
        <v>6274.2</v>
      </c>
      <c r="AG110" s="62">
        <v>6659</v>
      </c>
      <c r="AH110" s="62">
        <v>7394.4</v>
      </c>
      <c r="AI110" s="62">
        <v>6321.9</v>
      </c>
      <c r="AJ110" s="62">
        <v>6941.4</v>
      </c>
      <c r="AK110" s="62">
        <v>9169.2999999999993</v>
      </c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100"/>
    </row>
    <row r="111" spans="1:51" x14ac:dyDescent="0.2">
      <c r="A111" s="84"/>
      <c r="B111" s="62" t="s">
        <v>270</v>
      </c>
      <c r="C111" s="94"/>
      <c r="D111" s="62" t="s">
        <v>273</v>
      </c>
      <c r="E111" s="62"/>
      <c r="F111" s="62"/>
      <c r="G111" s="62">
        <v>44.2</v>
      </c>
      <c r="H111" s="62">
        <v>10.6</v>
      </c>
      <c r="I111" s="62">
        <v>8.6</v>
      </c>
      <c r="J111" s="62">
        <v>0</v>
      </c>
      <c r="K111" s="62">
        <v>0</v>
      </c>
      <c r="L111" s="62">
        <v>0</v>
      </c>
      <c r="M111" s="62">
        <v>0</v>
      </c>
      <c r="N111" s="62">
        <v>0</v>
      </c>
      <c r="O111" s="62">
        <v>0</v>
      </c>
      <c r="P111" s="62">
        <v>13.6</v>
      </c>
      <c r="Q111" s="62">
        <v>0</v>
      </c>
      <c r="R111" s="62">
        <v>0</v>
      </c>
      <c r="S111" s="62">
        <v>0</v>
      </c>
      <c r="T111" s="62">
        <v>25.7</v>
      </c>
      <c r="U111" s="62">
        <v>27.5</v>
      </c>
      <c r="V111" s="62">
        <v>2.1</v>
      </c>
      <c r="W111" s="62">
        <v>38.799999999999997</v>
      </c>
      <c r="X111" s="62">
        <v>0</v>
      </c>
      <c r="Y111" s="62">
        <v>0</v>
      </c>
      <c r="Z111" s="62">
        <v>0</v>
      </c>
      <c r="AA111" s="62">
        <v>0</v>
      </c>
      <c r="AB111" s="62">
        <v>79.3</v>
      </c>
      <c r="AC111" s="62">
        <v>0</v>
      </c>
      <c r="AD111" s="213">
        <v>0</v>
      </c>
      <c r="AE111" s="62">
        <v>0</v>
      </c>
      <c r="AF111" s="62">
        <v>0</v>
      </c>
      <c r="AG111" s="62">
        <v>0</v>
      </c>
      <c r="AH111" s="62">
        <v>0</v>
      </c>
      <c r="AI111" s="62">
        <v>0</v>
      </c>
      <c r="AJ111" s="62">
        <v>0</v>
      </c>
      <c r="AK111" s="62">
        <v>0</v>
      </c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100"/>
    </row>
    <row r="112" spans="1:51" x14ac:dyDescent="0.2">
      <c r="A112" s="84"/>
      <c r="B112" s="62" t="s">
        <v>53</v>
      </c>
      <c r="C112" s="94"/>
      <c r="D112" s="62" t="s">
        <v>54</v>
      </c>
      <c r="E112" s="62"/>
      <c r="F112" s="62"/>
      <c r="G112" s="62">
        <v>702</v>
      </c>
      <c r="H112" s="62">
        <v>897.6</v>
      </c>
      <c r="I112" s="62">
        <v>909.7</v>
      </c>
      <c r="J112" s="62">
        <v>610</v>
      </c>
      <c r="K112" s="62">
        <v>687</v>
      </c>
      <c r="L112" s="62">
        <v>506.1</v>
      </c>
      <c r="M112" s="62">
        <v>574.9</v>
      </c>
      <c r="N112" s="62">
        <v>450.3</v>
      </c>
      <c r="O112" s="62">
        <v>621</v>
      </c>
      <c r="P112" s="62">
        <v>477.5</v>
      </c>
      <c r="Q112" s="62">
        <v>464.1</v>
      </c>
      <c r="R112" s="62">
        <v>402.7</v>
      </c>
      <c r="S112" s="62">
        <v>557.29999999999995</v>
      </c>
      <c r="T112" s="62">
        <v>513.20000000000005</v>
      </c>
      <c r="U112" s="62">
        <v>482</v>
      </c>
      <c r="V112" s="62">
        <v>445.4</v>
      </c>
      <c r="W112" s="62">
        <v>469.9</v>
      </c>
      <c r="X112" s="62">
        <v>450.6</v>
      </c>
      <c r="Y112" s="62">
        <v>567.79999999999995</v>
      </c>
      <c r="Z112" s="62">
        <v>513.20000000000005</v>
      </c>
      <c r="AA112" s="62">
        <v>499.9</v>
      </c>
      <c r="AB112" s="62">
        <v>426.9</v>
      </c>
      <c r="AC112" s="62">
        <v>517.4</v>
      </c>
      <c r="AD112" s="213">
        <v>529.6</v>
      </c>
      <c r="AE112" s="62">
        <v>499.4</v>
      </c>
      <c r="AF112" s="62">
        <v>502.4</v>
      </c>
      <c r="AG112" s="62">
        <v>485.6</v>
      </c>
      <c r="AH112" s="62">
        <v>502.2</v>
      </c>
      <c r="AI112" s="62">
        <v>190</v>
      </c>
      <c r="AJ112" s="62">
        <v>418.6</v>
      </c>
      <c r="AK112" s="62">
        <v>149.1</v>
      </c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100"/>
    </row>
    <row r="113" spans="1:51" x14ac:dyDescent="0.2">
      <c r="A113" s="84"/>
      <c r="B113" s="62" t="s">
        <v>274</v>
      </c>
      <c r="C113" s="94"/>
      <c r="D113" s="62" t="s">
        <v>54</v>
      </c>
      <c r="E113" s="62"/>
      <c r="F113" s="62"/>
      <c r="G113" s="62">
        <v>0</v>
      </c>
      <c r="H113" s="62">
        <v>0</v>
      </c>
      <c r="I113" s="62">
        <v>0</v>
      </c>
      <c r="J113" s="62">
        <v>0</v>
      </c>
      <c r="K113" s="62">
        <v>0</v>
      </c>
      <c r="L113" s="62">
        <v>0</v>
      </c>
      <c r="M113" s="62">
        <v>0</v>
      </c>
      <c r="N113" s="62">
        <v>0</v>
      </c>
      <c r="O113" s="62">
        <v>0</v>
      </c>
      <c r="P113" s="62">
        <v>0</v>
      </c>
      <c r="Q113" s="62">
        <v>0</v>
      </c>
      <c r="R113" s="62">
        <v>0</v>
      </c>
      <c r="S113" s="62">
        <v>0</v>
      </c>
      <c r="T113" s="62">
        <v>0</v>
      </c>
      <c r="U113" s="62">
        <v>0</v>
      </c>
      <c r="V113" s="62">
        <v>0</v>
      </c>
      <c r="W113" s="62">
        <v>0</v>
      </c>
      <c r="X113" s="62">
        <v>0</v>
      </c>
      <c r="Y113" s="62">
        <v>0</v>
      </c>
      <c r="Z113" s="62">
        <v>0</v>
      </c>
      <c r="AA113" s="62">
        <v>0</v>
      </c>
      <c r="AB113" s="62">
        <v>0</v>
      </c>
      <c r="AC113" s="62">
        <v>0</v>
      </c>
      <c r="AD113" s="213">
        <v>0</v>
      </c>
      <c r="AE113" s="62">
        <v>0</v>
      </c>
      <c r="AF113" s="62">
        <v>0</v>
      </c>
      <c r="AG113" s="62">
        <v>0</v>
      </c>
      <c r="AH113" s="62">
        <v>0</v>
      </c>
      <c r="AI113" s="62">
        <v>157</v>
      </c>
      <c r="AJ113" s="62">
        <v>0</v>
      </c>
      <c r="AK113" s="62">
        <v>302</v>
      </c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100"/>
    </row>
    <row r="114" spans="1:51" x14ac:dyDescent="0.2">
      <c r="A114" s="84"/>
      <c r="B114" s="62" t="s">
        <v>271</v>
      </c>
      <c r="C114" s="94"/>
      <c r="D114" s="62" t="s">
        <v>41</v>
      </c>
      <c r="E114" s="62"/>
      <c r="F114" s="62"/>
      <c r="G114" s="62">
        <v>36933</v>
      </c>
      <c r="H114" s="62">
        <v>91764</v>
      </c>
      <c r="I114" s="62">
        <v>96810</v>
      </c>
      <c r="J114" s="62">
        <v>95252</v>
      </c>
      <c r="K114" s="62">
        <v>83652</v>
      </c>
      <c r="L114" s="62">
        <v>84623</v>
      </c>
      <c r="M114" s="62">
        <v>83952</v>
      </c>
      <c r="N114" s="62">
        <v>62150</v>
      </c>
      <c r="O114" s="62">
        <v>77529</v>
      </c>
      <c r="P114" s="62">
        <v>93094</v>
      </c>
      <c r="Q114" s="62">
        <v>92951</v>
      </c>
      <c r="R114" s="62">
        <v>40140</v>
      </c>
      <c r="S114" s="62">
        <v>100505</v>
      </c>
      <c r="T114" s="62">
        <v>94432</v>
      </c>
      <c r="U114" s="62">
        <v>88852</v>
      </c>
      <c r="V114" s="62">
        <v>90407</v>
      </c>
      <c r="W114" s="62">
        <v>93477</v>
      </c>
      <c r="X114" s="62">
        <v>94232</v>
      </c>
      <c r="Y114" s="62">
        <v>98472</v>
      </c>
      <c r="Z114" s="62">
        <v>95621</v>
      </c>
      <c r="AA114" s="62">
        <v>78889</v>
      </c>
      <c r="AB114" s="62">
        <v>89973</v>
      </c>
      <c r="AC114" s="62">
        <v>97745</v>
      </c>
      <c r="AD114" s="213">
        <v>90217</v>
      </c>
      <c r="AE114" s="62">
        <v>82600</v>
      </c>
      <c r="AF114" s="62">
        <v>77489</v>
      </c>
      <c r="AG114" s="62">
        <v>76703</v>
      </c>
      <c r="AH114" s="62">
        <v>93037</v>
      </c>
      <c r="AI114" s="62">
        <v>87417</v>
      </c>
      <c r="AJ114" s="62">
        <v>94332</v>
      </c>
      <c r="AK114" s="62">
        <v>103220</v>
      </c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100"/>
    </row>
    <row r="115" spans="1:51" x14ac:dyDescent="0.2">
      <c r="A115" s="84"/>
      <c r="B115" s="62" t="s">
        <v>272</v>
      </c>
      <c r="C115" s="94"/>
      <c r="D115" s="62" t="s">
        <v>41</v>
      </c>
      <c r="E115" s="62"/>
      <c r="F115" s="62"/>
      <c r="G115" s="62">
        <v>7219</v>
      </c>
      <c r="H115" s="62">
        <v>8136</v>
      </c>
      <c r="I115" s="62">
        <v>8040</v>
      </c>
      <c r="J115" s="62">
        <v>7798</v>
      </c>
      <c r="K115" s="62">
        <v>7698</v>
      </c>
      <c r="L115" s="62">
        <v>7627</v>
      </c>
      <c r="M115" s="62">
        <v>7398</v>
      </c>
      <c r="N115" s="62">
        <v>6250</v>
      </c>
      <c r="O115" s="62">
        <v>8421</v>
      </c>
      <c r="P115" s="62">
        <v>8606</v>
      </c>
      <c r="Q115" s="62">
        <v>7849</v>
      </c>
      <c r="R115" s="62">
        <v>5760</v>
      </c>
      <c r="S115" s="62">
        <v>7945</v>
      </c>
      <c r="T115" s="62">
        <v>7718</v>
      </c>
      <c r="U115" s="62">
        <v>6998</v>
      </c>
      <c r="V115" s="62">
        <v>6793</v>
      </c>
      <c r="W115" s="62">
        <v>7323</v>
      </c>
      <c r="X115" s="62">
        <v>7468</v>
      </c>
      <c r="Y115" s="62">
        <v>8178</v>
      </c>
      <c r="Z115" s="62">
        <v>6979</v>
      </c>
      <c r="AA115" s="62">
        <v>7511</v>
      </c>
      <c r="AB115" s="62">
        <v>8027</v>
      </c>
      <c r="AC115" s="62">
        <v>8005</v>
      </c>
      <c r="AD115" s="213">
        <v>7883</v>
      </c>
      <c r="AE115" s="62">
        <v>7850</v>
      </c>
      <c r="AF115" s="62">
        <v>7111</v>
      </c>
      <c r="AG115" s="62">
        <v>6547</v>
      </c>
      <c r="AH115" s="62">
        <v>6413</v>
      </c>
      <c r="AI115" s="62">
        <v>7533</v>
      </c>
      <c r="AJ115" s="62">
        <v>7818</v>
      </c>
      <c r="AK115" s="62">
        <v>7930</v>
      </c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100"/>
    </row>
    <row r="116" spans="1:51" x14ac:dyDescent="0.2">
      <c r="A116" s="84"/>
      <c r="B116" s="84"/>
      <c r="C116" s="85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100"/>
    </row>
    <row r="117" spans="1:51" x14ac:dyDescent="0.2">
      <c r="A117" s="84"/>
      <c r="B117" s="84"/>
      <c r="C117" s="85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100"/>
    </row>
    <row r="118" spans="1:51" ht="20.25" customHeight="1" x14ac:dyDescent="0.2">
      <c r="A118" s="84"/>
      <c r="B118" s="84"/>
      <c r="C118" s="85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100"/>
    </row>
  </sheetData>
  <mergeCells count="7">
    <mergeCell ref="I69:M69"/>
    <mergeCell ref="I75:M75"/>
    <mergeCell ref="I3:AY3"/>
    <mergeCell ref="C47:AY48"/>
    <mergeCell ref="C54:AY54"/>
    <mergeCell ref="D67:AY67"/>
    <mergeCell ref="H17:P17"/>
  </mergeCells>
  <pageMargins left="0.7" right="0.7" top="0.75" bottom="0.75" header="0.3" footer="0.3"/>
  <pageSetup paperSize="9" scale="2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</vt:i4>
      </vt:variant>
    </vt:vector>
  </HeadingPairs>
  <TitlesOfParts>
    <vt:vector size="32" baseType="lpstr">
      <vt:lpstr>01-03-2025</vt:lpstr>
      <vt:lpstr>03-03-2025</vt:lpstr>
      <vt:lpstr>04-03-2025</vt:lpstr>
      <vt:lpstr>05-03-2025</vt:lpstr>
      <vt:lpstr>06-03-2025</vt:lpstr>
      <vt:lpstr>07-03-2025</vt:lpstr>
      <vt:lpstr>08-03-2025</vt:lpstr>
      <vt:lpstr>09-03-2025</vt:lpstr>
      <vt:lpstr>10-03-2025</vt:lpstr>
      <vt:lpstr>11-03-2025</vt:lpstr>
      <vt:lpstr>12-03-2025</vt:lpstr>
      <vt:lpstr>13-03-2025</vt:lpstr>
      <vt:lpstr>14-03-2025</vt:lpstr>
      <vt:lpstr>15-03-2025</vt:lpstr>
      <vt:lpstr>16-03-2025</vt:lpstr>
      <vt:lpstr>17-03-2025</vt:lpstr>
      <vt:lpstr>18-03-2025</vt:lpstr>
      <vt:lpstr>19-03-2025</vt:lpstr>
      <vt:lpstr>20-03-2025</vt:lpstr>
      <vt:lpstr>21-03-2025</vt:lpstr>
      <vt:lpstr>22-03-2025</vt:lpstr>
      <vt:lpstr>23-03-2025</vt:lpstr>
      <vt:lpstr>24-03-2025</vt:lpstr>
      <vt:lpstr>25-03-2025</vt:lpstr>
      <vt:lpstr>26-03-2025</vt:lpstr>
      <vt:lpstr>27-03-2025</vt:lpstr>
      <vt:lpstr>28-03-2025</vt:lpstr>
      <vt:lpstr>29-03-2025</vt:lpstr>
      <vt:lpstr>30-03-2025</vt:lpstr>
      <vt:lpstr>31-03-2025</vt:lpstr>
      <vt:lpstr>PULP &amp; CHEMICAL REPORT</vt:lpstr>
      <vt:lpstr>'PULP &amp; CHEMICAL REPORT'!Print_Area</vt:lpstr>
    </vt:vector>
  </TitlesOfParts>
  <Company>century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</dc:creator>
  <cp:lastModifiedBy>Ravi Arora</cp:lastModifiedBy>
  <cp:lastPrinted>2025-01-02T05:05:00Z</cp:lastPrinted>
  <dcterms:created xsi:type="dcterms:W3CDTF">2015-05-31T05:53:49Z</dcterms:created>
  <dcterms:modified xsi:type="dcterms:W3CDTF">2026-04-06T09:49:44Z</dcterms:modified>
</cp:coreProperties>
</file>